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UIU\Downloads\"/>
    </mc:Choice>
  </mc:AlternateContent>
  <xr:revisionPtr revIDLastSave="0" documentId="13_ncr:1_{AC189416-377B-4A8A-BA68-335EC95F031E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표지" sheetId="1" r:id="rId1"/>
    <sheet name="기성 내역서" sheetId="2" r:id="rId2"/>
    <sheet name="총괄표" sheetId="3" r:id="rId3"/>
    <sheet name="GeoNURIS for KRAS 1.0 유지관리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a">BlankMacro1</definedName>
    <definedName name="aaa">BlankMacro1</definedName>
    <definedName name="ab">#REF!</definedName>
    <definedName name="asb">[1]노임단가!$Q$23</definedName>
    <definedName name="ash">[1]노임단가!$Q$19</definedName>
    <definedName name="asm">[1]노임단가!$Q$21</definedName>
    <definedName name="atb">[1]노임단가!$Q$17</definedName>
    <definedName name="ath">[1]노임단가!$Q$13</definedName>
    <definedName name="atm">[1]노임단가!$Q$15</definedName>
    <definedName name="atp">[1]노임단가!$Q$9</definedName>
    <definedName name="ats">[1]노임단가!$Q$11</definedName>
    <definedName name="b" localSheetId="0">#REF!</definedName>
    <definedName name="b">#REF!</definedName>
    <definedName name="BlankMacro1">#NAME?</definedName>
    <definedName name="CG">#REF!</definedName>
    <definedName name="CN">#REF!</definedName>
    <definedName name="cr________________040326_v2________">#REF!</definedName>
    <definedName name="csb">[1]노임단가!$I$23</definedName>
    <definedName name="csh">[1]노임단가!$I$19</definedName>
    <definedName name="csm">[2]노임단가!$I$21</definedName>
    <definedName name="ctb">[2]노임단가!$I$17</definedName>
    <definedName name="cth">[2]노임단가!$I$13</definedName>
    <definedName name="ctm">[2]노임단가!$I$15</definedName>
    <definedName name="ctp">[2]노임단가!$I$9</definedName>
    <definedName name="cts">[2]노임단가!$I$11</definedName>
    <definedName name="d">BlankMacro1</definedName>
    <definedName name="DB고급">#REF!</definedName>
    <definedName name="DB단순">#REF!</definedName>
    <definedName name="DB보통">#REF!</definedName>
    <definedName name="DB입력인일">#REF!</definedName>
    <definedName name="Digitizer댓수">#REF!</definedName>
    <definedName name="Digitizer비용">#REF!</definedName>
    <definedName name="DM">#REF!</definedName>
    <definedName name="dsb">[1]노임단가!$AD$23</definedName>
    <definedName name="dsh">[1]노임단가!$AD$19</definedName>
    <definedName name="dsm">[1]노임단가!$AD$21</definedName>
    <definedName name="esb">[1]노임단가!$M$23</definedName>
    <definedName name="esh">[1]노임단가!$M$19</definedName>
    <definedName name="esm">[1]노임단가!$M$21</definedName>
    <definedName name="etb">[1]노임단가!$M$17</definedName>
    <definedName name="eth">[1]노임단가!$M$13</definedName>
    <definedName name="etm">[1]노임단가!$M$15</definedName>
    <definedName name="ets">[1]노임단가!$M$11</definedName>
    <definedName name="GG">#REF!</definedName>
    <definedName name="gkdah">#REF!</definedName>
    <definedName name="GN">#REF!</definedName>
    <definedName name="hw비용">#REF!</definedName>
    <definedName name="iss_option">#REF!</definedName>
    <definedName name="iss_pn">#REF!</definedName>
    <definedName name="JG">#REF!</definedName>
    <definedName name="JN">#REF!</definedName>
    <definedName name="lab">[1]노임단가!$I$25</definedName>
    <definedName name="MDL">[3]Sheet1!$A:$A</definedName>
    <definedName name="msb">[1]노임단가!$AH$23</definedName>
    <definedName name="msh">[1]노임단가!$AH$19</definedName>
    <definedName name="msm">[1]노임단가!$AH$21</definedName>
    <definedName name="OPTION_PN">#REF!</definedName>
    <definedName name="OPTION_TOTAL">#REF!</definedName>
    <definedName name="PCSW댓수">#REF!</definedName>
    <definedName name="PCSW비용">#REF!</definedName>
    <definedName name="PC대여비">#REF!</definedName>
    <definedName name="Plotter댓수">#REF!</definedName>
    <definedName name="Plotter비용">#REF!</definedName>
    <definedName name="PRINT" localSheetId="0">#REF!</definedName>
    <definedName name="PRINT">#REF!</definedName>
    <definedName name="Print_2">#REF!</definedName>
    <definedName name="Print_3">#REF!</definedName>
    <definedName name="Print_4">#REF!</definedName>
    <definedName name="_xlnm.Print_Area" localSheetId="3">'GeoNURIS for KRAS 1.0 유지관리'!$A$1:$O$5</definedName>
    <definedName name="_xlnm.Print_Area" localSheetId="2">총괄표!$A$1:$I$8</definedName>
    <definedName name="_xlnm.Print_Area" localSheetId="0">표지!$A$1:$J$14</definedName>
    <definedName name="_xlnm.Print_Titles" localSheetId="2">총괄표!$2:$2</definedName>
    <definedName name="Projects">#REF!</definedName>
    <definedName name="psb">[1]노임단가!$AL$23</definedName>
    <definedName name="psh">[1]노임단가!$AL$19</definedName>
    <definedName name="psm">[1]노임단가!$AL$21</definedName>
    <definedName name="RasGantt">#REF!</definedName>
    <definedName name="REF_6" localSheetId="0">#REF!</definedName>
    <definedName name="REF_6">#REF!</definedName>
    <definedName name="REF_F" localSheetId="0">#REF!</definedName>
    <definedName name="REF_F">#REF!</definedName>
    <definedName name="REF_G" localSheetId="0">#REF!</definedName>
    <definedName name="REF_G">#REF!</definedName>
    <definedName name="REF_H" localSheetId="0">#REF!</definedName>
    <definedName name="REF_H">#REF!</definedName>
    <definedName name="REF_J" localSheetId="0">#REF!</definedName>
    <definedName name="REF_J">#REF!</definedName>
    <definedName name="REF_L" localSheetId="0">#REF!</definedName>
    <definedName name="REF_L">#REF!</definedName>
    <definedName name="REF_O" localSheetId="0">#REF!</definedName>
    <definedName name="REF_O">#REF!</definedName>
    <definedName name="REF_Q" localSheetId="0">#REF!</definedName>
    <definedName name="REF_Q">#REF!</definedName>
    <definedName name="RNG">[3]Sheet1!$A:$D</definedName>
    <definedName name="sab">[1]노임단가!$Z$33</definedName>
    <definedName name="sah">[1]노임단가!$Z$29</definedName>
    <definedName name="sam">[1]노임단가!$Z$31</definedName>
    <definedName name="sas">[1]노임단가!$Z$27</definedName>
    <definedName name="SERVER">#REF!</definedName>
    <definedName name="SFR">#REF!</definedName>
    <definedName name="sido">#REF!</definedName>
    <definedName name="SM">#REF!</definedName>
    <definedName name="ssb">[1]노임단가!$Z$23</definedName>
    <definedName name="ssh">[1]노임단가!$Z$19</definedName>
    <definedName name="ssm">[1]노임단가!$Z$21</definedName>
    <definedName name="sss">#REF!</definedName>
    <definedName name="startA">#REF!</definedName>
    <definedName name="stb">[1]노임단가!$Z$17</definedName>
    <definedName name="stEg">#REF!</definedName>
    <definedName name="stEv">#REF!</definedName>
    <definedName name="sth">[1]노임단가!$Z$13</definedName>
    <definedName name="stJh">#REF!</definedName>
    <definedName name="stm">[1]노임단가!$Z$15</definedName>
    <definedName name="stMh">#REF!</definedName>
    <definedName name="stPe">#REF!</definedName>
    <definedName name="stTr">#REF!</definedName>
    <definedName name="SVR">#REF!</definedName>
    <definedName name="SVRAG">#REF!</definedName>
    <definedName name="SVRDESC">#REF!</definedName>
    <definedName name="swprice">NA()</definedName>
    <definedName name="SW개발기간">#REF!</definedName>
    <definedName name="SW개발사무실임대비">#REF!</definedName>
    <definedName name="SW개발상시인력">#REF!</definedName>
    <definedName name="sw비용">#REF!</definedName>
    <definedName name="SW직접인건비">#REF!</definedName>
    <definedName name="TG">#REF!</definedName>
    <definedName name="VA">#REF!</definedName>
    <definedName name="VB">#REF!</definedName>
    <definedName name="VC">#REF!</definedName>
    <definedName name="VD">#REF!</definedName>
    <definedName name="VE">#REF!</definedName>
    <definedName name="WS_PN">#REF!</definedName>
    <definedName name="WS_TOTAL">#REF!</definedName>
    <definedName name="가" localSheetId="0">#REF!</definedName>
    <definedName name="가">#REF!</definedName>
    <definedName name="가2" localSheetId="0">#REF!</definedName>
    <definedName name="가2">#REF!</definedName>
    <definedName name="가3" localSheetId="0">#REF!</definedName>
    <definedName name="가3">#REF!</definedName>
    <definedName name="가4" localSheetId="0">#REF!</definedName>
    <definedName name="가4">#REF!</definedName>
    <definedName name="가5" localSheetId="0">#REF!</definedName>
    <definedName name="가5">#REF!</definedName>
    <definedName name="가6" localSheetId="0">#REF!</definedName>
    <definedName name="가6">#REF!</definedName>
    <definedName name="가스구조일수">#REF!</definedName>
    <definedName name="가스구조일수1">#REF!</definedName>
    <definedName name="가스시설종수">#REF!</definedName>
    <definedName name="가스연장">#REF!</definedName>
    <definedName name="가스작업연장">#REF!</definedName>
    <definedName name="가스재구조일수">#REF!</definedName>
    <definedName name="가스재구조화비율">#REF!</definedName>
    <definedName name="가스정위치작업일수">#REF!</definedName>
    <definedName name="가스조사연장">#REF!</definedName>
    <definedName name="가중치">#REF!</definedName>
    <definedName name="간지" localSheetId="0">BlankMacro1</definedName>
    <definedName name="간지">BlankMacro1</definedName>
    <definedName name="간지2" localSheetId="0">BlankMacro1</definedName>
    <definedName name="간지2">BlankMacro1</definedName>
    <definedName name="간지5">BlankMacro1</definedName>
    <definedName name="개발공정">[4]setup!$Q$4:$Q$10</definedName>
    <definedName name="개발공정1">[5]setup!$Q$4:$Q$10</definedName>
    <definedName name="개발뱃치1">#REF!</definedName>
    <definedName name="개발실시간1">#REF!</definedName>
    <definedName name="개발언어">[6]setup!$T$4:$T$33</definedName>
    <definedName name="개발언어보정계수">[6]setup!$T$3:$U$33</definedName>
    <definedName name="개발온라인1">#REF!</definedName>
    <definedName name="개발원가">#REF!</definedName>
    <definedName name="건물비">#REF!</definedName>
    <definedName name="건축물등기수">#REF!</definedName>
    <definedName name="고급">#REF!</definedName>
    <definedName name="고급기능">#REF!</definedName>
    <definedName name="고급기능사노임">#REF!</definedName>
    <definedName name="고급기술">[7]심사물량!$C$4</definedName>
    <definedName name="고급기술자" localSheetId="0">[8]고시단가!$F$9</definedName>
    <definedName name="고급기술자">[8]고시단가!$F$9</definedName>
    <definedName name="고급기술자노임">#REF!</definedName>
    <definedName name="고급달">#REF!</definedName>
    <definedName name="고급도화">#REF!</definedName>
    <definedName name="고급엔지니어링">#REF!</definedName>
    <definedName name="고급여비">#REF!</definedName>
    <definedName name="고급임금">#REF!</definedName>
    <definedName name="고급지도제작">#REF!</definedName>
    <definedName name="고급측량">#REF!</definedName>
    <definedName name="고급항공사진">#REF!</definedName>
    <definedName name="고기" localSheetId="0">#REF!</definedName>
    <definedName name="고기">#REF!</definedName>
    <definedName name="고기달">#REF!</definedName>
    <definedName name="고능" localSheetId="0">#REF!</definedName>
    <definedName name="고능">#REF!</definedName>
    <definedName name="고용기준일">#REF!</definedName>
    <definedName name="공공근로사업비">#REF!</definedName>
    <definedName name="공단" localSheetId="0">#REF!</definedName>
    <definedName name="공단">#REF!</definedName>
    <definedName name="공보" localSheetId="0">#REF!</definedName>
    <definedName name="공보">#REF!</definedName>
    <definedName name="공전" localSheetId="0">#REF!</definedName>
    <definedName name="공전">#REF!</definedName>
    <definedName name="과업명">#REF!</definedName>
    <definedName name="관리인원비율">#REF!</definedName>
    <definedName name="교외지">[9]산출근거!$A$1</definedName>
    <definedName name="교외지비율">#REF!</definedName>
    <definedName name="구릉지비율">#REF!</definedName>
    <definedName name="구조작업량">#REF!</definedName>
    <definedName name="구조지형계수">#REF!</definedName>
    <definedName name="구조화일수">#REF!</definedName>
    <definedName name="구축비율">#REF!</definedName>
    <definedName name="구축비율2">#REF!</definedName>
    <definedName name="규모계수">#REF!</definedName>
    <definedName name="규모별보정계수">#REF!</definedName>
    <definedName name="규모보정계수">#REF!</definedName>
    <definedName name="근로자계수" localSheetId="0">#REF!</definedName>
    <definedName name="근로자계수">#REF!</definedName>
    <definedName name="금액" localSheetId="0">#REF!</definedName>
    <definedName name="금액">#REF!</definedName>
    <definedName name="기능수">#REF!</definedName>
    <definedName name="기본SW인건비">#REF!</definedName>
    <definedName name="기술료">#REF!</definedName>
    <definedName name="기술료율">[10]입력변수!$D$37</definedName>
    <definedName name="기술사">#REF!</definedName>
    <definedName name="기술사달">#REF!</definedName>
    <definedName name="기조">#REF!</definedName>
    <definedName name="기종계수">#REF!</definedName>
    <definedName name="기종별보정계수">#REF!</definedName>
    <definedName name="기초인건비">#REF!</definedName>
    <definedName name="기타구조일수">#REF!</definedName>
    <definedName name="기타정위치작업일수">#REF!</definedName>
    <definedName name="기타조사연장">#REF!</definedName>
    <definedName name="기타탐사연장">#REF!</definedName>
    <definedName name="ㄴ31">#REF!</definedName>
    <definedName name="ㄴㄴㄴ">#REF!</definedName>
    <definedName name="나" localSheetId="0">#REF!</definedName>
    <definedName name="나">#REF!</definedName>
    <definedName name="나2" localSheetId="0">#REF!</definedName>
    <definedName name="나2">#REF!</definedName>
    <definedName name="나3" localSheetId="0">#REF!</definedName>
    <definedName name="나3">#REF!</definedName>
    <definedName name="나4" localSheetId="0">#REF!</definedName>
    <definedName name="나4">#REF!</definedName>
    <definedName name="나5" localSheetId="0">#REF!</definedName>
    <definedName name="나5">#REF!</definedName>
    <definedName name="나6" localSheetId="0">#REF!</definedName>
    <definedName name="나6">#REF!</definedName>
    <definedName name="낙찰">#REF!</definedName>
    <definedName name="낙찰율">#REF!</definedName>
    <definedName name="난방구조일수">#REF!</definedName>
    <definedName name="난방정위치작업일수">#REF!</definedName>
    <definedName name="난방조사연장">#REF!</definedName>
    <definedName name="난방탐사연장">#REF!</definedName>
    <definedName name="노임단가1">#REF!</definedName>
    <definedName name="농경지비율">#REF!</definedName>
    <definedName name="다" localSheetId="0">#REF!</definedName>
    <definedName name="다">#REF!</definedName>
    <definedName name="다2" localSheetId="0">#REF!</definedName>
    <definedName name="다2">#REF!</definedName>
    <definedName name="다3" localSheetId="0">#REF!</definedName>
    <definedName name="다3">#REF!</definedName>
    <definedName name="다4" localSheetId="0">#REF!</definedName>
    <definedName name="다4">#REF!</definedName>
    <definedName name="다5" localSheetId="0">#REF!</definedName>
    <definedName name="다5">#REF!</definedName>
    <definedName name="다6" localSheetId="0">#REF!</definedName>
    <definedName name="다6">#REF!</definedName>
    <definedName name="단가합">#REF!</definedName>
    <definedName name="단순단가">#REF!</definedName>
    <definedName name="단순인력" localSheetId="0">#REF!</definedName>
    <definedName name="단순인력">#REF!</definedName>
    <definedName name="도로SW">#REF!</definedName>
    <definedName name="도로범용수정">#REF!</definedName>
    <definedName name="도로비">#REF!</definedName>
    <definedName name="도로소프트">#REF!</definedName>
    <definedName name="도로스텝당인건비">#REF!</definedName>
    <definedName name="도로연장" localSheetId="0">#REF!</definedName>
    <definedName name="도로연장">#REF!</definedName>
    <definedName name="도로작업연장">#REF!</definedName>
    <definedName name="도로정위치연장">#REF!</definedName>
    <definedName name="도로지형계수">#REF!</definedName>
    <definedName name="도면가격" localSheetId="0">#REF!</definedName>
    <definedName name="도면가격">#REF!</definedName>
    <definedName name="도면가격2" localSheetId="0">#REF!</definedName>
    <definedName name="도면가격2">#REF!</definedName>
    <definedName name="도면수" localSheetId="0">#REF!</definedName>
    <definedName name="도면수">#REF!</definedName>
    <definedName name="도면출력비용">#REF!</definedName>
    <definedName name="도면편집작업량">#REF!</definedName>
    <definedName name="도면편집지형계수">#REF!</definedName>
    <definedName name="도면편집지형증감계수">#REF!</definedName>
    <definedName name="도면편집축척별시간당작업량">#REF!</definedName>
    <definedName name="도시3급">#REF!</definedName>
    <definedName name="도시작업계수">#REF!</definedName>
    <definedName name="도시적용1">#REF!</definedName>
    <definedName name="도시적용2">#REF!</definedName>
    <definedName name="도시적용3">#REF!</definedName>
    <definedName name="도시적용4">#REF!</definedName>
    <definedName name="도시적용5">#REF!</definedName>
    <definedName name="도엽당단가">'[11]1000 DB구축 부표'!$C$7</definedName>
    <definedName name="도화고급" localSheetId="0">#REF!</definedName>
    <definedName name="도화고급">#REF!</definedName>
    <definedName name="도화기상각">#REF!</definedName>
    <definedName name="도화기정비">#REF!</definedName>
    <definedName name="도화중급" localSheetId="0">#REF!</definedName>
    <definedName name="도화중급">#REF!</definedName>
    <definedName name="도화증감계수">#REF!</definedName>
    <definedName name="도화지형증감계수">#REF!</definedName>
    <definedName name="도화초급" localSheetId="0">#REF!</definedName>
    <definedName name="도화초급">#REF!</definedName>
    <definedName name="도화축척별작업량">#REF!</definedName>
    <definedName name="라" localSheetId="0">#REF!</definedName>
    <definedName name="라">#REF!</definedName>
    <definedName name="라2" localSheetId="0">#REF!</definedName>
    <definedName name="라2">#REF!</definedName>
    <definedName name="라3" localSheetId="0">#REF!</definedName>
    <definedName name="라3">#REF!</definedName>
    <definedName name="라4" localSheetId="0">#REF!</definedName>
    <definedName name="라4">#REF!</definedName>
    <definedName name="라5" localSheetId="0">#REF!</definedName>
    <definedName name="라5">#REF!</definedName>
    <definedName name="라6" localSheetId="0">#REF!</definedName>
    <definedName name="라6">#REF!</definedName>
    <definedName name="레이어별작업비율">#REF!</definedName>
    <definedName name="ㅁ">BlankMacro1</definedName>
    <definedName name="ㅁㅁㅁ">BlankMacro1</definedName>
    <definedName name="마">[12]재정비직인!$J$43</definedName>
    <definedName name="매당가격" localSheetId="0">#REF!</definedName>
    <definedName name="매당가격">#REF!</definedName>
    <definedName name="맷수" localSheetId="0">#REF!</definedName>
    <definedName name="맷수">#REF!</definedName>
    <definedName name="면적" localSheetId="0">#REF!</definedName>
    <definedName name="면적">#REF!</definedName>
    <definedName name="면적비">#REF!</definedName>
    <definedName name="명당평수">#REF!</definedName>
    <definedName name="모자이크">#REF!</definedName>
    <definedName name="바">[12]재정비직인!$J$51</definedName>
    <definedName name="발주처">#REF!</definedName>
    <definedName name="범용기본">#REF!</definedName>
    <definedName name="범용도로">#REF!</definedName>
    <definedName name="범용도입">#REF!</definedName>
    <definedName name="범용도입비">#REF!</definedName>
    <definedName name="범용상수">#REF!</definedName>
    <definedName name="범용스텝당인건비">#REF!</definedName>
    <definedName name="범용추가">#REF!</definedName>
    <definedName name="범용커스터마이징">BlankMacro1</definedName>
    <definedName name="범용하수">#REF!</definedName>
    <definedName name="보정계수1">#REF!</definedName>
    <definedName name="보정계수2">#REF!</definedName>
    <definedName name="보정계수3">#REF!</definedName>
    <definedName name="보정계수4">#REF!</definedName>
    <definedName name="보정계수5">#REF!</definedName>
    <definedName name="보통단가">#REF!</definedName>
    <definedName name="보통인력" localSheetId="0">#REF!</definedName>
    <definedName name="보통인력">#REF!</definedName>
    <definedName name="보통인력개발인건비">#REF!</definedName>
    <definedName name="보통인부">#REF!</definedName>
    <definedName name="보통인부노임">[13]일위대가표지!$G$43</definedName>
    <definedName name="보험료" localSheetId="0">#REF!</definedName>
    <definedName name="보험료">#REF!</definedName>
    <definedName name="보험료율">#REF!</definedName>
    <definedName name="사">[12]재정비직인!$J$59</definedName>
    <definedName name="사업기간">#REF!</definedName>
    <definedName name="사업자관리비">#REF!</definedName>
    <definedName name="사업자상수도인건비">#REF!</definedName>
    <definedName name="사업자인건비용">#REF!</definedName>
    <definedName name="사업자인건비할인율">#REF!</definedName>
    <definedName name="사업자인력관리비">#REF!</definedName>
    <definedName name="사업자입력인건비">#REF!</definedName>
    <definedName name="사업자하수도인건비">#REF!</definedName>
    <definedName name="사전">#REF!</definedName>
    <definedName name="사진매수">#REF!</definedName>
    <definedName name="사진표정">#REF!</definedName>
    <definedName name="사차보완">[14]수량산출!$A$1</definedName>
    <definedName name="사차사급">[14]수량산출!$A$1</definedName>
    <definedName name="사차일급">[14]수량산출!$A$1</definedName>
    <definedName name="산악지비율">#REF!</definedName>
    <definedName name="삼차보완">[14]수량산출!$V$22</definedName>
    <definedName name="삼차사급">[14]수량산출!$A$1</definedName>
    <definedName name="삼차심사">#REF!</definedName>
    <definedName name="삼차일급">[14]수량산출!$V$22</definedName>
    <definedName name="상각비" localSheetId="0">#REF!</definedName>
    <definedName name="상각비">#REF!</definedName>
    <definedName name="상세요구">#REF!</definedName>
    <definedName name="상수SW">#REF!</definedName>
    <definedName name="상수구조일수">#REF!</definedName>
    <definedName name="상수도시설계수">#REF!</definedName>
    <definedName name="상수도연장">#REF!</definedName>
    <definedName name="상수도인일">#REF!</definedName>
    <definedName name="상수소프트">#REF!</definedName>
    <definedName name="상수연장">#REF!</definedName>
    <definedName name="상수작업연장">#REF!</definedName>
    <definedName name="상수적용율">#REF!</definedName>
    <definedName name="상수조사">BlankMacro1</definedName>
    <definedName name="상수지형계수">#REF!</definedName>
    <definedName name="상하수범용수정">#REF!</definedName>
    <definedName name="선진업체">[15]DB구축!$A$1</definedName>
    <definedName name="설계">#REF!</definedName>
    <definedName name="성과심사비">#REF!</definedName>
    <definedName name="성과심사비율">#REF!</definedName>
    <definedName name="성과총괄">#REF!</definedName>
    <definedName name="소요매수" localSheetId="0">#REF!</definedName>
    <definedName name="소요매수">#REF!</definedName>
    <definedName name="소용매수" localSheetId="0">#REF!</definedName>
    <definedName name="소용매수">#REF!</definedName>
    <definedName name="소프트웨어">#REF!</definedName>
    <definedName name="소프트웨어개발인일">#REF!</definedName>
    <definedName name="속고기" localSheetId="0">#REF!</definedName>
    <definedName name="속고기">#REF!</definedName>
    <definedName name="속성파일작성비용">#REF!</definedName>
    <definedName name="속중기" localSheetId="0">#REF!</definedName>
    <definedName name="속중기">#REF!</definedName>
    <definedName name="속중능" localSheetId="0">#REF!</definedName>
    <definedName name="속중능">#REF!</definedName>
    <definedName name="속초기" localSheetId="0">#REF!</definedName>
    <definedName name="속초기">#REF!</definedName>
    <definedName name="송유구조일수">#REF!</definedName>
    <definedName name="송유정위치작업일수">#REF!</definedName>
    <definedName name="송유조사연장">#REF!</definedName>
    <definedName name="송유탐사연장">#REF!</definedName>
    <definedName name="수동레이어">#REF!</definedName>
    <definedName name="수동물수">#REF!</definedName>
    <definedName name="수동일수">#REF!</definedName>
    <definedName name="수동지형계수">#REF!</definedName>
    <definedName name="수정도화비율">#REF!</definedName>
    <definedName name="수정도화지형증감계수">#REF!</definedName>
    <definedName name="수정도화축척별작업량">#REF!</definedName>
    <definedName name="스텝">#REF!</definedName>
    <definedName name="스텝당인건비">#REF!</definedName>
    <definedName name="시가지">[9]산출근거!$A$1</definedName>
    <definedName name="시가지비율">#REF!</definedName>
    <definedName name="시설구조일수">#REF!</definedName>
    <definedName name="시설정위치지형계수">#REF!</definedName>
    <definedName name="시설종류수">#REF!</definedName>
    <definedName name="시설종수">#REF!</definedName>
    <definedName name="시험굴착">BlankMacro1</definedName>
    <definedName name="시험설치">#REF!</definedName>
    <definedName name="실업보통인력비율">#REF!</definedName>
    <definedName name="실업인건계수">#REF!</definedName>
    <definedName name="실업인력비율">#REF!</definedName>
    <definedName name="실업인력인일">#REF!</definedName>
    <definedName name="실업자상수도인건비">#REF!</definedName>
    <definedName name="실업자인건비">#REF!</definedName>
    <definedName name="실업자입력인건비">#REF!</definedName>
    <definedName name="실업자하수도인건비">#REF!</definedName>
    <definedName name="실업전문인력비율">#REF!</definedName>
    <definedName name="ㅇ">BlankMacro1</definedName>
    <definedName name="ㅇㅇ">BlankMacro1</definedName>
    <definedName name="ㅇㅇㅇ">BlankMacro1</definedName>
    <definedName name="ㅇㅇㅇㅇ">BlankMacro1</definedName>
    <definedName name="ㅇㅇㅇㅇㅇ">BlankMacro1</definedName>
    <definedName name="ㅇㅇㅇㅇㅇㅇ">BlankMacro1</definedName>
    <definedName name="ㅇㅇㅇㅇㅇㅇㅇ">BlankMacro1</definedName>
    <definedName name="ㅇㅇㅇㅇㅇㅇㅇㅇ">BlankMacro1</definedName>
    <definedName name="ㅇㅇㅇㅇㅇㅇㅇㅇㅇ">BlankMacro1</definedName>
    <definedName name="어플리케이션명">[4]setup!$A$1</definedName>
    <definedName name="어플리케이션보정계수업무처리용">'[16]2.어플리케이션보정계수'!$C$4</definedName>
    <definedName name="어플리케이션유형">[6]setup!$Q$16:$Q$23</definedName>
    <definedName name="언어보정계수">#REF!</definedName>
    <definedName name="언어보정인건비">#REF!</definedName>
    <definedName name="업체SW개발비">#REF!</definedName>
    <definedName name="업체인력비율">#REF!</definedName>
    <definedName name="연장" localSheetId="0">#REF!</definedName>
    <definedName name="연장">#REF!</definedName>
    <definedName name="용지단가" localSheetId="0">#REF!</definedName>
    <definedName name="용지단가">#REF!</definedName>
    <definedName name="용지수량" localSheetId="0">#REF!</definedName>
    <definedName name="용지수량">#REF!</definedName>
    <definedName name="월당일수">#REF!</definedName>
    <definedName name="응용SW인건비">#REF!</definedName>
    <definedName name="이차기계비">#REF!</definedName>
    <definedName name="이차보완">[14]수량산출!$A$1</definedName>
    <definedName name="이차사급">[14]수량산출!$A$1</definedName>
    <definedName name="이차심사">#REF!</definedName>
    <definedName name="이차여비">#REF!</definedName>
    <definedName name="이차일급">[14]수량산출!$A$1</definedName>
    <definedName name="이차현지검측">#REF!</definedName>
    <definedName name="인건비" localSheetId="0">#REF!</definedName>
    <definedName name="인건비">#REF!</definedName>
    <definedName name="인구">#REF!</definedName>
    <definedName name="인력">#REF!</definedName>
    <definedName name="인력2">#REF!</definedName>
    <definedName name="인력3">#REF!</definedName>
    <definedName name="인력관리" localSheetId="0">#REF!</definedName>
    <definedName name="인력관리">#REF!</definedName>
    <definedName name="인력관리비">#REF!</definedName>
    <definedName name="인력수" localSheetId="0">#REF!</definedName>
    <definedName name="인력수">#REF!</definedName>
    <definedName name="인부" localSheetId="0">#REF!</definedName>
    <definedName name="인부">#REF!</definedName>
    <definedName name="인부1">[7]심사물량!$C$9</definedName>
    <definedName name="인쇄량" localSheetId="0">#REF!</definedName>
    <definedName name="인쇄량">#REF!</definedName>
    <definedName name="인쇄비" localSheetId="0">#REF!</definedName>
    <definedName name="인쇄비">#REF!</definedName>
    <definedName name="인쇄수량" localSheetId="0">#REF!</definedName>
    <definedName name="인쇄수량">#REF!</definedName>
    <definedName name="인터넷">#REF!</definedName>
    <definedName name="인트라넷">#REF!</definedName>
    <definedName name="인화">#REF!</definedName>
    <definedName name="일차기계비">#REF!</definedName>
    <definedName name="일차보완">[14]수량산출!$A$1</definedName>
    <definedName name="일차사급">[14]수량산출!$A$1</definedName>
    <definedName name="일차심사">#REF!</definedName>
    <definedName name="일차여비">#REF!</definedName>
    <definedName name="일차일급">[14]수량산출!$A$1</definedName>
    <definedName name="일차현지검측">#REF!</definedName>
    <definedName name="일출력" localSheetId="0">#REF!</definedName>
    <definedName name="일출력">#REF!</definedName>
    <definedName name="임대면적" localSheetId="0">#REF!</definedName>
    <definedName name="임대면적">#REF!</definedName>
    <definedName name="임대비" localSheetId="0">#REF!</definedName>
    <definedName name="임대비">#REF!</definedName>
    <definedName name="입력기간">#REF!</definedName>
    <definedName name="입력레이어">#REF!</definedName>
    <definedName name="입력물수">#REF!</definedName>
    <definedName name="입력일수">#REF!</definedName>
    <definedName name="입력작업량">#REF!</definedName>
    <definedName name="입력지형계수">#REF!</definedName>
    <definedName name="잉크가격" localSheetId="0">#REF!</definedName>
    <definedName name="잉크가격">#REF!</definedName>
    <definedName name="잉크단가" localSheetId="0">#REF!</definedName>
    <definedName name="잉크단가">#REF!</definedName>
    <definedName name="ㅈㄴㅇㄴ">BlankMacro1</definedName>
    <definedName name="ㅈㅇㄴ">BlankMacro1</definedName>
    <definedName name="작업계수">#REF!</definedName>
    <definedName name="작업관리">#REF!</definedName>
    <definedName name="작업량증감계수">#REF!</definedName>
    <definedName name="재구조화비율">#REF!</definedName>
    <definedName name="재단">#REF!</definedName>
    <definedName name="재료비">#REF!</definedName>
    <definedName name="재정비">[12]재정비내역!$F$20</definedName>
    <definedName name="적용1">#REF!</definedName>
    <definedName name="적용2">#REF!</definedName>
    <definedName name="적용3">#REF!</definedName>
    <definedName name="적용4">#REF!</definedName>
    <definedName name="적용5">#REF!</definedName>
    <definedName name="전력구조일수">#REF!</definedName>
    <definedName name="전력재구조일수">#REF!</definedName>
    <definedName name="전력정위치작업일수">#REF!</definedName>
    <definedName name="전력조사연장">#REF!</definedName>
    <definedName name="전력탐사연장">#REF!</definedName>
    <definedName name="전문단가">#REF!</definedName>
    <definedName name="전문인력" localSheetId="0">#REF!</definedName>
    <definedName name="전문인력">#REF!</definedName>
    <definedName name="전문인력개발인건비">#REF!</definedName>
    <definedName name="절사">#REF!</definedName>
    <definedName name="정리">#REF!</definedName>
    <definedName name="정보1급">#REF!</definedName>
    <definedName name="정보처리1급" localSheetId="0">#REF!</definedName>
    <definedName name="정보처리1급">#REF!</definedName>
    <definedName name="정비비" localSheetId="0">#REF!</definedName>
    <definedName name="정비비">#REF!</definedName>
    <definedName name="정비사" localSheetId="0">#REF!</definedName>
    <definedName name="정비사">#REF!</definedName>
    <definedName name="정위치시간당작업량">#REF!</definedName>
    <definedName name="정위치작업계수">#REF!</definedName>
    <definedName name="정위치작업량">#REF!</definedName>
    <definedName name="정위치작업일수">#REF!</definedName>
    <definedName name="정위치지형계수">#REF!</definedName>
    <definedName name="정위치편집작업증감계수">#REF!</definedName>
    <definedName name="정위치편집지형증감계수">#REF!</definedName>
    <definedName name="정위치편집축척별시간당작업량">#REF!</definedName>
    <definedName name="제경비">#REF!</definedName>
    <definedName name="제경비율">[10]입력변수!$D$36</definedName>
    <definedName name="제조">#REF!</definedName>
    <definedName name="조사탐사기간">#REF!</definedName>
    <definedName name="조종사" localSheetId="0">#REF!</definedName>
    <definedName name="조종사">#REF!</definedName>
    <definedName name="중급">#REF!</definedName>
    <definedName name="중급기능">#REF!</definedName>
    <definedName name="중급기능사">#REF!</definedName>
    <definedName name="중급기능사노임">#REF!</definedName>
    <definedName name="중급기술">[7]심사물량!$C$6</definedName>
    <definedName name="중급기술자" localSheetId="0">[8]고시단가!$F$10</definedName>
    <definedName name="중급기술자">[8]고시단가!$F$10</definedName>
    <definedName name="중급기술자노임">#REF!</definedName>
    <definedName name="중급달">#REF!</definedName>
    <definedName name="중급도화">#REF!</definedName>
    <definedName name="중급엔지니어링">#REF!</definedName>
    <definedName name="중급여비">#REF!</definedName>
    <definedName name="중급임금">#REF!</definedName>
    <definedName name="중급지도제작">#REF!</definedName>
    <definedName name="중급측량">#REF!</definedName>
    <definedName name="중급항공사진">#REF!</definedName>
    <definedName name="중기" localSheetId="0">#REF!</definedName>
    <definedName name="중기">#REF!</definedName>
    <definedName name="중기달">#REF!</definedName>
    <definedName name="중능" localSheetId="0">#REF!</definedName>
    <definedName name="중능">#REF!</definedName>
    <definedName name="증감계수">#REF!</definedName>
    <definedName name="지고능" localSheetId="0">#REF!</definedName>
    <definedName name="지고능">#REF!</definedName>
    <definedName name="지도제작고급" localSheetId="0">#REF!</definedName>
    <definedName name="지도제작고급">#REF!</definedName>
    <definedName name="지도제작중급" localSheetId="0">#REF!</definedName>
    <definedName name="지도제작중급">#REF!</definedName>
    <definedName name="지도제작초급" localSheetId="0">#REF!</definedName>
    <definedName name="지도제작초급">#REF!</definedName>
    <definedName name="지리조사지형증감계수">#REF!</definedName>
    <definedName name="지리조사축척계수">#REF!</definedName>
    <definedName name="지역난방재구조일수">#REF!</definedName>
    <definedName name="지역난방재구조화비율">#REF!</definedName>
    <definedName name="지적고시">[12]지적고시내역!$F$16</definedName>
    <definedName name="지적도입력지형증감계수">#REF!</definedName>
    <definedName name="지적도입력축척계수">#REF!</definedName>
    <definedName name="지중능" localSheetId="0">#REF!</definedName>
    <definedName name="지중능">#REF!</definedName>
    <definedName name="지초능" localSheetId="0">#REF!</definedName>
    <definedName name="지초능">#REF!</definedName>
    <definedName name="지형구조작업량">#REF!</definedName>
    <definedName name="지형구조지형계수">#REF!</definedName>
    <definedName name="지형증감계수">#REF!</definedName>
    <definedName name="직접경비">#REF!</definedName>
    <definedName name="직접경비총액">#REF!</definedName>
    <definedName name="직접인건비">#REF!</definedName>
    <definedName name="초급" localSheetId="0">[17]노임단가!$A$1</definedName>
    <definedName name="초급">[17]노임단가!$A$1</definedName>
    <definedName name="초급1">#REF!</definedName>
    <definedName name="초급기능">#REF!</definedName>
    <definedName name="초급기능사">#REF!</definedName>
    <definedName name="초급기능사노임">#REF!</definedName>
    <definedName name="초급기술">[7]심사물량!$C$7</definedName>
    <definedName name="초급기술자" localSheetId="0">[8]고시단가!$F$11</definedName>
    <definedName name="초급기술자">[8]고시단가!$F$11</definedName>
    <definedName name="초급기술자노임">#REF!</definedName>
    <definedName name="초급달">#REF!</definedName>
    <definedName name="초급도화">#REF!</definedName>
    <definedName name="초급엔지니어링" localSheetId="0">#REF!</definedName>
    <definedName name="초급엔지니어링">#REF!</definedName>
    <definedName name="초급지도제작">#REF!</definedName>
    <definedName name="초급측량" localSheetId="0">[8]고시단가!$F$14</definedName>
    <definedName name="초급측량">[8]고시단가!$F$14</definedName>
    <definedName name="초급항공사진">#REF!</definedName>
    <definedName name="초기" localSheetId="0">#REF!</definedName>
    <definedName name="초기">#REF!</definedName>
    <definedName name="초기달">#REF!</definedName>
    <definedName name="초능" localSheetId="0">#REF!</definedName>
    <definedName name="초능">#REF!</definedName>
    <definedName name="총괄기계비">#REF!</definedName>
    <definedName name="총괄심사">#REF!</definedName>
    <definedName name="총괄여비">#REF!</definedName>
    <definedName name="총괄현지검측">#REF!</definedName>
    <definedName name="총비용">#REF!</definedName>
    <definedName name="총스텝수">#REF!</definedName>
    <definedName name="총연장">#REF!</definedName>
    <definedName name="촬영기계경비">#REF!</definedName>
    <definedName name="촬영사" localSheetId="0">#REF!</definedName>
    <definedName name="촬영사">#REF!</definedName>
    <definedName name="추가SW인건비">#REF!</definedName>
    <definedName name="추갇개발비">[18]범용개발순소요비용!$A$1</definedName>
    <definedName name="축척작업량">#REF!</definedName>
    <definedName name="측고기" localSheetId="0">#REF!</definedName>
    <definedName name="측고기">#REF!</definedName>
    <definedName name="측량고급" localSheetId="0">#REF!</definedName>
    <definedName name="측량고급">#REF!</definedName>
    <definedName name="측량중급" localSheetId="0">#REF!</definedName>
    <definedName name="측량중급">#REF!</definedName>
    <definedName name="측량초급" localSheetId="0">#REF!</definedName>
    <definedName name="측량초급">#REF!</definedName>
    <definedName name="측부">#REF!</definedName>
    <definedName name="측중기" localSheetId="0">#REF!</definedName>
    <definedName name="측중기">#REF!</definedName>
    <definedName name="측초기" localSheetId="0">#REF!</definedName>
    <definedName name="측초기">#REF!</definedName>
    <definedName name="측특기" localSheetId="0">#REF!</definedName>
    <definedName name="측특기">#REF!</definedName>
    <definedName name="컨설팅비용">#REF!</definedName>
    <definedName name="콘크리트공">#REF!</definedName>
    <definedName name="탐사고급">#REF!</definedName>
    <definedName name="탐사보통">#REF!</definedName>
    <definedName name="탐사장비비">#REF!</definedName>
    <definedName name="탐사전문">#REF!</definedName>
    <definedName name="탐사중급">#REF!</definedName>
    <definedName name="탐지기댓수">#REF!</definedName>
    <definedName name="탐지기비용">#REF!</definedName>
    <definedName name="템_모듈1">BlankMacro1</definedName>
    <definedName name="템_모듈2">BlankMacro1</definedName>
    <definedName name="템_모듈3">BlankMacro1</definedName>
    <definedName name="템_모듈4">BlankMacro1</definedName>
    <definedName name="템_모듈5">BlankMacro1</definedName>
    <definedName name="템_모듈6">BlankMacro1</definedName>
    <definedName name="템플리트모듈1" localSheetId="0">BlankMacro1</definedName>
    <definedName name="템플리트모듈1">BlankMacro1</definedName>
    <definedName name="템플리트모듈120">BlankMacro1</definedName>
    <definedName name="템플리트모듈2" localSheetId="0">BlankMacro1</definedName>
    <definedName name="템플리트모듈2">BlankMacro1</definedName>
    <definedName name="템플리트모듈220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통신구조일수">#REF!</definedName>
    <definedName name="통신전력재구조일수">#REF!</definedName>
    <definedName name="통신전력재구조화비율">#REF!</definedName>
    <definedName name="통신정위치작업일수">#REF!</definedName>
    <definedName name="통신조사연장">#REF!</definedName>
    <definedName name="통신탐사연장">#REF!</definedName>
    <definedName name="특급">#REF!</definedName>
    <definedName name="특급기술자" localSheetId="0">[8]고시단가!$F$8</definedName>
    <definedName name="특급기술자">[8]고시단가!$F$8</definedName>
    <definedName name="특급기술자노임">#REF!</definedName>
    <definedName name="특급달">#REF!</definedName>
    <definedName name="특급엔지니어링">#REF!</definedName>
    <definedName name="특기" localSheetId="0">#REF!</definedName>
    <definedName name="특기">#REF!</definedName>
    <definedName name="특별인부">#REF!</definedName>
    <definedName name="평당단가">#REF!</definedName>
    <definedName name="평면">#REF!</definedName>
    <definedName name="평면부표">#REF!</definedName>
    <definedName name="평면작업계수">#REF!</definedName>
    <definedName name="평면작업량증감계수">#REF!</definedName>
    <definedName name="평면지형계수">#REF!</definedName>
    <definedName name="평면지형증감계수">#REF!</definedName>
    <definedName name="포설공">#REF!</definedName>
    <definedName name="포장공">#REF!</definedName>
    <definedName name="표고작업량증감계수">#REF!</definedName>
    <definedName name="표고지형증감계수">#REF!</definedName>
    <definedName name="표오고지형증감계수">#REF!</definedName>
    <definedName name="프로그램작성">#REF!</definedName>
    <definedName name="프린터대여비">#REF!</definedName>
    <definedName name="플로터상각">#REF!</definedName>
    <definedName name="플로터정비">#REF!</definedName>
    <definedName name="필지수">#REF!</definedName>
    <definedName name="하드웨어">#REF!</definedName>
    <definedName name="하수">BlankMacro1</definedName>
    <definedName name="하수SW">#REF!</definedName>
    <definedName name="하수구조일수">#REF!</definedName>
    <definedName name="하수도시설계수">#REF!</definedName>
    <definedName name="하수도연장">#REF!</definedName>
    <definedName name="하수도인일">#REF!</definedName>
    <definedName name="하수도조사탐사기간">#REF!</definedName>
    <definedName name="하수소프트">#REF!</definedName>
    <definedName name="하수연장">#REF!</definedName>
    <definedName name="하수적용율">#REF!</definedName>
    <definedName name="하수조사율">#REF!</definedName>
    <definedName name="하수지형계수">#REF!</definedName>
    <definedName name="항공사진고급" localSheetId="0">#REF!</definedName>
    <definedName name="항공사진고급">#REF!</definedName>
    <definedName name="항공사진중급" localSheetId="0">#REF!</definedName>
    <definedName name="항공사진중급">#REF!</definedName>
    <definedName name="항공사진초급" localSheetId="0">#REF!</definedName>
    <definedName name="항공사진초급">#REF!</definedName>
    <definedName name="항공정비사">#REF!</definedName>
    <definedName name="항목1">#REF!</definedName>
    <definedName name="항목10">#REF!</definedName>
    <definedName name="항목11">#REF!</definedName>
    <definedName name="항목12">#REF!</definedName>
    <definedName name="항목13">#REF!</definedName>
    <definedName name="항목14">#REF!</definedName>
    <definedName name="항목15">#REF!</definedName>
    <definedName name="항목16">#REF!</definedName>
    <definedName name="항목17">#REF!</definedName>
    <definedName name="항목18">#REF!</definedName>
    <definedName name="항목19">#REF!</definedName>
    <definedName name="항목2">#REF!</definedName>
    <definedName name="항목20">#REF!</definedName>
    <definedName name="항목3">#REF!</definedName>
    <definedName name="항목4">#REF!</definedName>
    <definedName name="항목5">#REF!</definedName>
    <definedName name="항목6">[19]지구단위계획!$T$15</definedName>
    <definedName name="항목7">#REF!</definedName>
    <definedName name="항목8">#REF!</definedName>
    <definedName name="항목9">#REF!</definedName>
    <definedName name="항법사" localSheetId="0">#REF!</definedName>
    <definedName name="항법사">#REF!</definedName>
    <definedName name="해석">BlankMacro1</definedName>
    <definedName name="현장지원">#REF!</definedName>
    <definedName name="형태계수">#REF!</definedName>
    <definedName name="형태별보정계수">#REF!</definedName>
    <definedName name="환율">#REF!</definedName>
    <definedName name="활석공">#REF!</definedName>
    <definedName name="ㅔ갸ㅜㅅ" localSheetId="0">#REF!</definedName>
    <definedName name="ㅔ갸ㅜㅅ">#REF!</definedName>
    <definedName name="ㅠ">BlankMacro1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18" i="2" l="1"/>
  <c r="G18" i="2"/>
  <c r="B18" i="2"/>
  <c r="E18" i="2"/>
  <c r="G8" i="3"/>
  <c r="G7" i="3"/>
  <c r="F8" i="3"/>
  <c r="H4" i="4"/>
  <c r="J4" i="4" s="1"/>
  <c r="L4" i="4" s="1"/>
  <c r="J14" i="2"/>
  <c r="H14" i="2"/>
  <c r="D4" i="3" l="1"/>
  <c r="F4" i="3" l="1"/>
  <c r="F5" i="3" s="1"/>
  <c r="G4" i="3" l="1"/>
  <c r="G5" i="3" s="1"/>
  <c r="G6" i="3" l="1"/>
  <c r="I14" i="2"/>
  <c r="H4" i="3"/>
  <c r="H5" i="3" s="1"/>
  <c r="F6" i="3"/>
  <c r="F7" i="3" s="1"/>
  <c r="E14" i="2"/>
  <c r="H6" i="3" l="1"/>
  <c r="H7" i="3" s="1"/>
  <c r="B14" i="2"/>
  <c r="B15" i="2" s="1"/>
  <c r="E15" i="2"/>
  <c r="G14" i="2"/>
  <c r="I15" i="2"/>
  <c r="I16" i="2" l="1"/>
  <c r="I17" i="2" s="1"/>
  <c r="G15" i="2"/>
  <c r="E16" i="2"/>
  <c r="E17" i="2" s="1"/>
  <c r="B16" i="2"/>
  <c r="B17" i="2" s="1"/>
  <c r="G16" i="2" l="1"/>
  <c r="G17" i="2" s="1"/>
  <c r="H8" i="3"/>
</calcChain>
</file>

<file path=xl/sharedStrings.xml><?xml version="1.0" encoding="utf-8"?>
<sst xmlns="http://schemas.openxmlformats.org/spreadsheetml/2006/main" count="70" uniqueCount="54">
  <si>
    <t>기성내역서</t>
  </si>
  <si>
    <t>기 성 내 역 서</t>
  </si>
  <si>
    <t>다. 선  금  금  액 : -</t>
  </si>
  <si>
    <t>라. 전회기성금액 : -</t>
  </si>
  <si>
    <t>마. 선급금 정산금액 : -</t>
  </si>
  <si>
    <t>아. 내     역(부가가치세 포함)</t>
  </si>
  <si>
    <t>구분</t>
  </si>
  <si>
    <t>도급액</t>
  </si>
  <si>
    <t>전회 기성부문</t>
  </si>
  <si>
    <t>금회 기성부문</t>
  </si>
  <si>
    <t>기성 누계</t>
  </si>
  <si>
    <t>준공금</t>
  </si>
  <si>
    <t>금액(원)</t>
  </si>
  <si>
    <t>비율(%)</t>
  </si>
  <si>
    <t>상용소프트웨어 유지관리</t>
  </si>
  <si>
    <t>소계</t>
  </si>
  <si>
    <t>부가가치세</t>
  </si>
  <si>
    <t>총합계</t>
  </si>
  <si>
    <t>총계</t>
  </si>
  <si>
    <t>-</t>
  </si>
  <si>
    <t>총        괄        표</t>
  </si>
  <si>
    <t>구 분</t>
  </si>
  <si>
    <t>산출내역</t>
  </si>
  <si>
    <t>직접인건비</t>
  </si>
  <si>
    <t>경비 및 재료비</t>
  </si>
  <si>
    <t>기성금(6개월)</t>
  </si>
  <si>
    <t>준공금(6개월)</t>
  </si>
  <si>
    <t>비  고</t>
  </si>
  <si>
    <t>1. 상용소프트웨어 유지관리</t>
  </si>
  <si>
    <t>1. 도 시 계 획 자 료 조 사</t>
  </si>
  <si>
    <t>GeoNURIS for KRAS 1.0</t>
  </si>
  <si>
    <t>합         계</t>
  </si>
  <si>
    <t>부   가   세</t>
  </si>
  <si>
    <t>총 용 역 비</t>
  </si>
  <si>
    <t>부동산종합공부시스템 국산 공간정보 SW 유지보수 용역 내역</t>
  </si>
  <si>
    <t>시  스  템  목  록</t>
  </si>
  <si>
    <t xml:space="preserve"> 구     분</t>
  </si>
  <si>
    <t>총   액
(VAT 포함)</t>
  </si>
  <si>
    <t>취득원가(원)
(VAT별도)</t>
  </si>
  <si>
    <t>요   율</t>
  </si>
  <si>
    <t>기성금</t>
  </si>
  <si>
    <t>장비설명</t>
  </si>
  <si>
    <t>기   간</t>
  </si>
  <si>
    <t>금   액
(VAT별도)</t>
  </si>
  <si>
    <t>GIS SW 유지관리</t>
  </si>
  <si>
    <t xml:space="preserve">*참고1. SW 유지관리 요율 - 부동산종합공부시스템 국산 공간정보 소프트웨어 유지보수 협약서 &lt;별표 1&gt; page </t>
  </si>
  <si>
    <t xml:space="preserve">      2026년도</t>
  </si>
  <si>
    <t>사. 수행기간: 2026.01~2026.12(12개월)</t>
  </si>
  <si>
    <t>양주시</t>
  </si>
  <si>
    <t>가. 용    역     명 : 2026년 부동산종합공부시스템 GeoNURIS for KRAS v1.0 유지보수 용역</t>
  </si>
  <si>
    <t>2026년 부동산종합공부시스템 GeoNURIS for KRAS v1.0 유지보수 용역</t>
    <phoneticPr fontId="69" type="noConversion"/>
  </si>
  <si>
    <t>연간 유지관리비</t>
    <phoneticPr fontId="69" type="noConversion"/>
  </si>
  <si>
    <t>바. 금회기성신청금액 : 금4,620,000원(금사백육십이만원)</t>
    <phoneticPr fontId="69" type="noConversion"/>
  </si>
  <si>
    <t>나. 계  약  금  액 : 금9,240,000원(금구백이십사만원)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</si>
</sst>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76" formatCode="\$#,##0_);[Red]&quot;($&quot;#,##0\)"/>
    <numFmt numFmtId="177" formatCode="0.0%;[Red]\△0.0%"/>
    <numFmt numFmtId="178" formatCode="_-* #,##0&quot;₩ &quot;_D_M_-;&quot;₩-&quot;* #,##0&quot;₩ &quot;_D_M_-;_-* &quot;-₩ &quot;_D_M_-;_-@_-"/>
    <numFmt numFmtId="179" formatCode="* #,##0.0"/>
    <numFmt numFmtId="180" formatCode="#,##0.00000"/>
    <numFmt numFmtId="181" formatCode="_ * #,##0_ ;_ * &quot;₩-&quot;#,##0_ ;_ * \-??_ ;_ @_ "/>
    <numFmt numFmtId="182" formatCode="0.00000000"/>
    <numFmt numFmtId="183" formatCode="_-* #,##0_-;\-* #,##0_-;_-* \-_-;_-@_-"/>
    <numFmt numFmtId="184" formatCode="\$#,##0.00000_);&quot;($&quot;#,##0.00000\)"/>
    <numFmt numFmtId="185" formatCode="_(* #,##0.0_);_(* \(#,##0.0\);_(* \-??_);_(@_)"/>
    <numFmt numFmtId="186" formatCode="_ * #,##0.00_ ;_ * \-#,##0.00_ ;_ * \-??_ ;_ @_ "/>
    <numFmt numFmtId="187" formatCode="_ * #,##0_ ;_ * &quot;₩₩₩-&quot;#,##0_ ;_ * \-_ ;_ @_ "/>
    <numFmt numFmtId="188" formatCode="0.00000"/>
    <numFmt numFmtId="189" formatCode="0.00\K"/>
    <numFmt numFmtId="190" formatCode="\₩#,##0.00;&quot;₩₩-&quot;#,##0.00"/>
    <numFmt numFmtId="191" formatCode="\₩#,##0.00;&quot;₩-&quot;#,##0.00"/>
    <numFmt numFmtId="192" formatCode="[$-412]yyyy\-mm\-dd"/>
    <numFmt numFmtId="193" formatCode="_-* #,##0\ _D_M_-;\-* #,##0\ _D_M_-;_-* &quot;- &quot;_D_M_-;_-@_-"/>
    <numFmt numFmtId="194" formatCode="_-* #,##0.00\ _D_M_-;\-* #,##0.00\ _D_M_-;_-* \-??\ _D_M_-;_-@_-"/>
    <numFmt numFmtId="195" formatCode="0.0%_);\(0.0%\)"/>
    <numFmt numFmtId="196" formatCode="yy\₩/mm\₩/dd"/>
    <numFmt numFmtId="197" formatCode="0.00000%"/>
    <numFmt numFmtId="198" formatCode="\₩#,##0;[Red]&quot;₩-&quot;#,##0"/>
    <numFmt numFmtId="199" formatCode="###,###,"/>
    <numFmt numFmtId="200" formatCode="#,##0_ "/>
    <numFmt numFmtId="201" formatCode="_-* #,##0.00_-;\-* #,##0.00_-;_-* \-??_-;_-@_-"/>
    <numFmt numFmtId="202" formatCode="\₩#,##0;&quot;₩-&quot;#,##0"/>
    <numFmt numFmtId="203" formatCode="_ \₩* #,##0.0000000_ ;_ \₩* &quot;₩-&quot;#,##0.0000000_ ;_ \₩* \-??_ ;_ @_ "/>
    <numFmt numFmtId="204" formatCode="\$#,##0_);&quot;($&quot;#,##0\)"/>
    <numFmt numFmtId="205" formatCode="#,##0;[Red]\△#,##0"/>
    <numFmt numFmtId="206" formatCode="_ * #,##0.000000_ ;_ * &quot;₩-&quot;#,##0.000000_ ;_ * \-??_ ;_ @_ "/>
    <numFmt numFmtId="207" formatCode="#,##0.0"/>
    <numFmt numFmtId="208" formatCode="_-* #,##0&quot; DM&quot;_-;\-* #,##0&quot; DM&quot;_-;_-* &quot;- DM&quot;_-;_-@_-"/>
    <numFmt numFmtId="209" formatCode="_-* #,##0.00&quot; DM&quot;_-;\-* #,##0.00&quot; DM&quot;_-;_-* \-??&quot; DM&quot;_-;_-@_-"/>
    <numFmt numFmtId="210" formatCode="\₩#,##0.00;[Red]&quot;₩-&quot;#,##0.00"/>
    <numFmt numFmtId="211" formatCode="_-\$* #,##0_-;&quot;-$&quot;* #,##0_-;_-\$* \-_-;_-@_-"/>
    <numFmt numFmtId="212" formatCode="_ * #,##0_ ;_ * \-#,##0_ ;_ * \-_ ;_ @_ "/>
    <numFmt numFmtId="213" formatCode="_-\₩* #,##0_-;&quot;-₩&quot;* #,##0_-;_-\₩* \-_-;_-@_-"/>
    <numFmt numFmtId="214" formatCode="\₩#,##0;&quot;-₩&quot;#,##0"/>
    <numFmt numFmtId="215" formatCode="[DBNum4][$-412]General&quot;   원정&quot;"/>
    <numFmt numFmtId="216" formatCode="&quot;( ₩&quot;#,##0&quot;   &quot;\)"/>
    <numFmt numFmtId="217" formatCode="0.0%"/>
    <numFmt numFmtId="218" formatCode="_-* #,##0.0_-;\-* #,##0.0_-;_-* \-?_-;_-@_-"/>
    <numFmt numFmtId="219" formatCode="#,##0_);[Red]\(#,##0\)"/>
    <numFmt numFmtId="220" formatCode="_-* #,##0.000000_-;\-* #,##0.000000_-;_-* \-_-;_-@_-"/>
    <numFmt numFmtId="221" formatCode="_-* #,##0.00_-;\-* #,##0.00_-;_-* \-_-;_-@_-"/>
    <numFmt numFmtId="222" formatCode="0&quot; 개월&quot;"/>
    <numFmt numFmtId="223" formatCode="0\ &quot;개월&quot;"/>
  </numFmts>
  <fonts count="70">
    <font>
      <sz val="11"/>
      <name val="돋움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2"/>
      <name val="바탕체"/>
      <family val="1"/>
      <charset val="129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color rgb="FF000000"/>
      <name val="돋움"/>
      <family val="3"/>
      <charset val="129"/>
    </font>
    <font>
      <b/>
      <sz val="10"/>
      <name val="Arial"/>
      <family val="2"/>
    </font>
    <font>
      <sz val="1"/>
      <color rgb="FF000000"/>
      <name val="돋움"/>
      <family val="3"/>
      <charset val="129"/>
    </font>
    <font>
      <sz val="1"/>
      <color rgb="FF000000"/>
      <name val="Courier New"/>
      <family val="3"/>
    </font>
    <font>
      <sz val="10"/>
      <name val="MS Serif"/>
      <family val="1"/>
    </font>
    <font>
      <sz val="10"/>
      <name val="Times New Roman"/>
      <family val="1"/>
    </font>
    <font>
      <sz val="12"/>
      <color rgb="FF000000"/>
      <name val="돋움"/>
      <family val="3"/>
      <charset val="129"/>
    </font>
    <font>
      <sz val="10"/>
      <color rgb="FF800000"/>
      <name val="돋움"/>
      <family val="3"/>
      <charset val="129"/>
    </font>
    <font>
      <sz val="10"/>
      <color rgb="FF800000"/>
      <name val="MS Serif"/>
      <family val="1"/>
    </font>
    <font>
      <sz val="8"/>
      <color rgb="FF000000"/>
      <name val="Arial"/>
      <family val="2"/>
    </font>
    <font>
      <sz val="8"/>
      <name val="Arial"/>
      <family val="2"/>
    </font>
    <font>
      <b/>
      <sz val="12"/>
      <color rgb="FF000000"/>
      <name val="돋움"/>
      <family val="3"/>
      <charset val="129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8"/>
      <name val="Arial"/>
      <family val="2"/>
    </font>
    <font>
      <u/>
      <sz val="8"/>
      <color rgb="FF0000FF"/>
      <name val="Times New Roman"/>
      <family val="1"/>
    </font>
    <font>
      <b/>
      <sz val="11"/>
      <color rgb="FF000000"/>
      <name val="돋움"/>
      <family val="3"/>
      <charset val="129"/>
    </font>
    <font>
      <b/>
      <sz val="11"/>
      <name val="Arial"/>
      <family val="2"/>
    </font>
    <font>
      <sz val="7"/>
      <color rgb="FF000000"/>
      <name val="돋움"/>
      <family val="3"/>
      <charset val="129"/>
    </font>
    <font>
      <sz val="7"/>
      <name val="Small Fonts"/>
      <family val="2"/>
    </font>
    <font>
      <b/>
      <sz val="8"/>
      <color rgb="FF000000"/>
      <name val="돋움"/>
      <family val="3"/>
      <charset val="129"/>
    </font>
    <font>
      <b/>
      <sz val="8"/>
      <color rgb="FF000000"/>
      <name val="Arial"/>
      <family val="2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name val="명조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u/>
      <sz val="9.25"/>
      <color rgb="FF0000FF"/>
      <name val="돋움"/>
      <family val="3"/>
      <charset val="129"/>
    </font>
    <font>
      <b/>
      <sz val="16"/>
      <color rgb="FF000000"/>
      <name val="새굴림"/>
      <family val="1"/>
      <charset val="129"/>
    </font>
    <font>
      <sz val="15"/>
      <color rgb="FF000000"/>
      <name val="새굴림"/>
      <family val="1"/>
      <charset val="129"/>
    </font>
    <font>
      <b/>
      <sz val="14"/>
      <color rgb="FF000000"/>
      <name val="새굴림"/>
      <family val="1"/>
      <charset val="129"/>
    </font>
    <font>
      <sz val="18"/>
      <color rgb="FF000000"/>
      <name val="새굴림"/>
      <family val="1"/>
      <charset val="129"/>
    </font>
    <font>
      <b/>
      <sz val="15"/>
      <color rgb="FF000000"/>
      <name val="새굴림"/>
      <family val="1"/>
      <charset val="129"/>
    </font>
    <font>
      <b/>
      <sz val="20"/>
      <color rgb="FF000000"/>
      <name val="새굴림"/>
      <family val="1"/>
      <charset val="129"/>
    </font>
    <font>
      <sz val="30"/>
      <color rgb="FF000000"/>
      <name val="새굴림"/>
      <family val="1"/>
      <charset val="129"/>
    </font>
    <font>
      <b/>
      <sz val="18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8"/>
      <color rgb="FF000000"/>
      <name val="새굴림"/>
      <family val="1"/>
      <charset val="129"/>
    </font>
    <font>
      <b/>
      <sz val="36"/>
      <color rgb="FF000000"/>
      <name val="새굴림"/>
      <family val="1"/>
      <charset val="129"/>
    </font>
    <font>
      <b/>
      <sz val="16"/>
      <color rgb="FF0000FF"/>
      <name val="새굴림"/>
      <family val="1"/>
      <charset val="129"/>
    </font>
    <font>
      <sz val="16"/>
      <color rgb="FF000000"/>
      <name val="새굴림"/>
      <family val="1"/>
      <charset val="129"/>
    </font>
    <font>
      <b/>
      <sz val="18"/>
      <color rgb="FF0000FF"/>
      <name val="새굴림"/>
      <family val="1"/>
      <charset val="129"/>
    </font>
    <font>
      <sz val="10"/>
      <color rgb="FF000000"/>
      <name val="한컴바탕"/>
      <family val="1"/>
      <charset val="129"/>
    </font>
    <font>
      <b/>
      <u/>
      <sz val="22"/>
      <name val="맑은 고딕"/>
      <family val="3"/>
      <charset val="129"/>
    </font>
    <font>
      <sz val="15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24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2"/>
      <color rgb="FFFF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FFEF"/>
        <bgColor rgb="FF00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69696"/>
        <bgColor rgb="FF808080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67">
    <xf numFmtId="0" fontId="0" fillId="0" borderId="0"/>
    <xf numFmtId="183" fontId="68" fillId="0" borderId="0" applyBorder="0" applyAlignment="0" applyProtection="0"/>
    <xf numFmtId="9" fontId="68" fillId="0" borderId="0" applyBorder="0" applyAlignment="0" applyProtection="0"/>
    <xf numFmtId="0" fontId="1" fillId="0" borderId="0"/>
    <xf numFmtId="176" fontId="68" fillId="0" borderId="0" applyBorder="0" applyAlignment="0" applyProtection="0"/>
    <xf numFmtId="38" fontId="2" fillId="0" borderId="1">
      <alignment horizontal="right"/>
    </xf>
    <xf numFmtId="38" fontId="3" fillId="0" borderId="1">
      <alignment horizontal="right"/>
    </xf>
    <xf numFmtId="0" fontId="68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3" fillId="0" borderId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1" fillId="0" borderId="0"/>
    <xf numFmtId="0" fontId="6" fillId="0" borderId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177" fontId="68" fillId="0" borderId="0" applyBorder="0" applyAlignment="0"/>
    <xf numFmtId="177" fontId="68" fillId="0" borderId="0" applyBorder="0" applyAlignment="0"/>
    <xf numFmtId="0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9" fontId="68" fillId="0" borderId="0" applyBorder="0" applyAlignment="0"/>
    <xf numFmtId="179" fontId="68" fillId="0" borderId="0" applyBorder="0" applyAlignment="0"/>
    <xf numFmtId="179" fontId="68" fillId="0" borderId="0" applyBorder="0" applyAlignment="0"/>
    <xf numFmtId="180" fontId="68" fillId="0" borderId="0" applyBorder="0" applyAlignment="0"/>
    <xf numFmtId="180" fontId="68" fillId="0" borderId="0" applyBorder="0" applyAlignment="0"/>
    <xf numFmtId="180" fontId="68" fillId="0" borderId="0" applyBorder="0" applyAlignment="0"/>
    <xf numFmtId="181" fontId="68" fillId="0" borderId="0" applyBorder="0" applyAlignment="0"/>
    <xf numFmtId="181" fontId="68" fillId="0" borderId="0" applyBorder="0" applyAlignment="0"/>
    <xf numFmtId="181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0" fontId="7" fillId="0" borderId="0"/>
    <xf numFmtId="0" fontId="8" fillId="0" borderId="0"/>
    <xf numFmtId="4" fontId="9" fillId="0" borderId="0">
      <protection locked="0"/>
    </xf>
    <xf numFmtId="4" fontId="10" fillId="0" borderId="0">
      <protection locked="0"/>
    </xf>
    <xf numFmtId="177" fontId="68" fillId="0" borderId="0" applyBorder="0" applyAlignment="0" applyProtection="0"/>
    <xf numFmtId="177" fontId="68" fillId="0" borderId="0" applyBorder="0" applyAlignment="0" applyProtection="0"/>
    <xf numFmtId="177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4" fontId="68" fillId="0" borderId="0"/>
    <xf numFmtId="184" fontId="68" fillId="0" borderId="0"/>
    <xf numFmtId="185" fontId="68" fillId="0" borderId="0"/>
    <xf numFmtId="3" fontId="68" fillId="0" borderId="0" applyBorder="0" applyAlignment="0" applyProtection="0"/>
    <xf numFmtId="3" fontId="68" fillId="0" borderId="0" applyBorder="0" applyAlignment="0" applyProtection="0"/>
    <xf numFmtId="186" fontId="68" fillId="0" borderId="0" applyBorder="0" applyAlignment="0" applyProtection="0"/>
    <xf numFmtId="187" fontId="68" fillId="0" borderId="0" applyBorder="0" applyAlignment="0" applyProtection="0"/>
    <xf numFmtId="0" fontId="1" fillId="0" borderId="0" applyAlignment="0"/>
    <xf numFmtId="0" fontId="11" fillId="0" borderId="0" applyAlignment="0"/>
    <xf numFmtId="0" fontId="68" fillId="0" borderId="0" applyBorder="0" applyAlignment="0" applyProtection="0"/>
    <xf numFmtId="0" fontId="68" fillId="0" borderId="0" applyBorder="0" applyAlignment="0" applyProtection="0"/>
    <xf numFmtId="188" fontId="68" fillId="0" borderId="0">
      <protection locked="0"/>
    </xf>
    <xf numFmtId="188" fontId="68" fillId="0" borderId="0">
      <protection locked="0"/>
    </xf>
    <xf numFmtId="188" fontId="68" fillId="0" borderId="0">
      <protection locked="0"/>
    </xf>
    <xf numFmtId="188" fontId="68" fillId="0" borderId="0">
      <protection locked="0"/>
    </xf>
    <xf numFmtId="188" fontId="68" fillId="0" borderId="0">
      <protection locked="0"/>
    </xf>
    <xf numFmtId="178" fontId="68" fillId="0" borderId="0" applyBorder="0" applyAlignment="0" applyProtection="0"/>
    <xf numFmtId="178" fontId="68" fillId="0" borderId="0" applyBorder="0" applyAlignment="0" applyProtection="0"/>
    <xf numFmtId="178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186" fontId="68" fillId="0" borderId="0" applyBorder="0" applyAlignment="0" applyProtection="0"/>
    <xf numFmtId="186" fontId="68" fillId="0" borderId="0" applyBorder="0" applyAlignment="0" applyProtection="0"/>
    <xf numFmtId="186" fontId="68" fillId="0" borderId="0" applyBorder="0" applyAlignment="0" applyProtection="0"/>
    <xf numFmtId="189" fontId="68" fillId="0" borderId="0"/>
    <xf numFmtId="189" fontId="68" fillId="0" borderId="0"/>
    <xf numFmtId="0" fontId="12" fillId="0" borderId="0"/>
    <xf numFmtId="190" fontId="68" fillId="0" borderId="0" applyBorder="0" applyAlignment="0" applyProtection="0"/>
    <xf numFmtId="0" fontId="13" fillId="0" borderId="0"/>
    <xf numFmtId="0" fontId="13" fillId="0" borderId="0"/>
    <xf numFmtId="191" fontId="68" fillId="0" borderId="0">
      <protection locked="0"/>
    </xf>
    <xf numFmtId="191" fontId="68" fillId="0" borderId="0">
      <protection locked="0"/>
    </xf>
    <xf numFmtId="191" fontId="68" fillId="0" borderId="0">
      <protection locked="0"/>
    </xf>
    <xf numFmtId="192" fontId="4" fillId="0" borderId="0" applyBorder="0" applyAlignment="0"/>
    <xf numFmtId="191" fontId="68" fillId="0" borderId="0">
      <protection locked="0"/>
    </xf>
    <xf numFmtId="193" fontId="68" fillId="0" borderId="0" applyBorder="0" applyAlignment="0" applyProtection="0"/>
    <xf numFmtId="194" fontId="68" fillId="0" borderId="0" applyBorder="0" applyAlignment="0" applyProtection="0"/>
    <xf numFmtId="0" fontId="68" fillId="0" borderId="0" applyBorder="0" applyAlignment="0" applyProtection="0"/>
    <xf numFmtId="195" fontId="68" fillId="0" borderId="0"/>
    <xf numFmtId="195" fontId="68" fillId="0" borderId="0"/>
    <xf numFmtId="196" fontId="68" fillId="0" borderId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0" fontId="14" fillId="0" borderId="0" applyAlignment="0"/>
    <xf numFmtId="0" fontId="15" fillId="0" borderId="0" applyAlignment="0"/>
    <xf numFmtId="197" fontId="68" fillId="0" borderId="0">
      <protection locked="0"/>
    </xf>
    <xf numFmtId="197" fontId="68" fillId="0" borderId="0">
      <protection locked="0"/>
    </xf>
    <xf numFmtId="197" fontId="68" fillId="0" borderId="0">
      <protection locked="0"/>
    </xf>
    <xf numFmtId="0" fontId="16" fillId="2" borderId="0" applyBorder="0" applyAlignment="0" applyProtection="0"/>
    <xf numFmtId="0" fontId="17" fillId="2" borderId="0" applyBorder="0" applyAlignment="0" applyProtection="0"/>
    <xf numFmtId="0" fontId="18" fillId="0" borderId="0">
      <alignment horizontal="left"/>
    </xf>
    <xf numFmtId="0" fontId="19" fillId="0" borderId="0">
      <alignment horizontal="left"/>
    </xf>
    <xf numFmtId="0" fontId="20" fillId="0" borderId="2" applyAlignment="0" applyProtection="0"/>
    <xf numFmtId="0" fontId="19" fillId="0" borderId="2" applyAlignment="0" applyProtection="0"/>
    <xf numFmtId="0" fontId="20" fillId="0" borderId="3">
      <alignment horizontal="left" vertical="center"/>
    </xf>
    <xf numFmtId="0" fontId="19" fillId="0" borderId="3">
      <alignment horizontal="left" vertical="center"/>
    </xf>
    <xf numFmtId="198" fontId="68" fillId="0" borderId="0">
      <protection locked="0"/>
    </xf>
    <xf numFmtId="0" fontId="21" fillId="0" borderId="0" applyBorder="0" applyAlignment="0" applyProtection="0"/>
    <xf numFmtId="0" fontId="20" fillId="0" borderId="0" applyBorder="0" applyAlignment="0" applyProtection="0"/>
    <xf numFmtId="0" fontId="19" fillId="0" borderId="0" applyBorder="0" applyAlignment="0" applyProtection="0"/>
    <xf numFmtId="0" fontId="18" fillId="0" borderId="0"/>
    <xf numFmtId="198" fontId="68" fillId="0" borderId="0">
      <protection locked="0"/>
    </xf>
    <xf numFmtId="198" fontId="68" fillId="0" borderId="0">
      <protection locked="0"/>
    </xf>
    <xf numFmtId="198" fontId="68" fillId="0" borderId="0">
      <protection locked="0"/>
    </xf>
    <xf numFmtId="198" fontId="68" fillId="0" borderId="0">
      <protection locked="0"/>
    </xf>
    <xf numFmtId="198" fontId="68" fillId="0" borderId="0">
      <protection locked="0"/>
    </xf>
    <xf numFmtId="0" fontId="4" fillId="3" borderId="4"/>
    <xf numFmtId="0" fontId="5" fillId="3" borderId="4"/>
    <xf numFmtId="0" fontId="22" fillId="0" borderId="0" applyBorder="0" applyAlignment="0" applyProtection="0"/>
    <xf numFmtId="0" fontId="16" fillId="4" borderId="0" applyBorder="0" applyAlignment="0" applyProtection="0"/>
    <xf numFmtId="0" fontId="17" fillId="4" borderId="0" applyBorder="0" applyAlignment="0" applyProtection="0"/>
    <xf numFmtId="199" fontId="68" fillId="0" borderId="0" applyBorder="0" applyAlignment="0" applyProtection="0"/>
    <xf numFmtId="200" fontId="68" fillId="0" borderId="0" applyBorder="0" applyAlignment="0" applyProtection="0"/>
    <xf numFmtId="0" fontId="68" fillId="0" borderId="0" applyBorder="0" applyProtection="0">
      <alignment horizontal="left" vertical="center"/>
    </xf>
    <xf numFmtId="0" fontId="68" fillId="0" borderId="0" applyBorder="0" applyProtection="0">
      <alignment horizontal="left" vertical="center"/>
    </xf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83" fontId="68" fillId="0" borderId="0" applyBorder="0" applyAlignment="0" applyProtection="0"/>
    <xf numFmtId="201" fontId="68" fillId="0" borderId="0" applyBorder="0" applyAlignment="0" applyProtection="0"/>
    <xf numFmtId="0" fontId="23" fillId="0" borderId="5"/>
    <xf numFmtId="0" fontId="24" fillId="0" borderId="5"/>
    <xf numFmtId="0" fontId="68" fillId="0" borderId="0" applyBorder="0" applyAlignment="0" applyProtection="0"/>
    <xf numFmtId="0" fontId="68" fillId="0" borderId="0" applyBorder="0" applyAlignment="0" applyProtection="0"/>
    <xf numFmtId="37" fontId="25" fillId="0" borderId="0"/>
    <xf numFmtId="37" fontId="26" fillId="0" borderId="0"/>
    <xf numFmtId="0" fontId="1" fillId="0" borderId="0"/>
    <xf numFmtId="0" fontId="5" fillId="0" borderId="0"/>
    <xf numFmtId="0" fontId="4" fillId="0" borderId="0"/>
    <xf numFmtId="202" fontId="68" fillId="0" borderId="0">
      <protection locked="0"/>
    </xf>
    <xf numFmtId="202" fontId="68" fillId="0" borderId="0">
      <protection locked="0"/>
    </xf>
    <xf numFmtId="202" fontId="68" fillId="0" borderId="0">
      <protection locked="0"/>
    </xf>
    <xf numFmtId="202" fontId="68" fillId="0" borderId="0">
      <protection locked="0"/>
    </xf>
    <xf numFmtId="202" fontId="68" fillId="0" borderId="0">
      <protection locked="0"/>
    </xf>
    <xf numFmtId="197" fontId="68" fillId="0" borderId="0" applyBorder="0" applyAlignment="0" applyProtection="0"/>
    <xf numFmtId="197" fontId="68" fillId="0" borderId="0" applyBorder="0" applyAlignment="0" applyProtection="0"/>
    <xf numFmtId="197" fontId="68" fillId="0" borderId="0" applyBorder="0" applyAlignment="0" applyProtection="0"/>
    <xf numFmtId="181" fontId="68" fillId="0" borderId="0" applyBorder="0" applyAlignment="0" applyProtection="0"/>
    <xf numFmtId="181" fontId="68" fillId="0" borderId="0" applyBorder="0" applyAlignment="0" applyProtection="0"/>
    <xf numFmtId="181" fontId="68" fillId="0" borderId="0" applyBorder="0" applyAlignment="0" applyProtection="0"/>
    <xf numFmtId="10" fontId="68" fillId="0" borderId="0" applyBorder="0" applyAlignment="0" applyProtection="0"/>
    <xf numFmtId="10" fontId="68" fillId="0" borderId="0" applyBorder="0" applyAlignment="0" applyProtection="0"/>
    <xf numFmtId="203" fontId="68" fillId="0" borderId="0" applyBorder="0" applyAlignment="0" applyProtection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77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82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178" fontId="68" fillId="0" borderId="0" applyBorder="0" applyAlignment="0"/>
    <xf numFmtId="204" fontId="1" fillId="0" borderId="0">
      <alignment horizontal="right"/>
    </xf>
    <xf numFmtId="9" fontId="68" fillId="0" borderId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1" fillId="0" borderId="0"/>
    <xf numFmtId="0" fontId="4" fillId="0" borderId="0"/>
    <xf numFmtId="0" fontId="23" fillId="0" borderId="0"/>
    <xf numFmtId="0" fontId="24" fillId="0" borderId="0"/>
    <xf numFmtId="40" fontId="27" fillId="0" borderId="0" applyBorder="0">
      <alignment horizontal="right"/>
    </xf>
    <xf numFmtId="40" fontId="28" fillId="0" borderId="0" applyBorder="0">
      <alignment horizontal="right"/>
    </xf>
    <xf numFmtId="49" fontId="4" fillId="0" borderId="0" applyBorder="0" applyAlignment="0"/>
    <xf numFmtId="203" fontId="68" fillId="0" borderId="0" applyBorder="0" applyAlignment="0"/>
    <xf numFmtId="203" fontId="68" fillId="0" borderId="0" applyBorder="0" applyAlignment="0"/>
    <xf numFmtId="203" fontId="68" fillId="0" borderId="0" applyBorder="0" applyAlignment="0"/>
    <xf numFmtId="205" fontId="68" fillId="0" borderId="0" applyBorder="0" applyAlignment="0"/>
    <xf numFmtId="205" fontId="68" fillId="0" borderId="0" applyBorder="0" applyAlignment="0"/>
    <xf numFmtId="205" fontId="68" fillId="0" borderId="0" applyBorder="0" applyAlignment="0"/>
    <xf numFmtId="198" fontId="68" fillId="0" borderId="6">
      <protection locked="0"/>
    </xf>
    <xf numFmtId="198" fontId="68" fillId="0" borderId="6">
      <protection locked="0"/>
    </xf>
    <xf numFmtId="198" fontId="68" fillId="0" borderId="6">
      <protection locked="0"/>
    </xf>
    <xf numFmtId="206" fontId="68" fillId="0" borderId="0" applyBorder="0" applyAlignment="0" applyProtection="0"/>
    <xf numFmtId="207" fontId="68" fillId="0" borderId="0" applyBorder="0" applyAlignment="0" applyProtection="0"/>
    <xf numFmtId="208" fontId="68" fillId="0" borderId="0" applyBorder="0" applyAlignment="0" applyProtection="0"/>
    <xf numFmtId="209" fontId="68" fillId="0" borderId="0" applyBorder="0" applyAlignment="0" applyProtection="0"/>
    <xf numFmtId="0" fontId="68" fillId="0" borderId="0" applyBorder="0" applyProtection="0">
      <alignment horizontal="center" vertical="center" wrapText="1"/>
    </xf>
    <xf numFmtId="0" fontId="68" fillId="0" borderId="0" applyBorder="0" applyProtection="0">
      <alignment horizontal="center" vertical="center" wrapText="1"/>
    </xf>
    <xf numFmtId="0" fontId="29" fillId="0" borderId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0" fontId="29" fillId="0" borderId="0"/>
    <xf numFmtId="183" fontId="68" fillId="0" borderId="0" applyBorder="0" applyAlignment="0" applyProtection="0"/>
    <xf numFmtId="201" fontId="68" fillId="0" borderId="0" applyBorder="0" applyAlignment="0" applyProtection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0" fontId="13" fillId="0" borderId="0"/>
    <xf numFmtId="0" fontId="68" fillId="0" borderId="0"/>
    <xf numFmtId="211" fontId="68" fillId="0" borderId="0" applyBorder="0" applyAlignment="0" applyProtection="0"/>
    <xf numFmtId="0" fontId="68" fillId="0" borderId="0" applyBorder="0" applyAlignment="0" applyProtection="0"/>
    <xf numFmtId="3" fontId="1" fillId="0" borderId="7">
      <alignment horizontal="center"/>
    </xf>
    <xf numFmtId="3" fontId="6" fillId="0" borderId="7">
      <alignment horizontal="center"/>
    </xf>
    <xf numFmtId="0" fontId="30" fillId="0" borderId="0" applyBorder="0" applyAlignment="0" applyProtection="0"/>
    <xf numFmtId="40" fontId="68" fillId="0" borderId="0" applyBorder="0" applyAlignment="0" applyProtection="0"/>
    <xf numFmtId="38" fontId="68" fillId="0" borderId="0" applyBorder="0" applyAlignment="0" applyProtection="0"/>
    <xf numFmtId="0" fontId="68" fillId="0" borderId="0" applyBorder="0" applyAlignment="0" applyProtection="0"/>
    <xf numFmtId="0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9" fontId="68" fillId="0" borderId="0" applyBorder="0" applyAlignment="0" applyProtection="0"/>
    <xf numFmtId="0" fontId="13" fillId="0" borderId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183" fontId="68" fillId="0" borderId="0" applyBorder="0" applyAlignment="0" applyProtection="0"/>
    <xf numFmtId="0" fontId="2" fillId="0" borderId="0"/>
    <xf numFmtId="0" fontId="1" fillId="0" borderId="0"/>
    <xf numFmtId="0" fontId="3" fillId="0" borderId="0"/>
    <xf numFmtId="0" fontId="1" fillId="0" borderId="8"/>
    <xf numFmtId="0" fontId="31" fillId="0" borderId="8"/>
    <xf numFmtId="0" fontId="2" fillId="0" borderId="0"/>
    <xf numFmtId="0" fontId="3" fillId="0" borderId="0"/>
    <xf numFmtId="212" fontId="68" fillId="0" borderId="0" applyBorder="0" applyAlignment="0" applyProtection="0"/>
    <xf numFmtId="186" fontId="68" fillId="0" borderId="0" applyBorder="0" applyAlignment="0" applyProtection="0"/>
    <xf numFmtId="213" fontId="68" fillId="0" borderId="0" applyBorder="0" applyAlignment="0" applyProtection="0"/>
    <xf numFmtId="213" fontId="68" fillId="0" borderId="0" applyBorder="0" applyAlignment="0" applyProtection="0"/>
    <xf numFmtId="0" fontId="68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2" fillId="0" borderId="0"/>
    <xf numFmtId="0" fontId="68" fillId="0" borderId="0"/>
    <xf numFmtId="0" fontId="68" fillId="0" borderId="0"/>
    <xf numFmtId="0" fontId="34" fillId="0" borderId="0">
      <alignment vertical="center"/>
    </xf>
    <xf numFmtId="0" fontId="34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32" fillId="0" borderId="0">
      <alignment vertical="center"/>
    </xf>
    <xf numFmtId="0" fontId="1" fillId="0" borderId="0"/>
    <xf numFmtId="0" fontId="68" fillId="0" borderId="0">
      <alignment vertical="center"/>
    </xf>
    <xf numFmtId="0" fontId="68" fillId="0" borderId="0">
      <alignment vertical="center"/>
    </xf>
    <xf numFmtId="0" fontId="35" fillId="0" borderId="0" applyBorder="0" applyAlignment="0" applyProtection="0"/>
    <xf numFmtId="214" fontId="68" fillId="0" borderId="0" applyBorder="0"/>
    <xf numFmtId="214" fontId="68" fillId="0" borderId="0" applyBorder="0"/>
    <xf numFmtId="214" fontId="68" fillId="0" borderId="0" applyBorder="0"/>
    <xf numFmtId="214" fontId="68" fillId="0" borderId="0" applyBorder="0"/>
  </cellStyleXfs>
  <cellXfs count="165">
    <xf numFmtId="0" fontId="0" fillId="0" borderId="0" xfId="0"/>
    <xf numFmtId="0" fontId="54" fillId="0" borderId="0" xfId="461" applyFont="1" applyAlignment="1">
      <alignment horizontal="left" vertical="center"/>
    </xf>
    <xf numFmtId="0" fontId="36" fillId="0" borderId="0" xfId="460" applyFont="1">
      <alignment vertical="center"/>
    </xf>
    <xf numFmtId="0" fontId="36" fillId="0" borderId="9" xfId="460" applyFont="1" applyBorder="1">
      <alignment vertical="center"/>
    </xf>
    <xf numFmtId="0" fontId="36" fillId="0" borderId="10" xfId="460" applyFont="1" applyBorder="1">
      <alignment vertical="center"/>
    </xf>
    <xf numFmtId="0" fontId="36" fillId="0" borderId="11" xfId="460" applyFont="1" applyBorder="1">
      <alignment vertical="center"/>
    </xf>
    <xf numFmtId="0" fontId="38" fillId="0" borderId="0" xfId="460" applyFont="1" applyAlignment="1">
      <alignment horizontal="center" vertical="center" wrapText="1"/>
    </xf>
    <xf numFmtId="0" fontId="39" fillId="0" borderId="0" xfId="460" applyFont="1" applyAlignment="1">
      <alignment horizontal="center" vertical="center" wrapText="1"/>
    </xf>
    <xf numFmtId="0" fontId="39" fillId="0" borderId="0" xfId="460" applyFont="1" applyAlignment="1">
      <alignment vertical="center" wrapText="1"/>
    </xf>
    <xf numFmtId="0" fontId="39" fillId="0" borderId="13" xfId="460" applyFont="1" applyBorder="1" applyAlignment="1">
      <alignment vertical="center" wrapText="1"/>
    </xf>
    <xf numFmtId="0" fontId="36" fillId="0" borderId="12" xfId="460" applyFont="1" applyBorder="1">
      <alignment vertical="center"/>
    </xf>
    <xf numFmtId="0" fontId="40" fillId="0" borderId="0" xfId="460" applyFont="1" applyAlignment="1">
      <alignment horizontal="left" vertical="center"/>
    </xf>
    <xf numFmtId="49" fontId="40" fillId="0" borderId="0" xfId="460" applyNumberFormat="1" applyFont="1" applyAlignment="1">
      <alignment horizontal="left" vertical="center"/>
    </xf>
    <xf numFmtId="0" fontId="40" fillId="0" borderId="0" xfId="460" applyFont="1">
      <alignment vertical="center"/>
    </xf>
    <xf numFmtId="0" fontId="40" fillId="0" borderId="0" xfId="460" applyFont="1" applyAlignment="1">
      <alignment horizontal="right" vertical="center"/>
    </xf>
    <xf numFmtId="0" fontId="36" fillId="0" borderId="13" xfId="460" applyFont="1" applyBorder="1">
      <alignment vertical="center"/>
    </xf>
    <xf numFmtId="0" fontId="40" fillId="0" borderId="12" xfId="460" applyFont="1" applyBorder="1">
      <alignment vertical="center"/>
    </xf>
    <xf numFmtId="0" fontId="40" fillId="0" borderId="13" xfId="460" applyFont="1" applyBorder="1">
      <alignment vertical="center"/>
    </xf>
    <xf numFmtId="0" fontId="43" fillId="0" borderId="12" xfId="460" applyFont="1" applyBorder="1">
      <alignment vertical="center"/>
    </xf>
    <xf numFmtId="0" fontId="44" fillId="0" borderId="0" xfId="460" applyFont="1">
      <alignment vertical="center"/>
    </xf>
    <xf numFmtId="0" fontId="45" fillId="0" borderId="0" xfId="460" applyFont="1">
      <alignment vertical="center"/>
    </xf>
    <xf numFmtId="0" fontId="43" fillId="0" borderId="13" xfId="460" applyFont="1" applyBorder="1">
      <alignment vertical="center"/>
    </xf>
    <xf numFmtId="0" fontId="46" fillId="0" borderId="12" xfId="460" applyFont="1" applyBorder="1">
      <alignment vertical="center"/>
    </xf>
    <xf numFmtId="0" fontId="46" fillId="0" borderId="13" xfId="460" applyFont="1" applyBorder="1">
      <alignment vertical="center"/>
    </xf>
    <xf numFmtId="0" fontId="37" fillId="0" borderId="0" xfId="460" applyFont="1">
      <alignment vertical="center"/>
    </xf>
    <xf numFmtId="0" fontId="40" fillId="0" borderId="13" xfId="460" applyFont="1" applyBorder="1" applyAlignment="1">
      <alignment horizontal="left" vertical="center"/>
    </xf>
    <xf numFmtId="0" fontId="37" fillId="0" borderId="0" xfId="460" applyFont="1" applyAlignment="1">
      <alignment horizontal="right" vertical="center"/>
    </xf>
    <xf numFmtId="0" fontId="37" fillId="0" borderId="0" xfId="460" applyFont="1" applyAlignment="1">
      <alignment horizontal="center" vertical="center"/>
    </xf>
    <xf numFmtId="0" fontId="48" fillId="0" borderId="0" xfId="460" applyFont="1" applyAlignment="1">
      <alignment horizontal="left" vertical="center"/>
    </xf>
    <xf numFmtId="0" fontId="39" fillId="0" borderId="0" xfId="460" applyFont="1" applyAlignment="1">
      <alignment horizontal="left" vertical="center"/>
    </xf>
    <xf numFmtId="0" fontId="49" fillId="0" borderId="0" xfId="460" applyFont="1">
      <alignment vertical="center"/>
    </xf>
    <xf numFmtId="0" fontId="46" fillId="0" borderId="13" xfId="460" applyFont="1" applyBorder="1" applyAlignment="1">
      <alignment horizontal="left" vertical="center"/>
    </xf>
    <xf numFmtId="0" fontId="46" fillId="0" borderId="15" xfId="460" applyFont="1" applyBorder="1">
      <alignment vertical="center"/>
    </xf>
    <xf numFmtId="0" fontId="46" fillId="0" borderId="5" xfId="460" applyFont="1" applyBorder="1" applyAlignment="1">
      <alignment horizontal="left" vertical="center" indent="5"/>
    </xf>
    <xf numFmtId="0" fontId="50" fillId="0" borderId="5" xfId="460" applyFont="1" applyBorder="1" applyAlignment="1">
      <alignment horizontal="left" vertical="center"/>
    </xf>
    <xf numFmtId="0" fontId="46" fillId="0" borderId="5" xfId="460" applyFont="1" applyBorder="1" applyAlignment="1">
      <alignment horizontal="left" vertical="center"/>
    </xf>
    <xf numFmtId="0" fontId="46" fillId="0" borderId="16" xfId="460" applyFont="1" applyBorder="1" applyAlignment="1">
      <alignment horizontal="left" vertical="center"/>
    </xf>
    <xf numFmtId="0" fontId="51" fillId="0" borderId="0" xfId="446" applyFont="1" applyAlignment="1">
      <alignment horizontal="justify"/>
    </xf>
    <xf numFmtId="0" fontId="53" fillId="0" borderId="0" xfId="461" applyFont="1">
      <alignment vertical="center"/>
    </xf>
    <xf numFmtId="183" fontId="53" fillId="0" borderId="0" xfId="421" applyFont="1" applyBorder="1" applyAlignment="1" applyProtection="1">
      <alignment vertical="center"/>
    </xf>
    <xf numFmtId="0" fontId="54" fillId="0" borderId="0" xfId="461" applyFont="1">
      <alignment vertical="center"/>
    </xf>
    <xf numFmtId="0" fontId="54" fillId="0" borderId="17" xfId="461" applyFont="1" applyBorder="1" applyAlignment="1">
      <alignment horizontal="left" vertical="center"/>
    </xf>
    <xf numFmtId="0" fontId="53" fillId="0" borderId="17" xfId="461" applyFont="1" applyBorder="1">
      <alignment vertical="center"/>
    </xf>
    <xf numFmtId="183" fontId="55" fillId="2" borderId="18" xfId="421" applyFont="1" applyFill="1" applyBorder="1" applyAlignment="1" applyProtection="1">
      <alignment horizontal="center" vertical="center"/>
    </xf>
    <xf numFmtId="183" fontId="55" fillId="2" borderId="19" xfId="421" applyFont="1" applyFill="1" applyBorder="1" applyAlignment="1" applyProtection="1">
      <alignment horizontal="center" vertical="center"/>
    </xf>
    <xf numFmtId="183" fontId="55" fillId="2" borderId="20" xfId="421" applyFont="1" applyFill="1" applyBorder="1" applyAlignment="1" applyProtection="1">
      <alignment horizontal="center" vertical="center"/>
    </xf>
    <xf numFmtId="0" fontId="55" fillId="0" borderId="21" xfId="461" applyFont="1" applyBorder="1" applyAlignment="1">
      <alignment horizontal="center" vertical="center"/>
    </xf>
    <xf numFmtId="183" fontId="56" fillId="0" borderId="22" xfId="421" applyFont="1" applyBorder="1" applyAlignment="1" applyProtection="1">
      <alignment vertical="center"/>
    </xf>
    <xf numFmtId="183" fontId="56" fillId="0" borderId="23" xfId="421" applyFont="1" applyBorder="1" applyAlignment="1" applyProtection="1">
      <alignment vertical="center"/>
    </xf>
    <xf numFmtId="217" fontId="56" fillId="0" borderId="22" xfId="421" applyNumberFormat="1" applyFont="1" applyBorder="1" applyAlignment="1" applyProtection="1">
      <alignment horizontal="right" vertical="center"/>
    </xf>
    <xf numFmtId="183" fontId="56" fillId="0" borderId="24" xfId="421" applyFont="1" applyBorder="1" applyAlignment="1" applyProtection="1">
      <alignment vertical="center"/>
    </xf>
    <xf numFmtId="217" fontId="56" fillId="0" borderId="21" xfId="421" applyNumberFormat="1" applyFont="1" applyBorder="1" applyAlignment="1" applyProtection="1">
      <alignment horizontal="right" vertical="center"/>
    </xf>
    <xf numFmtId="183" fontId="56" fillId="0" borderId="25" xfId="421" applyFont="1" applyBorder="1" applyAlignment="1" applyProtection="1">
      <alignment vertical="center"/>
    </xf>
    <xf numFmtId="217" fontId="56" fillId="0" borderId="22" xfId="421" applyNumberFormat="1" applyFont="1" applyBorder="1" applyAlignment="1" applyProtection="1">
      <alignment vertical="center"/>
    </xf>
    <xf numFmtId="0" fontId="55" fillId="0" borderId="26" xfId="461" applyFont="1" applyBorder="1" applyAlignment="1">
      <alignment horizontal="distributed" vertical="center" wrapText="1" indent="2"/>
    </xf>
    <xf numFmtId="183" fontId="56" fillId="0" borderId="18" xfId="421" applyFont="1" applyBorder="1" applyAlignment="1" applyProtection="1">
      <alignment vertical="center"/>
    </xf>
    <xf numFmtId="183" fontId="56" fillId="0" borderId="1" xfId="421" applyFont="1" applyBorder="1" applyAlignment="1" applyProtection="1">
      <alignment vertical="center"/>
    </xf>
    <xf numFmtId="217" fontId="56" fillId="0" borderId="18" xfId="421" applyNumberFormat="1" applyFont="1" applyBorder="1" applyAlignment="1" applyProtection="1">
      <alignment horizontal="right" vertical="center"/>
    </xf>
    <xf numFmtId="183" fontId="56" fillId="0" borderId="27" xfId="421" applyFont="1" applyBorder="1" applyAlignment="1" applyProtection="1">
      <alignment vertical="center"/>
    </xf>
    <xf numFmtId="217" fontId="56" fillId="0" borderId="18" xfId="421" applyNumberFormat="1" applyFont="1" applyBorder="1" applyAlignment="1" applyProtection="1">
      <alignment vertical="center"/>
    </xf>
    <xf numFmtId="183" fontId="0" fillId="0" borderId="0" xfId="0" applyNumberFormat="1"/>
    <xf numFmtId="183" fontId="56" fillId="0" borderId="28" xfId="421" applyFont="1" applyBorder="1" applyAlignment="1" applyProtection="1">
      <alignment vertical="center"/>
    </xf>
    <xf numFmtId="183" fontId="56" fillId="0" borderId="26" xfId="421" applyFont="1" applyBorder="1" applyAlignment="1" applyProtection="1">
      <alignment vertical="center"/>
    </xf>
    <xf numFmtId="217" fontId="56" fillId="0" borderId="28" xfId="421" applyNumberFormat="1" applyFont="1" applyBorder="1" applyAlignment="1" applyProtection="1">
      <alignment horizontal="right" vertical="center"/>
    </xf>
    <xf numFmtId="183" fontId="56" fillId="0" borderId="29" xfId="421" applyFont="1" applyBorder="1" applyAlignment="1" applyProtection="1">
      <alignment vertical="center"/>
    </xf>
    <xf numFmtId="217" fontId="56" fillId="0" borderId="28" xfId="421" applyNumberFormat="1" applyFont="1" applyBorder="1" applyAlignment="1" applyProtection="1">
      <alignment vertical="center"/>
    </xf>
    <xf numFmtId="0" fontId="55" fillId="0" borderId="30" xfId="461" applyFont="1" applyBorder="1" applyAlignment="1">
      <alignment horizontal="distributed" vertical="center" wrapText="1" indent="2"/>
    </xf>
    <xf numFmtId="183" fontId="56" fillId="0" borderId="30" xfId="421" applyFont="1" applyBorder="1" applyAlignment="1" applyProtection="1">
      <alignment vertical="center"/>
    </xf>
    <xf numFmtId="217" fontId="56" fillId="0" borderId="31" xfId="421" applyNumberFormat="1" applyFont="1" applyBorder="1" applyAlignment="1" applyProtection="1">
      <alignment horizontal="right" vertical="center"/>
    </xf>
    <xf numFmtId="183" fontId="56" fillId="0" borderId="0" xfId="421" applyFont="1" applyBorder="1" applyAlignment="1" applyProtection="1">
      <alignment vertical="center"/>
    </xf>
    <xf numFmtId="217" fontId="56" fillId="0" borderId="31" xfId="421" applyNumberFormat="1" applyFont="1" applyBorder="1" applyAlignment="1" applyProtection="1">
      <alignment vertical="center"/>
    </xf>
    <xf numFmtId="0" fontId="55" fillId="2" borderId="20" xfId="461" applyFont="1" applyFill="1" applyBorder="1" applyAlignment="1">
      <alignment horizontal="distributed" vertical="center" wrapText="1" indent="2"/>
    </xf>
    <xf numFmtId="183" fontId="55" fillId="2" borderId="20" xfId="421" applyFont="1" applyFill="1" applyBorder="1" applyAlignment="1" applyProtection="1">
      <alignment vertical="center"/>
    </xf>
    <xf numFmtId="217" fontId="55" fillId="2" borderId="19" xfId="421" applyNumberFormat="1" applyFont="1" applyFill="1" applyBorder="1" applyAlignment="1" applyProtection="1">
      <alignment horizontal="right" vertical="center"/>
    </xf>
    <xf numFmtId="217" fontId="55" fillId="2" borderId="19" xfId="421" applyNumberFormat="1" applyFont="1" applyFill="1" applyBorder="1" applyAlignment="1" applyProtection="1">
      <alignment vertical="center"/>
    </xf>
    <xf numFmtId="183" fontId="0" fillId="0" borderId="0" xfId="0" applyNumberFormat="1" applyAlignment="1">
      <alignment horizontal="center"/>
    </xf>
    <xf numFmtId="218" fontId="0" fillId="0" borderId="0" xfId="0" applyNumberFormat="1"/>
    <xf numFmtId="183" fontId="57" fillId="0" borderId="0" xfId="1" applyFont="1" applyBorder="1" applyAlignment="1" applyProtection="1"/>
    <xf numFmtId="219" fontId="57" fillId="0" borderId="0" xfId="2" applyNumberFormat="1" applyFont="1" applyBorder="1" applyAlignment="1" applyProtection="1"/>
    <xf numFmtId="219" fontId="57" fillId="0" borderId="0" xfId="1" applyNumberFormat="1" applyFont="1" applyBorder="1" applyAlignment="1" applyProtection="1"/>
    <xf numFmtId="219" fontId="57" fillId="0" borderId="0" xfId="1" applyNumberFormat="1" applyFont="1" applyBorder="1" applyAlignment="1" applyProtection="1">
      <alignment horizontal="center"/>
    </xf>
    <xf numFmtId="219" fontId="59" fillId="0" borderId="0" xfId="2" applyNumberFormat="1" applyFont="1" applyBorder="1" applyAlignment="1" applyProtection="1">
      <alignment horizontal="center"/>
    </xf>
    <xf numFmtId="49" fontId="57" fillId="0" borderId="0" xfId="1" applyNumberFormat="1" applyFont="1" applyBorder="1" applyAlignment="1" applyProtection="1"/>
    <xf numFmtId="49" fontId="59" fillId="2" borderId="33" xfId="1" applyNumberFormat="1" applyFont="1" applyFill="1" applyBorder="1" applyAlignment="1" applyProtection="1">
      <alignment horizontal="distributed" vertical="center"/>
    </xf>
    <xf numFmtId="49" fontId="59" fillId="2" borderId="33" xfId="1" applyNumberFormat="1" applyFont="1" applyFill="1" applyBorder="1" applyAlignment="1" applyProtection="1">
      <alignment horizontal="center" vertical="center"/>
    </xf>
    <xf numFmtId="49" fontId="59" fillId="2" borderId="34" xfId="1" applyNumberFormat="1" applyFont="1" applyFill="1" applyBorder="1" applyAlignment="1" applyProtection="1">
      <alignment horizontal="center" vertical="center"/>
    </xf>
    <xf numFmtId="219" fontId="57" fillId="0" borderId="0" xfId="2" applyNumberFormat="1" applyFont="1" applyBorder="1" applyAlignment="1" applyProtection="1">
      <alignment horizontal="center"/>
    </xf>
    <xf numFmtId="219" fontId="60" fillId="0" borderId="0" xfId="1" applyNumberFormat="1" applyFont="1" applyBorder="1" applyAlignment="1" applyProtection="1">
      <alignment horizontal="center"/>
    </xf>
    <xf numFmtId="219" fontId="60" fillId="0" borderId="0" xfId="2" applyNumberFormat="1" applyFont="1" applyBorder="1" applyAlignment="1" applyProtection="1">
      <alignment horizontal="center"/>
    </xf>
    <xf numFmtId="49" fontId="60" fillId="0" borderId="0" xfId="1" applyNumberFormat="1" applyFont="1" applyBorder="1" applyAlignment="1" applyProtection="1">
      <alignment horizontal="center"/>
    </xf>
    <xf numFmtId="49" fontId="57" fillId="6" borderId="26" xfId="1" applyNumberFormat="1" applyFont="1" applyFill="1" applyBorder="1" applyAlignment="1" applyProtection="1">
      <alignment horizontal="distributed" vertical="center"/>
    </xf>
    <xf numFmtId="49" fontId="61" fillId="5" borderId="35" xfId="1" applyNumberFormat="1" applyFont="1" applyFill="1" applyBorder="1" applyAlignment="1" applyProtection="1">
      <alignment vertical="center"/>
    </xf>
    <xf numFmtId="183" fontId="61" fillId="5" borderId="35" xfId="1" applyFont="1" applyFill="1" applyBorder="1" applyAlignment="1" applyProtection="1">
      <alignment vertical="center"/>
    </xf>
    <xf numFmtId="183" fontId="61" fillId="5" borderId="35" xfId="1" applyFont="1" applyFill="1" applyBorder="1" applyAlignment="1" applyProtection="1">
      <alignment horizontal="center" vertical="center"/>
    </xf>
    <xf numFmtId="49" fontId="57" fillId="5" borderId="36" xfId="1" applyNumberFormat="1" applyFont="1" applyFill="1" applyBorder="1" applyAlignment="1" applyProtection="1">
      <alignment horizontal="center" vertical="center"/>
    </xf>
    <xf numFmtId="219" fontId="60" fillId="0" borderId="0" xfId="2" applyNumberFormat="1" applyFont="1" applyBorder="1" applyAlignment="1" applyProtection="1"/>
    <xf numFmtId="219" fontId="60" fillId="0" borderId="0" xfId="1" applyNumberFormat="1" applyFont="1" applyBorder="1" applyAlignment="1" applyProtection="1"/>
    <xf numFmtId="219" fontId="62" fillId="7" borderId="0" xfId="1" applyNumberFormat="1" applyFont="1" applyFill="1" applyBorder="1" applyAlignment="1" applyProtection="1"/>
    <xf numFmtId="183" fontId="60" fillId="0" borderId="0" xfId="1" applyFont="1" applyBorder="1" applyAlignment="1" applyProtection="1"/>
    <xf numFmtId="49" fontId="57" fillId="0" borderId="37" xfId="1" applyNumberFormat="1" applyFont="1" applyBorder="1" applyAlignment="1" applyProtection="1">
      <alignment horizontal="left" vertical="center" indent="2"/>
    </xf>
    <xf numFmtId="183" fontId="63" fillId="0" borderId="38" xfId="1" applyFont="1" applyBorder="1" applyAlignment="1" applyProtection="1">
      <alignment vertical="center"/>
    </xf>
    <xf numFmtId="49" fontId="57" fillId="0" borderId="38" xfId="1" applyNumberFormat="1" applyFont="1" applyBorder="1" applyAlignment="1" applyProtection="1">
      <alignment vertical="center"/>
    </xf>
    <xf numFmtId="183" fontId="57" fillId="0" borderId="35" xfId="1" applyFont="1" applyBorder="1" applyAlignment="1" applyProtection="1">
      <alignment vertical="center"/>
    </xf>
    <xf numFmtId="183" fontId="57" fillId="0" borderId="29" xfId="1" applyFont="1" applyBorder="1" applyAlignment="1" applyProtection="1">
      <alignment vertical="center"/>
    </xf>
    <xf numFmtId="49" fontId="57" fillId="0" borderId="36" xfId="1" applyNumberFormat="1" applyFont="1" applyBorder="1" applyAlignment="1" applyProtection="1">
      <alignment horizontal="center" vertical="center"/>
    </xf>
    <xf numFmtId="49" fontId="61" fillId="5" borderId="35" xfId="0" applyNumberFormat="1" applyFont="1" applyFill="1" applyBorder="1" applyAlignment="1">
      <alignment vertical="center"/>
    </xf>
    <xf numFmtId="183" fontId="61" fillId="5" borderId="29" xfId="1" applyFont="1" applyFill="1" applyBorder="1" applyAlignment="1" applyProtection="1">
      <alignment vertical="center"/>
    </xf>
    <xf numFmtId="183" fontId="57" fillId="5" borderId="36" xfId="1" applyFont="1" applyFill="1" applyBorder="1" applyAlignment="1" applyProtection="1">
      <alignment horizontal="left" vertical="center"/>
    </xf>
    <xf numFmtId="49" fontId="61" fillId="0" borderId="35" xfId="0" applyNumberFormat="1" applyFont="1" applyBorder="1" applyAlignment="1">
      <alignment vertical="center"/>
    </xf>
    <xf numFmtId="183" fontId="61" fillId="0" borderId="35" xfId="1" applyFont="1" applyBorder="1" applyAlignment="1" applyProtection="1">
      <alignment vertical="center"/>
    </xf>
    <xf numFmtId="183" fontId="61" fillId="0" borderId="29" xfId="1" applyFont="1" applyBorder="1" applyAlignment="1" applyProtection="1">
      <alignment vertical="center"/>
    </xf>
    <xf numFmtId="183" fontId="57" fillId="0" borderId="36" xfId="1" applyFont="1" applyBorder="1" applyAlignment="1" applyProtection="1">
      <alignment vertical="center"/>
    </xf>
    <xf numFmtId="183" fontId="57" fillId="5" borderId="36" xfId="1" applyFont="1" applyFill="1" applyBorder="1" applyAlignment="1" applyProtection="1">
      <alignment vertical="center"/>
    </xf>
    <xf numFmtId="183" fontId="65" fillId="8" borderId="7" xfId="1" applyFont="1" applyFill="1" applyBorder="1" applyAlignment="1" applyProtection="1">
      <alignment horizontal="left" vertical="center" indent="1"/>
    </xf>
    <xf numFmtId="183" fontId="65" fillId="8" borderId="7" xfId="1" applyFont="1" applyFill="1" applyBorder="1" applyAlignment="1" applyProtection="1">
      <alignment vertical="center"/>
    </xf>
    <xf numFmtId="183" fontId="65" fillId="8" borderId="7" xfId="1" applyFont="1" applyFill="1" applyBorder="1" applyAlignment="1" applyProtection="1">
      <alignment horizontal="right" vertical="center"/>
    </xf>
    <xf numFmtId="183" fontId="59" fillId="8" borderId="41" xfId="1" applyFont="1" applyFill="1" applyBorder="1" applyAlignment="1" applyProtection="1">
      <alignment vertical="center"/>
    </xf>
    <xf numFmtId="183" fontId="59" fillId="8" borderId="7" xfId="1" applyFont="1" applyFill="1" applyBorder="1" applyAlignment="1" applyProtection="1">
      <alignment vertical="center"/>
    </xf>
    <xf numFmtId="183" fontId="57" fillId="8" borderId="42" xfId="1" applyFont="1" applyFill="1" applyBorder="1" applyAlignment="1" applyProtection="1">
      <alignment vertical="center" wrapText="1"/>
    </xf>
    <xf numFmtId="183" fontId="61" fillId="6" borderId="29" xfId="1" applyFont="1" applyFill="1" applyBorder="1" applyAlignment="1" applyProtection="1">
      <alignment vertical="center"/>
    </xf>
    <xf numFmtId="9" fontId="57" fillId="0" borderId="0" xfId="2" applyFont="1" applyBorder="1" applyAlignment="1" applyProtection="1"/>
    <xf numFmtId="220" fontId="57" fillId="0" borderId="0" xfId="1" applyNumberFormat="1" applyFont="1" applyBorder="1" applyAlignment="1" applyProtection="1"/>
    <xf numFmtId="221" fontId="57" fillId="0" borderId="0" xfId="1" applyNumberFormat="1" applyFont="1" applyBorder="1" applyAlignment="1" applyProtection="1"/>
    <xf numFmtId="0" fontId="57" fillId="0" borderId="0" xfId="459" applyFont="1" applyAlignment="1">
      <alignment vertical="center"/>
    </xf>
    <xf numFmtId="0" fontId="57" fillId="0" borderId="0" xfId="459" applyFont="1" applyAlignment="1">
      <alignment horizontal="center" vertical="center"/>
    </xf>
    <xf numFmtId="183" fontId="67" fillId="0" borderId="0" xfId="1" applyFont="1" applyBorder="1" applyAlignment="1" applyProtection="1">
      <alignment vertical="center"/>
    </xf>
    <xf numFmtId="183" fontId="67" fillId="8" borderId="19" xfId="1" applyFont="1" applyFill="1" applyBorder="1" applyAlignment="1" applyProtection="1">
      <alignment horizontal="center" vertical="center" wrapText="1"/>
    </xf>
    <xf numFmtId="183" fontId="67" fillId="8" borderId="19" xfId="1" applyFont="1" applyFill="1" applyBorder="1" applyAlignment="1" applyProtection="1">
      <alignment horizontal="center" vertical="center"/>
    </xf>
    <xf numFmtId="183" fontId="67" fillId="0" borderId="0" xfId="1" applyFont="1" applyBorder="1" applyAlignment="1" applyProtection="1">
      <alignment horizontal="center" vertical="center"/>
    </xf>
    <xf numFmtId="183" fontId="63" fillId="0" borderId="19" xfId="1" applyFont="1" applyBorder="1" applyAlignment="1" applyProtection="1">
      <alignment vertical="center"/>
    </xf>
    <xf numFmtId="183" fontId="63" fillId="0" borderId="19" xfId="1" applyFont="1" applyBorder="1" applyAlignment="1" applyProtection="1">
      <alignment horizontal="center" vertical="center"/>
    </xf>
    <xf numFmtId="183" fontId="63" fillId="0" borderId="19" xfId="1" applyFont="1" applyBorder="1" applyAlignment="1" applyProtection="1">
      <alignment horizontal="right" vertical="center"/>
    </xf>
    <xf numFmtId="9" fontId="63" fillId="0" borderId="19" xfId="1" applyNumberFormat="1" applyFont="1" applyBorder="1" applyAlignment="1" applyProtection="1">
      <alignment horizontal="right" vertical="center"/>
    </xf>
    <xf numFmtId="222" fontId="63" fillId="0" borderId="19" xfId="1" applyNumberFormat="1" applyFont="1" applyBorder="1" applyAlignment="1" applyProtection="1">
      <alignment horizontal="right" vertical="center"/>
    </xf>
    <xf numFmtId="9" fontId="57" fillId="0" borderId="0" xfId="459" applyNumberFormat="1" applyFont="1" applyAlignment="1">
      <alignment horizontal="center" vertical="center"/>
    </xf>
    <xf numFmtId="183" fontId="57" fillId="0" borderId="0" xfId="459" applyNumberFormat="1" applyFont="1" applyAlignment="1">
      <alignment vertical="center"/>
    </xf>
    <xf numFmtId="223" fontId="63" fillId="0" borderId="19" xfId="1" applyNumberFormat="1" applyFont="1" applyBorder="1" applyAlignment="1" applyProtection="1">
      <alignment horizontal="right" vertical="center"/>
    </xf>
    <xf numFmtId="0" fontId="37" fillId="0" borderId="12" xfId="460" applyFont="1" applyBorder="1" applyAlignment="1">
      <alignment horizontal="center" vertical="center" wrapText="1"/>
    </xf>
    <xf numFmtId="0" fontId="41" fillId="0" borderId="0" xfId="460" applyFont="1" applyAlignment="1">
      <alignment horizontal="left" vertical="center"/>
    </xf>
    <xf numFmtId="0" fontId="42" fillId="5" borderId="0" xfId="460" applyFont="1" applyFill="1" applyAlignment="1">
      <alignment horizontal="center" vertical="center"/>
    </xf>
    <xf numFmtId="0" fontId="44" fillId="0" borderId="0" xfId="460" applyFont="1" applyAlignment="1">
      <alignment horizontal="right" vertical="center"/>
    </xf>
    <xf numFmtId="0" fontId="47" fillId="0" borderId="14" xfId="460" applyFont="1" applyBorder="1" applyAlignment="1">
      <alignment horizontal="center" vertical="center"/>
    </xf>
    <xf numFmtId="0" fontId="37" fillId="0" borderId="0" xfId="460" applyFont="1" applyAlignment="1">
      <alignment horizontal="left" vertical="center"/>
    </xf>
    <xf numFmtId="0" fontId="37" fillId="0" borderId="0" xfId="460" applyFont="1" applyAlignment="1">
      <alignment horizontal="distributed" vertical="center"/>
    </xf>
    <xf numFmtId="0" fontId="37" fillId="0" borderId="0" xfId="460" applyFont="1" applyAlignment="1">
      <alignment horizontal="right" vertical="center" indent="3"/>
    </xf>
    <xf numFmtId="215" fontId="37" fillId="0" borderId="0" xfId="460" applyNumberFormat="1" applyFont="1" applyAlignment="1">
      <alignment horizontal="left" vertical="center"/>
    </xf>
    <xf numFmtId="216" fontId="37" fillId="0" borderId="0" xfId="460" applyNumberFormat="1" applyFont="1" applyAlignment="1">
      <alignment horizontal="left" vertical="center"/>
    </xf>
    <xf numFmtId="0" fontId="52" fillId="0" borderId="0" xfId="461" applyFont="1" applyAlignment="1">
      <alignment horizontal="center" vertical="center"/>
    </xf>
    <xf numFmtId="0" fontId="54" fillId="0" borderId="0" xfId="461" applyFont="1" applyAlignment="1">
      <alignment horizontal="left" vertical="center"/>
    </xf>
    <xf numFmtId="0" fontId="55" fillId="2" borderId="1" xfId="461" applyFont="1" applyFill="1" applyBorder="1" applyAlignment="1">
      <alignment horizontal="center" vertical="center"/>
    </xf>
    <xf numFmtId="183" fontId="55" fillId="2" borderId="19" xfId="421" applyFont="1" applyFill="1" applyBorder="1" applyAlignment="1" applyProtection="1">
      <alignment horizontal="center" vertical="center"/>
    </xf>
    <xf numFmtId="183" fontId="55" fillId="2" borderId="18" xfId="421" applyFont="1" applyFill="1" applyBorder="1" applyAlignment="1" applyProtection="1">
      <alignment horizontal="center" vertical="center"/>
    </xf>
    <xf numFmtId="49" fontId="64" fillId="8" borderId="40" xfId="1" applyNumberFormat="1" applyFont="1" applyFill="1" applyBorder="1" applyAlignment="1" applyProtection="1">
      <alignment horizontal="distributed" vertical="center"/>
    </xf>
    <xf numFmtId="49" fontId="58" fillId="2" borderId="19" xfId="1" applyNumberFormat="1" applyFont="1" applyFill="1" applyBorder="1" applyAlignment="1" applyProtection="1">
      <alignment horizontal="center" vertical="center"/>
    </xf>
    <xf numFmtId="49" fontId="59" fillId="2" borderId="32" xfId="1" applyNumberFormat="1" applyFont="1" applyFill="1" applyBorder="1" applyAlignment="1" applyProtection="1">
      <alignment horizontal="distributed" vertical="center"/>
    </xf>
    <xf numFmtId="49" fontId="61" fillId="5" borderId="39" xfId="1" applyNumberFormat="1" applyFont="1" applyFill="1" applyBorder="1" applyAlignment="1" applyProtection="1">
      <alignment horizontal="distributed" vertical="center"/>
    </xf>
    <xf numFmtId="49" fontId="61" fillId="0" borderId="39" xfId="1" applyNumberFormat="1" applyFont="1" applyBorder="1" applyAlignment="1" applyProtection="1">
      <alignment horizontal="distributed" vertical="center"/>
    </xf>
    <xf numFmtId="183" fontId="63" fillId="0" borderId="19" xfId="1" applyFont="1" applyBorder="1" applyAlignment="1" applyProtection="1">
      <alignment horizontal="center" vertical="center"/>
    </xf>
    <xf numFmtId="183" fontId="63" fillId="0" borderId="19" xfId="1" applyFont="1" applyBorder="1" applyAlignment="1" applyProtection="1">
      <alignment horizontal="left" vertical="center" wrapText="1"/>
    </xf>
    <xf numFmtId="0" fontId="66" fillId="0" borderId="19" xfId="459" applyFont="1" applyBorder="1" applyAlignment="1">
      <alignment horizontal="center" vertical="center"/>
    </xf>
    <xf numFmtId="183" fontId="63" fillId="2" borderId="19" xfId="1" applyFont="1" applyFill="1" applyBorder="1" applyAlignment="1" applyProtection="1">
      <alignment horizontal="center" vertical="center"/>
    </xf>
    <xf numFmtId="183" fontId="63" fillId="2" borderId="19" xfId="1" applyFont="1" applyFill="1" applyBorder="1" applyAlignment="1" applyProtection="1">
      <alignment horizontal="center" vertical="center" wrapText="1"/>
    </xf>
    <xf numFmtId="183" fontId="67" fillId="8" borderId="19" xfId="1" applyFont="1" applyFill="1" applyBorder="1" applyAlignment="1" applyProtection="1">
      <alignment horizontal="center" vertical="center" wrapText="1"/>
    </xf>
    <xf numFmtId="183" fontId="67" fillId="8" borderId="19" xfId="1" applyFont="1" applyFill="1" applyBorder="1" applyAlignment="1" applyProtection="1">
      <alignment horizontal="center" vertical="center"/>
    </xf>
    <xf numFmtId="0" fontId="42" fillId="5" borderId="14" xfId="460" applyFont="1" applyFill="1" applyBorder="1" applyAlignment="1">
      <alignment horizontal="center" vertical="center" shrinkToFit="1"/>
    </xf>
  </cellXfs>
  <cellStyles count="467">
    <cellStyle name=" JournalTemplate=C:\COMFO\CTALK\JOURSTD.TPL LbStateAddress=3 3 0 251 1 89 2 311 LbStateJou" xfId="3" xr:uid="{00000000-0005-0000-0000-000006000000}"/>
    <cellStyle name="$_0009김포공항LED교체공사(광일)" xfId="4" xr:uid="{00000000-0005-0000-0000-000007000000}"/>
    <cellStyle name="(표준)" xfId="5" xr:uid="{00000000-0005-0000-0000-000008000000}"/>
    <cellStyle name="(표준) 2" xfId="6" xr:uid="{00000000-0005-0000-0000-000009000000}"/>
    <cellStyle name="??&amp;O?&amp;H?_x0008__x000f__x0007_?_x0007__x0001__x0001_" xfId="8" xr:uid="{00000000-0005-0000-0000-00000B000000}"/>
    <cellStyle name="??&amp;O?&amp;H?_x0008__x000f__x0007_?_x0007__x0001__x0001_ 2" xfId="9" xr:uid="{00000000-0005-0000-0000-00000C000000}"/>
    <cellStyle name="??&amp;O?&amp;H?_x0008_??_x0007__x0001__x0001_" xfId="10" xr:uid="{00000000-0005-0000-0000-00000D000000}"/>
    <cellStyle name="??&amp;O?&amp;H?_x0008_??_x0007__x0001__x0001_ 2" xfId="11" xr:uid="{00000000-0005-0000-0000-00000E000000}"/>
    <cellStyle name="?W?_laroux" xfId="12" xr:uid="{00000000-0005-0000-0000-00000F000000}"/>
    <cellStyle name="_(06-07-11) UPIS DB 설계내역서(우대)" xfId="13" xr:uid="{00000000-0005-0000-0000-000010000000}"/>
    <cellStyle name="_(06-07-11) UPIS DB 설계내역서(우대) 2" xfId="14" xr:uid="{00000000-0005-0000-0000-000011000000}"/>
    <cellStyle name="_021126_목포시청(총괄)" xfId="15" xr:uid="{00000000-0005-0000-0000-000012000000}"/>
    <cellStyle name="_021126_목포시청(총괄) 2" xfId="16" xr:uid="{00000000-0005-0000-0000-000013000000}"/>
    <cellStyle name="_2003년설계품v2.1" xfId="17" xr:uid="{00000000-0005-0000-0000-000014000000}"/>
    <cellStyle name="_2003년설계품v2.1 2" xfId="18" xr:uid="{00000000-0005-0000-0000-000015000000}"/>
    <cellStyle name="_2005년 사업 시스템 부문 설계내역서_2.0" xfId="19" xr:uid="{00000000-0005-0000-0000-000016000000}"/>
    <cellStyle name="_2005년 사업 시스템 부문 설계내역서_2.0 2" xfId="20" xr:uid="{00000000-0005-0000-0000-000017000000}"/>
    <cellStyle name="_CPQRC_Storage_Dec05" xfId="21" xr:uid="{00000000-0005-0000-0000-000018000000}"/>
    <cellStyle name="_DB구축설계서(남양주0816)" xfId="22" xr:uid="{00000000-0005-0000-0000-000019000000}"/>
    <cellStyle name="_DB구축설계서(남양주0816) 2" xfId="23" xr:uid="{00000000-0005-0000-0000-00001A000000}"/>
    <cellStyle name="_DB설계" xfId="24" xr:uid="{00000000-0005-0000-0000-00001B000000}"/>
    <cellStyle name="_DB설계 2" xfId="25" xr:uid="{00000000-0005-0000-0000-00001C000000}"/>
    <cellStyle name="_FP_설계내역샘플_(가중치직접산정방식)_New" xfId="26" xr:uid="{00000000-0005-0000-0000-00001D000000}"/>
    <cellStyle name="_FP_설계내역샘플_(가중치직접산정방식)_New 2" xfId="27" xr:uid="{00000000-0005-0000-0000-00001E000000}"/>
    <cellStyle name="_FP_설계내역샘플_(평균가중치방식)_New" xfId="28" xr:uid="{00000000-0005-0000-0000-00001F000000}"/>
    <cellStyle name="_FP_설계내역샘플_(평균가중치방식)_New 2" xfId="29" xr:uid="{00000000-0005-0000-0000-000020000000}"/>
    <cellStyle name="_IBM" xfId="30" xr:uid="{00000000-0005-0000-0000-000021000000}"/>
    <cellStyle name="_IBM 2" xfId="31" xr:uid="{00000000-0005-0000-0000-000022000000}"/>
    <cellStyle name="_ProCurve Quick Reference Card - December 2005" xfId="32" xr:uid="{00000000-0005-0000-0000-000023000000}"/>
    <cellStyle name="_ProCurve Quick Reference Card - January 2006" xfId="33" xr:uid="{00000000-0005-0000-0000-000024000000}"/>
    <cellStyle name="_ProCurve Quick Reference Card - July 1 2005" xfId="34" xr:uid="{00000000-0005-0000-0000-000025000000}"/>
    <cellStyle name="_ProCurve Quick Reference Card - July 1 2005_Book1" xfId="35" xr:uid="{00000000-0005-0000-0000-000026000000}"/>
    <cellStyle name="_ProCurve Quick Reference Card - July 1 2005_HP_Care_Pack_Aug05" xfId="36" xr:uid="{00000000-0005-0000-0000-000027000000}"/>
    <cellStyle name="_ProCurve Quick Reference Card - July 1 2005_HP_Care_Pack_July05" xfId="37" xr:uid="{00000000-0005-0000-0000-000028000000}"/>
    <cellStyle name="_ProCurve Quick Reference Card - October 1  2005" xfId="38" xr:uid="{00000000-0005-0000-0000-000029000000}"/>
    <cellStyle name="_ProCurve Quick Reference Card - October 2005 v2" xfId="39" xr:uid="{00000000-0005-0000-0000-00002A000000}"/>
    <cellStyle name="_R8_CPQRC Storage 7-29-05" xfId="40" xr:uid="{00000000-0005-0000-0000-00002B000000}"/>
    <cellStyle name="_SI부문_김천시" xfId="41" xr:uid="{00000000-0005-0000-0000-00002C000000}"/>
    <cellStyle name="_SI부문_김천시 2" xfId="42" xr:uid="{00000000-0005-0000-0000-00002D000000}"/>
    <cellStyle name="_V4_upis_서버및엔지_070529" xfId="44" xr:uid="{00000000-0005-0000-0000-00002F000000}"/>
    <cellStyle name="_V490외" xfId="43" xr:uid="{00000000-0005-0000-0000-00002E000000}"/>
    <cellStyle name="_광주시 2차 시스템" xfId="45" xr:uid="{00000000-0005-0000-0000-000030000000}"/>
    <cellStyle name="_광주시 2차 시스템 2" xfId="46" xr:uid="{00000000-0005-0000-0000-000031000000}"/>
    <cellStyle name="_광주시 도로와 지하시설물도 공동구축사업(2차) 설계내역서_1.0" xfId="47" xr:uid="{00000000-0005-0000-0000-000032000000}"/>
    <cellStyle name="_광주시 도로와 지하시설물도 공동구축사업(2차) 설계내역서_1.0 2" xfId="48" xr:uid="{00000000-0005-0000-0000-000033000000}"/>
    <cellStyle name="_군산시_UIS설계서(0308)" xfId="49" xr:uid="{00000000-0005-0000-0000-000034000000}"/>
    <cellStyle name="_군산시_UIS설계서(0308) 2" xfId="50" xr:uid="{00000000-0005-0000-0000-000035000000}"/>
    <cellStyle name="_김제시 GIS 구축사업 설계내역서_시스템부문_4" xfId="51" xr:uid="{00000000-0005-0000-0000-000036000000}"/>
    <cellStyle name="_김제시 GIS 구축사업 설계내역서_시스템부문_4 2" xfId="52" xr:uid="{00000000-0005-0000-0000-000037000000}"/>
    <cellStyle name="_김제시 도로와 지하시설물 공동구축사업 설계서_계약(1차년도)_1" xfId="53" xr:uid="{00000000-0005-0000-0000-000038000000}"/>
    <cellStyle name="_김제시 도로와 지하시설물 공동구축사업 설계서_계약(1차년도)_1 2" xfId="54" xr:uid="{00000000-0005-0000-0000-000039000000}"/>
    <cellStyle name="_김천시설계서(제출용)" xfId="55" xr:uid="{00000000-0005-0000-0000-00003A000000}"/>
    <cellStyle name="_김천시설계서(제출용) 2" xfId="56" xr:uid="{00000000-0005-0000-0000-00003B000000}"/>
    <cellStyle name="_김포시 UIS-설계내역서" xfId="57" xr:uid="{00000000-0005-0000-0000-00003C000000}"/>
    <cellStyle name="_김포시 UIS-설계내역서 2" xfId="58" xr:uid="{00000000-0005-0000-0000-00003D000000}"/>
    <cellStyle name="_김해시_도로와지하시설물도공동구축사업 설계내역서.2.9" xfId="59" xr:uid="{00000000-0005-0000-0000-00003E000000}"/>
    <cellStyle name="_김해시_도로와지하시설물도공동구축사업 설계내역서.2.9 2" xfId="60" xr:uid="{00000000-0005-0000-0000-00003F000000}"/>
    <cellStyle name="_다우SW(1023)" xfId="61" xr:uid="{00000000-0005-0000-0000-000040000000}"/>
    <cellStyle name="_다우SW(1023) 2" xfId="62" xr:uid="{00000000-0005-0000-0000-000041000000}"/>
    <cellStyle name="_도로및지하시설물도공동구축사업 설계내역서.1.0" xfId="63" xr:uid="{00000000-0005-0000-0000-000042000000}"/>
    <cellStyle name="_도로및지하시설물도공동구축사업 설계내역서.1.0 2" xfId="64" xr:uid="{00000000-0005-0000-0000-000043000000}"/>
    <cellStyle name="_도로와 지하시설물도 구축사업(2차) 설계내역서_v4" xfId="65" xr:uid="{00000000-0005-0000-0000-000044000000}"/>
    <cellStyle name="_도로와 지하시설물도 구축사업(2차) 설계내역서_v4 2" xfId="66" xr:uid="{00000000-0005-0000-0000-000045000000}"/>
    <cellStyle name="_도로와 지하시설물도 시범사업 설계내역서_1.2" xfId="67" xr:uid="{00000000-0005-0000-0000-000046000000}"/>
    <cellStyle name="_도로와 지하시설물도 시범사업 설계내역서_1.2 2" xfId="68" xr:uid="{00000000-0005-0000-0000-000047000000}"/>
    <cellStyle name="_디지털산업단지견적서" xfId="69" xr:uid="{00000000-0005-0000-0000-000048000000}"/>
    <cellStyle name="_디지털산업단지견적서 2" xfId="70" xr:uid="{00000000-0005-0000-0000-000049000000}"/>
    <cellStyle name="_마케팅 3Q p650 1.45G 2way 5ea_해오름" xfId="71" xr:uid="{00000000-0005-0000-0000-00004A000000}"/>
    <cellStyle name="_문화재GIS_설계내역_040718_v3" xfId="72" xr:uid="{00000000-0005-0000-0000-00004B000000}"/>
    <cellStyle name="_문화재GIS_설계내역_040718_v3 2" xfId="73" xr:uid="{00000000-0005-0000-0000-00004C000000}"/>
    <cellStyle name="_범용 공동구축사업 설계내역서_샘플1.3" xfId="74" xr:uid="{00000000-0005-0000-0000-00004D000000}"/>
    <cellStyle name="_범용 공동구축사업 설계내역서_샘플1.3 2" xfId="75" xr:uid="{00000000-0005-0000-0000-00004E000000}"/>
    <cellStyle name="_범용 공동구축사업 설계내역서_샘플1.4" xfId="76" xr:uid="{00000000-0005-0000-0000-00004F000000}"/>
    <cellStyle name="_범용 공동구축사업 설계내역서_샘플1.4 2" xfId="77" xr:uid="{00000000-0005-0000-0000-000050000000}"/>
    <cellStyle name="_범용추가개발 설계내역서(평균가중치방식)" xfId="78" xr:uid="{00000000-0005-0000-0000-000051000000}"/>
    <cellStyle name="_범용추가개발 설계내역서(평균가중치방식) 2" xfId="79" xr:uid="{00000000-0005-0000-0000-000052000000}"/>
    <cellStyle name="_범용추가개발내역" xfId="80" xr:uid="{00000000-0005-0000-0000-000053000000}"/>
    <cellStyle name="_범용추가개발내역 2" xfId="81" xr:uid="{00000000-0005-0000-0000-000054000000}"/>
    <cellStyle name="_범용프로그램도입 예산설계서(2003기준)_1.6" xfId="82" xr:uid="{00000000-0005-0000-0000-000055000000}"/>
    <cellStyle name="_범용프로그램도입 예산설계서(2003기준)_1.6 2" xfId="83" xr:uid="{00000000-0005-0000-0000-000056000000}"/>
    <cellStyle name="_범용프로그램도입 예산설계서_1.2" xfId="84" xr:uid="{00000000-0005-0000-0000-000057000000}"/>
    <cellStyle name="_범용프로그램도입 예산설계서_1.2 2" xfId="85" xr:uid="{00000000-0005-0000-0000-000058000000}"/>
    <cellStyle name="_복사본 가격산출서(강)" xfId="86" xr:uid="{00000000-0005-0000-0000-000059000000}"/>
    <cellStyle name="_복사본 가격산출서(강) 2" xfId="87" xr:uid="{00000000-0005-0000-0000-00005A000000}"/>
    <cellStyle name="_부천시 지하시설물통합정보시스템 구축사업 설계내역서_0514(FP)" xfId="88" xr:uid="{00000000-0005-0000-0000-00005B000000}"/>
    <cellStyle name="_부천시 지하시설물통합정보시스템 구축사업 설계내역서_0514(FP) 2" xfId="89" xr:uid="{00000000-0005-0000-0000-00005C000000}"/>
    <cellStyle name="_부천시 지하시설물통합정보시스템 구축사업 설계내역서_2.1(FP)" xfId="90" xr:uid="{00000000-0005-0000-0000-00005D000000}"/>
    <cellStyle name="_부천시 지하시설물통합정보시스템 구축사업 설계내역서_2.1(FP) 2" xfId="91" xr:uid="{00000000-0005-0000-0000-00005E000000}"/>
    <cellStyle name="_부천시 현장시설물관리시스템 구축사업 설계내역서_2.1(FP)" xfId="92" xr:uid="{00000000-0005-0000-0000-00005F000000}"/>
    <cellStyle name="_부천시 현장시설물관리시스템 구축사업 설계내역서_2.1(FP) 2" xfId="93" xr:uid="{00000000-0005-0000-0000-000060000000}"/>
    <cellStyle name="_사업대가기준(최신자료)" xfId="94" xr:uid="{00000000-0005-0000-0000-000061000000}"/>
    <cellStyle name="_사업대가기준(최신자료) 2" xfId="95" xr:uid="{00000000-0005-0000-0000-000062000000}"/>
    <cellStyle name="_사천시 2차사업 설계내역서_최종(2004.6.10)" xfId="96" xr:uid="{00000000-0005-0000-0000-000063000000}"/>
    <cellStyle name="_사천시 2차사업 설계내역서_최종(2004.6.10) 2" xfId="97" xr:uid="{00000000-0005-0000-0000-000064000000}"/>
    <cellStyle name="_상하수도 범용도입 설계내역서2.0" xfId="98" xr:uid="{00000000-0005-0000-0000-000065000000}"/>
    <cellStyle name="_상하수도 범용도입 설계내역서2.0 2" xfId="99" xr:uid="{00000000-0005-0000-0000-000066000000}"/>
    <cellStyle name="_새주소웹서버" xfId="100" xr:uid="{00000000-0005-0000-0000-000067000000}"/>
    <cellStyle name="_새주소웹서버 2" xfId="101" xr:uid="{00000000-0005-0000-0000-000068000000}"/>
    <cellStyle name="_설계서(2004년 sample)" xfId="102" xr:uid="{00000000-0005-0000-0000-000069000000}"/>
    <cellStyle name="_설계서(2004년 sample) 2" xfId="103" xr:uid="{00000000-0005-0000-0000-00006A000000}"/>
    <cellStyle name="_설계서00_연기" xfId="104" xr:uid="{00000000-0005-0000-0000-00006B000000}"/>
    <cellStyle name="_설계서00_연기 2" xfId="105" xr:uid="{00000000-0005-0000-0000-00006C000000}"/>
    <cellStyle name="_설계용HW_SW_목록" xfId="106" xr:uid="{00000000-0005-0000-0000-00006D000000}"/>
    <cellStyle name="_시스템" xfId="107" xr:uid="{00000000-0005-0000-0000-00006E000000}"/>
    <cellStyle name="_시스템 2" xfId="108" xr:uid="{00000000-0005-0000-0000-00006F000000}"/>
    <cellStyle name="_시스템개발산출양식_2003" xfId="109" xr:uid="{00000000-0005-0000-0000-000070000000}"/>
    <cellStyle name="_시스템개발산출양식_2003 2" xfId="110" xr:uid="{00000000-0005-0000-0000-000071000000}"/>
    <cellStyle name="_시스템설계서(7_26)." xfId="111" xr:uid="{00000000-0005-0000-0000-000072000000}"/>
    <cellStyle name="_시스템설계서(7_26). 2" xfId="112" xr:uid="{00000000-0005-0000-0000-000073000000}"/>
    <cellStyle name="_안성시 GIS 총괄 설계내역서_1.0" xfId="113" xr:uid="{00000000-0005-0000-0000-000074000000}"/>
    <cellStyle name="_안성시 GIS 총괄 설계내역서_1.0 2" xfId="114" xr:uid="{00000000-0005-0000-0000-000075000000}"/>
    <cellStyle name="_울산시총괄안-20030509v1" xfId="115" xr:uid="{00000000-0005-0000-0000-000076000000}"/>
    <cellStyle name="_울산시총괄안-20030509v1 2" xfId="116" xr:uid="{00000000-0005-0000-0000-000077000000}"/>
    <cellStyle name="_웹기반 범용프로그램 기본설계용역 예산설계서_050322" xfId="117" xr:uid="{00000000-0005-0000-0000-000078000000}"/>
    <cellStyle name="_웹기반 범용프로그램 기본설계용역 예산설계서_050322 2" xfId="118" xr:uid="{00000000-0005-0000-0000-000079000000}"/>
    <cellStyle name="_웹기반 수치지도 활용시스템 도입 설계서_1.1" xfId="119" xr:uid="{00000000-0005-0000-0000-00007A000000}"/>
    <cellStyle name="_웹기반 수치지도 활용시스템 도입 설계서_1.1 2" xfId="120" xr:uid="{00000000-0005-0000-0000-00007B000000}"/>
    <cellStyle name="_웹기반 수치지도 활용시스템 도입 설계서_2.0" xfId="121" xr:uid="{00000000-0005-0000-0000-00007C000000}"/>
    <cellStyle name="_웹기반 수치지도 활용시스템 도입 설계서_2.0 2" xfId="122" xr:uid="{00000000-0005-0000-0000-00007D000000}"/>
    <cellStyle name="_의정부  상하수도 설계내역서_1.2" xfId="123" xr:uid="{00000000-0005-0000-0000-00007E000000}"/>
    <cellStyle name="_의정부  상하수도 설계내역서_1.2 2" xfId="124" xr:uid="{00000000-0005-0000-0000-00007F000000}"/>
    <cellStyle name="_의정부_설계내역서" xfId="125" xr:uid="{00000000-0005-0000-0000-000080000000}"/>
    <cellStyle name="_의정부_설계내역서 2" xfId="126" xr:uid="{00000000-0005-0000-0000-000081000000}"/>
    <cellStyle name="_의정부_설계내역서(제출용)" xfId="127" xr:uid="{00000000-0005-0000-0000-000082000000}"/>
    <cellStyle name="_의정부_설계내역서(제출용) 2" xfId="128" xr:uid="{00000000-0005-0000-0000-000083000000}"/>
    <cellStyle name="_인증견적자료" xfId="129" xr:uid="{00000000-0005-0000-0000-000084000000}"/>
    <cellStyle name="_인증견적자료 2" xfId="130" xr:uid="{00000000-0005-0000-0000-000085000000}"/>
    <cellStyle name="_인천시 지하시설물통합정보시스템 구축사업 설계내역서_0514(FP)" xfId="131" xr:uid="{00000000-0005-0000-0000-000086000000}"/>
    <cellStyle name="_인천시 지하시설물통합정보시스템 구축사업 설계내역서_0514(FP) 2" xfId="132" xr:uid="{00000000-0005-0000-0000-000087000000}"/>
    <cellStyle name="_인트라넷개발내역" xfId="133" xr:uid="{00000000-0005-0000-0000-000088000000}"/>
    <cellStyle name="_인트라넷개발내역 2" xfId="134" xr:uid="{00000000-0005-0000-0000-000089000000}"/>
    <cellStyle name="_장비견적분석" xfId="135" xr:uid="{00000000-0005-0000-0000-00008A000000}"/>
    <cellStyle name="_장비견적분석 2" xfId="136" xr:uid="{00000000-0005-0000-0000-00008B000000}"/>
    <cellStyle name="_조달청_계약내역(기성1차)" xfId="137" xr:uid="{00000000-0005-0000-0000-00008C000000}"/>
    <cellStyle name="_조달청_계약내역(기성1차) 2" xfId="138" xr:uid="{00000000-0005-0000-0000-00008D000000}"/>
    <cellStyle name="_지하시설물관리현장지원시스템구축 산출내역서_1.0" xfId="139" xr:uid="{00000000-0005-0000-0000-00008E000000}"/>
    <cellStyle name="_지하시설물관리현장지원시스템구축 산출내역서_1.0 2" xfId="140" xr:uid="{00000000-0005-0000-0000-00008F000000}"/>
    <cellStyle name="_지하시설물통합관리설계내역서_1.0" xfId="141" xr:uid="{00000000-0005-0000-0000-000090000000}"/>
    <cellStyle name="_지하시설물통합관리설계내역서_1.0 2" xfId="142" xr:uid="{00000000-0005-0000-0000-000091000000}"/>
    <cellStyle name="_코마스HW(1023)" xfId="143" xr:uid="{00000000-0005-0000-0000-000092000000}"/>
    <cellStyle name="_코마스HW(1023) 2" xfId="144" xr:uid="{00000000-0005-0000-0000-000093000000}"/>
    <cellStyle name="_항공사진_관리시스템_아세아_2차" xfId="145" xr:uid="{00000000-0005-0000-0000-000094000000}"/>
    <cellStyle name="_항공사진_관리시스템_아세아_2차 2" xfId="146" xr:uid="{00000000-0005-0000-0000-000095000000}"/>
    <cellStyle name="’E‰Y [0.00]_laroux" xfId="366" xr:uid="{00000000-0005-0000-0000-000071010000}"/>
    <cellStyle name="’E‰Y_laroux" xfId="367" xr:uid="{00000000-0005-0000-0000-000072010000}"/>
    <cellStyle name="¤@?e_TEST-1 " xfId="361" xr:uid="{00000000-0005-0000-0000-00006C010000}"/>
    <cellStyle name="0,0 NA " xfId="7" xr:uid="{00000000-0005-0000-0000-00000A000000}"/>
    <cellStyle name="A¨­￠￢￠O [0]_INQUIRY ￠?￥i¨u¡AAⓒ￢Aⓒª " xfId="153" xr:uid="{00000000-0005-0000-0000-00009C000000}"/>
    <cellStyle name="A¨­￠￢￠O_INQUIRY ￠?￥i¨u¡AAⓒ￢Aⓒª " xfId="154" xr:uid="{00000000-0005-0000-0000-00009D000000}"/>
    <cellStyle name="AeE­ [0]_°eE¹_11¿a½A " xfId="149" xr:uid="{00000000-0005-0000-0000-000098000000}"/>
    <cellStyle name="AeE­_°eE¹_11¿a½A " xfId="150" xr:uid="{00000000-0005-0000-0000-000099000000}"/>
    <cellStyle name="AeE¡ⓒ [0]_INQUIRY ￠?￥i¨u¡AAⓒ￢Aⓒª " xfId="147" xr:uid="{00000000-0005-0000-0000-000096000000}"/>
    <cellStyle name="AeE¡ⓒ_INQUIRY ￠?￥i¨u¡AAⓒ￢Aⓒª " xfId="148" xr:uid="{00000000-0005-0000-0000-000097000000}"/>
    <cellStyle name="ALIGNMENT" xfId="151" xr:uid="{00000000-0005-0000-0000-00009A000000}"/>
    <cellStyle name="ALIGNMENT 2" xfId="152" xr:uid="{00000000-0005-0000-0000-00009B000000}"/>
    <cellStyle name="AÞ¸¶ [0]_°eE¹_11¿a½A " xfId="155" xr:uid="{00000000-0005-0000-0000-00009E000000}"/>
    <cellStyle name="AÞ¸¶_°eE¹_11¿a½A " xfId="156" xr:uid="{00000000-0005-0000-0000-00009F000000}"/>
    <cellStyle name="C¡IA¨ª_¡ic¨u¡A¨￢I¨￢¡Æ AN¡Æe " xfId="219" xr:uid="{00000000-0005-0000-0000-0000DE000000}"/>
    <cellStyle name="C￥AØ_¸AAa.¼OAI " xfId="220" xr:uid="{00000000-0005-0000-0000-0000DF000000}"/>
    <cellStyle name="Calc Currency (0)" xfId="157" xr:uid="{00000000-0005-0000-0000-0000A0000000}"/>
    <cellStyle name="Calc Currency (0) 2" xfId="158" xr:uid="{00000000-0005-0000-0000-0000A1000000}"/>
    <cellStyle name="Calc Currency (0) 3" xfId="159" xr:uid="{00000000-0005-0000-0000-0000A2000000}"/>
    <cellStyle name="Calc Currency (2)" xfId="160" xr:uid="{00000000-0005-0000-0000-0000A3000000}"/>
    <cellStyle name="Calc Currency (2) 2" xfId="161" xr:uid="{00000000-0005-0000-0000-0000A4000000}"/>
    <cellStyle name="Calc Currency (2) 3" xfId="162" xr:uid="{00000000-0005-0000-0000-0000A5000000}"/>
    <cellStyle name="Calc Percent (0)" xfId="163" xr:uid="{00000000-0005-0000-0000-0000A6000000}"/>
    <cellStyle name="Calc Percent (0) 2" xfId="164" xr:uid="{00000000-0005-0000-0000-0000A7000000}"/>
    <cellStyle name="Calc Percent (0) 3" xfId="165" xr:uid="{00000000-0005-0000-0000-0000A8000000}"/>
    <cellStyle name="Calc Percent (1)" xfId="166" xr:uid="{00000000-0005-0000-0000-0000A9000000}"/>
    <cellStyle name="Calc Percent (1) 2" xfId="167" xr:uid="{00000000-0005-0000-0000-0000AA000000}"/>
    <cellStyle name="Calc Percent (1) 3" xfId="168" xr:uid="{00000000-0005-0000-0000-0000AB000000}"/>
    <cellStyle name="Calc Percent (2)" xfId="169" xr:uid="{00000000-0005-0000-0000-0000AC000000}"/>
    <cellStyle name="Calc Percent (2) 2" xfId="170" xr:uid="{00000000-0005-0000-0000-0000AD000000}"/>
    <cellStyle name="Calc Percent (2) 3" xfId="171" xr:uid="{00000000-0005-0000-0000-0000AE000000}"/>
    <cellStyle name="Calc Units (0)" xfId="172" xr:uid="{00000000-0005-0000-0000-0000AF000000}"/>
    <cellStyle name="Calc Units (0) 2" xfId="173" xr:uid="{00000000-0005-0000-0000-0000B0000000}"/>
    <cellStyle name="Calc Units (0) 3" xfId="174" xr:uid="{00000000-0005-0000-0000-0000B1000000}"/>
    <cellStyle name="Calc Units (1)" xfId="175" xr:uid="{00000000-0005-0000-0000-0000B2000000}"/>
    <cellStyle name="Calc Units (1) 2" xfId="176" xr:uid="{00000000-0005-0000-0000-0000B3000000}"/>
    <cellStyle name="Calc Units (1) 3" xfId="177" xr:uid="{00000000-0005-0000-0000-0000B4000000}"/>
    <cellStyle name="Calc Units (2)" xfId="178" xr:uid="{00000000-0005-0000-0000-0000B5000000}"/>
    <cellStyle name="Calc Units (2) 2" xfId="179" xr:uid="{00000000-0005-0000-0000-0000B6000000}"/>
    <cellStyle name="Calc Units (2) 3" xfId="180" xr:uid="{00000000-0005-0000-0000-0000B7000000}"/>
    <cellStyle name="category" xfId="181" xr:uid="{00000000-0005-0000-0000-0000B8000000}"/>
    <cellStyle name="category 2" xfId="182" xr:uid="{00000000-0005-0000-0000-0000B9000000}"/>
    <cellStyle name="Comma" xfId="183" xr:uid="{00000000-0005-0000-0000-0000BA000000}"/>
    <cellStyle name="Comma [0]" xfId="188" xr:uid="{00000000-0005-0000-0000-0000BF000000}"/>
    <cellStyle name="Comma [0] 2" xfId="189" xr:uid="{00000000-0005-0000-0000-0000C0000000}"/>
    <cellStyle name="Comma [0] 3" xfId="190" xr:uid="{00000000-0005-0000-0000-0000C1000000}"/>
    <cellStyle name="Comma [00]" xfId="185" xr:uid="{00000000-0005-0000-0000-0000BC000000}"/>
    <cellStyle name="Comma [00] 2" xfId="186" xr:uid="{00000000-0005-0000-0000-0000BD000000}"/>
    <cellStyle name="Comma [00] 3" xfId="187" xr:uid="{00000000-0005-0000-0000-0000BE000000}"/>
    <cellStyle name="Comma 2" xfId="184" xr:uid="{00000000-0005-0000-0000-0000BB000000}"/>
    <cellStyle name="comma zerodec" xfId="191" xr:uid="{00000000-0005-0000-0000-0000C2000000}"/>
    <cellStyle name="comma zerodec 2" xfId="192" xr:uid="{00000000-0005-0000-0000-0000C3000000}"/>
    <cellStyle name="comma zerodec 3" xfId="193" xr:uid="{00000000-0005-0000-0000-0000C4000000}"/>
    <cellStyle name="Comma_ SG&amp;A Bridge " xfId="196" xr:uid="{00000000-0005-0000-0000-0000C7000000}"/>
    <cellStyle name="Comma0" xfId="194" xr:uid="{00000000-0005-0000-0000-0000C5000000}"/>
    <cellStyle name="Comma0 2" xfId="195" xr:uid="{00000000-0005-0000-0000-0000C6000000}"/>
    <cellStyle name="Commm_laroux_12~3SO2_97회비_laroux" xfId="197" xr:uid="{00000000-0005-0000-0000-0000C8000000}"/>
    <cellStyle name="Copied" xfId="198" xr:uid="{00000000-0005-0000-0000-0000C9000000}"/>
    <cellStyle name="Copied 2" xfId="199" xr:uid="{00000000-0005-0000-0000-0000CA000000}"/>
    <cellStyle name="Curren?_x0012_퐀_x0017_?" xfId="200" xr:uid="{00000000-0005-0000-0000-0000CB000000}"/>
    <cellStyle name="Curren?_x0012_퐀_x0017_? 2" xfId="201" xr:uid="{00000000-0005-0000-0000-0000CC000000}"/>
    <cellStyle name="Currency" xfId="202" xr:uid="{00000000-0005-0000-0000-0000CD000000}"/>
    <cellStyle name="Currency [0]" xfId="210" xr:uid="{00000000-0005-0000-0000-0000D5000000}"/>
    <cellStyle name="Currency [0] 2" xfId="211" xr:uid="{00000000-0005-0000-0000-0000D6000000}"/>
    <cellStyle name="Currency [00]" xfId="207" xr:uid="{00000000-0005-0000-0000-0000D2000000}"/>
    <cellStyle name="Currency [00] 2" xfId="208" xr:uid="{00000000-0005-0000-0000-0000D3000000}"/>
    <cellStyle name="Currency [00] 3" xfId="209" xr:uid="{00000000-0005-0000-0000-0000D4000000}"/>
    <cellStyle name="Currency 2" xfId="203" xr:uid="{00000000-0005-0000-0000-0000CE000000}"/>
    <cellStyle name="Currency 3" xfId="204" xr:uid="{00000000-0005-0000-0000-0000CF000000}"/>
    <cellStyle name="Currency 4" xfId="205" xr:uid="{00000000-0005-0000-0000-0000D0000000}"/>
    <cellStyle name="Currency 5" xfId="206" xr:uid="{00000000-0005-0000-0000-0000D1000000}"/>
    <cellStyle name="Currency_ SG&amp;A Bridge " xfId="218" xr:uid="{00000000-0005-0000-0000-0000DD000000}"/>
    <cellStyle name="Currency0" xfId="212" xr:uid="{00000000-0005-0000-0000-0000D7000000}"/>
    <cellStyle name="Currency0 2" xfId="213" xr:uid="{00000000-0005-0000-0000-0000D8000000}"/>
    <cellStyle name="Currency0 3" xfId="214" xr:uid="{00000000-0005-0000-0000-0000D9000000}"/>
    <cellStyle name="Currency1" xfId="215" xr:uid="{00000000-0005-0000-0000-0000DA000000}"/>
    <cellStyle name="Currency1 2" xfId="216" xr:uid="{00000000-0005-0000-0000-0000DB000000}"/>
    <cellStyle name="Currency1 3" xfId="217" xr:uid="{00000000-0005-0000-0000-0000DC000000}"/>
    <cellStyle name="Date" xfId="221" xr:uid="{00000000-0005-0000-0000-0000E0000000}"/>
    <cellStyle name="Date 2" xfId="222" xr:uid="{00000000-0005-0000-0000-0000E1000000}"/>
    <cellStyle name="Date 3" xfId="223" xr:uid="{00000000-0005-0000-0000-0000E2000000}"/>
    <cellStyle name="Date Short" xfId="224" xr:uid="{00000000-0005-0000-0000-0000E3000000}"/>
    <cellStyle name="Date_2.웹기반지하내역서(최종)" xfId="225" xr:uid="{00000000-0005-0000-0000-0000E4000000}"/>
    <cellStyle name="Dezimal [0]_laroux" xfId="226" xr:uid="{00000000-0005-0000-0000-0000E5000000}"/>
    <cellStyle name="Dezimal_laroux" xfId="227" xr:uid="{00000000-0005-0000-0000-0000E6000000}"/>
    <cellStyle name="discount" xfId="228" xr:uid="{00000000-0005-0000-0000-0000E7000000}"/>
    <cellStyle name="Dollar (zero dec)" xfId="229" xr:uid="{00000000-0005-0000-0000-0000E8000000}"/>
    <cellStyle name="Dollar (zero dec) 2" xfId="230" xr:uid="{00000000-0005-0000-0000-0000E9000000}"/>
    <cellStyle name="Dollar (zero dec) 3" xfId="231" xr:uid="{00000000-0005-0000-0000-0000EA000000}"/>
    <cellStyle name="Enter Currency (0)" xfId="232" xr:uid="{00000000-0005-0000-0000-0000EB000000}"/>
    <cellStyle name="Enter Currency (0) 2" xfId="233" xr:uid="{00000000-0005-0000-0000-0000EC000000}"/>
    <cellStyle name="Enter Currency (0) 3" xfId="234" xr:uid="{00000000-0005-0000-0000-0000ED000000}"/>
    <cellStyle name="Enter Currency (2)" xfId="235" xr:uid="{00000000-0005-0000-0000-0000EE000000}"/>
    <cellStyle name="Enter Currency (2) 2" xfId="236" xr:uid="{00000000-0005-0000-0000-0000EF000000}"/>
    <cellStyle name="Enter Currency (2) 3" xfId="237" xr:uid="{00000000-0005-0000-0000-0000F0000000}"/>
    <cellStyle name="Enter Units (0)" xfId="238" xr:uid="{00000000-0005-0000-0000-0000F1000000}"/>
    <cellStyle name="Enter Units (0) 2" xfId="239" xr:uid="{00000000-0005-0000-0000-0000F2000000}"/>
    <cellStyle name="Enter Units (0) 3" xfId="240" xr:uid="{00000000-0005-0000-0000-0000F3000000}"/>
    <cellStyle name="Enter Units (1)" xfId="241" xr:uid="{00000000-0005-0000-0000-0000F4000000}"/>
    <cellStyle name="Enter Units (1) 2" xfId="242" xr:uid="{00000000-0005-0000-0000-0000F5000000}"/>
    <cellStyle name="Enter Units (1) 3" xfId="243" xr:uid="{00000000-0005-0000-0000-0000F6000000}"/>
    <cellStyle name="Enter Units (2)" xfId="244" xr:uid="{00000000-0005-0000-0000-0000F7000000}"/>
    <cellStyle name="Enter Units (2) 2" xfId="245" xr:uid="{00000000-0005-0000-0000-0000F8000000}"/>
    <cellStyle name="Enter Units (2) 3" xfId="246" xr:uid="{00000000-0005-0000-0000-0000F9000000}"/>
    <cellStyle name="Entered" xfId="247" xr:uid="{00000000-0005-0000-0000-0000FA000000}"/>
    <cellStyle name="Entered 2" xfId="248" xr:uid="{00000000-0005-0000-0000-0000FB000000}"/>
    <cellStyle name="Fixed" xfId="249" xr:uid="{00000000-0005-0000-0000-0000FC000000}"/>
    <cellStyle name="Fixed 2" xfId="250" xr:uid="{00000000-0005-0000-0000-0000FD000000}"/>
    <cellStyle name="Fixed 3" xfId="251" xr:uid="{00000000-0005-0000-0000-0000FE000000}"/>
    <cellStyle name="Grey" xfId="252" xr:uid="{00000000-0005-0000-0000-0000FF000000}"/>
    <cellStyle name="Grey 2" xfId="253" xr:uid="{00000000-0005-0000-0000-000000010000}"/>
    <cellStyle name="HEADER" xfId="254" xr:uid="{00000000-0005-0000-0000-000001010000}"/>
    <cellStyle name="HEADER 2" xfId="255" xr:uid="{00000000-0005-0000-0000-000002010000}"/>
    <cellStyle name="Header1" xfId="256" xr:uid="{00000000-0005-0000-0000-000003010000}"/>
    <cellStyle name="Header1 2" xfId="257" xr:uid="{00000000-0005-0000-0000-000004010000}"/>
    <cellStyle name="Header2" xfId="258" xr:uid="{00000000-0005-0000-0000-000005010000}"/>
    <cellStyle name="Header2 2" xfId="259" xr:uid="{00000000-0005-0000-0000-000006010000}"/>
    <cellStyle name="Heading 1 2" xfId="261" xr:uid="{00000000-0005-0000-0000-000008010000}"/>
    <cellStyle name="Heading 2 2" xfId="263" xr:uid="{00000000-0005-0000-0000-00000A010000}"/>
    <cellStyle name="heading, 1,A MAJOR/BOLD" xfId="264" xr:uid="{00000000-0005-0000-0000-00000B010000}"/>
    <cellStyle name="Heading1 2" xfId="265" xr:uid="{00000000-0005-0000-0000-00000C010000}"/>
    <cellStyle name="Heading1 3" xfId="266" xr:uid="{00000000-0005-0000-0000-00000D010000}"/>
    <cellStyle name="Heading2" xfId="267" xr:uid="{00000000-0005-0000-0000-00000E010000}"/>
    <cellStyle name="Heading2 2" xfId="268" xr:uid="{00000000-0005-0000-0000-00000F010000}"/>
    <cellStyle name="Heading2 3" xfId="269" xr:uid="{00000000-0005-0000-0000-000010010000}"/>
    <cellStyle name="HelpStyle" xfId="270" xr:uid="{00000000-0005-0000-0000-000011010000}"/>
    <cellStyle name="HelpStyle 2" xfId="271" xr:uid="{00000000-0005-0000-0000-000012010000}"/>
    <cellStyle name="Input [yellow]" xfId="273" xr:uid="{00000000-0005-0000-0000-000014010000}"/>
    <cellStyle name="Input [yellow] 2" xfId="274" xr:uid="{00000000-0005-0000-0000-000015010000}"/>
    <cellStyle name="Komma [0]_BINV" xfId="275" xr:uid="{00000000-0005-0000-0000-000016010000}"/>
    <cellStyle name="Komma_BINV" xfId="276" xr:uid="{00000000-0005-0000-0000-000017010000}"/>
    <cellStyle name="left" xfId="277" xr:uid="{00000000-0005-0000-0000-000018010000}"/>
    <cellStyle name="left 2" xfId="278" xr:uid="{00000000-0005-0000-0000-000019010000}"/>
    <cellStyle name="Link Currency (0)" xfId="279" xr:uid="{00000000-0005-0000-0000-00001A010000}"/>
    <cellStyle name="Link Currency (0) 2" xfId="280" xr:uid="{00000000-0005-0000-0000-00001B010000}"/>
    <cellStyle name="Link Currency (0) 3" xfId="281" xr:uid="{00000000-0005-0000-0000-00001C010000}"/>
    <cellStyle name="Link Currency (2)" xfId="282" xr:uid="{00000000-0005-0000-0000-00001D010000}"/>
    <cellStyle name="Link Currency (2) 2" xfId="283" xr:uid="{00000000-0005-0000-0000-00001E010000}"/>
    <cellStyle name="Link Currency (2) 3" xfId="284" xr:uid="{00000000-0005-0000-0000-00001F010000}"/>
    <cellStyle name="Link Units (0)" xfId="285" xr:uid="{00000000-0005-0000-0000-000020010000}"/>
    <cellStyle name="Link Units (0) 2" xfId="286" xr:uid="{00000000-0005-0000-0000-000021010000}"/>
    <cellStyle name="Link Units (0) 3" xfId="287" xr:uid="{00000000-0005-0000-0000-000022010000}"/>
    <cellStyle name="Link Units (1)" xfId="288" xr:uid="{00000000-0005-0000-0000-000023010000}"/>
    <cellStyle name="Link Units (1) 2" xfId="289" xr:uid="{00000000-0005-0000-0000-000024010000}"/>
    <cellStyle name="Link Units (1) 3" xfId="290" xr:uid="{00000000-0005-0000-0000-000025010000}"/>
    <cellStyle name="Link Units (2)" xfId="291" xr:uid="{00000000-0005-0000-0000-000026010000}"/>
    <cellStyle name="Link Units (2) 2" xfId="292" xr:uid="{00000000-0005-0000-0000-000027010000}"/>
    <cellStyle name="Link Units (2) 3" xfId="293" xr:uid="{00000000-0005-0000-0000-000028010000}"/>
    <cellStyle name="Milliers [0]_Arabian Spec" xfId="294" xr:uid="{00000000-0005-0000-0000-000029010000}"/>
    <cellStyle name="Milliers_Arabian Spec" xfId="295" xr:uid="{00000000-0005-0000-0000-00002A010000}"/>
    <cellStyle name="Model" xfId="296" xr:uid="{00000000-0005-0000-0000-00002B010000}"/>
    <cellStyle name="Model 2" xfId="297" xr:uid="{00000000-0005-0000-0000-00002C010000}"/>
    <cellStyle name="Mon?aire [0]_Arabian Spec" xfId="298" xr:uid="{00000000-0005-0000-0000-00002D010000}"/>
    <cellStyle name="Mon?aire_Arabian Spec" xfId="299" xr:uid="{00000000-0005-0000-0000-00002E010000}"/>
    <cellStyle name="no dec" xfId="300" xr:uid="{00000000-0005-0000-0000-00002F010000}"/>
    <cellStyle name="no dec 2" xfId="301" xr:uid="{00000000-0005-0000-0000-000030010000}"/>
    <cellStyle name="Normal - Style1" xfId="302" xr:uid="{00000000-0005-0000-0000-000031010000}"/>
    <cellStyle name="Normal - Style1 2" xfId="303" xr:uid="{00000000-0005-0000-0000-000032010000}"/>
    <cellStyle name="Normal_ SG&amp;A Bridge " xfId="304" xr:uid="{00000000-0005-0000-0000-000033010000}"/>
    <cellStyle name="Œ…?æ맖?e [0.00]_laroux" xfId="362" xr:uid="{00000000-0005-0000-0000-00006D010000}"/>
    <cellStyle name="Œ…?æ맖?e_laroux" xfId="363" xr:uid="{00000000-0005-0000-0000-00006E010000}"/>
    <cellStyle name="Œ…‹æØ‚è [0.00]_laroux" xfId="364" xr:uid="{00000000-0005-0000-0000-00006F010000}"/>
    <cellStyle name="Œ…‹æØ‚è_laroux" xfId="365" xr:uid="{00000000-0005-0000-0000-000070010000}"/>
    <cellStyle name="Percent" xfId="305" xr:uid="{00000000-0005-0000-0000-000034010000}"/>
    <cellStyle name="Percent [0]" xfId="313" xr:uid="{00000000-0005-0000-0000-00003C010000}"/>
    <cellStyle name="Percent [0] 2" xfId="314" xr:uid="{00000000-0005-0000-0000-00003D010000}"/>
    <cellStyle name="Percent [0] 3" xfId="315" xr:uid="{00000000-0005-0000-0000-00003E010000}"/>
    <cellStyle name="Percent [00]" xfId="310" xr:uid="{00000000-0005-0000-0000-000039010000}"/>
    <cellStyle name="Percent [00] 2" xfId="311" xr:uid="{00000000-0005-0000-0000-00003A010000}"/>
    <cellStyle name="Percent [00] 3" xfId="312" xr:uid="{00000000-0005-0000-0000-00003B010000}"/>
    <cellStyle name="Percent [2]" xfId="316" xr:uid="{00000000-0005-0000-0000-00003F010000}"/>
    <cellStyle name="Percent [2] 2" xfId="317" xr:uid="{00000000-0005-0000-0000-000040010000}"/>
    <cellStyle name="Percent 2" xfId="306" xr:uid="{00000000-0005-0000-0000-000035010000}"/>
    <cellStyle name="Percent 3" xfId="307" xr:uid="{00000000-0005-0000-0000-000036010000}"/>
    <cellStyle name="Percent 4" xfId="308" xr:uid="{00000000-0005-0000-0000-000037010000}"/>
    <cellStyle name="Percent 5" xfId="309" xr:uid="{00000000-0005-0000-0000-000038010000}"/>
    <cellStyle name="Percent_#6 Temps &amp; Contractors" xfId="318" xr:uid="{00000000-0005-0000-0000-000041010000}"/>
    <cellStyle name="PrePop Currency (0)" xfId="319" xr:uid="{00000000-0005-0000-0000-000042010000}"/>
    <cellStyle name="PrePop Currency (0) 2" xfId="320" xr:uid="{00000000-0005-0000-0000-000043010000}"/>
    <cellStyle name="PrePop Currency (0) 3" xfId="321" xr:uid="{00000000-0005-0000-0000-000044010000}"/>
    <cellStyle name="PrePop Currency (2)" xfId="322" xr:uid="{00000000-0005-0000-0000-000045010000}"/>
    <cellStyle name="PrePop Currency (2) 2" xfId="323" xr:uid="{00000000-0005-0000-0000-000046010000}"/>
    <cellStyle name="PrePop Currency (2) 3" xfId="324" xr:uid="{00000000-0005-0000-0000-000047010000}"/>
    <cellStyle name="PrePop Units (0)" xfId="325" xr:uid="{00000000-0005-0000-0000-000048010000}"/>
    <cellStyle name="PrePop Units (0) 2" xfId="326" xr:uid="{00000000-0005-0000-0000-000049010000}"/>
    <cellStyle name="PrePop Units (0) 3" xfId="327" xr:uid="{00000000-0005-0000-0000-00004A010000}"/>
    <cellStyle name="PrePop Units (1)" xfId="328" xr:uid="{00000000-0005-0000-0000-00004B010000}"/>
    <cellStyle name="PrePop Units (1) 2" xfId="329" xr:uid="{00000000-0005-0000-0000-00004C010000}"/>
    <cellStyle name="PrePop Units (1) 3" xfId="330" xr:uid="{00000000-0005-0000-0000-00004D010000}"/>
    <cellStyle name="PrePop Units (2)" xfId="331" xr:uid="{00000000-0005-0000-0000-00004E010000}"/>
    <cellStyle name="PrePop Units (2) 2" xfId="332" xr:uid="{00000000-0005-0000-0000-00004F010000}"/>
    <cellStyle name="PrePop Units (2) 3" xfId="333" xr:uid="{00000000-0005-0000-0000-000050010000}"/>
    <cellStyle name="Prices" xfId="334" xr:uid="{00000000-0005-0000-0000-000051010000}"/>
    <cellStyle name="Procent_BINV" xfId="335" xr:uid="{00000000-0005-0000-0000-000052010000}"/>
    <cellStyle name="RevList" xfId="336" xr:uid="{00000000-0005-0000-0000-000053010000}"/>
    <cellStyle name="RevList 2" xfId="337" xr:uid="{00000000-0005-0000-0000-000054010000}"/>
    <cellStyle name="RevList 3" xfId="338" xr:uid="{00000000-0005-0000-0000-000055010000}"/>
    <cellStyle name="Standaard_BINV" xfId="339" xr:uid="{00000000-0005-0000-0000-000056010000}"/>
    <cellStyle name="Standard_laroux" xfId="340" xr:uid="{00000000-0005-0000-0000-000057010000}"/>
    <cellStyle name="subhead" xfId="341" xr:uid="{00000000-0005-0000-0000-000058010000}"/>
    <cellStyle name="subhead 2" xfId="342" xr:uid="{00000000-0005-0000-0000-000059010000}"/>
    <cellStyle name="Subtotal" xfId="343" xr:uid="{00000000-0005-0000-0000-00005A010000}"/>
    <cellStyle name="Subtotal 2" xfId="344" xr:uid="{00000000-0005-0000-0000-00005B010000}"/>
    <cellStyle name="Text Indent A" xfId="345" xr:uid="{00000000-0005-0000-0000-00005C010000}"/>
    <cellStyle name="Text Indent B" xfId="346" xr:uid="{00000000-0005-0000-0000-00005D010000}"/>
    <cellStyle name="Text Indent B 2" xfId="347" xr:uid="{00000000-0005-0000-0000-00005E010000}"/>
    <cellStyle name="Text Indent B 3" xfId="348" xr:uid="{00000000-0005-0000-0000-00005F010000}"/>
    <cellStyle name="Text Indent C" xfId="349" xr:uid="{00000000-0005-0000-0000-000060010000}"/>
    <cellStyle name="Text Indent C 2" xfId="350" xr:uid="{00000000-0005-0000-0000-000061010000}"/>
    <cellStyle name="Text Indent C 3" xfId="351" xr:uid="{00000000-0005-0000-0000-000062010000}"/>
    <cellStyle name="Total" xfId="352" xr:uid="{00000000-0005-0000-0000-000063010000}"/>
    <cellStyle name="Total 2" xfId="353" xr:uid="{00000000-0005-0000-0000-000064010000}"/>
    <cellStyle name="Total 3" xfId="354" xr:uid="{00000000-0005-0000-0000-000065010000}"/>
    <cellStyle name="Valuta [0]_BINV" xfId="355" xr:uid="{00000000-0005-0000-0000-000066010000}"/>
    <cellStyle name="Valuta_BINV" xfId="356" xr:uid="{00000000-0005-0000-0000-000067010000}"/>
    <cellStyle name="W?rung [0]_laroux" xfId="357" xr:uid="{00000000-0005-0000-0000-000068010000}"/>
    <cellStyle name="W?rung_laroux" xfId="358" xr:uid="{00000000-0005-0000-0000-000069010000}"/>
    <cellStyle name="wrap" xfId="359" xr:uid="{00000000-0005-0000-0000-00006A010000}"/>
    <cellStyle name="wrap 2" xfId="360" xr:uid="{00000000-0005-0000-0000-00006B010000}"/>
    <cellStyle name="咬訌裝?INCOM1" xfId="371" xr:uid="{00000000-0005-0000-0000-000076010000}"/>
    <cellStyle name="咬訌裝?INCOM10" xfId="372" xr:uid="{00000000-0005-0000-0000-000077010000}"/>
    <cellStyle name="咬訌裝?INCOM2" xfId="373" xr:uid="{00000000-0005-0000-0000-000078010000}"/>
    <cellStyle name="咬訌裝?INCOM3" xfId="374" xr:uid="{00000000-0005-0000-0000-000079010000}"/>
    <cellStyle name="咬訌裝?INCOM4" xfId="375" xr:uid="{00000000-0005-0000-0000-00007A010000}"/>
    <cellStyle name="咬訌裝?INCOM5" xfId="376" xr:uid="{00000000-0005-0000-0000-00007B010000}"/>
    <cellStyle name="咬訌裝?INCOM6" xfId="377" xr:uid="{00000000-0005-0000-0000-00007C010000}"/>
    <cellStyle name="咬訌裝?INCOM7" xfId="378" xr:uid="{00000000-0005-0000-0000-00007D010000}"/>
    <cellStyle name="咬訌裝?INCOM8" xfId="379" xr:uid="{00000000-0005-0000-0000-00007E010000}"/>
    <cellStyle name="咬訌裝?INCOM9" xfId="380" xr:uid="{00000000-0005-0000-0000-00007F010000}"/>
    <cellStyle name="咬訌裝?PRIB11" xfId="381" xr:uid="{00000000-0005-0000-0000-000080010000}"/>
    <cellStyle name="내역서" xfId="386" xr:uid="{00000000-0005-0000-0000-000085010000}"/>
    <cellStyle name="내역서 2" xfId="387" xr:uid="{00000000-0005-0000-0000-000086010000}"/>
    <cellStyle name="뒤에 오는 하이퍼링크_0512" xfId="388" xr:uid="{00000000-0005-0000-0000-000087010000}"/>
    <cellStyle name="똿뗦먛귟 [0.00]_PRODUCT DETAIL Q1" xfId="389" xr:uid="{00000000-0005-0000-0000-000088010000}"/>
    <cellStyle name="똿뗦먛귟_PRODUCT DETAIL Q1" xfId="390" xr:uid="{00000000-0005-0000-0000-000089010000}"/>
    <cellStyle name="믅됞 [0.00]_PRODUCT DETAIL Q1" xfId="391" xr:uid="{00000000-0005-0000-0000-00008A010000}"/>
    <cellStyle name="믅됞_PRODUCT DETAIL Q1" xfId="392" xr:uid="{00000000-0005-0000-0000-00008B010000}"/>
    <cellStyle name="백분율" xfId="2" builtinId="5"/>
    <cellStyle name="백분율 2" xfId="393" xr:uid="{00000000-0005-0000-0000-00008C010000}"/>
    <cellStyle name="백분율 2 2" xfId="394" xr:uid="{00000000-0005-0000-0000-00008D010000}"/>
    <cellStyle name="백분율 2 3" xfId="395" xr:uid="{00000000-0005-0000-0000-00008E010000}"/>
    <cellStyle name="백분율 3" xfId="396" xr:uid="{00000000-0005-0000-0000-00008F010000}"/>
    <cellStyle name="백분율 3 2" xfId="397" xr:uid="{00000000-0005-0000-0000-000090010000}"/>
    <cellStyle name="백분율 4" xfId="398" xr:uid="{00000000-0005-0000-0000-000091010000}"/>
    <cellStyle name="백분율 5" xfId="399" xr:uid="{00000000-0005-0000-0000-000092010000}"/>
    <cellStyle name="뷭?_BOOKSHIP" xfId="400" xr:uid="{00000000-0005-0000-0000-000093010000}"/>
    <cellStyle name="常规_OPTION_9910" xfId="382" xr:uid="{00000000-0005-0000-0000-000081010000}"/>
    <cellStyle name="쉼표 [0]" xfId="1" builtinId="6"/>
    <cellStyle name="쉼표 [0] 10" xfId="401" xr:uid="{00000000-0005-0000-0000-000094010000}"/>
    <cellStyle name="쉼표 [0] 2" xfId="402" xr:uid="{00000000-0005-0000-0000-000095010000}"/>
    <cellStyle name="쉼표 [0] 2 2" xfId="403" xr:uid="{00000000-0005-0000-0000-000096010000}"/>
    <cellStyle name="쉼표 [0] 2 2 2" xfId="404" xr:uid="{00000000-0005-0000-0000-000097010000}"/>
    <cellStyle name="쉼표 [0] 2 2 3" xfId="405" xr:uid="{00000000-0005-0000-0000-000098010000}"/>
    <cellStyle name="쉼표 [0] 2 3" xfId="406" xr:uid="{00000000-0005-0000-0000-000099010000}"/>
    <cellStyle name="쉼표 [0] 2 3 2" xfId="407" xr:uid="{00000000-0005-0000-0000-00009A010000}"/>
    <cellStyle name="쉼표 [0] 2 4" xfId="408" xr:uid="{00000000-0005-0000-0000-00009B010000}"/>
    <cellStyle name="쉼표 [0] 2 5" xfId="409" xr:uid="{00000000-0005-0000-0000-00009C010000}"/>
    <cellStyle name="쉼표 [0] 3" xfId="410" xr:uid="{00000000-0005-0000-0000-00009D010000}"/>
    <cellStyle name="쉼표 [0] 3 2" xfId="411" xr:uid="{00000000-0005-0000-0000-00009E010000}"/>
    <cellStyle name="쉼표 [0] 3 3" xfId="412" xr:uid="{00000000-0005-0000-0000-00009F010000}"/>
    <cellStyle name="쉼표 [0] 4" xfId="413" xr:uid="{00000000-0005-0000-0000-0000A0010000}"/>
    <cellStyle name="쉼표 [0] 4 2" xfId="414" xr:uid="{00000000-0005-0000-0000-0000A1010000}"/>
    <cellStyle name="쉼표 [0] 4 3" xfId="415" xr:uid="{00000000-0005-0000-0000-0000A2010000}"/>
    <cellStyle name="쉼표 [0] 5" xfId="416" xr:uid="{00000000-0005-0000-0000-0000A3010000}"/>
    <cellStyle name="쉼표 [0] 5 2" xfId="417" xr:uid="{00000000-0005-0000-0000-0000A4010000}"/>
    <cellStyle name="쉼표 [0] 6" xfId="418" xr:uid="{00000000-0005-0000-0000-0000A5010000}"/>
    <cellStyle name="쉼표 [0] 6 2" xfId="419" xr:uid="{00000000-0005-0000-0000-0000A6010000}"/>
    <cellStyle name="쉼표 [0] 6 3" xfId="420" xr:uid="{00000000-0005-0000-0000-0000A7010000}"/>
    <cellStyle name="쉼표 [0] 7" xfId="421" xr:uid="{00000000-0005-0000-0000-0000A8010000}"/>
    <cellStyle name="쉼표 [0] 8" xfId="422" xr:uid="{00000000-0005-0000-0000-0000A9010000}"/>
    <cellStyle name="쉼표 [0] 8 2" xfId="423" xr:uid="{00000000-0005-0000-0000-0000AA010000}"/>
    <cellStyle name="쉼표 [0] 8 3" xfId="424" xr:uid="{00000000-0005-0000-0000-0000AB010000}"/>
    <cellStyle name="쉼표 [0] 9" xfId="425" xr:uid="{00000000-0005-0000-0000-0000AC010000}"/>
    <cellStyle name="스타일 1" xfId="426" xr:uid="{00000000-0005-0000-0000-0000AD010000}"/>
    <cellStyle name="스타일 1 2" xfId="427" xr:uid="{00000000-0005-0000-0000-0000AE010000}"/>
    <cellStyle name="스타일 1 3" xfId="428" xr:uid="{00000000-0005-0000-0000-0000AF010000}"/>
    <cellStyle name="안건회계법인" xfId="429" xr:uid="{00000000-0005-0000-0000-0000B0010000}"/>
    <cellStyle name="안건회계법인 2" xfId="430" xr:uid="{00000000-0005-0000-0000-0000B1010000}"/>
    <cellStyle name="一般_GARMENT STEP FORM HK" xfId="368" xr:uid="{00000000-0005-0000-0000-000073010000}"/>
    <cellStyle name="제목 1" xfId="260" xr:uid="{00000000-0005-0000-0000-000007010000}"/>
    <cellStyle name="제목 2" xfId="262" xr:uid="{00000000-0005-0000-0000-000009010000}"/>
    <cellStyle name="지정되지 않음" xfId="431" xr:uid="{00000000-0005-0000-0000-0000B2010000}"/>
    <cellStyle name="지정되지 않음 2" xfId="432" xr:uid="{00000000-0005-0000-0000-0000B3010000}"/>
    <cellStyle name="千分位[0]_GARMENT STEP FORM HK" xfId="369" xr:uid="{00000000-0005-0000-0000-000074010000}"/>
    <cellStyle name="千分位_GARMENT STEP FORM HK" xfId="370" xr:uid="{00000000-0005-0000-0000-000075010000}"/>
    <cellStyle name="콤마 [0]_ 94경비율" xfId="433" xr:uid="{00000000-0005-0000-0000-0000B4010000}"/>
    <cellStyle name="콤마_ 94경비율" xfId="434" xr:uid="{00000000-0005-0000-0000-0000B5010000}"/>
    <cellStyle name="통화 [0] 2" xfId="435" xr:uid="{00000000-0005-0000-0000-0000B6010000}"/>
    <cellStyle name="통화 [0] 3" xfId="436" xr:uid="{00000000-0005-0000-0000-0000B7010000}"/>
    <cellStyle name="표준" xfId="0" builtinId="0"/>
    <cellStyle name="표준 10" xfId="437" xr:uid="{00000000-0005-0000-0000-0000B8010000}"/>
    <cellStyle name="표준 11" xfId="438" xr:uid="{00000000-0005-0000-0000-0000B9010000}"/>
    <cellStyle name="표준 12" xfId="439" xr:uid="{00000000-0005-0000-0000-0000BA010000}"/>
    <cellStyle name="표준 2" xfId="440" xr:uid="{00000000-0005-0000-0000-0000BB010000}"/>
    <cellStyle name="표준 2 2" xfId="441" xr:uid="{00000000-0005-0000-0000-0000BC010000}"/>
    <cellStyle name="표준 2 2 2" xfId="442" xr:uid="{00000000-0005-0000-0000-0000BD010000}"/>
    <cellStyle name="표준 2 3" xfId="443" xr:uid="{00000000-0005-0000-0000-0000BE010000}"/>
    <cellStyle name="표준 2 3 2" xfId="444" xr:uid="{00000000-0005-0000-0000-0000BF010000}"/>
    <cellStyle name="표준 2 4" xfId="445" xr:uid="{00000000-0005-0000-0000-0000C0010000}"/>
    <cellStyle name="표준 3" xfId="446" xr:uid="{00000000-0005-0000-0000-0000C1010000}"/>
    <cellStyle name="표준 3 2" xfId="447" xr:uid="{00000000-0005-0000-0000-0000C2010000}"/>
    <cellStyle name="표준 3 3" xfId="448" xr:uid="{00000000-0005-0000-0000-0000C3010000}"/>
    <cellStyle name="표준 4" xfId="449" xr:uid="{00000000-0005-0000-0000-0000C4010000}"/>
    <cellStyle name="표준 4 2" xfId="450" xr:uid="{00000000-0005-0000-0000-0000C5010000}"/>
    <cellStyle name="표준 5" xfId="451" xr:uid="{00000000-0005-0000-0000-0000C6010000}"/>
    <cellStyle name="표준 5 2" xfId="452" xr:uid="{00000000-0005-0000-0000-0000C7010000}"/>
    <cellStyle name="표준 6" xfId="453" xr:uid="{00000000-0005-0000-0000-0000C8010000}"/>
    <cellStyle name="표준 6 2" xfId="454" xr:uid="{00000000-0005-0000-0000-0000C9010000}"/>
    <cellStyle name="표준 7" xfId="455" xr:uid="{00000000-0005-0000-0000-0000CA010000}"/>
    <cellStyle name="표준 7 2" xfId="456" xr:uid="{00000000-0005-0000-0000-0000CB010000}"/>
    <cellStyle name="표준 8" xfId="457" xr:uid="{00000000-0005-0000-0000-0000CC010000}"/>
    <cellStyle name="표준 9" xfId="458" xr:uid="{00000000-0005-0000-0000-0000CD010000}"/>
    <cellStyle name="표준_5 도시계획전산" xfId="459" xr:uid="{00000000-0005-0000-0000-0000CE010000}"/>
    <cellStyle name="標準_Akia(F）-8" xfId="383" xr:uid="{00000000-0005-0000-0000-000082010000}"/>
    <cellStyle name="표준_영주_도시계획도면&amp;미집행_0614_남제주-총괄설계내역서(기본,관리,적성-전체,전산화,지형)-2안-040903 2" xfId="460" xr:uid="{00000000-0005-0000-0000-0000CF010000}"/>
    <cellStyle name="표준_천안_기성(1차)설계내역서_060912" xfId="461" xr:uid="{00000000-0005-0000-0000-0000D0010000}"/>
    <cellStyle name="하이퍼링크" xfId="272" xr:uid="{00000000-0005-0000-0000-000013010000}"/>
    <cellStyle name="하이퍼링크 2" xfId="462" xr:uid="{00000000-0005-0000-0000-0000D1010000}"/>
    <cellStyle name="합계" xfId="463" xr:uid="{00000000-0005-0000-0000-0000D2010000}"/>
    <cellStyle name="합계 2" xfId="464" xr:uid="{00000000-0005-0000-0000-0000D3010000}"/>
    <cellStyle name="합계 2 2" xfId="465" xr:uid="{00000000-0005-0000-0000-0000D4010000}"/>
    <cellStyle name="합계 3" xfId="466" xr:uid="{00000000-0005-0000-0000-0000D5010000}"/>
    <cellStyle name="貨幣 [0]_GARMENT STEP FORM HK" xfId="384" xr:uid="{00000000-0005-0000-0000-000083010000}"/>
    <cellStyle name="貨幣_GARMENT STEP FORM HK" xfId="385" xr:uid="{00000000-0005-0000-0000-00008401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E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1648;&#44396;&#45800;&#50948;&#44228;&#54925;&#54408;&#494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0857;&#50669;&#48708;&#49328;&#51221;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ORDINATION\&#49324;&#50629;&#51312;&#51221;&#44536;&#47353;\My%20Documents\&#49324;&#51060;&#53944;\&#50808;&#54872;&#51008;&#54665;\&#44204;&#51201;\&#50629;&#52404;&#48324;&#44204;&#51201;&#49436;2\704SUN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&#49444;&#44228;3&#52264;/5)&#51648;&#47532;&#51221;&#48372;&#49436;&#48708;&#49828;/&#54868;&#49457;&#49884;%20&#46020;&#49884;&#51221;&#48372;&#49884;&#49828;&#53596;%20&#44396;&#52629;(&#46020;&#47196;%20&#48143;%20&#46020;&#47196;&#51064;&#53552;&#45367;).xls" TargetMode="External"/><Relationship Id="rId1" Type="http://schemas.openxmlformats.org/officeDocument/2006/relationships/externalLinkPath" Target="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&#49444;&#44228;3&#52264;/5)&#51648;&#47532;&#51221;&#48372;&#49436;&#48708;&#49828;/&#54868;&#49457;&#49884;%20&#46020;&#49884;&#51221;&#48372;&#49884;&#49828;&#53596;%20&#44396;&#52629;(&#46020;&#47196;%20&#48143;%20&#46020;&#47196;&#51064;&#53552;&#45367;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5)&#51648;&#47532;&#51221;&#48372;&#49436;&#48708;&#49828;/&#54868;&#49457;&#49884;%20&#46020;&#49884;&#51221;&#48372;&#49884;&#49828;&#53596;%20&#44396;&#52629;(&#46020;&#47196;%20&#48143;%20&#46020;&#47196;&#51064;&#53552;&#45367;).xls" TargetMode="External"/><Relationship Id="rId1" Type="http://schemas.openxmlformats.org/officeDocument/2006/relationships/externalLinkPath" Target="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5)&#51648;&#47532;&#51221;&#48372;&#49436;&#48708;&#49828;/&#54868;&#49457;&#49884;%20&#46020;&#49884;&#51221;&#48372;&#49884;&#49828;&#53596;%20&#44396;&#52629;(&#46020;&#47196;%20&#48143;%20&#46020;&#47196;&#51064;&#53552;&#45367;)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&#49444;&#44228;3&#52264;/5)&#51648;&#47532;&#51221;&#48372;&#49436;&#48708;&#49828;/&#54868;&#49457;&#49884;%20&#46020;&#49884;&#51221;&#48372;&#49884;&#49828;&#53596;%20&#44396;&#52629;(&#51648;&#47532;&#51221;&#48372;&#49436;&#48708;&#49828;).xls" TargetMode="External"/><Relationship Id="rId1" Type="http://schemas.openxmlformats.org/officeDocument/2006/relationships/externalLinkPath" Target="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mySingle/Temp/&#49444;&#44228;3&#52264;/5)&#51648;&#47532;&#51221;&#48372;&#49436;&#48708;&#49828;/&#54868;&#49457;&#49884;%20&#46020;&#49884;&#51221;&#48372;&#49884;&#49828;&#53596;%20&#44396;&#52629;(&#51648;&#47532;&#51221;&#48372;&#49436;&#48708;&#49828;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9324;&#50629;&#44288;&#47532;/&#49324;&#50629;&#51648;&#50669;&#44396;&#48516;/&#44221;&#44592;&#51648;&#50669;/&#45224;&#50577;&#51452;&#49884;&#52397;/&#45224;&#50577;&#51452;2002/2002&#45380;&#50696;&#49328;&#51088;&#47308;/&#52488;&#50504;&#51089;&#49457;/&#45224;&#50577;&#51452;&#49884;&#52397;&#52628;&#44032;&#50629;&#47924;/&#51204;&#49328;&#49892;/&#49457;&#44284;&#49900;&#49324;&#48708;(&#51204;&#49328;).XLS" TargetMode="External"/><Relationship Id="rId1" Type="http://schemas.openxmlformats.org/officeDocument/2006/relationships/externalLinkPath" Target="/&#49324;&#50629;&#44288;&#47532;/&#49324;&#50629;&#51648;&#50669;&#44396;&#48516;/&#44221;&#44592;&#51648;&#50669;/&#45224;&#50577;&#51452;&#49884;&#52397;/&#45224;&#50577;&#51452;2002/2002&#45380;&#50696;&#49328;&#51088;&#47308;/&#52488;&#50504;&#51089;&#49457;/&#45224;&#50577;&#51452;&#49884;&#52397;&#52628;&#44032;&#50629;&#47924;/&#51204;&#49328;&#49892;/&#49457;&#44284;&#49900;&#49324;&#48708;(&#51204;&#49328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mos\d$\&#49324;&#50629;&#44288;&#47532;\&#44221;&#48513;&#51648;&#50669;\&#44221;&#49328;&#49884;&#52397;\&#52488;&#50504;&#51089;&#49457;\&#44221;&#49328;&#49884;&#44592;&#51456;&#51216;&#48143;&#51340;&#54364;&#48320;&#5487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2380;&#50504;&#44592;&#48376;&#44228;&#54925;\&#44288;&#47532;&#44228;&#54925;(&#48156;&#51452;&#44288;&#47144;)\&#47588;&#51068;&#47588;&#51068;\23&#51068;\3&#50900;%2023&#51068;\&#44396;&#51312;&#54868;%20&#48143;%20&#49549;&#49457;%20DB&#51077;&#47141;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9324;&#50629;&#44288;&#47532;/&#49324;&#50629;&#51648;&#50669;&#44396;&#48516;/&#44221;&#45224;&#51648;&#50669;/&#51652;&#54644;&#49884;&#52397;/2002&#45380;&#48376;&#49324;&#50629;/1&#52264;&#45380;&#46020;_&#49444;&#44228;&#51221;&#49328;&#44288;&#47144;/&#52628;&#44032;/DB&#48376;&#49324;&#50629;/&#49444;&#44228;111.xls" TargetMode="External"/><Relationship Id="rId1" Type="http://schemas.openxmlformats.org/officeDocument/2006/relationships/externalLinkPath" Target="/&#49324;&#50629;&#44288;&#47532;/&#49324;&#50629;&#51648;&#50669;&#44396;&#48516;/&#44221;&#45224;&#51648;&#50669;/&#51652;&#54644;&#49884;&#52397;/2002&#45380;&#48376;&#49324;&#50629;/1&#52264;&#45380;&#46020;_&#49444;&#44228;&#51221;&#49328;&#44288;&#47144;/&#52628;&#44032;/DB&#48376;&#49324;&#50629;/&#49444;&#44228;11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ysw_data/2003/&#54620;&#48120;&#47476;/&#51228;&#50504;&#51089;&#50629;/&#48324;&#52392;4%20&#54620;&#48120;&#47476;%20&#49324;&#50629;&#49444;&#44228;&#49436;.xls" TargetMode="External"/><Relationship Id="rId1" Type="http://schemas.openxmlformats.org/officeDocument/2006/relationships/externalLinkPath" Target="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ysw_data/2003/&#54620;&#48120;&#47476;/&#51228;&#50504;&#51089;&#50629;/&#48324;&#52392;4%20&#54620;&#48120;&#47476;%20&#49324;&#50629;&#49444;&#44228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1.&#50629;&#47924;&#54260;&#45908;\02.&#44204;&#51201;&#49436;&#50577;&#49885;\new\&#49884;&#55141;&#49884;&#51116;&#51221;&#48708;\&#51116;&#51221;&#48708;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9324;&#50629;&#44288;&#47532;/&#49324;&#50629;&#51648;&#50669;&#44396;&#48516;/&#44221;&#44592;&#51648;&#50669;/&#50504;&#50577;&#49884;&#52397;/&#51648;&#54616;&#49884;&#49444;&#47932;&#51204;&#49328;&#54868;&#49324;&#50629;/&#50504;&#50577;&#49884;&#52628;&#44032;&#49444;&#44228;&#51473;/&#49688;&#52824;&#51648;&#46020;&#48512;&#48516;/04&#50504;&#50577;&#49688;&#52824;&#51648;&#46020;&#51228;&#51089;.xls" TargetMode="External"/><Relationship Id="rId1" Type="http://schemas.openxmlformats.org/officeDocument/2006/relationships/externalLinkPath" Target="/&#49324;&#50629;&#44288;&#47532;/&#49324;&#50629;&#51648;&#50669;&#44396;&#48516;/&#44221;&#44592;&#51648;&#50669;/&#50504;&#50577;&#49884;&#52397;/&#51648;&#54616;&#49884;&#49444;&#47932;&#51204;&#49328;&#54868;&#49324;&#50629;/&#50504;&#50577;&#49884;&#52628;&#44032;&#49444;&#44228;&#51473;/&#49688;&#52824;&#51648;&#46020;&#48512;&#48516;/04&#50504;&#50577;&#49688;&#52824;&#51648;&#46020;&#51228;&#51089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&#45208;&#51032;%20&#51089;&#50629;&#51109;/&#51648;&#51088;&#52404;/&#44608;&#51228;&#49884;/&#44228;&#50557;/&#44228;&#50557;&#50857;%20&#52572;&#51333;/&#44608;&#51228;&#49884;%20&#46020;&#47196;&#50752;%20&#51648;&#54616;&#49884;&#49444;&#47932;%20&#44277;&#46041;&#44396;&#52629;&#49324;&#50629;%20&#49444;&#44228;&#49436;_&#44228;&#50557;(1&#52264;&#45380;&#46020;)_1.xls" TargetMode="External"/><Relationship Id="rId1" Type="http://schemas.openxmlformats.org/officeDocument/2006/relationships/externalLinkPath" Target="/&#47196;&#52972;%20&#46356;&#49828;&#53356;%20(D)/&#51204;&#51116;&#54840;new1/UIS/&#49436;&#49328;&#49884;/&#48372;&#45236;&#51456;&#51088;&#47308;/&#49444;&#44228;&#49436;&#51089;&#49457;/&#44221;&#44592;&#46020;/&#44608;&#54252;&#49884;/05&#45380;%20&#46020;&#47196;%20&#48143;%20&#51648;&#54616;&#49884;&#49444;&#47932;/&#44552;&#50529;&#49444;&#44228;&#49436;/&#45208;&#51032;%20&#51089;&#50629;&#51109;/&#51648;&#51088;&#52404;/&#44608;&#51228;&#49884;/&#44228;&#50557;/&#44228;&#50557;&#50857;%20&#52572;&#51333;/&#44608;&#51228;&#49884;%20&#46020;&#47196;&#50752;%20&#51648;&#54616;&#49884;&#49444;&#47932;%20&#44277;&#46041;&#44396;&#52629;&#49324;&#50629;%20&#49444;&#44228;&#49436;_&#44228;&#50557;(1&#52264;&#45380;&#46020;)_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54364;&#51456;&#45800;&#44032;&#49328;&#5263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h\&#44277;&#50976;\Documents%20and%20Settings\alfredo\My%20Documents\&#48155;&#51008;%20&#54028;&#51068;\Documents%20and%20Settings\Owner\Local%20Settings\Temporary%20Internet%20Files\Content.IE5\FATKPSEX\&#53664;&#51648;&#47588;&#49688;&#44288;&#47532;&#49884;&#49828;&#53596;_&#44060;&#48156;&#44552;&#50529;&#49328;&#5263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y1901\01_&#51648;&#50669;&#48324;%20upis\KJH2\&#47928;&#49436;\&#51060;&#52380;&#49884;\2&#52264;&#49324;&#50629;\&#49444;&#44228;&#49436;\&#51060;&#52380;&#49884;_&#49444;&#44228;&#49436;0404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4.&#51652;&#54665;&#50629;&#47924;\02.UIS\01.&#44400;&#49328;&#49884;UIS\2004\&#49444;&#44228;&#51089;&#50629;\New\0513\SI&#48512;&#47928;_&#44608;&#52380;&#4988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2380;&#50504;&#44592;&#48376;&#44228;&#54925;\&#44288;&#47532;&#44228;&#54925;(&#48156;&#51452;&#44288;&#47144;)\&#54408;&#49480;(&#44060;&#51221;&#5403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기본DATA"/>
      <sheetName val="I一般比"/>
      <sheetName val="날개벽수량표"/>
      <sheetName val="포장복구집계"/>
      <sheetName val="입찰안"/>
      <sheetName val="입력변수"/>
      <sheetName val="통합"/>
      <sheetName val="직접경비"/>
      <sheetName val="내역서"/>
      <sheetName val="ABUT수량-A1"/>
      <sheetName val="단가"/>
      <sheetName val="지구단위계획품셈"/>
      <sheetName val="1.설계기준"/>
      <sheetName val="증감대비"/>
      <sheetName val="상수도토공집계표"/>
      <sheetName val="설계"/>
      <sheetName val="DATE"/>
      <sheetName val="별표집계"/>
      <sheetName val="5지구단위"/>
      <sheetName val="일위대가(계측기설치)"/>
      <sheetName val="원가계산서"/>
      <sheetName val="개발계획수립"/>
      <sheetName val="데리네이타현황"/>
      <sheetName val="Sheet1"/>
      <sheetName val="#REF"/>
      <sheetName val="날개벽"/>
      <sheetName val="Sheet1 (2)"/>
      <sheetName val="수습"/>
      <sheetName val="차선도색현황"/>
      <sheetName val="N賃率-職"/>
      <sheetName val="전신환매도율"/>
      <sheetName val="9GNG운반"/>
      <sheetName val="경비_원본"/>
      <sheetName val="범용개발순소요비용"/>
      <sheetName val="97년추정손익계산서"/>
      <sheetName val="입출재고현황 (2)"/>
      <sheetName val="을지"/>
      <sheetName val="평가내역"/>
      <sheetName val="집수정"/>
      <sheetName val="INPUT"/>
      <sheetName val="중기사용료"/>
      <sheetName val="적용노임"/>
      <sheetName val="일반자재"/>
      <sheetName val="4공철탑검토"/>
      <sheetName val="횡배수관토공수량"/>
      <sheetName val="(2)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배수공"/>
      <sheetName val="가공2원도"/>
      <sheetName val="기계경비"/>
      <sheetName val="단가산출"/>
      <sheetName val="DB구축"/>
      <sheetName val="상수구조화편집부표"/>
      <sheetName val="설계명세서"/>
      <sheetName val="품셈(기초)"/>
      <sheetName val="1호맨홀토공"/>
      <sheetName val="세부내역(직접인건비)"/>
      <sheetName val="Sheet17"/>
      <sheetName val="교각토공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Q9">
            <v>176713</v>
          </cell>
        </row>
        <row r="11">
          <cell r="M11">
            <v>155637</v>
          </cell>
          <cell r="Q11">
            <v>159658</v>
          </cell>
        </row>
        <row r="13">
          <cell r="M13">
            <v>124025</v>
          </cell>
          <cell r="Q13">
            <v>124903</v>
          </cell>
          <cell r="Z13">
            <v>93309</v>
          </cell>
        </row>
        <row r="15">
          <cell r="M15">
            <v>103036</v>
          </cell>
          <cell r="Q15">
            <v>101968</v>
          </cell>
          <cell r="Z15">
            <v>77131</v>
          </cell>
        </row>
        <row r="17">
          <cell r="M17">
            <v>83228</v>
          </cell>
          <cell r="Q17">
            <v>78894</v>
          </cell>
          <cell r="Z17">
            <v>59569</v>
          </cell>
        </row>
        <row r="19">
          <cell r="I19">
            <v>79018</v>
          </cell>
          <cell r="Q19">
            <v>77109</v>
          </cell>
          <cell r="Z19">
            <v>70840</v>
          </cell>
          <cell r="AD19">
            <v>86679</v>
          </cell>
          <cell r="AH19">
            <v>106782</v>
          </cell>
          <cell r="AL19">
            <v>91404</v>
          </cell>
        </row>
        <row r="21">
          <cell r="M21" t="str">
            <v xml:space="preserve"> </v>
          </cell>
          <cell r="Q21">
            <v>66126</v>
          </cell>
          <cell r="Z21">
            <v>55480</v>
          </cell>
          <cell r="AD21">
            <v>65169</v>
          </cell>
          <cell r="AH21">
            <v>82210</v>
          </cell>
          <cell r="AL21">
            <v>74874</v>
          </cell>
        </row>
        <row r="23">
          <cell r="I23">
            <v>52348</v>
          </cell>
          <cell r="Q23">
            <v>48713</v>
          </cell>
          <cell r="Z23">
            <v>44587</v>
          </cell>
          <cell r="AD23">
            <v>52677</v>
          </cell>
          <cell r="AH23">
            <v>62987</v>
          </cell>
        </row>
        <row r="25">
          <cell r="I25">
            <v>33755</v>
          </cell>
        </row>
        <row r="27">
          <cell r="Z27">
            <v>138828</v>
          </cell>
        </row>
        <row r="29">
          <cell r="Z29">
            <v>67437</v>
          </cell>
        </row>
        <row r="31">
          <cell r="Z31">
            <v>122395</v>
          </cell>
        </row>
        <row r="33">
          <cell r="Z33">
            <v>131059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YesNoImpact"/>
      <sheetName val="내역서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노임단가"/>
      <sheetName val="shn"/>
      <sheetName val="용역비산정2001"/>
      <sheetName val="Sheet1"/>
      <sheetName val="SLAB&quot;1&quot;"/>
      <sheetName val="INPUT(덕도방향-시점)"/>
      <sheetName val="COST"/>
      <sheetName val="계화배수"/>
      <sheetName val="Macro(전선)"/>
      <sheetName val="기타경비"/>
      <sheetName val="별표"/>
      <sheetName val="중기사용료"/>
      <sheetName val="적용노임"/>
      <sheetName val="일반자재"/>
      <sheetName val="INPUT"/>
      <sheetName val="단가조사"/>
      <sheetName val="일위대가시트"/>
      <sheetName val="1.설계조건"/>
      <sheetName val="guard(mac)"/>
      <sheetName val="통합"/>
      <sheetName val="00하노임"/>
      <sheetName val="원형1호맨홀토공수량"/>
      <sheetName val="CODE"/>
      <sheetName val="COPING"/>
      <sheetName val="증감대비"/>
      <sheetName val="단위수량"/>
      <sheetName val="일위대가"/>
      <sheetName val="B부대공"/>
      <sheetName val="11.우각부 보강"/>
      <sheetName val="각종양식"/>
      <sheetName val="단가"/>
      <sheetName val="BOX 본체"/>
      <sheetName val="현장조사"/>
      <sheetName val="전기"/>
      <sheetName val="조건표"/>
      <sheetName val="#REF"/>
      <sheetName val="기본일위"/>
      <sheetName val="내역서2안"/>
      <sheetName val="패널"/>
      <sheetName val="직노"/>
      <sheetName val="실행내역"/>
      <sheetName val="Sheet2"/>
      <sheetName val="단면가정"/>
      <sheetName val="내역"/>
      <sheetName val="송라터널총괄"/>
      <sheetName val="품셈"/>
      <sheetName val="직공비"/>
      <sheetName val="공통가설"/>
      <sheetName val="1-1"/>
      <sheetName val="견적서"/>
      <sheetName val="일위대가(가설)"/>
      <sheetName val="1.설계기준"/>
      <sheetName val="setup"/>
      <sheetName val="EQUIP-H"/>
      <sheetName val="LEGEND"/>
      <sheetName val="암거공"/>
      <sheetName val="교각1"/>
      <sheetName val="입찰안"/>
      <sheetName val="개발계획수립"/>
      <sheetName val="2지구단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9">
          <cell r="I9">
            <v>181248</v>
          </cell>
        </row>
        <row r="11">
          <cell r="I11">
            <v>138714</v>
          </cell>
        </row>
        <row r="13">
          <cell r="I13">
            <v>118674</v>
          </cell>
        </row>
        <row r="15">
          <cell r="I15">
            <v>96387</v>
          </cell>
        </row>
        <row r="17">
          <cell r="I17">
            <v>69746</v>
          </cell>
        </row>
        <row r="21">
          <cell r="I21">
            <v>62505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000"/>
      <sheetName val="VXXX"/>
      <sheetName val="DW"/>
      <sheetName val="Sheet1"/>
      <sheetName val="setup"/>
      <sheetName val="범용개발순소요비용"/>
      <sheetName val="704SUN"/>
      <sheetName val="Data Vol"/>
      <sheetName val="토공A"/>
      <sheetName val="data"/>
      <sheetName val="전력구구조물산근"/>
      <sheetName val="수량산출"/>
      <sheetName val="단가"/>
      <sheetName val="Sheet17"/>
      <sheetName val="안정검토(온1)"/>
      <sheetName val="공통(20-91)"/>
      <sheetName val="설계서(설치)"/>
      <sheetName val="노임단가"/>
      <sheetName val="플랜트 설치"/>
      <sheetName val="오산갈곳"/>
      <sheetName val="심사계산"/>
      <sheetName val="심사물량"/>
      <sheetName val="L형측구단위수량"/>
      <sheetName val="L형측구연장조서"/>
      <sheetName val="도로경계블럭단위수량"/>
      <sheetName val="도로경계블럭단위토공"/>
      <sheetName val="FOOTING단면력"/>
      <sheetName val="날개벽수량표"/>
    </sheetNames>
    <sheetDataSet>
      <sheetData sheetId="0"/>
      <sheetData sheetId="1"/>
      <sheetData sheetId="2"/>
      <sheetData sheetId="3"/>
      <sheetData sheetId="4" refreshError="1">
        <row r="1">
          <cell r="A1" t="str">
            <v xml:space="preserve">1018A </v>
          </cell>
          <cell r="B1" t="str">
            <v xml:space="preserve">OPT SBUS SFE FWSCSI ADAPTER </v>
          </cell>
          <cell r="C1">
            <v>1424</v>
          </cell>
          <cell r="D1" t="str">
            <v xml:space="preserve">A </v>
          </cell>
        </row>
        <row r="2">
          <cell r="A2" t="str">
            <v xml:space="preserve">1032A </v>
          </cell>
          <cell r="B2" t="str">
            <v xml:space="preserve">OPT INT PCI 10/100BASET NIC </v>
          </cell>
          <cell r="C2">
            <v>1294</v>
          </cell>
          <cell r="D2" t="str">
            <v xml:space="preserve">A </v>
          </cell>
        </row>
        <row r="3">
          <cell r="A3" t="str">
            <v xml:space="preserve">1033A </v>
          </cell>
          <cell r="B3" t="str">
            <v xml:space="preserve">OPT INT PCI 10/100BASET NIC </v>
          </cell>
          <cell r="C3">
            <v>904</v>
          </cell>
          <cell r="D3" t="str">
            <v xml:space="preserve">A </v>
          </cell>
        </row>
        <row r="4">
          <cell r="A4" t="str">
            <v xml:space="preserve">1034A </v>
          </cell>
          <cell r="B4" t="str">
            <v xml:space="preserve">OPT QFE PCI CARD W/SW </v>
          </cell>
          <cell r="C4">
            <v>2334</v>
          </cell>
          <cell r="D4" t="str">
            <v xml:space="preserve">A </v>
          </cell>
        </row>
        <row r="5">
          <cell r="A5" t="str">
            <v xml:space="preserve">1040A </v>
          </cell>
          <cell r="B5" t="str">
            <v xml:space="preserve">OPT SBUS GIGABIT ETHERNET 2.0/SW </v>
          </cell>
          <cell r="C5">
            <v>2984</v>
          </cell>
          <cell r="D5" t="str">
            <v xml:space="preserve">A </v>
          </cell>
        </row>
        <row r="6">
          <cell r="A6" t="str">
            <v xml:space="preserve">1049A </v>
          </cell>
          <cell r="B6" t="str">
            <v xml:space="preserve">OPT QUAD FASTETHERNET W/SW </v>
          </cell>
          <cell r="C6">
            <v>2594</v>
          </cell>
          <cell r="D6" t="str">
            <v xml:space="preserve">A </v>
          </cell>
        </row>
        <row r="7">
          <cell r="A7" t="str">
            <v xml:space="preserve">1059A </v>
          </cell>
          <cell r="B7" t="str">
            <v xml:space="preserve">OPT SBUS FASTETHERNET 2.0/SW </v>
          </cell>
          <cell r="C7">
            <v>1034</v>
          </cell>
          <cell r="D7" t="str">
            <v xml:space="preserve">A </v>
          </cell>
        </row>
        <row r="8">
          <cell r="A8" t="str">
            <v xml:space="preserve">1060A </v>
          </cell>
          <cell r="B8" t="str">
            <v xml:space="preserve">OPT SBUS SUNATM155/MFIBER S/SW </v>
          </cell>
          <cell r="C8">
            <v>1684</v>
          </cell>
          <cell r="D8" t="str">
            <v xml:space="preserve">A </v>
          </cell>
        </row>
        <row r="9">
          <cell r="A9" t="str">
            <v xml:space="preserve">1061A </v>
          </cell>
          <cell r="B9" t="str">
            <v xml:space="preserve">OPT SBUS SUNATM155/UTP5 W/SW </v>
          </cell>
          <cell r="C9">
            <v>1294</v>
          </cell>
          <cell r="D9" t="str">
            <v xml:space="preserve">A </v>
          </cell>
        </row>
        <row r="10">
          <cell r="A10" t="str">
            <v xml:space="preserve">1062A </v>
          </cell>
          <cell r="B10" t="str">
            <v xml:space="preserve">OPT SBUS F/W DWIS/S ADAPTER </v>
          </cell>
          <cell r="C10">
            <v>1684</v>
          </cell>
          <cell r="D10" t="str">
            <v xml:space="preserve">A </v>
          </cell>
        </row>
        <row r="11">
          <cell r="A11" t="str">
            <v xml:space="preserve">1063A </v>
          </cell>
          <cell r="B11" t="str">
            <v xml:space="preserve">OPT SBUS F/W SWIS/S ADAPTER </v>
          </cell>
          <cell r="C11">
            <v>1554</v>
          </cell>
          <cell r="D11" t="str">
            <v xml:space="preserve">A </v>
          </cell>
        </row>
        <row r="12">
          <cell r="A12" t="str">
            <v xml:space="preserve">1064A </v>
          </cell>
          <cell r="B12" t="str">
            <v xml:space="preserve">OPT SBUS SUNATM622/MFIBER W/SW </v>
          </cell>
          <cell r="C12">
            <v>6494</v>
          </cell>
          <cell r="D12" t="str">
            <v xml:space="preserve">A </v>
          </cell>
        </row>
        <row r="13">
          <cell r="A13" t="str">
            <v xml:space="preserve">1065A </v>
          </cell>
          <cell r="B13" t="str">
            <v xml:space="preserve">OPT ULTRA DWIS/S HOST ADAPTER </v>
          </cell>
          <cell r="C13">
            <v>1684</v>
          </cell>
          <cell r="D13" t="str">
            <v xml:space="preserve">A </v>
          </cell>
        </row>
        <row r="14">
          <cell r="A14" t="str">
            <v xml:space="preserve">1066A </v>
          </cell>
          <cell r="B14" t="str">
            <v xml:space="preserve">OPT PCI SUNATM/P-155MMF W/SW </v>
          </cell>
          <cell r="C14">
            <v>1424</v>
          </cell>
          <cell r="D14" t="str">
            <v xml:space="preserve">A </v>
          </cell>
        </row>
        <row r="15">
          <cell r="A15" t="str">
            <v xml:space="preserve">1067A </v>
          </cell>
          <cell r="B15" t="str">
            <v xml:space="preserve">OPT PCI SUNATM/P-155UTP W/SW </v>
          </cell>
          <cell r="C15">
            <v>1164</v>
          </cell>
          <cell r="D15" t="str">
            <v xml:space="preserve">A </v>
          </cell>
        </row>
        <row r="16">
          <cell r="A16" t="str">
            <v xml:space="preserve">1068A </v>
          </cell>
          <cell r="B16" t="str">
            <v xml:space="preserve">OPT PCI SUNATM/P-622MMF W/SW </v>
          </cell>
          <cell r="C16">
            <v>5194</v>
          </cell>
          <cell r="D16" t="str">
            <v xml:space="preserve">A </v>
          </cell>
        </row>
        <row r="17">
          <cell r="A17" t="str">
            <v xml:space="preserve">1070A </v>
          </cell>
          <cell r="B17" t="str">
            <v xml:space="preserve">HIPPI/P 1.0 Interface board </v>
          </cell>
          <cell r="C17">
            <v>13000</v>
          </cell>
          <cell r="D17" t="str">
            <v xml:space="preserve">A </v>
          </cell>
        </row>
        <row r="18">
          <cell r="A18" t="str">
            <v xml:space="preserve">1076A </v>
          </cell>
          <cell r="B18" t="str">
            <v xml:space="preserve">A7000 SCSI ADAPT KIT W/RAID A+ </v>
          </cell>
          <cell r="C18">
            <v>0</v>
          </cell>
          <cell r="D18" t="str">
            <v xml:space="preserve">D </v>
          </cell>
        </row>
        <row r="19">
          <cell r="A19" t="str">
            <v xml:space="preserve">1140A </v>
          </cell>
          <cell r="B19" t="str">
            <v xml:space="preserve">OPT SBUS GIGABIT ETHERNET 2.0/SW </v>
          </cell>
          <cell r="C19">
            <v>2984</v>
          </cell>
          <cell r="D19" t="str">
            <v xml:space="preserve">A </v>
          </cell>
        </row>
        <row r="20">
          <cell r="A20" t="str">
            <v xml:space="preserve">1190A </v>
          </cell>
          <cell r="B20" t="str">
            <v xml:space="preserve">OPT PROCESSOR US 250MHZ/1MB </v>
          </cell>
          <cell r="C20">
            <v>3497</v>
          </cell>
          <cell r="D20" t="str">
            <v xml:space="preserve">H </v>
          </cell>
        </row>
        <row r="21">
          <cell r="A21" t="str">
            <v xml:space="preserve">1191A </v>
          </cell>
          <cell r="B21" t="str">
            <v xml:space="preserve">OPT PROCESSOR US 300MHZ/2MB </v>
          </cell>
          <cell r="C21">
            <v>8450</v>
          </cell>
          <cell r="D21" t="str">
            <v xml:space="preserve">H </v>
          </cell>
        </row>
        <row r="22">
          <cell r="A22" t="str">
            <v xml:space="preserve">1194A </v>
          </cell>
          <cell r="B22" t="str">
            <v xml:space="preserve">Opt 400MHz/2MB processor </v>
          </cell>
          <cell r="C22">
            <v>8775</v>
          </cell>
          <cell r="D22" t="str">
            <v xml:space="preserve">H </v>
          </cell>
        </row>
        <row r="23">
          <cell r="A23" t="str">
            <v xml:space="preserve">2077A </v>
          </cell>
          <cell r="B23" t="str">
            <v xml:space="preserve">Metro Remote Dual Copy HW </v>
          </cell>
          <cell r="C23">
            <v>111816</v>
          </cell>
          <cell r="D23" t="str">
            <v xml:space="preserve">A </v>
          </cell>
        </row>
        <row r="24">
          <cell r="A24" t="str">
            <v xml:space="preserve">2230A </v>
          </cell>
          <cell r="B24" t="str">
            <v xml:space="preserve">OPT 250MHZ CPU W/1MB FOR E450 </v>
          </cell>
          <cell r="C24">
            <v>3632</v>
          </cell>
          <cell r="D24" t="str">
            <v xml:space="preserve">H </v>
          </cell>
        </row>
        <row r="25">
          <cell r="A25" t="str">
            <v xml:space="preserve">2240A </v>
          </cell>
          <cell r="B25" t="str">
            <v xml:space="preserve">OPT 300MHZ CPU W/2MB FOR E450 </v>
          </cell>
          <cell r="C25">
            <v>8450</v>
          </cell>
          <cell r="D25" t="str">
            <v xml:space="preserve">H </v>
          </cell>
        </row>
        <row r="26">
          <cell r="A26" t="str">
            <v xml:space="preserve">2244A </v>
          </cell>
          <cell r="B26" t="str">
            <v xml:space="preserve">OPT 400MHZ CPU W/4MB FOR E450 </v>
          </cell>
          <cell r="C26">
            <v>11050</v>
          </cell>
          <cell r="D26" t="str">
            <v xml:space="preserve">H </v>
          </cell>
        </row>
        <row r="27">
          <cell r="A27" t="str">
            <v xml:space="preserve">250M9-100-W999 </v>
          </cell>
          <cell r="B27" t="str">
            <v xml:space="preserve">E250 SUPPLEMENT CD </v>
          </cell>
          <cell r="C27">
            <v>0</v>
          </cell>
          <cell r="D27" t="str">
            <v xml:space="preserve">D </v>
          </cell>
        </row>
        <row r="28">
          <cell r="A28" t="str">
            <v xml:space="preserve">2550A </v>
          </cell>
          <cell r="B28" t="str">
            <v xml:space="preserve">OPT PROCESSOR US 250MHZ/4MB </v>
          </cell>
          <cell r="C28">
            <v>24000</v>
          </cell>
          <cell r="D28" t="str">
            <v xml:space="preserve">A </v>
          </cell>
        </row>
        <row r="29">
          <cell r="A29" t="str">
            <v xml:space="preserve">2560A </v>
          </cell>
          <cell r="B29" t="str">
            <v xml:space="preserve">OPT PROCESSOR US 336/333MHZ/4M </v>
          </cell>
          <cell r="C29">
            <v>28500</v>
          </cell>
          <cell r="D29" t="str">
            <v xml:space="preserve">A </v>
          </cell>
        </row>
        <row r="30">
          <cell r="A30" t="str">
            <v xml:space="preserve">2570A </v>
          </cell>
          <cell r="B30" t="str">
            <v xml:space="preserve">OPT PROCESSOR US 400-MHZ/4MB </v>
          </cell>
          <cell r="C30">
            <v>25500</v>
          </cell>
          <cell r="D30" t="str">
            <v xml:space="preserve">A </v>
          </cell>
        </row>
        <row r="31">
          <cell r="A31" t="str">
            <v xml:space="preserve">2580A </v>
          </cell>
          <cell r="B31" t="str">
            <v xml:space="preserve">OPT PROCESSOR US 400-MHZ/8MB </v>
          </cell>
          <cell r="C31">
            <v>26250</v>
          </cell>
          <cell r="D31" t="str">
            <v xml:space="preserve">A </v>
          </cell>
        </row>
        <row r="32">
          <cell r="A32" t="str">
            <v xml:space="preserve">2602A </v>
          </cell>
          <cell r="B32" t="str">
            <v xml:space="preserve">OPT INT CPU/MEM BD FOR EXX00 </v>
          </cell>
          <cell r="C32">
            <v>13500</v>
          </cell>
          <cell r="D32" t="str">
            <v xml:space="preserve">A </v>
          </cell>
        </row>
        <row r="33">
          <cell r="A33" t="str">
            <v xml:space="preserve">2612A </v>
          </cell>
          <cell r="B33" t="str">
            <v xml:space="preserve">OPT INT I/O BD EXX00 W/FC-AL </v>
          </cell>
          <cell r="C33">
            <v>9750</v>
          </cell>
          <cell r="D33" t="str">
            <v xml:space="preserve">A </v>
          </cell>
        </row>
        <row r="34">
          <cell r="A34" t="str">
            <v xml:space="preserve">2622A </v>
          </cell>
          <cell r="B34" t="str">
            <v xml:space="preserve">OPT INT GRAPHICS I/O BD EXX00 </v>
          </cell>
          <cell r="C34">
            <v>10500</v>
          </cell>
          <cell r="D34" t="str">
            <v xml:space="preserve">A </v>
          </cell>
        </row>
        <row r="35">
          <cell r="A35" t="str">
            <v xml:space="preserve">2632A </v>
          </cell>
          <cell r="B35" t="str">
            <v xml:space="preserve">OPT INT PCI I/O BD FOR EXX00 </v>
          </cell>
          <cell r="C35">
            <v>12000</v>
          </cell>
          <cell r="D35" t="str">
            <v xml:space="preserve">A </v>
          </cell>
        </row>
        <row r="36">
          <cell r="A36" t="str">
            <v xml:space="preserve">2652A </v>
          </cell>
          <cell r="B36" t="str">
            <v xml:space="preserve">OPTIONAL FC-AL INTERFACE BOARD </v>
          </cell>
          <cell r="C36">
            <v>2250</v>
          </cell>
          <cell r="D36" t="str">
            <v xml:space="preserve">A </v>
          </cell>
        </row>
        <row r="37">
          <cell r="A37" t="str">
            <v xml:space="preserve">2721A </v>
          </cell>
          <cell r="B37" t="str">
            <v xml:space="preserve">E10000 CONTROL BOARD, ETH HUB. </v>
          </cell>
          <cell r="C37">
            <v>32000</v>
          </cell>
          <cell r="D37" t="str">
            <v xml:space="preserve">A </v>
          </cell>
        </row>
        <row r="38">
          <cell r="A38" t="str">
            <v xml:space="preserve">2722A </v>
          </cell>
          <cell r="B38" t="str">
            <v xml:space="preserve">E10000 CONTROL BOARD, ETH HUB. </v>
          </cell>
          <cell r="C38">
            <v>32000</v>
          </cell>
          <cell r="D38" t="str">
            <v xml:space="preserve">A </v>
          </cell>
        </row>
        <row r="39">
          <cell r="A39" t="str">
            <v xml:space="preserve">2730A </v>
          </cell>
          <cell r="B39" t="str">
            <v xml:space="preserve">E10000 I/O BOARD </v>
          </cell>
          <cell r="C39">
            <v>12000</v>
          </cell>
          <cell r="D39" t="str">
            <v xml:space="preserve">A </v>
          </cell>
        </row>
        <row r="40">
          <cell r="A40" t="str">
            <v xml:space="preserve">2731A </v>
          </cell>
          <cell r="B40" t="str">
            <v xml:space="preserve">E10000 PCI MODULE </v>
          </cell>
          <cell r="C40">
            <v>16000</v>
          </cell>
          <cell r="D40" t="str">
            <v xml:space="preserve">A </v>
          </cell>
        </row>
        <row r="41">
          <cell r="A41" t="str">
            <v xml:space="preserve">2753A </v>
          </cell>
          <cell r="B41" t="str">
            <v xml:space="preserve">E10000 Sys. Service Processor </v>
          </cell>
          <cell r="C41">
            <v>16800</v>
          </cell>
          <cell r="D41" t="str">
            <v xml:space="preserve">A </v>
          </cell>
        </row>
        <row r="42">
          <cell r="A42" t="str">
            <v xml:space="preserve">2754A </v>
          </cell>
          <cell r="B42" t="str">
            <v xml:space="preserve">E10000 Sys. Service Processor </v>
          </cell>
          <cell r="C42">
            <v>16800</v>
          </cell>
          <cell r="D42" t="str">
            <v xml:space="preserve">A </v>
          </cell>
        </row>
        <row r="43">
          <cell r="A43" t="str">
            <v xml:space="preserve">2755A </v>
          </cell>
          <cell r="B43" t="str">
            <v xml:space="preserve">E10000 Sys. Service Processor </v>
          </cell>
          <cell r="C43">
            <v>21700</v>
          </cell>
          <cell r="D43" t="str">
            <v xml:space="preserve">A </v>
          </cell>
        </row>
        <row r="44">
          <cell r="A44" t="str">
            <v xml:space="preserve">2761A </v>
          </cell>
          <cell r="B44" t="str">
            <v xml:space="preserve">E10000 System Board (empty) </v>
          </cell>
          <cell r="C44">
            <v>96000</v>
          </cell>
          <cell r="D44" t="str">
            <v xml:space="preserve">A </v>
          </cell>
        </row>
        <row r="45">
          <cell r="A45" t="str">
            <v xml:space="preserve">3655A </v>
          </cell>
          <cell r="B45" t="str">
            <v xml:space="preserve">TURBOGXPLUS CARD W/CABLES, DOC </v>
          </cell>
          <cell r="C45">
            <v>1162</v>
          </cell>
          <cell r="D45" t="str">
            <v xml:space="preserve">H </v>
          </cell>
        </row>
        <row r="46">
          <cell r="A46" t="str">
            <v xml:space="preserve">3666A </v>
          </cell>
          <cell r="B46" t="str">
            <v xml:space="preserve">ELITE3D M6 HORIZ. W/CBL </v>
          </cell>
          <cell r="C46">
            <v>6993</v>
          </cell>
          <cell r="D46" t="str">
            <v xml:space="preserve">H </v>
          </cell>
        </row>
        <row r="47">
          <cell r="A47" t="str">
            <v xml:space="preserve">3667A </v>
          </cell>
          <cell r="B47" t="str">
            <v xml:space="preserve">ELITE3D M6 HORIZ. W/CBL </v>
          </cell>
          <cell r="C47">
            <v>3894</v>
          </cell>
          <cell r="D47" t="str">
            <v xml:space="preserve">H </v>
          </cell>
        </row>
        <row r="48">
          <cell r="A48" t="str">
            <v xml:space="preserve">3668A </v>
          </cell>
          <cell r="B48" t="str">
            <v xml:space="preserve">PGX32 CARD W/VIDEO ADAPTOR </v>
          </cell>
          <cell r="C48">
            <v>398</v>
          </cell>
          <cell r="D48" t="str">
            <v xml:space="preserve">H </v>
          </cell>
        </row>
        <row r="49">
          <cell r="A49" t="str">
            <v xml:space="preserve">3669A </v>
          </cell>
          <cell r="B49" t="str">
            <v xml:space="preserve">CREATOR SERIES 1, HORIZONTAL </v>
          </cell>
          <cell r="C49">
            <v>1113</v>
          </cell>
          <cell r="D49" t="str">
            <v xml:space="preserve">H </v>
          </cell>
        </row>
        <row r="50">
          <cell r="A50" t="str">
            <v xml:space="preserve">3671A </v>
          </cell>
          <cell r="B50" t="str">
            <v xml:space="preserve">CREATOR3D SERIES 3, HORIZONTAL </v>
          </cell>
          <cell r="C50">
            <v>1034</v>
          </cell>
          <cell r="D50" t="str">
            <v xml:space="preserve">H </v>
          </cell>
        </row>
        <row r="51">
          <cell r="A51" t="str">
            <v xml:space="preserve">3675A </v>
          </cell>
          <cell r="B51" t="str">
            <v xml:space="preserve">CREATOR3D SERIES 2, HORIZONTAL </v>
          </cell>
          <cell r="C51">
            <v>1673</v>
          </cell>
          <cell r="D51" t="str">
            <v xml:space="preserve">H </v>
          </cell>
        </row>
        <row r="52">
          <cell r="A52" t="str">
            <v xml:space="preserve">3800A </v>
          </cell>
          <cell r="B52" t="str">
            <v xml:space="preserve">OPT PWR CORD FOR ENTERPR. (US) </v>
          </cell>
          <cell r="C52">
            <v>0</v>
          </cell>
          <cell r="D52" t="str">
            <v xml:space="preserve">D </v>
          </cell>
        </row>
        <row r="53">
          <cell r="A53" t="str">
            <v xml:space="preserve">3840A </v>
          </cell>
          <cell r="B53" t="str">
            <v xml:space="preserve">SCSI CABLE,68P-68P,12M </v>
          </cell>
          <cell r="C53">
            <v>270</v>
          </cell>
          <cell r="D53" t="str">
            <v xml:space="preserve">A </v>
          </cell>
        </row>
        <row r="54">
          <cell r="A54" t="str">
            <v xml:space="preserve">3841A </v>
          </cell>
          <cell r="B54" t="str">
            <v xml:space="preserve">SCSI CABLE,IBM RS/6000,68P-68P </v>
          </cell>
          <cell r="C54">
            <v>270</v>
          </cell>
          <cell r="D54" t="str">
            <v xml:space="preserve">A </v>
          </cell>
        </row>
        <row r="55">
          <cell r="A55" t="str">
            <v xml:space="preserve">3842A </v>
          </cell>
          <cell r="B55" t="str">
            <v xml:space="preserve">BMC CABLE PAIR, 0.5M </v>
          </cell>
          <cell r="C55">
            <v>144</v>
          </cell>
          <cell r="D55" t="str">
            <v xml:space="preserve">A </v>
          </cell>
        </row>
        <row r="56">
          <cell r="A56" t="str">
            <v xml:space="preserve">3843A </v>
          </cell>
          <cell r="B56" t="str">
            <v xml:space="preserve">BMC CABLE PAIR, 10M </v>
          </cell>
          <cell r="C56">
            <v>486</v>
          </cell>
          <cell r="D56" t="str">
            <v xml:space="preserve">A </v>
          </cell>
        </row>
        <row r="57">
          <cell r="A57" t="str">
            <v xml:space="preserve">3844A </v>
          </cell>
          <cell r="B57" t="str">
            <v xml:space="preserve">BMC CABLE PAIR, 20M </v>
          </cell>
          <cell r="C57">
            <v>684</v>
          </cell>
          <cell r="D57" t="str">
            <v xml:space="preserve">A </v>
          </cell>
        </row>
        <row r="58">
          <cell r="A58" t="str">
            <v xml:space="preserve">3845A </v>
          </cell>
          <cell r="B58" t="str">
            <v xml:space="preserve">BMC CABLE PAIR, 30M </v>
          </cell>
          <cell r="C58">
            <v>882</v>
          </cell>
          <cell r="D58" t="str">
            <v xml:space="preserve">A </v>
          </cell>
        </row>
        <row r="59">
          <cell r="A59" t="str">
            <v xml:space="preserve">3846A </v>
          </cell>
          <cell r="B59" t="str">
            <v xml:space="preserve">ESCON CABLE, 13M </v>
          </cell>
          <cell r="C59">
            <v>252</v>
          </cell>
          <cell r="D59" t="str">
            <v xml:space="preserve">A </v>
          </cell>
        </row>
        <row r="60">
          <cell r="A60" t="str">
            <v xml:space="preserve">3847A </v>
          </cell>
          <cell r="B60" t="str">
            <v xml:space="preserve">ESCON CABLE, 31M </v>
          </cell>
          <cell r="C60">
            <v>558</v>
          </cell>
          <cell r="D60" t="str">
            <v xml:space="preserve">A </v>
          </cell>
        </row>
        <row r="61">
          <cell r="A61" t="str">
            <v xml:space="preserve">3848A </v>
          </cell>
          <cell r="B61" t="str">
            <v xml:space="preserve">OPT PWR CORD F. ENTERPR. (INT) </v>
          </cell>
          <cell r="C61">
            <v>0</v>
          </cell>
          <cell r="D61" t="str">
            <v xml:space="preserve">D </v>
          </cell>
        </row>
        <row r="62">
          <cell r="A62" t="str">
            <v xml:space="preserve">3851A </v>
          </cell>
          <cell r="B62" t="str">
            <v xml:space="preserve">E10000 POWER CORD, (INT'L) </v>
          </cell>
          <cell r="C62">
            <v>0</v>
          </cell>
          <cell r="D62" t="str">
            <v xml:space="preserve">D </v>
          </cell>
        </row>
        <row r="63">
          <cell r="A63" t="str">
            <v xml:space="preserve">3858A </v>
          </cell>
          <cell r="B63" t="str">
            <v xml:space="preserve">U.S. POWER CORD FOR STOREDGE </v>
          </cell>
          <cell r="C63">
            <v>0</v>
          </cell>
          <cell r="D63" t="str">
            <v xml:space="preserve">D </v>
          </cell>
        </row>
        <row r="64">
          <cell r="A64" t="str">
            <v xml:space="preserve">3859A </v>
          </cell>
          <cell r="B64" t="str">
            <v xml:space="preserve">INTL. POWER CORD FOR STOREDGE </v>
          </cell>
          <cell r="C64">
            <v>0</v>
          </cell>
          <cell r="D64" t="str">
            <v xml:space="preserve">D </v>
          </cell>
        </row>
        <row r="65">
          <cell r="A65" t="str">
            <v xml:space="preserve">3865A </v>
          </cell>
          <cell r="B65" t="str">
            <v xml:space="preserve">E10000 PWR CORD (14FT),FOR N.A </v>
          </cell>
          <cell r="C65">
            <v>0</v>
          </cell>
          <cell r="D65" t="str">
            <v xml:space="preserve">D </v>
          </cell>
        </row>
        <row r="66">
          <cell r="A66" t="str">
            <v xml:space="preserve">3872A </v>
          </cell>
          <cell r="B66" t="str">
            <v xml:space="preserve">VIDEO CONNECTOR ADAPTER HD-15 </v>
          </cell>
          <cell r="C66">
            <v>47</v>
          </cell>
          <cell r="D66" t="str">
            <v xml:space="preserve">H </v>
          </cell>
        </row>
        <row r="67">
          <cell r="A67" t="str">
            <v xml:space="preserve">3875A </v>
          </cell>
          <cell r="B67" t="str">
            <v xml:space="preserve">E10000 AC INPUT MODULE </v>
          </cell>
          <cell r="C67">
            <v>4800</v>
          </cell>
          <cell r="D67" t="str">
            <v xml:space="preserve">A </v>
          </cell>
        </row>
        <row r="68">
          <cell r="A68" t="str">
            <v xml:space="preserve">5162A </v>
          </cell>
          <cell r="B68" t="str">
            <v xml:space="preserve">OPT INT DISKBD 8GB/7200 USCSI </v>
          </cell>
          <cell r="C68">
            <v>5550</v>
          </cell>
          <cell r="D68" t="str">
            <v xml:space="preserve">A </v>
          </cell>
        </row>
        <row r="69">
          <cell r="A69" t="str">
            <v xml:space="preserve">5164A </v>
          </cell>
          <cell r="B69" t="str">
            <v xml:space="preserve">OPT INT DISKBD 36.4GB/10000 USCSI </v>
          </cell>
          <cell r="C69">
            <v>5550</v>
          </cell>
          <cell r="D69" t="str">
            <v xml:space="preserve">A </v>
          </cell>
        </row>
        <row r="70">
          <cell r="A70" t="str">
            <v xml:space="preserve">5214A </v>
          </cell>
          <cell r="B70" t="str">
            <v xml:space="preserve">OPT INT DISK 4.2GB/7200 USCSI </v>
          </cell>
          <cell r="C70">
            <v>1015</v>
          </cell>
          <cell r="D70" t="str">
            <v xml:space="preserve">H </v>
          </cell>
        </row>
        <row r="71">
          <cell r="A71" t="str">
            <v xml:space="preserve">5228A </v>
          </cell>
          <cell r="B71" t="str">
            <v xml:space="preserve">OPT INT DISK 4GB/10000 USCSI </v>
          </cell>
          <cell r="C71">
            <v>1365</v>
          </cell>
          <cell r="D71" t="str">
            <v xml:space="preserve">H </v>
          </cell>
        </row>
        <row r="72">
          <cell r="A72" t="str">
            <v xml:space="preserve">5229A </v>
          </cell>
          <cell r="B72" t="str">
            <v xml:space="preserve">OPT INT DISK 9.1GB/7200 USCSI </v>
          </cell>
          <cell r="C72">
            <v>1484</v>
          </cell>
          <cell r="D72" t="str">
            <v xml:space="preserve">H </v>
          </cell>
        </row>
        <row r="73">
          <cell r="A73" t="str">
            <v xml:space="preserve">5230A </v>
          </cell>
          <cell r="B73" t="str">
            <v xml:space="preserve">9GB, 7200RPM, ULTRASCSI DRIVE </v>
          </cell>
          <cell r="C73">
            <v>2030</v>
          </cell>
          <cell r="D73" t="str">
            <v xml:space="preserve">H </v>
          </cell>
        </row>
        <row r="74">
          <cell r="A74" t="str">
            <v xml:space="preserve">5232A </v>
          </cell>
          <cell r="B74" t="str">
            <v xml:space="preserve">OPT INT DISK 18.2GB/7200 USCSI </v>
          </cell>
          <cell r="C74">
            <v>2660</v>
          </cell>
          <cell r="D74" t="str">
            <v xml:space="preserve">H </v>
          </cell>
        </row>
        <row r="75">
          <cell r="A75" t="str">
            <v xml:space="preserve">5233A </v>
          </cell>
          <cell r="B75" t="str">
            <v xml:space="preserve">OPT INT DISK 18.2GB/7200 USCSI </v>
          </cell>
          <cell r="C75">
            <v>3640</v>
          </cell>
          <cell r="D75" t="str">
            <v xml:space="preserve">H </v>
          </cell>
        </row>
        <row r="76">
          <cell r="A76" t="str">
            <v xml:space="preserve">5234A </v>
          </cell>
          <cell r="B76" t="str">
            <v xml:space="preserve">OPT INT DISK 9.1GB/10K USCSI </v>
          </cell>
          <cell r="C76">
            <v>1715</v>
          </cell>
          <cell r="D76" t="str">
            <v xml:space="preserve">H </v>
          </cell>
        </row>
        <row r="77">
          <cell r="A77" t="str">
            <v xml:space="preserve">5235A </v>
          </cell>
          <cell r="B77" t="str">
            <v xml:space="preserve">OPT INT DISK 9GB/10000 USCSI </v>
          </cell>
          <cell r="C77">
            <v>1785</v>
          </cell>
          <cell r="D77" t="str">
            <v xml:space="preserve">H </v>
          </cell>
        </row>
        <row r="78">
          <cell r="A78" t="str">
            <v xml:space="preserve">6005A </v>
          </cell>
          <cell r="B78" t="str">
            <v xml:space="preserve">OPT FLOPPY INT DR TAZMO &amp; E250 </v>
          </cell>
          <cell r="C78">
            <v>175</v>
          </cell>
          <cell r="D78" t="str">
            <v xml:space="preserve">H </v>
          </cell>
        </row>
        <row r="79">
          <cell r="A79" t="str">
            <v xml:space="preserve">6062A </v>
          </cell>
          <cell r="B79" t="str">
            <v xml:space="preserve">OPT INT TAPE 35GB DLT FOR FRST </v>
          </cell>
          <cell r="C79">
            <v>13860</v>
          </cell>
          <cell r="D79" t="str">
            <v xml:space="preserve">A </v>
          </cell>
        </row>
        <row r="80">
          <cell r="A80" t="str">
            <v xml:space="preserve">6062AR4 </v>
          </cell>
          <cell r="B80" t="str">
            <v xml:space="preserve">OPT INT TAPE 35GB DLT FOR FRST </v>
          </cell>
          <cell r="C80">
            <v>13860</v>
          </cell>
          <cell r="D80" t="str">
            <v xml:space="preserve">A </v>
          </cell>
        </row>
        <row r="81">
          <cell r="A81" t="str">
            <v xml:space="preserve">6062AR5 </v>
          </cell>
          <cell r="B81" t="str">
            <v xml:space="preserve">OPT INT TAPE 35GB DLT FOR FRST </v>
          </cell>
          <cell r="C81">
            <v>13860</v>
          </cell>
          <cell r="D81" t="str">
            <v xml:space="preserve">A </v>
          </cell>
        </row>
        <row r="82">
          <cell r="A82" t="str">
            <v xml:space="preserve">6107A </v>
          </cell>
          <cell r="B82" t="str">
            <v xml:space="preserve">OPT INT 4GB SLR TAPE (SERVER) </v>
          </cell>
          <cell r="C82">
            <v>1235</v>
          </cell>
          <cell r="D82" t="str">
            <v xml:space="preserve">A </v>
          </cell>
        </row>
        <row r="83">
          <cell r="A83" t="str">
            <v xml:space="preserve">6206A </v>
          </cell>
          <cell r="B83" t="str">
            <v xml:space="preserve">OPT INT TAPE 14GB/8MM </v>
          </cell>
          <cell r="C83">
            <v>3510</v>
          </cell>
          <cell r="D83" t="str">
            <v xml:space="preserve">A </v>
          </cell>
        </row>
        <row r="84">
          <cell r="A84" t="str">
            <v xml:space="preserve">6212A </v>
          </cell>
          <cell r="B84" t="str">
            <v xml:space="preserve">OPT INT TAPE 7GB/8MM </v>
          </cell>
          <cell r="C84">
            <v>2030</v>
          </cell>
          <cell r="D84" t="str">
            <v xml:space="preserve">H </v>
          </cell>
        </row>
        <row r="85">
          <cell r="A85" t="str">
            <v xml:space="preserve">6213A </v>
          </cell>
          <cell r="B85" t="str">
            <v xml:space="preserve">OPT INT TAPE 7GB/8MM </v>
          </cell>
          <cell r="C85">
            <v>2695</v>
          </cell>
          <cell r="D85" t="str">
            <v xml:space="preserve">A </v>
          </cell>
        </row>
        <row r="86">
          <cell r="A86" t="str">
            <v xml:space="preserve">6226A </v>
          </cell>
          <cell r="B86" t="str">
            <v xml:space="preserve">TAPE LIB RACK 400GB/8MM W/TAPE </v>
          </cell>
          <cell r="C86">
            <v>22400</v>
          </cell>
          <cell r="D86" t="str">
            <v xml:space="preserve">H </v>
          </cell>
        </row>
        <row r="87">
          <cell r="A87" t="str">
            <v xml:space="preserve">6226AR4 </v>
          </cell>
          <cell r="B87" t="str">
            <v xml:space="preserve">TAPE LIB RACK 400GB/8MM W/TAPE </v>
          </cell>
          <cell r="C87">
            <v>22400</v>
          </cell>
          <cell r="D87" t="str">
            <v xml:space="preserve">H </v>
          </cell>
        </row>
        <row r="88">
          <cell r="A88" t="str">
            <v xml:space="preserve">6226AR5 </v>
          </cell>
          <cell r="B88" t="str">
            <v xml:space="preserve">TAPE LIB RACK 400GB/8MM W/TAPE </v>
          </cell>
          <cell r="C88">
            <v>22400</v>
          </cell>
          <cell r="D88" t="str">
            <v xml:space="preserve">H </v>
          </cell>
        </row>
        <row r="89">
          <cell r="A89" t="str">
            <v xml:space="preserve">6234A </v>
          </cell>
          <cell r="B89" t="str">
            <v xml:space="preserve">OPT INT TAPE 20/40GB 8MM E3000 </v>
          </cell>
          <cell r="C89">
            <v>6300</v>
          </cell>
          <cell r="D89" t="str">
            <v xml:space="preserve">A </v>
          </cell>
        </row>
        <row r="90">
          <cell r="A90" t="str">
            <v xml:space="preserve">6235A </v>
          </cell>
          <cell r="B90" t="str">
            <v xml:space="preserve">OPT INT TAPE 20-40GB 8MM E4000 </v>
          </cell>
          <cell r="C90">
            <v>6300</v>
          </cell>
          <cell r="D90" t="str">
            <v xml:space="preserve">A </v>
          </cell>
        </row>
        <row r="91">
          <cell r="A91" t="str">
            <v xml:space="preserve">6238A </v>
          </cell>
          <cell r="B91" t="str">
            <v xml:space="preserve">OPT INT TAPE 20/40GB 8MM-EX500 </v>
          </cell>
          <cell r="C91">
            <v>6750</v>
          </cell>
          <cell r="D91" t="str">
            <v xml:space="preserve">A </v>
          </cell>
        </row>
        <row r="92">
          <cell r="A92" t="str">
            <v xml:space="preserve">6282A </v>
          </cell>
          <cell r="B92" t="str">
            <v xml:space="preserve">OPT INT TAPE 12GB 4MM DDS-3 </v>
          </cell>
          <cell r="C92">
            <v>1610</v>
          </cell>
          <cell r="D92" t="str">
            <v xml:space="preserve">H </v>
          </cell>
        </row>
        <row r="93">
          <cell r="A93" t="str">
            <v xml:space="preserve">6283A </v>
          </cell>
          <cell r="B93" t="str">
            <v xml:space="preserve">OPT INT TAPE 12GB 4MM EX000 </v>
          </cell>
          <cell r="C93">
            <v>1890</v>
          </cell>
          <cell r="D93" t="str">
            <v xml:space="preserve">A </v>
          </cell>
        </row>
        <row r="94">
          <cell r="A94" t="str">
            <v xml:space="preserve">6286A </v>
          </cell>
          <cell r="B94" t="str">
            <v xml:space="preserve">OPT INT TAPE 12GB 4MM </v>
          </cell>
          <cell r="C94">
            <v>1890</v>
          </cell>
          <cell r="D94" t="str">
            <v xml:space="preserve">A </v>
          </cell>
        </row>
        <row r="95">
          <cell r="A95" t="str">
            <v xml:space="preserve">6287A </v>
          </cell>
          <cell r="B95" t="str">
            <v xml:space="preserve">A7000 54.3GB STORAGE PACKAGE </v>
          </cell>
          <cell r="C95">
            <v>43200</v>
          </cell>
          <cell r="D95" t="str">
            <v xml:space="preserve">A </v>
          </cell>
        </row>
        <row r="96">
          <cell r="A96" t="str">
            <v xml:space="preserve">6288A </v>
          </cell>
          <cell r="B96" t="str">
            <v xml:space="preserve">54.3GB SCA STORAGE MODULE </v>
          </cell>
          <cell r="C96">
            <v>26046</v>
          </cell>
          <cell r="D96" t="str">
            <v xml:space="preserve">A </v>
          </cell>
        </row>
        <row r="97">
          <cell r="A97" t="str">
            <v xml:space="preserve">6289A </v>
          </cell>
          <cell r="B97" t="str">
            <v xml:space="preserve">108.6GB Storage Package, SCA </v>
          </cell>
          <cell r="C97">
            <v>43200</v>
          </cell>
          <cell r="D97" t="str">
            <v xml:space="preserve">A </v>
          </cell>
        </row>
        <row r="98">
          <cell r="A98" t="str">
            <v xml:space="preserve">6516A </v>
          </cell>
          <cell r="B98" t="str">
            <v xml:space="preserve">RSM 9.1GB/7200 FWSCSI </v>
          </cell>
          <cell r="C98">
            <v>3211</v>
          </cell>
          <cell r="D98" t="str">
            <v xml:space="preserve">A </v>
          </cell>
        </row>
        <row r="99">
          <cell r="A99" t="str">
            <v xml:space="preserve">6533A </v>
          </cell>
          <cell r="B99" t="str">
            <v xml:space="preserve">RSM2000 35*4.2GB/7200 FWSCSI </v>
          </cell>
          <cell r="C99">
            <v>162825</v>
          </cell>
          <cell r="D99" t="str">
            <v xml:space="preserve">A </v>
          </cell>
        </row>
        <row r="100">
          <cell r="A100" t="str">
            <v xml:space="preserve">6534A </v>
          </cell>
          <cell r="B100" t="str">
            <v xml:space="preserve">A3000 15*9.1GB/7200 FWSCSI </v>
          </cell>
          <cell r="C100">
            <v>140465</v>
          </cell>
          <cell r="D100" t="str">
            <v xml:space="preserve">A </v>
          </cell>
        </row>
        <row r="101">
          <cell r="A101" t="str">
            <v xml:space="preserve">6535A </v>
          </cell>
          <cell r="B101" t="str">
            <v xml:space="preserve">A3000 35*9.1GB/7200 FWSCSI </v>
          </cell>
          <cell r="C101">
            <v>204685</v>
          </cell>
          <cell r="D101" t="str">
            <v xml:space="preserve">A </v>
          </cell>
        </row>
        <row r="102">
          <cell r="A102" t="str">
            <v xml:space="preserve">6540A </v>
          </cell>
          <cell r="B102" t="str">
            <v xml:space="preserve">OPT INT PCI ULTRASCSI SE CARD </v>
          </cell>
          <cell r="C102">
            <v>975</v>
          </cell>
          <cell r="D102" t="str">
            <v xml:space="preserve">A </v>
          </cell>
        </row>
        <row r="103">
          <cell r="A103" t="str">
            <v xml:space="preserve">6541A </v>
          </cell>
          <cell r="B103" t="str">
            <v xml:space="preserve">OPT INT PCI ULTRASCSI DIFF CRD </v>
          </cell>
          <cell r="C103">
            <v>1872</v>
          </cell>
          <cell r="D103" t="str">
            <v xml:space="preserve">A </v>
          </cell>
        </row>
        <row r="104">
          <cell r="A104" t="str">
            <v xml:space="preserve">6601A </v>
          </cell>
          <cell r="B104" t="str">
            <v xml:space="preserve">E450 8BAY STOR EXP KIT, 10K </v>
          </cell>
          <cell r="C104">
            <v>1476</v>
          </cell>
          <cell r="D104" t="str">
            <v xml:space="preserve">H </v>
          </cell>
        </row>
        <row r="105">
          <cell r="A105" t="str">
            <v xml:space="preserve">6710A </v>
          </cell>
          <cell r="B105" t="str">
            <v xml:space="preserve">FC-AL 9.1GB 10000RPM 1.0" DISK </v>
          </cell>
          <cell r="C105">
            <v>4060</v>
          </cell>
          <cell r="D105" t="str">
            <v xml:space="preserve">A </v>
          </cell>
        </row>
        <row r="106">
          <cell r="A106" t="str">
            <v xml:space="preserve">6720A </v>
          </cell>
          <cell r="B106" t="str">
            <v xml:space="preserve">FC-AL 18.2GB 10000RPM 1.0" DISK </v>
          </cell>
          <cell r="C106">
            <v>2475</v>
          </cell>
          <cell r="D106" t="str">
            <v xml:space="preserve">A </v>
          </cell>
        </row>
        <row r="107">
          <cell r="A107" t="str">
            <v xml:space="preserve">6711A </v>
          </cell>
          <cell r="B107" t="str">
            <v xml:space="preserve">FC-AL 18.2GB 7200RPM 1.6" DISK </v>
          </cell>
          <cell r="C107">
            <v>4340</v>
          </cell>
          <cell r="D107" t="str">
            <v xml:space="preserve">A </v>
          </cell>
        </row>
        <row r="108">
          <cell r="A108" t="str">
            <v xml:space="preserve">6730A </v>
          </cell>
          <cell r="B108" t="str">
            <v xml:space="preserve">FCAL 100MB/S SBUS HOST ADAPTER </v>
          </cell>
          <cell r="C108">
            <v>3510</v>
          </cell>
          <cell r="D108" t="str">
            <v xml:space="preserve">A </v>
          </cell>
        </row>
        <row r="109">
          <cell r="A109" t="str">
            <v xml:space="preserve">6731A </v>
          </cell>
          <cell r="B109" t="str">
            <v xml:space="preserve">FCAL GBIC MODULE 100MB/S </v>
          </cell>
          <cell r="C109">
            <v>780</v>
          </cell>
          <cell r="D109" t="str">
            <v xml:space="preserve">A </v>
          </cell>
        </row>
        <row r="110">
          <cell r="A110" t="str">
            <v xml:space="preserve">6732A </v>
          </cell>
          <cell r="B110" t="str">
            <v xml:space="preserve">FCAL HUB 7 SLOT </v>
          </cell>
          <cell r="C110">
            <v>2800</v>
          </cell>
          <cell r="D110" t="str">
            <v xml:space="preserve">A </v>
          </cell>
        </row>
        <row r="111">
          <cell r="A111" t="str">
            <v xml:space="preserve">6735A </v>
          </cell>
          <cell r="B111" t="str">
            <v xml:space="preserve">DUAL HUB RACKMOUNT KIT </v>
          </cell>
          <cell r="C111">
            <v>350</v>
          </cell>
          <cell r="D111" t="str">
            <v xml:space="preserve">A </v>
          </cell>
        </row>
        <row r="112">
          <cell r="A112" t="str">
            <v xml:space="preserve">6773A </v>
          </cell>
          <cell r="B112" t="str">
            <v xml:space="preserve">A7000 1024MB SAFE CACHE, RMC </v>
          </cell>
          <cell r="C112">
            <v>91386</v>
          </cell>
          <cell r="D112" t="str">
            <v xml:space="preserve">A </v>
          </cell>
        </row>
        <row r="113">
          <cell r="A113" t="str">
            <v xml:space="preserve">6778A </v>
          </cell>
          <cell r="B113" t="str">
            <v xml:space="preserve">A7000 QUAD CH BMC ADAPT KIT </v>
          </cell>
          <cell r="C113">
            <v>94158</v>
          </cell>
          <cell r="D113" t="str">
            <v xml:space="preserve">A </v>
          </cell>
        </row>
        <row r="114">
          <cell r="A114" t="str">
            <v xml:space="preserve">6779A </v>
          </cell>
          <cell r="B114" t="str">
            <v xml:space="preserve">A7000 DUAL ESCON ADP KIT #2 </v>
          </cell>
          <cell r="C114">
            <v>110772</v>
          </cell>
          <cell r="D114" t="str">
            <v xml:space="preserve">A </v>
          </cell>
        </row>
        <row r="115">
          <cell r="A115" t="str">
            <v xml:space="preserve">6780A </v>
          </cell>
          <cell r="B115" t="str">
            <v xml:space="preserve">A7000 DUAL ESCON ADP KIT #1 </v>
          </cell>
          <cell r="C115">
            <v>110772</v>
          </cell>
          <cell r="D115" t="str">
            <v xml:space="preserve">A </v>
          </cell>
        </row>
        <row r="116">
          <cell r="A116" t="str">
            <v xml:space="preserve">6786A </v>
          </cell>
          <cell r="B116" t="str">
            <v xml:space="preserve">A7000 FOUR DRAWER EXP SYSTEM </v>
          </cell>
          <cell r="C116">
            <v>229842</v>
          </cell>
          <cell r="D116" t="str">
            <v xml:space="preserve">A </v>
          </cell>
        </row>
        <row r="117">
          <cell r="A117" t="str">
            <v xml:space="preserve">6796A </v>
          </cell>
          <cell r="B117" t="str">
            <v xml:space="preserve">8 CH. ULTRA STE, 2 CONNECTOR </v>
          </cell>
          <cell r="C117">
            <v>37476</v>
          </cell>
          <cell r="D117" t="str">
            <v xml:space="preserve">A </v>
          </cell>
        </row>
        <row r="118">
          <cell r="A118" t="str">
            <v xml:space="preserve">6797A </v>
          </cell>
          <cell r="B118" t="str">
            <v xml:space="preserve">8 CH. ULTRA STE, 4 CONNECTOR </v>
          </cell>
          <cell r="C118">
            <v>37476</v>
          </cell>
          <cell r="D118" t="str">
            <v xml:space="preserve">A </v>
          </cell>
        </row>
        <row r="119">
          <cell r="A119" t="str">
            <v xml:space="preserve">6798A </v>
          </cell>
          <cell r="B119" t="str">
            <v xml:space="preserve">8 CH. ULTRA STE, 8 CONNECTOR </v>
          </cell>
          <cell r="C119">
            <v>37476</v>
          </cell>
          <cell r="D119" t="str">
            <v xml:space="preserve">A </v>
          </cell>
        </row>
        <row r="120">
          <cell r="A120" t="str">
            <v xml:space="preserve">6931A </v>
          </cell>
          <cell r="B120" t="str">
            <v>HIS CARD/PCI</v>
          </cell>
          <cell r="C120">
            <v>3000</v>
          </cell>
          <cell r="D120" t="str">
            <v xml:space="preserve">A </v>
          </cell>
        </row>
        <row r="121">
          <cell r="A121" t="str">
            <v xml:space="preserve">7002A </v>
          </cell>
          <cell r="B121" t="str">
            <v xml:space="preserve">OPT MEMORY 64MB (2*32MB) </v>
          </cell>
          <cell r="C121">
            <v>664</v>
          </cell>
          <cell r="D121" t="str">
            <v xml:space="preserve">H </v>
          </cell>
        </row>
        <row r="122">
          <cell r="A122" t="str">
            <v xml:space="preserve">7003A </v>
          </cell>
          <cell r="B122" t="str">
            <v xml:space="preserve">OPT MEMORY 128MB (2*64MB) </v>
          </cell>
          <cell r="C122">
            <v>1264</v>
          </cell>
          <cell r="D122" t="str">
            <v xml:space="preserve">H </v>
          </cell>
        </row>
        <row r="123">
          <cell r="A123" t="str">
            <v xml:space="preserve">7004A </v>
          </cell>
          <cell r="B123" t="str">
            <v xml:space="preserve">OPT MEMORY 256MB (2*128MB) </v>
          </cell>
          <cell r="C123">
            <v>2400</v>
          </cell>
          <cell r="D123" t="str">
            <v xml:space="preserve">H </v>
          </cell>
        </row>
        <row r="124">
          <cell r="A124" t="str">
            <v xml:space="preserve">7005A </v>
          </cell>
          <cell r="B124" t="str">
            <v xml:space="preserve">OPT MEMORY 512MB (2*256MB) </v>
          </cell>
          <cell r="C124">
            <v>9600</v>
          </cell>
          <cell r="D124" t="str">
            <v xml:space="preserve">H </v>
          </cell>
        </row>
        <row r="125">
          <cell r="A125" t="str">
            <v xml:space="preserve">7020A </v>
          </cell>
          <cell r="B125" t="str">
            <v xml:space="preserve">OPT A3000 MEMORY 64MB </v>
          </cell>
          <cell r="C125">
            <v>2600</v>
          </cell>
          <cell r="D125" t="str">
            <v xml:space="preserve">A </v>
          </cell>
        </row>
        <row r="126">
          <cell r="A126" t="str">
            <v xml:space="preserve">7022A </v>
          </cell>
          <cell r="B126" t="str">
            <v xml:space="preserve">OPT MEMORY 256MB (8*32MB) </v>
          </cell>
          <cell r="C126">
            <v>5761</v>
          </cell>
          <cell r="D126" t="str">
            <v xml:space="preserve">A </v>
          </cell>
        </row>
        <row r="127">
          <cell r="A127" t="str">
            <v xml:space="preserve">7023A </v>
          </cell>
          <cell r="B127" t="str">
            <v xml:space="preserve">OPT MEMORY 1GB (8*128MB) </v>
          </cell>
          <cell r="C127">
            <v>18000</v>
          </cell>
          <cell r="D127" t="str">
            <v xml:space="preserve">A </v>
          </cell>
        </row>
        <row r="128">
          <cell r="A128" t="str">
            <v xml:space="preserve">7026A </v>
          </cell>
          <cell r="B128" t="str">
            <v xml:space="preserve">OPT MEMORY 2GB (8*256MB) </v>
          </cell>
          <cell r="C128">
            <v>41200</v>
          </cell>
          <cell r="D128" t="str">
            <v xml:space="preserve">A </v>
          </cell>
        </row>
        <row r="129">
          <cell r="A129" t="str">
            <v xml:space="preserve">7025A </v>
          </cell>
          <cell r="B129" t="str">
            <v xml:space="preserve">E10000 MEMORY BOARD (EMPTY) </v>
          </cell>
          <cell r="C129">
            <v>16000</v>
          </cell>
          <cell r="D129" t="str">
            <v xml:space="preserve">A </v>
          </cell>
        </row>
        <row r="130">
          <cell r="A130" t="str">
            <v xml:space="preserve">902A </v>
          </cell>
          <cell r="B130" t="str">
            <v xml:space="preserve">OPT CABLE SCSI 2M 68PIN </v>
          </cell>
          <cell r="C130">
            <v>163</v>
          </cell>
          <cell r="D130" t="str">
            <v xml:space="preserve">D </v>
          </cell>
        </row>
        <row r="131">
          <cell r="A131" t="str">
            <v xml:space="preserve">954A </v>
          </cell>
          <cell r="B131" t="str">
            <v xml:space="preserve">OPT INT PS/300W FOR EX000 </v>
          </cell>
          <cell r="C131">
            <v>2520</v>
          </cell>
          <cell r="D131" t="str">
            <v xml:space="preserve">A </v>
          </cell>
        </row>
        <row r="132">
          <cell r="A132" t="str">
            <v xml:space="preserve">958A </v>
          </cell>
          <cell r="B132" t="str">
            <v xml:space="preserve">OPT 2ND PERIPHERAL PS/184W </v>
          </cell>
          <cell r="C132">
            <v>2100</v>
          </cell>
          <cell r="D132" t="str">
            <v xml:space="preserve">A </v>
          </cell>
        </row>
        <row r="133">
          <cell r="A133" t="str">
            <v xml:space="preserve">959A </v>
          </cell>
          <cell r="B133" t="str">
            <v xml:space="preserve">SSA RACK-MOUNT ACC. KIT W/SW </v>
          </cell>
          <cell r="C133">
            <v>0</v>
          </cell>
          <cell r="D133" t="str">
            <v xml:space="preserve">D </v>
          </cell>
        </row>
        <row r="134">
          <cell r="A134" t="str">
            <v xml:space="preserve">9604A </v>
          </cell>
          <cell r="B134" t="str">
            <v xml:space="preserve">CASTERS </v>
          </cell>
          <cell r="C134">
            <v>128</v>
          </cell>
          <cell r="D134" t="str">
            <v xml:space="preserve">H </v>
          </cell>
        </row>
        <row r="135">
          <cell r="A135" t="str">
            <v xml:space="preserve">9605A </v>
          </cell>
          <cell r="B135" t="str">
            <v xml:space="preserve">E250 FOOT OPTION </v>
          </cell>
          <cell r="C135">
            <v>0</v>
          </cell>
          <cell r="D135" t="str">
            <v xml:space="preserve">D </v>
          </cell>
        </row>
        <row r="136">
          <cell r="A136" t="str">
            <v xml:space="preserve">9622A </v>
          </cell>
          <cell r="B136" t="str">
            <v xml:space="preserve">A5000 AIR BAFFLE </v>
          </cell>
          <cell r="C136">
            <v>75</v>
          </cell>
          <cell r="D136" t="str">
            <v xml:space="preserve">A </v>
          </cell>
        </row>
        <row r="137">
          <cell r="A137" t="str">
            <v xml:space="preserve">9623A </v>
          </cell>
          <cell r="B137" t="str">
            <v xml:space="preserve">A5000 DOOR FOR E5500/E6500 </v>
          </cell>
          <cell r="C137">
            <v>525</v>
          </cell>
          <cell r="D137" t="str">
            <v xml:space="preserve">A </v>
          </cell>
        </row>
        <row r="138">
          <cell r="A138" t="str">
            <v xml:space="preserve">9626A </v>
          </cell>
          <cell r="B138" t="str">
            <v xml:space="preserve">2ND SEQ. MOUNTING FOR E55/6500 </v>
          </cell>
          <cell r="C138">
            <v>195</v>
          </cell>
          <cell r="D138" t="str">
            <v xml:space="preserve">A </v>
          </cell>
        </row>
        <row r="139">
          <cell r="A139" t="str">
            <v xml:space="preserve">9640A </v>
          </cell>
          <cell r="B139" t="str">
            <v xml:space="preserve">OPT FLEXIPAC STORAGE TRAY SYS </v>
          </cell>
          <cell r="C139">
            <v>520</v>
          </cell>
          <cell r="D139" t="str">
            <v xml:space="preserve">A </v>
          </cell>
        </row>
        <row r="140">
          <cell r="A140" t="str">
            <v xml:space="preserve">9641A </v>
          </cell>
          <cell r="B140" t="str">
            <v xml:space="preserve">OPT FLEXIPACK STORAGE TRAY EXP </v>
          </cell>
          <cell r="C140">
            <v>490</v>
          </cell>
          <cell r="D140" t="str">
            <v xml:space="preserve">A </v>
          </cell>
        </row>
        <row r="141">
          <cell r="A141" t="str">
            <v xml:space="preserve">9641AR5 </v>
          </cell>
          <cell r="B141" t="str">
            <v xml:space="preserve">OPT FLEXIPACK STORAGE TRAY EXP </v>
          </cell>
          <cell r="C141">
            <v>490</v>
          </cell>
          <cell r="D141" t="str">
            <v xml:space="preserve">A </v>
          </cell>
        </row>
        <row r="142">
          <cell r="A142" t="str">
            <v xml:space="preserve">9643A </v>
          </cell>
          <cell r="B142" t="str">
            <v xml:space="preserve">RACKMOUNT KIT FOR L280 AL </v>
          </cell>
          <cell r="C142">
            <v>560</v>
          </cell>
          <cell r="D142" t="str">
            <v xml:space="preserve">A </v>
          </cell>
        </row>
        <row r="143">
          <cell r="A143" t="str">
            <v xml:space="preserve">9645A </v>
          </cell>
          <cell r="B143" t="str">
            <v xml:space="preserve">UNIPACK TRAY, WITH POWER CORDS </v>
          </cell>
          <cell r="C143">
            <v>1400</v>
          </cell>
          <cell r="D143" t="str">
            <v xml:space="preserve">A </v>
          </cell>
        </row>
        <row r="144">
          <cell r="A144" t="str">
            <v xml:space="preserve">9652A </v>
          </cell>
          <cell r="B144" t="str">
            <v xml:space="preserve">A7000 6 PACK ENCLOSURE KIT </v>
          </cell>
          <cell r="C144">
            <v>0</v>
          </cell>
          <cell r="D144" t="str">
            <v xml:space="preserve">D </v>
          </cell>
        </row>
        <row r="145">
          <cell r="A145" t="str">
            <v xml:space="preserve">9671A </v>
          </cell>
          <cell r="B145" t="str">
            <v xml:space="preserve">E10000 FAN TRAY </v>
          </cell>
          <cell r="C145">
            <v>3200</v>
          </cell>
          <cell r="D145" t="str">
            <v xml:space="preserve">A </v>
          </cell>
        </row>
        <row r="146">
          <cell r="A146" t="str">
            <v xml:space="preserve">9681A </v>
          </cell>
          <cell r="B146" t="str">
            <v xml:space="preserve">E10000 POWER CONTROL </v>
          </cell>
          <cell r="C146">
            <v>1600</v>
          </cell>
          <cell r="D146" t="str">
            <v xml:space="preserve">A </v>
          </cell>
        </row>
        <row r="147">
          <cell r="A147" t="str">
            <v xml:space="preserve">9682A </v>
          </cell>
          <cell r="B147" t="str">
            <v xml:space="preserve">OPT POWER SUPPLY FOR E450 </v>
          </cell>
          <cell r="C147">
            <v>1532</v>
          </cell>
          <cell r="D147" t="str">
            <v xml:space="preserve">H </v>
          </cell>
        </row>
        <row r="148">
          <cell r="A148" t="str">
            <v xml:space="preserve">9683A </v>
          </cell>
          <cell r="B148" t="str">
            <v xml:space="preserve">REDUNDNT POWER SUPPLY FOR E250 </v>
          </cell>
          <cell r="C148">
            <v>904</v>
          </cell>
          <cell r="D148" t="str">
            <v xml:space="preserve">H </v>
          </cell>
        </row>
        <row r="149">
          <cell r="A149" t="str">
            <v xml:space="preserve">9685A </v>
          </cell>
          <cell r="B149" t="str">
            <v xml:space="preserve">E10000 POWER SUPPLY </v>
          </cell>
          <cell r="C149">
            <v>6400</v>
          </cell>
          <cell r="D149" t="str">
            <v xml:space="preserve">A </v>
          </cell>
        </row>
        <row r="150">
          <cell r="A150" t="str">
            <v xml:space="preserve">9688A </v>
          </cell>
          <cell r="B150" t="str">
            <v xml:space="preserve">A7000 PWR CONDIT UNIT, 8 KVA </v>
          </cell>
          <cell r="C150">
            <v>28377</v>
          </cell>
          <cell r="D150" t="str">
            <v xml:space="preserve">A </v>
          </cell>
        </row>
        <row r="151">
          <cell r="A151" t="str">
            <v xml:space="preserve">9689A </v>
          </cell>
          <cell r="B151" t="str">
            <v xml:space="preserve">OPT 2ND PERIPHERAL PS/195W </v>
          </cell>
          <cell r="C151">
            <v>2250</v>
          </cell>
          <cell r="D151" t="str">
            <v xml:space="preserve">A </v>
          </cell>
        </row>
        <row r="152">
          <cell r="A152" t="str">
            <v xml:space="preserve">9693A </v>
          </cell>
          <cell r="B152" t="str">
            <v xml:space="preserve">E10000 FLAT SIDE PANEL </v>
          </cell>
          <cell r="C152">
            <v>0</v>
          </cell>
          <cell r="D152" t="str">
            <v xml:space="preserve">D </v>
          </cell>
        </row>
        <row r="153">
          <cell r="A153" t="str">
            <v xml:space="preserve">978A </v>
          </cell>
          <cell r="B153" t="str">
            <v xml:space="preserve">15 METER FIBRE CHANNEL CABLE </v>
          </cell>
          <cell r="C153">
            <v>228</v>
          </cell>
          <cell r="D153" t="str">
            <v xml:space="preserve">D </v>
          </cell>
        </row>
        <row r="154">
          <cell r="A154" t="str">
            <v xml:space="preserve">979A </v>
          </cell>
          <cell r="B154" t="str">
            <v xml:space="preserve">OPT CABLE DSCSI 12M </v>
          </cell>
          <cell r="C154">
            <v>345</v>
          </cell>
          <cell r="D154" t="str">
            <v xml:space="preserve">D </v>
          </cell>
        </row>
        <row r="155">
          <cell r="A155" t="str">
            <v xml:space="preserve">A14-UEC1-9L-128AH </v>
          </cell>
          <cell r="B155" t="str">
            <v xml:space="preserve">1X300MHZ, C3D3, 128MB, 9GB </v>
          </cell>
          <cell r="C155">
            <v>13080</v>
          </cell>
          <cell r="D155" t="str">
            <v xml:space="preserve">H </v>
          </cell>
        </row>
        <row r="156">
          <cell r="A156" t="str">
            <v xml:space="preserve">A14-UEC1-9L-512AH </v>
          </cell>
          <cell r="B156" t="str">
            <v xml:space="preserve">1x300MHz, C3D3, 512MB, 9GB </v>
          </cell>
          <cell r="C156">
            <v>15624</v>
          </cell>
          <cell r="D156" t="str">
            <v xml:space="preserve">H </v>
          </cell>
        </row>
        <row r="157">
          <cell r="A157" t="str">
            <v xml:space="preserve">A14-UEC1-9M-128AH </v>
          </cell>
          <cell r="B157" t="str">
            <v xml:space="preserve">1X300MHZ, 128MB, AFB, 9GB </v>
          </cell>
          <cell r="C157">
            <v>15594</v>
          </cell>
          <cell r="D157" t="str">
            <v xml:space="preserve">H </v>
          </cell>
        </row>
        <row r="158">
          <cell r="A158" t="str">
            <v xml:space="preserve">A14-UEC1-9S-128CJ </v>
          </cell>
          <cell r="B158" t="str">
            <v xml:space="preserve">E2/300 128MB/9.1GB/CD </v>
          </cell>
          <cell r="C158">
            <v>19194</v>
          </cell>
          <cell r="D158" t="str">
            <v xml:space="preserve">H </v>
          </cell>
        </row>
        <row r="159">
          <cell r="A159" t="str">
            <v xml:space="preserve">A14-UEC2-9L-256AH </v>
          </cell>
          <cell r="B159" t="str">
            <v xml:space="preserve">2X300MHZ, C3D3, 256MB, 9GB </v>
          </cell>
          <cell r="C159">
            <v>18810</v>
          </cell>
          <cell r="D159" t="str">
            <v xml:space="preserve">H </v>
          </cell>
        </row>
        <row r="160">
          <cell r="A160" t="str">
            <v xml:space="preserve">A14-UEC2-9L-512AH </v>
          </cell>
          <cell r="B160" t="str">
            <v xml:space="preserve">2X300MHZ, C3D3, 512MB, 9GB </v>
          </cell>
          <cell r="C160">
            <v>20424</v>
          </cell>
          <cell r="D160" t="str">
            <v xml:space="preserve">H </v>
          </cell>
        </row>
        <row r="161">
          <cell r="A161" t="str">
            <v xml:space="preserve">A14-UEC2-9M-256AH </v>
          </cell>
          <cell r="B161" t="str">
            <v xml:space="preserve">2X300MHZ, 256MB, AFB, 9GB </v>
          </cell>
          <cell r="C161">
            <v>21594</v>
          </cell>
          <cell r="D161" t="str">
            <v xml:space="preserve">H </v>
          </cell>
        </row>
        <row r="162">
          <cell r="A162" t="str">
            <v xml:space="preserve">A14-UEC2-9S-256CJ </v>
          </cell>
          <cell r="B162" t="str">
            <v xml:space="preserve">E2/2*300 256MB/9.1GB/CD </v>
          </cell>
          <cell r="C162">
            <v>28194</v>
          </cell>
          <cell r="D162" t="str">
            <v xml:space="preserve">H </v>
          </cell>
        </row>
        <row r="163">
          <cell r="A163" t="str">
            <v xml:space="preserve">A14-UEC2-9S-512CJ </v>
          </cell>
          <cell r="B163" t="str">
            <v xml:space="preserve">E2/2*300 512MB/9.1GB/CD </v>
          </cell>
          <cell r="C163">
            <v>31494</v>
          </cell>
          <cell r="D163" t="str">
            <v xml:space="preserve">H </v>
          </cell>
        </row>
        <row r="164">
          <cell r="A164" t="str">
            <v xml:space="preserve">A14-UJC1-9L-256AH </v>
          </cell>
          <cell r="B164" t="str">
            <v xml:space="preserve">1x400MHz, C3D3, 256MB, 9GB </v>
          </cell>
          <cell r="C164">
            <v>15930</v>
          </cell>
          <cell r="D164" t="str">
            <v xml:space="preserve">H </v>
          </cell>
        </row>
        <row r="165">
          <cell r="A165" t="str">
            <v xml:space="preserve">A14-UJC1-9L-512AH </v>
          </cell>
          <cell r="B165" t="str">
            <v xml:space="preserve">1x400MHz, C3D3, 512MB, 9GB </v>
          </cell>
          <cell r="C165">
            <v>17544</v>
          </cell>
          <cell r="D165" t="str">
            <v xml:space="preserve">H </v>
          </cell>
        </row>
        <row r="166">
          <cell r="A166" t="str">
            <v xml:space="preserve">A14-UJC1-9M-256AH </v>
          </cell>
          <cell r="B166" t="str">
            <v xml:space="preserve">1x400MHz, AFB, 256MB, 9GB </v>
          </cell>
          <cell r="C166">
            <v>18924</v>
          </cell>
          <cell r="D166" t="str">
            <v xml:space="preserve">H </v>
          </cell>
        </row>
        <row r="167">
          <cell r="A167" t="str">
            <v xml:space="preserve">A14-UJC1-9S-128CJ </v>
          </cell>
          <cell r="B167" t="str">
            <v xml:space="preserve">E2/400 128MB/9.1GB/CD </v>
          </cell>
          <cell r="C167">
            <v>14886</v>
          </cell>
          <cell r="D167" t="str">
            <v xml:space="preserve">H </v>
          </cell>
        </row>
        <row r="168">
          <cell r="A168" t="str">
            <v xml:space="preserve">A14-UJC2-9L-256AH </v>
          </cell>
          <cell r="B168" t="str">
            <v xml:space="preserve">2x400MHz, C3D3, 256MB, 9GB </v>
          </cell>
          <cell r="C168">
            <v>22650</v>
          </cell>
          <cell r="D168" t="str">
            <v xml:space="preserve">H </v>
          </cell>
        </row>
        <row r="169">
          <cell r="A169" t="str">
            <v xml:space="preserve">A14-UJC2-9L-512AH </v>
          </cell>
          <cell r="B169" t="str">
            <v xml:space="preserve">2x400MHz, C3D3, 512MB, 9GB </v>
          </cell>
          <cell r="C169">
            <v>24264</v>
          </cell>
          <cell r="D169" t="str">
            <v xml:space="preserve">H </v>
          </cell>
        </row>
        <row r="170">
          <cell r="A170" t="str">
            <v xml:space="preserve">A14-UJC2-9M-256AH </v>
          </cell>
          <cell r="B170" t="str">
            <v xml:space="preserve">2x400MHz, AFB, 256MB, 9GB </v>
          </cell>
          <cell r="C170">
            <v>25644</v>
          </cell>
          <cell r="D170" t="str">
            <v xml:space="preserve">H </v>
          </cell>
        </row>
        <row r="171">
          <cell r="A171" t="str">
            <v xml:space="preserve">A14-UJC2-9S-256CJ </v>
          </cell>
          <cell r="B171" t="str">
            <v xml:space="preserve">E2/2*400 256MB/9.1GB/CD32 </v>
          </cell>
          <cell r="C171">
            <v>22506</v>
          </cell>
          <cell r="D171" t="str">
            <v xml:space="preserve">H </v>
          </cell>
        </row>
        <row r="172">
          <cell r="A172" t="str">
            <v xml:space="preserve">A14-UJC2-9S-512CJ </v>
          </cell>
          <cell r="B172" t="str">
            <v xml:space="preserve">E2/400 512MB/9.1GB/CD </v>
          </cell>
          <cell r="C172">
            <v>24210</v>
          </cell>
          <cell r="D172" t="str">
            <v xml:space="preserve">H </v>
          </cell>
        </row>
        <row r="173">
          <cell r="A173" t="str">
            <v xml:space="preserve">A21UFE1Z9P-B128CN </v>
          </cell>
          <cell r="B173" t="str">
            <v xml:space="preserve">WS U5/270 PGX24 128/4GB/CD </v>
          </cell>
          <cell r="C173">
            <v>3738</v>
          </cell>
          <cell r="D173" t="str">
            <v xml:space="preserve">H </v>
          </cell>
        </row>
        <row r="174">
          <cell r="A174" t="str">
            <v xml:space="preserve">A21UFE1Z9P-B64CN </v>
          </cell>
          <cell r="B174" t="str">
            <v xml:space="preserve">WS U5/270 PGX24 64/4GB/CD </v>
          </cell>
          <cell r="C174">
            <v>3493</v>
          </cell>
          <cell r="D174" t="str">
            <v xml:space="preserve">H </v>
          </cell>
        </row>
        <row r="175">
          <cell r="A175" t="str">
            <v xml:space="preserve">A21UFE1Z9S-B128CN </v>
          </cell>
          <cell r="B175" t="str">
            <v xml:space="preserve">SERVER U5/270, 128/4GB </v>
          </cell>
          <cell r="C175">
            <v>4858</v>
          </cell>
          <cell r="D175" t="str">
            <v xml:space="preserve">H </v>
          </cell>
        </row>
        <row r="176">
          <cell r="A176" t="str">
            <v xml:space="preserve">A21UFE1Z9S-B64CN </v>
          </cell>
          <cell r="B176" t="str">
            <v xml:space="preserve">SERVER U5/270, 64/4GB </v>
          </cell>
          <cell r="C176">
            <v>4613</v>
          </cell>
          <cell r="D176" t="str">
            <v xml:space="preserve">H </v>
          </cell>
        </row>
        <row r="177">
          <cell r="A177" t="str">
            <v xml:space="preserve">A21UGE1Z9P-C128CR </v>
          </cell>
          <cell r="B177" t="str">
            <v xml:space="preserve">WS U5/360 PGX24 128/8GB/CD </v>
          </cell>
          <cell r="C177">
            <v>3738</v>
          </cell>
          <cell r="D177" t="str">
            <v xml:space="preserve">H </v>
          </cell>
        </row>
        <row r="178">
          <cell r="A178" t="str">
            <v xml:space="preserve">A21UGE1Z9P-C256CR </v>
          </cell>
          <cell r="B178" t="str">
            <v xml:space="preserve">WS U5/360 PGX24 256/8GB/CD </v>
          </cell>
          <cell r="C178">
            <v>4228</v>
          </cell>
          <cell r="D178" t="str">
            <v xml:space="preserve">H </v>
          </cell>
        </row>
        <row r="179">
          <cell r="A179" t="str">
            <v xml:space="preserve">A21UGE1Z9P-C64AR </v>
          </cell>
          <cell r="B179" t="str">
            <v xml:space="preserve">WS U5/360 PGX24 64/8GB </v>
          </cell>
          <cell r="C179">
            <v>3423</v>
          </cell>
          <cell r="D179" t="str">
            <v xml:space="preserve">H </v>
          </cell>
        </row>
        <row r="180">
          <cell r="A180" t="str">
            <v xml:space="preserve">A21UGE1Z9P-C64CR </v>
          </cell>
          <cell r="B180" t="str">
            <v xml:space="preserve">WS U5/360 PGX24 64/8GB/CD </v>
          </cell>
          <cell r="C180">
            <v>3493</v>
          </cell>
          <cell r="D180" t="str">
            <v xml:space="preserve">H </v>
          </cell>
        </row>
        <row r="181">
          <cell r="A181" t="str">
            <v xml:space="preserve">A21UGE1Z9S-C128CR </v>
          </cell>
          <cell r="B181" t="str">
            <v xml:space="preserve">Server U5/360 PGX24 128/8GB/CD </v>
          </cell>
          <cell r="C181">
            <v>4858</v>
          </cell>
          <cell r="D181" t="str">
            <v xml:space="preserve">H </v>
          </cell>
        </row>
        <row r="182">
          <cell r="A182" t="str">
            <v xml:space="preserve">A21UGE1Z9S-C256CR </v>
          </cell>
          <cell r="B182" t="str">
            <v xml:space="preserve">Server U5/360 PGX24 256/8GB/CD </v>
          </cell>
          <cell r="C182">
            <v>5348</v>
          </cell>
          <cell r="D182" t="str">
            <v xml:space="preserve">H </v>
          </cell>
        </row>
        <row r="183">
          <cell r="A183" t="str">
            <v xml:space="preserve">A21UGE1Z9S-C64CR </v>
          </cell>
          <cell r="B183" t="str">
            <v xml:space="preserve">Server U5/360 PGX24 64/8GB/CD </v>
          </cell>
          <cell r="C183">
            <v>4613</v>
          </cell>
          <cell r="D183" t="str">
            <v xml:space="preserve">H </v>
          </cell>
        </row>
        <row r="184">
          <cell r="A184" t="str">
            <v xml:space="preserve">A21UHC1Z9P-B128CP </v>
          </cell>
          <cell r="B184" t="str">
            <v xml:space="preserve">WS U5/333 PGX24 128/9GB/CD </v>
          </cell>
          <cell r="C184">
            <v>5173</v>
          </cell>
          <cell r="D184" t="str">
            <v xml:space="preserve">H </v>
          </cell>
        </row>
        <row r="185">
          <cell r="A185" t="str">
            <v xml:space="preserve">A21UHC1Z9P-B256CP </v>
          </cell>
          <cell r="B185" t="str">
            <v xml:space="preserve">WS U5/333 PGX24 256/9GB/CD </v>
          </cell>
          <cell r="C185">
            <v>5663</v>
          </cell>
          <cell r="D185" t="str">
            <v xml:space="preserve">H </v>
          </cell>
        </row>
        <row r="186">
          <cell r="A186" t="str">
            <v xml:space="preserve">A21UHC1Z9S-B128CP </v>
          </cell>
          <cell r="B186" t="str">
            <v xml:space="preserve">SERVER U5/333, 128/9GB </v>
          </cell>
          <cell r="C186">
            <v>6293</v>
          </cell>
          <cell r="D186" t="str">
            <v xml:space="preserve">H </v>
          </cell>
        </row>
        <row r="187">
          <cell r="A187" t="str">
            <v xml:space="preserve">A22UGC1Z9Q-B256CP </v>
          </cell>
          <cell r="B187" t="str">
            <v xml:space="preserve">WS U10/360 AFB-L 256/9GB/CD </v>
          </cell>
          <cell r="C187">
            <v>10793</v>
          </cell>
          <cell r="D187" t="str">
            <v xml:space="preserve">H </v>
          </cell>
        </row>
        <row r="188">
          <cell r="A188" t="str">
            <v xml:space="preserve">A22UGC1Z9Q-B512CP </v>
          </cell>
          <cell r="B188" t="str">
            <v xml:space="preserve">WS U10/360 AFB-L 512/9GB/CD </v>
          </cell>
          <cell r="C188">
            <v>11873</v>
          </cell>
          <cell r="D188" t="str">
            <v xml:space="preserve">H </v>
          </cell>
        </row>
        <row r="189">
          <cell r="A189" t="str">
            <v xml:space="preserve">A22UHC1Z9K-B128CP </v>
          </cell>
          <cell r="B189" t="str">
            <v xml:space="preserve">WS U10/333 FSB2+ 128/9GB/CD </v>
          </cell>
          <cell r="C189">
            <v>6743</v>
          </cell>
          <cell r="D189" t="str">
            <v xml:space="preserve">H </v>
          </cell>
        </row>
        <row r="190">
          <cell r="A190" t="str">
            <v xml:space="preserve">A22UHC1Z9K-B256CP </v>
          </cell>
          <cell r="B190" t="str">
            <v xml:space="preserve">WS U10/333 FSB2+ 256/9GB/CD </v>
          </cell>
          <cell r="C190">
            <v>7216</v>
          </cell>
          <cell r="D190" t="str">
            <v xml:space="preserve">H </v>
          </cell>
        </row>
        <row r="191">
          <cell r="A191" t="str">
            <v xml:space="preserve">A22UHC1Z9L-B128CP </v>
          </cell>
          <cell r="B191" t="str">
            <v xml:space="preserve">WS U10/333 FDB2+ 128/9GB/CD </v>
          </cell>
          <cell r="C191">
            <v>7283</v>
          </cell>
          <cell r="D191" t="str">
            <v xml:space="preserve">H </v>
          </cell>
        </row>
        <row r="192">
          <cell r="A192" t="str">
            <v xml:space="preserve">A22UHC1Z9L-B256CP </v>
          </cell>
          <cell r="B192" t="str">
            <v xml:space="preserve">WS U10/333 FDB2+ 256/9GB/CD </v>
          </cell>
          <cell r="C192">
            <v>7756</v>
          </cell>
          <cell r="D192" t="str">
            <v xml:space="preserve">H </v>
          </cell>
        </row>
        <row r="193">
          <cell r="A193" t="str">
            <v xml:space="preserve">A22UHC1Z9L-B512CP </v>
          </cell>
          <cell r="B193" t="str">
            <v xml:space="preserve">WS U10/333 FDB2+ 512/9GB/CD </v>
          </cell>
          <cell r="C193">
            <v>8836</v>
          </cell>
          <cell r="D193" t="str">
            <v xml:space="preserve">H </v>
          </cell>
        </row>
        <row r="194">
          <cell r="A194" t="str">
            <v xml:space="preserve">A22UHC1Z9P-B128CP </v>
          </cell>
          <cell r="B194" t="str">
            <v xml:space="preserve">WS U10/333 PGX24 128/9GB/CD </v>
          </cell>
          <cell r="C194">
            <v>5798</v>
          </cell>
          <cell r="D194" t="str">
            <v xml:space="preserve">H </v>
          </cell>
        </row>
        <row r="195">
          <cell r="A195" t="str">
            <v xml:space="preserve">A22UHC1Z9P-B256CP </v>
          </cell>
          <cell r="B195" t="str">
            <v xml:space="preserve">WS U10/333 PGX24 256/9GB/CD </v>
          </cell>
          <cell r="C195">
            <v>6271</v>
          </cell>
          <cell r="D195" t="str">
            <v xml:space="preserve">H </v>
          </cell>
        </row>
        <row r="196">
          <cell r="A196" t="str">
            <v xml:space="preserve">A22UHC1Z9S-B128CP </v>
          </cell>
          <cell r="B196" t="str">
            <v xml:space="preserve">SERVER UE10/333, 128MB/9GB </v>
          </cell>
          <cell r="C196">
            <v>6878</v>
          </cell>
          <cell r="D196" t="str">
            <v xml:space="preserve">H </v>
          </cell>
        </row>
        <row r="197">
          <cell r="A197" t="str">
            <v xml:space="preserve">A22UHC1Z9S-B256CP </v>
          </cell>
          <cell r="B197" t="str">
            <v xml:space="preserve">SERVER UE10/333, 256MB/9GB </v>
          </cell>
          <cell r="C197">
            <v>7351</v>
          </cell>
          <cell r="D197" t="str">
            <v xml:space="preserve">H </v>
          </cell>
        </row>
        <row r="198">
          <cell r="A198" t="str">
            <v xml:space="preserve">A22UHC1Z9S-B512CP </v>
          </cell>
          <cell r="B198" t="str">
            <v xml:space="preserve">SERVER UE10/333, 512MB/9GB </v>
          </cell>
          <cell r="C198">
            <v>8431</v>
          </cell>
          <cell r="D198" t="str">
            <v xml:space="preserve">H </v>
          </cell>
        </row>
        <row r="199">
          <cell r="A199" t="str">
            <v xml:space="preserve">A22UKC1Z9L-C256CP </v>
          </cell>
          <cell r="B199" t="str">
            <v xml:space="preserve">WS U10/440 FDB2+ 256/9GB/CD </v>
          </cell>
          <cell r="C199">
            <v>7216</v>
          </cell>
          <cell r="D199" t="str">
            <v xml:space="preserve">H </v>
          </cell>
        </row>
        <row r="200">
          <cell r="A200" t="str">
            <v xml:space="preserve">A22UKC1Z9M-C256CP </v>
          </cell>
          <cell r="B200" t="str">
            <v xml:space="preserve">WS U10/440 AFB 256/9GB/CD </v>
          </cell>
          <cell r="C200">
            <v>10118</v>
          </cell>
          <cell r="D200" t="str">
            <v xml:space="preserve">H </v>
          </cell>
        </row>
        <row r="201">
          <cell r="A201" t="str">
            <v xml:space="preserve">A22UKC1Z9M-C512CP </v>
          </cell>
          <cell r="B201" t="str">
            <v xml:space="preserve">WS U10/440 AFB 512/9GB/CD </v>
          </cell>
          <cell r="C201">
            <v>11198</v>
          </cell>
          <cell r="D201" t="str">
            <v xml:space="preserve">H </v>
          </cell>
        </row>
        <row r="202">
          <cell r="A202" t="str">
            <v xml:space="preserve">A22UKC1Z9Q-C128CP </v>
          </cell>
          <cell r="B202" t="str">
            <v xml:space="preserve">WS U10/440 AFB Lite 128/9GB/CD </v>
          </cell>
          <cell r="C202">
            <v>8363</v>
          </cell>
          <cell r="D202" t="str">
            <v xml:space="preserve">H </v>
          </cell>
        </row>
        <row r="203">
          <cell r="A203" t="str">
            <v xml:space="preserve">A22UKC1Z9Q-C256CP </v>
          </cell>
          <cell r="B203" t="str">
            <v xml:space="preserve">WS U10/440 AFB-L 256/9GB/CD </v>
          </cell>
          <cell r="C203">
            <v>8836</v>
          </cell>
          <cell r="D203" t="str">
            <v xml:space="preserve">H </v>
          </cell>
        </row>
        <row r="204">
          <cell r="A204" t="str">
            <v xml:space="preserve">A22UKC1Z9Q-C512CP </v>
          </cell>
          <cell r="B204" t="str">
            <v xml:space="preserve">WS U10/440 AFB-L 512/9GB/CD </v>
          </cell>
          <cell r="C204">
            <v>9916</v>
          </cell>
          <cell r="D204" t="str">
            <v xml:space="preserve">H </v>
          </cell>
        </row>
        <row r="205">
          <cell r="A205" t="str">
            <v xml:space="preserve">A22UKC1Z9S-C256CP </v>
          </cell>
          <cell r="B205" t="str">
            <v xml:space="preserve">SERVER U10/440 PGX24 256MB/9GB </v>
          </cell>
          <cell r="C205">
            <v>7351</v>
          </cell>
          <cell r="D205" t="str">
            <v xml:space="preserve">H </v>
          </cell>
        </row>
        <row r="206">
          <cell r="A206" t="str">
            <v xml:space="preserve">A23-UEC1-9L-128AC </v>
          </cell>
          <cell r="B206" t="str">
            <v xml:space="preserve">WS U60/300, C3D3, 128MB/4GB </v>
          </cell>
          <cell r="C206">
            <v>15653</v>
          </cell>
          <cell r="D206" t="str">
            <v xml:space="preserve">H </v>
          </cell>
        </row>
        <row r="207">
          <cell r="A207" t="str">
            <v xml:space="preserve">A23-UEC1-9L-128ACK </v>
          </cell>
          <cell r="B207" t="str">
            <v xml:space="preserve">1X300MHZ,128MB,FDB2+,4GB HDD </v>
          </cell>
          <cell r="C207">
            <v>15828</v>
          </cell>
          <cell r="D207" t="str">
            <v xml:space="preserve">H </v>
          </cell>
        </row>
        <row r="208">
          <cell r="A208" t="str">
            <v xml:space="preserve">A23-UEC1-9L-512AC </v>
          </cell>
          <cell r="B208" t="str">
            <v xml:space="preserve">WS U60/300, C3D3, 512MB/4GB </v>
          </cell>
          <cell r="C208">
            <v>19447</v>
          </cell>
          <cell r="D208" t="str">
            <v xml:space="preserve">H </v>
          </cell>
        </row>
        <row r="209">
          <cell r="A209" t="str">
            <v xml:space="preserve">A23-UEC1-9L-512ACK </v>
          </cell>
          <cell r="B209" t="str">
            <v xml:space="preserve">1X300MHZ,512MB,FDB2+,4GB HDD </v>
          </cell>
          <cell r="C209">
            <v>19622</v>
          </cell>
          <cell r="D209" t="str">
            <v xml:space="preserve">H </v>
          </cell>
        </row>
        <row r="210">
          <cell r="A210" t="str">
            <v xml:space="preserve">A23-UEC1-9M-128AC </v>
          </cell>
          <cell r="B210" t="str">
            <v xml:space="preserve">WS U60/300, AFB, 128MB/4GB </v>
          </cell>
          <cell r="C210">
            <v>23625</v>
          </cell>
          <cell r="D210" t="str">
            <v xml:space="preserve">H </v>
          </cell>
        </row>
        <row r="211">
          <cell r="A211" t="str">
            <v xml:space="preserve">A23-UEC1-9M-128ACK </v>
          </cell>
          <cell r="B211" t="str">
            <v xml:space="preserve">1X300MHZ, 128MB, AFB, 4GB HDD </v>
          </cell>
          <cell r="C211">
            <v>23800</v>
          </cell>
          <cell r="D211" t="str">
            <v xml:space="preserve">H </v>
          </cell>
        </row>
        <row r="212">
          <cell r="A212" t="str">
            <v xml:space="preserve">A23-UEC1-9Q-128AC </v>
          </cell>
          <cell r="B212" t="str">
            <v xml:space="preserve">WS U60/300, AFB-L, 128MB/4GB </v>
          </cell>
          <cell r="C212">
            <v>19906</v>
          </cell>
          <cell r="D212" t="str">
            <v xml:space="preserve">H </v>
          </cell>
        </row>
        <row r="213">
          <cell r="A213" t="str">
            <v xml:space="preserve">A23-UEC1-9Q-128ACK </v>
          </cell>
          <cell r="B213" t="str">
            <v xml:space="preserve">1X300MHZ,128MB,AFB-L,4GB HDD </v>
          </cell>
          <cell r="C213">
            <v>20081</v>
          </cell>
          <cell r="D213" t="str">
            <v xml:space="preserve">H </v>
          </cell>
        </row>
        <row r="214">
          <cell r="A214" t="str">
            <v xml:space="preserve">A23-UEC2-9L-256AC </v>
          </cell>
          <cell r="B214" t="str">
            <v xml:space="preserve">WS U60/2X300 C3D3 256MB/4GB </v>
          </cell>
          <cell r="C214">
            <v>25475</v>
          </cell>
          <cell r="D214" t="str">
            <v xml:space="preserve">H </v>
          </cell>
        </row>
        <row r="215">
          <cell r="A215" t="str">
            <v xml:space="preserve">A23-UEC2-9L-256ACK </v>
          </cell>
          <cell r="B215" t="str">
            <v xml:space="preserve">2X300MHZ,256MB,FDB2+,4GB HDD </v>
          </cell>
          <cell r="C215">
            <v>25650</v>
          </cell>
          <cell r="D215" t="str">
            <v xml:space="preserve">H </v>
          </cell>
        </row>
        <row r="216">
          <cell r="A216" t="str">
            <v xml:space="preserve">A23-UEC2-9L-512AC </v>
          </cell>
          <cell r="B216" t="str">
            <v xml:space="preserve">WS U60/2X300 C3D3 512MB/4GB </v>
          </cell>
          <cell r="C216">
            <v>28323</v>
          </cell>
          <cell r="D216" t="str">
            <v xml:space="preserve">H </v>
          </cell>
        </row>
        <row r="217">
          <cell r="A217" t="str">
            <v xml:space="preserve">A23-UEC2-9L-512ACK </v>
          </cell>
          <cell r="B217" t="str">
            <v xml:space="preserve">2X300MHZ,512MB,FDB2+,4GB HDD </v>
          </cell>
          <cell r="C217">
            <v>28498</v>
          </cell>
          <cell r="D217" t="str">
            <v xml:space="preserve">H </v>
          </cell>
        </row>
        <row r="218">
          <cell r="A218" t="str">
            <v xml:space="preserve">A23-UEC2-9M-256AC </v>
          </cell>
          <cell r="B218" t="str">
            <v>WS U60/2X3000 AFB 256MB/4GB</v>
          </cell>
          <cell r="C218">
            <v>33446</v>
          </cell>
          <cell r="D218" t="str">
            <v xml:space="preserve">H </v>
          </cell>
        </row>
        <row r="219">
          <cell r="A219" t="str">
            <v xml:space="preserve">A23-UEC2-9M-256ACK </v>
          </cell>
          <cell r="B219" t="str">
            <v xml:space="preserve">2X300MHZ, 256MB, AFB, 4GB HDD </v>
          </cell>
          <cell r="C219">
            <v>33621</v>
          </cell>
          <cell r="D219" t="str">
            <v xml:space="preserve">H </v>
          </cell>
        </row>
        <row r="220">
          <cell r="A220" t="str">
            <v xml:space="preserve">A23-UEC2-9M-512AC </v>
          </cell>
          <cell r="B220" t="str">
            <v xml:space="preserve">WS U60/2X300 AFB 512MB/4GB </v>
          </cell>
          <cell r="C220">
            <v>36295</v>
          </cell>
          <cell r="D220" t="str">
            <v xml:space="preserve">H </v>
          </cell>
        </row>
        <row r="221">
          <cell r="A221" t="str">
            <v xml:space="preserve">A23-UEC2-9M-512ACK </v>
          </cell>
          <cell r="B221" t="str">
            <v xml:space="preserve">WS U60/2X300 AFB 512MB/4GB </v>
          </cell>
          <cell r="C221">
            <v>36470</v>
          </cell>
          <cell r="D221" t="str">
            <v xml:space="preserve">H </v>
          </cell>
        </row>
        <row r="222">
          <cell r="A222" t="str">
            <v xml:space="preserve">A23-UEC2-9Q-256AC </v>
          </cell>
          <cell r="B222" t="str">
            <v xml:space="preserve">WS U60/2X300 AFB-L 256MB/4GB </v>
          </cell>
          <cell r="C222">
            <v>29727</v>
          </cell>
          <cell r="D222" t="str">
            <v xml:space="preserve">H </v>
          </cell>
        </row>
        <row r="223">
          <cell r="A223" t="str">
            <v xml:space="preserve">A23-UEC2-9Q-256ACK </v>
          </cell>
          <cell r="B223" t="str">
            <v xml:space="preserve">2X300MHZ, 256MB, AFB-L 4GB HDD </v>
          </cell>
          <cell r="C223">
            <v>29902</v>
          </cell>
          <cell r="D223" t="str">
            <v xml:space="preserve">H </v>
          </cell>
        </row>
        <row r="224">
          <cell r="A224" t="str">
            <v xml:space="preserve">A23-UGD1-9L-128AH </v>
          </cell>
          <cell r="B224" t="str">
            <v xml:space="preserve">WS U60/1X360 C3D3 128MB/9GB </v>
          </cell>
          <cell r="C224">
            <v>13493</v>
          </cell>
          <cell r="D224" t="str">
            <v xml:space="preserve">H </v>
          </cell>
        </row>
        <row r="225">
          <cell r="A225" t="str">
            <v>A23-UGD1-9L-128AHK</v>
          </cell>
          <cell r="B225" t="str">
            <v xml:space="preserve">WS U60/1X360 C3D3 128MB/9GB </v>
          </cell>
          <cell r="C225">
            <v>13668</v>
          </cell>
          <cell r="D225" t="str">
            <v xml:space="preserve">H </v>
          </cell>
        </row>
        <row r="226">
          <cell r="A226" t="str">
            <v xml:space="preserve">A23-UGD1-9L-512AH </v>
          </cell>
          <cell r="B226" t="str">
            <v xml:space="preserve">WS U60/1X360 C3D3 512MB/9GB </v>
          </cell>
          <cell r="C226">
            <v>16355</v>
          </cell>
          <cell r="D226" t="str">
            <v xml:space="preserve">H </v>
          </cell>
        </row>
        <row r="227">
          <cell r="A227" t="str">
            <v xml:space="preserve">A23-UGD1-9L-512AHK </v>
          </cell>
          <cell r="B227" t="str">
            <v xml:space="preserve">WS U60/1X360 C3D3 512MB/9GB </v>
          </cell>
          <cell r="C227">
            <v>16530</v>
          </cell>
          <cell r="D227" t="str">
            <v xml:space="preserve">H </v>
          </cell>
        </row>
        <row r="228">
          <cell r="A228" t="str">
            <v xml:space="preserve">A23-UGD1-9M-128AH </v>
          </cell>
          <cell r="B228" t="str">
            <v xml:space="preserve">WS U60/1X360 AFB 128MB/9GB </v>
          </cell>
          <cell r="C228">
            <v>18623</v>
          </cell>
          <cell r="D228" t="str">
            <v xml:space="preserve">H </v>
          </cell>
        </row>
        <row r="229">
          <cell r="A229" t="str">
            <v xml:space="preserve">A23-UGD1-9M-128AHK </v>
          </cell>
          <cell r="B229" t="str">
            <v xml:space="preserve">WS U60/1X360 AFB 128MB/9GB </v>
          </cell>
          <cell r="C229">
            <v>18798</v>
          </cell>
          <cell r="D229" t="str">
            <v xml:space="preserve">H </v>
          </cell>
        </row>
        <row r="230">
          <cell r="A230" t="str">
            <v xml:space="preserve">A23-UGD1-9Q-128AH </v>
          </cell>
          <cell r="B230" t="str">
            <v xml:space="preserve">WS U60/1X360 AFB-L 128MB/9GB </v>
          </cell>
          <cell r="C230">
            <v>15923</v>
          </cell>
          <cell r="D230" t="str">
            <v xml:space="preserve">H </v>
          </cell>
        </row>
        <row r="231">
          <cell r="A231" t="str">
            <v xml:space="preserve">A23-UGD1-9Q-128AHK </v>
          </cell>
          <cell r="B231" t="str">
            <v xml:space="preserve">WS U60/1X360 AFB-L 128MB/9GB </v>
          </cell>
          <cell r="C231">
            <v>16098</v>
          </cell>
          <cell r="D231" t="str">
            <v xml:space="preserve">H </v>
          </cell>
        </row>
        <row r="232">
          <cell r="A232" t="str">
            <v xml:space="preserve">A23-UGD1-9Q-512AH </v>
          </cell>
          <cell r="B232" t="str">
            <v xml:space="preserve">WS U60/1X360 AFB-L 512MB/9GB </v>
          </cell>
          <cell r="C232">
            <v>18785</v>
          </cell>
          <cell r="D232" t="str">
            <v xml:space="preserve">H </v>
          </cell>
        </row>
        <row r="233">
          <cell r="A233" t="str">
            <v xml:space="preserve">A23-UGD1-9Q-512AHK </v>
          </cell>
          <cell r="B233" t="str">
            <v xml:space="preserve">WS U60/1X360 AFB-L 512MB/9GB </v>
          </cell>
          <cell r="C233">
            <v>18960</v>
          </cell>
          <cell r="D233" t="str">
            <v xml:space="preserve">H </v>
          </cell>
        </row>
        <row r="234">
          <cell r="A234" t="str">
            <v xml:space="preserve">A23-UGD2-9L-256AH </v>
          </cell>
          <cell r="B234" t="str">
            <v xml:space="preserve">WS U60/2X360 C3D3 256MB/9GB </v>
          </cell>
          <cell r="C234">
            <v>18353</v>
          </cell>
          <cell r="D234" t="str">
            <v xml:space="preserve">H </v>
          </cell>
        </row>
        <row r="235">
          <cell r="A235" t="str">
            <v xml:space="preserve">A23-UGD2-9L-256AHK </v>
          </cell>
          <cell r="B235" t="str">
            <v xml:space="preserve">WS U60/2X360 C3D3 256MB/9GB </v>
          </cell>
          <cell r="C235">
            <v>18528</v>
          </cell>
          <cell r="D235" t="str">
            <v xml:space="preserve">H </v>
          </cell>
        </row>
        <row r="236">
          <cell r="A236" t="str">
            <v xml:space="preserve">A23-UGD2-9L-512AH </v>
          </cell>
          <cell r="B236" t="str">
            <v xml:space="preserve">WS U60/2X360 C3D3 512MB/9GB </v>
          </cell>
          <cell r="C236">
            <v>20169</v>
          </cell>
          <cell r="D236" t="str">
            <v xml:space="preserve">H </v>
          </cell>
        </row>
        <row r="237">
          <cell r="A237" t="str">
            <v xml:space="preserve">A23-UGD2-9L-512AHK </v>
          </cell>
          <cell r="B237" t="str">
            <v xml:space="preserve">WS U60/2X360 C3D3 512MB/9GB </v>
          </cell>
          <cell r="C237">
            <v>20344</v>
          </cell>
          <cell r="D237" t="str">
            <v xml:space="preserve">H </v>
          </cell>
        </row>
        <row r="238">
          <cell r="A238" t="str">
            <v xml:space="preserve">A23-UGD2-9M-256AH </v>
          </cell>
          <cell r="B238" t="str">
            <v xml:space="preserve">WS U60/2X360 AFB 256MB/9GB </v>
          </cell>
          <cell r="C238">
            <v>23483</v>
          </cell>
          <cell r="D238" t="str">
            <v xml:space="preserve">H </v>
          </cell>
        </row>
        <row r="239">
          <cell r="A239" t="str">
            <v xml:space="preserve">A23-UGD2-9M-256AHK </v>
          </cell>
          <cell r="B239" t="str">
            <v xml:space="preserve">WS U60/2X360 AFB 256MB/9GB </v>
          </cell>
          <cell r="C239">
            <v>23658</v>
          </cell>
          <cell r="D239" t="str">
            <v xml:space="preserve">H </v>
          </cell>
        </row>
        <row r="240">
          <cell r="A240" t="str">
            <v xml:space="preserve">A23-UGD2-9M-512AH </v>
          </cell>
          <cell r="B240" t="str">
            <v xml:space="preserve">WS U60/2X360 AFB 512MB/9GB </v>
          </cell>
          <cell r="C240">
            <v>25299</v>
          </cell>
          <cell r="D240" t="str">
            <v xml:space="preserve">H </v>
          </cell>
        </row>
        <row r="241">
          <cell r="A241" t="str">
            <v xml:space="preserve">A23-UGD2-9M-512AHK </v>
          </cell>
          <cell r="B241" t="str">
            <v xml:space="preserve">WS U60/2X360 AFB 512MB/9GB </v>
          </cell>
          <cell r="C241">
            <v>25474</v>
          </cell>
          <cell r="D241" t="str">
            <v xml:space="preserve">H </v>
          </cell>
        </row>
        <row r="242">
          <cell r="A242" t="str">
            <v xml:space="preserve">A23-UGD2-9Q-256AH </v>
          </cell>
          <cell r="B242" t="str">
            <v xml:space="preserve">WS U60/2X360 AFB-L 256MB/9GB </v>
          </cell>
          <cell r="C242">
            <v>20783</v>
          </cell>
          <cell r="D242" t="str">
            <v xml:space="preserve">H </v>
          </cell>
        </row>
        <row r="243">
          <cell r="A243" t="str">
            <v xml:space="preserve">A23-UGD2-9Q-256AHK </v>
          </cell>
          <cell r="B243" t="str">
            <v xml:space="preserve">WS U60/2X360 AFB-L 256MB/9GB </v>
          </cell>
          <cell r="C243">
            <v>20958</v>
          </cell>
          <cell r="D243" t="str">
            <v xml:space="preserve">H </v>
          </cell>
        </row>
        <row r="244">
          <cell r="A244" t="str">
            <v xml:space="preserve">A23-ULD1-9L-256AH </v>
          </cell>
          <cell r="B244" t="str">
            <v xml:space="preserve">WS U60/1X450,C3D3,256MB,9GB </v>
          </cell>
          <cell r="C244">
            <v>17543</v>
          </cell>
          <cell r="D244" t="str">
            <v xml:space="preserve">H </v>
          </cell>
        </row>
        <row r="245">
          <cell r="A245" t="str">
            <v xml:space="preserve">A23-ULD1-9L-512AH </v>
          </cell>
          <cell r="B245" t="str">
            <v xml:space="preserve">WS U60/1X450,C3D3,512MB,9G </v>
          </cell>
          <cell r="C245">
            <v>19359</v>
          </cell>
          <cell r="D245" t="str">
            <v xml:space="preserve">H </v>
          </cell>
        </row>
        <row r="246">
          <cell r="A246" t="str">
            <v xml:space="preserve">A23-ULD1-9M-256AH </v>
          </cell>
          <cell r="B246" t="str">
            <v xml:space="preserve">WS U60/1X450,AFB,256MB,9GB </v>
          </cell>
          <cell r="C246">
            <v>20513</v>
          </cell>
          <cell r="D246" t="str">
            <v xml:space="preserve">H </v>
          </cell>
        </row>
        <row r="247">
          <cell r="A247" t="str">
            <v xml:space="preserve">A23-ULD1-9M-512AH </v>
          </cell>
          <cell r="B247" t="str">
            <v xml:space="preserve">WS U60/1X450,AFB,512MB,9GB </v>
          </cell>
          <cell r="C247">
            <v>22329</v>
          </cell>
          <cell r="D247" t="str">
            <v xml:space="preserve">H </v>
          </cell>
        </row>
        <row r="248">
          <cell r="A248" t="str">
            <v xml:space="preserve">A23-ULD1-9Q-1024AH </v>
          </cell>
          <cell r="B248" t="str">
            <v xml:space="preserve">WS U60/1X450,AFB-L,1024MB,9GB </v>
          </cell>
          <cell r="C248">
            <v>24354</v>
          </cell>
          <cell r="D248" t="str">
            <v xml:space="preserve">H </v>
          </cell>
        </row>
        <row r="249">
          <cell r="A249" t="str">
            <v xml:space="preserve">A23-ULD1-9Q-256AH </v>
          </cell>
          <cell r="B249" t="str">
            <v xml:space="preserve">WS U60/1X450,AFB-L,256MB,9GB </v>
          </cell>
          <cell r="C249">
            <v>19163</v>
          </cell>
          <cell r="D249" t="str">
            <v xml:space="preserve">H </v>
          </cell>
        </row>
        <row r="250">
          <cell r="A250" t="str">
            <v xml:space="preserve">A23-ULD1-9Q-512AH </v>
          </cell>
          <cell r="B250" t="str">
            <v xml:space="preserve">WS U60/1X450,AFB-L,512MB,9GB </v>
          </cell>
          <cell r="C250">
            <v>20979</v>
          </cell>
          <cell r="D250" t="str">
            <v xml:space="preserve">H </v>
          </cell>
        </row>
        <row r="251">
          <cell r="A251" t="str">
            <v xml:space="preserve">A23-ULD2-9L-256AH </v>
          </cell>
          <cell r="B251" t="str">
            <v xml:space="preserve">WS U60/2X450.C3D3,256MB,9GB </v>
          </cell>
          <cell r="C251">
            <v>24293</v>
          </cell>
          <cell r="D251" t="str">
            <v xml:space="preserve">H </v>
          </cell>
        </row>
        <row r="252">
          <cell r="A252" t="str">
            <v xml:space="preserve">A23-ULD2-9L-512AH </v>
          </cell>
          <cell r="B252" t="str">
            <v xml:space="preserve">WS U60/2X450,C3D3,512MB,9GB </v>
          </cell>
          <cell r="C252">
            <v>26109</v>
          </cell>
          <cell r="D252" t="str">
            <v xml:space="preserve">H </v>
          </cell>
        </row>
        <row r="253">
          <cell r="A253" t="str">
            <v xml:space="preserve">A23-ULD2-9M-256AH </v>
          </cell>
          <cell r="B253" t="str">
            <v xml:space="preserve">WS U60/2X450,AFB,256MB,9GB </v>
          </cell>
          <cell r="C253">
            <v>27263</v>
          </cell>
          <cell r="D253" t="str">
            <v xml:space="preserve">H </v>
          </cell>
        </row>
        <row r="254">
          <cell r="A254" t="str">
            <v xml:space="preserve">A23-ULD2-9M-512AH </v>
          </cell>
          <cell r="B254" t="str">
            <v xml:space="preserve">WS U60/2X450,AFB,512MB,9GB </v>
          </cell>
          <cell r="C254">
            <v>29079</v>
          </cell>
          <cell r="D254" t="str">
            <v xml:space="preserve">H </v>
          </cell>
        </row>
        <row r="255">
          <cell r="A255" t="str">
            <v xml:space="preserve">A23-ULD2-9Q-256AH </v>
          </cell>
          <cell r="B255" t="str">
            <v xml:space="preserve">WS U60/2X450,AFB-L,256MB,9GB </v>
          </cell>
          <cell r="C255">
            <v>25913</v>
          </cell>
          <cell r="D255" t="str">
            <v xml:space="preserve">H </v>
          </cell>
        </row>
        <row r="256">
          <cell r="A256" t="str">
            <v xml:space="preserve">A23-ULD2-9Q-512AH </v>
          </cell>
          <cell r="B256" t="str">
            <v xml:space="preserve">WS U60/2X450,AFB-L,512MB,9GB </v>
          </cell>
          <cell r="C256">
            <v>27729</v>
          </cell>
          <cell r="D256" t="str">
            <v xml:space="preserve">H </v>
          </cell>
        </row>
        <row r="257">
          <cell r="A257" t="str">
            <v xml:space="preserve">A25-BA </v>
          </cell>
          <cell r="B257" t="str">
            <v xml:space="preserve">SRVR E450 ZERO BASE </v>
          </cell>
          <cell r="C257">
            <v>14749</v>
          </cell>
          <cell r="D257" t="str">
            <v xml:space="preserve">H </v>
          </cell>
        </row>
        <row r="258">
          <cell r="A258" t="str">
            <v xml:space="preserve">A26-AA </v>
          </cell>
          <cell r="B258" t="str">
            <v xml:space="preserve">E250 SERVER BASE CONFIGURATION </v>
          </cell>
          <cell r="C258">
            <v>6994</v>
          </cell>
          <cell r="D258" t="str">
            <v xml:space="preserve">H </v>
          </cell>
        </row>
        <row r="259">
          <cell r="A259" t="str">
            <v xml:space="preserve">A26-AA-R </v>
          </cell>
          <cell r="B259" t="str">
            <v xml:space="preserve">E250 SERVER BASE CONFIG (RACK) </v>
          </cell>
          <cell r="C259">
            <v>6994</v>
          </cell>
          <cell r="D259" t="str">
            <v xml:space="preserve">H </v>
          </cell>
        </row>
        <row r="260">
          <cell r="A260" t="str">
            <v xml:space="preserve">A3000HP-6140-B </v>
          </cell>
          <cell r="B260" t="str">
            <v xml:space="preserve">HP-UX RAID MGR SW KIT A3000 </v>
          </cell>
          <cell r="C260">
            <v>0</v>
          </cell>
          <cell r="D260" t="str">
            <v xml:space="preserve">D </v>
          </cell>
        </row>
        <row r="261">
          <cell r="A261" t="str">
            <v xml:space="preserve">A5000-NT4-B </v>
          </cell>
          <cell r="B261" t="str">
            <v xml:space="preserve">NT SW KIT FOR A5000 </v>
          </cell>
          <cell r="C261">
            <v>0</v>
          </cell>
          <cell r="D261" t="str">
            <v xml:space="preserve">D </v>
          </cell>
        </row>
        <row r="262">
          <cell r="A262" t="str">
            <v xml:space="preserve">AUT-2.1-D </v>
          </cell>
          <cell r="B262" t="str">
            <v xml:space="preserve">AUTOCLIENT 2.1, DOC </v>
          </cell>
          <cell r="C262">
            <v>195</v>
          </cell>
          <cell r="D262" t="str">
            <v xml:space="preserve">D </v>
          </cell>
        </row>
        <row r="263">
          <cell r="A263" t="str">
            <v xml:space="preserve">AUT-2.1-L10 </v>
          </cell>
          <cell r="B263" t="str">
            <v xml:space="preserve">AUTOCLIENT 2.1, 10LIC </v>
          </cell>
          <cell r="C263">
            <v>3416</v>
          </cell>
          <cell r="D263" t="str">
            <v xml:space="preserve">B </v>
          </cell>
        </row>
        <row r="264">
          <cell r="A264" t="str">
            <v xml:space="preserve">AUT-2.1-L100 </v>
          </cell>
          <cell r="B264" t="str">
            <v xml:space="preserve">AUTOCLIENT 2.1, 100LIC </v>
          </cell>
          <cell r="C264">
            <v>21875</v>
          </cell>
          <cell r="D264" t="str">
            <v xml:space="preserve">B </v>
          </cell>
        </row>
        <row r="265">
          <cell r="A265" t="str">
            <v xml:space="preserve">AUT-2.1-P </v>
          </cell>
          <cell r="B265" t="str">
            <v xml:space="preserve">AUTOCLIENT 2.1, CD DOC LI </v>
          </cell>
          <cell r="C265">
            <v>7840</v>
          </cell>
          <cell r="D265" t="str">
            <v xml:space="preserve">B </v>
          </cell>
        </row>
        <row r="266">
          <cell r="A266" t="str">
            <v xml:space="preserve">AUT-SVR-2.1-L </v>
          </cell>
          <cell r="B266" t="str">
            <v xml:space="preserve">AUTOCLIENT 2.1 SV, LIC </v>
          </cell>
          <cell r="C266">
            <v>4179</v>
          </cell>
          <cell r="D266" t="str">
            <v xml:space="preserve">B </v>
          </cell>
        </row>
        <row r="267">
          <cell r="A267" t="str">
            <v xml:space="preserve">BAK-CL1-5.0.1-CD </v>
          </cell>
          <cell r="B267" t="str">
            <v xml:space="preserve">BACKUP CLIENTPAK 5.0.1,CD DOC </v>
          </cell>
          <cell r="C267">
            <v>2100</v>
          </cell>
          <cell r="D267" t="str">
            <v xml:space="preserve">B </v>
          </cell>
        </row>
        <row r="268">
          <cell r="A268" t="str">
            <v xml:space="preserve">BAK-CL2-5.0.1-CD </v>
          </cell>
          <cell r="B268" t="str">
            <v xml:space="preserve">BACKUP CLIENTPAK2 5.0.1,CD DOC </v>
          </cell>
          <cell r="C268">
            <v>2100</v>
          </cell>
          <cell r="D268" t="str">
            <v xml:space="preserve">B </v>
          </cell>
        </row>
        <row r="269">
          <cell r="A269" t="str">
            <v xml:space="preserve">BAK-CL3-5.0.1-CD </v>
          </cell>
          <cell r="B269" t="str">
            <v xml:space="preserve">BACKUP CLIENTPAK3 5.0.1,CD DOC </v>
          </cell>
          <cell r="C269">
            <v>2100</v>
          </cell>
          <cell r="D269" t="str">
            <v xml:space="preserve">B </v>
          </cell>
        </row>
        <row r="270">
          <cell r="A270" t="str">
            <v xml:space="preserve">BAK-CL5-4.2.6-CD </v>
          </cell>
          <cell r="B270" t="str">
            <v xml:space="preserve">BACKUP CLIENTPAK5 4.2.6, CD </v>
          </cell>
          <cell r="C270">
            <v>2100</v>
          </cell>
          <cell r="D270" t="str">
            <v xml:space="preserve">B </v>
          </cell>
        </row>
        <row r="271">
          <cell r="A271" t="str">
            <v xml:space="preserve">BAK-DMI-1.0-P </v>
          </cell>
          <cell r="B271" t="str">
            <v xml:space="preserve">SOLSTICE DB INFORMIX,CD DOC LI </v>
          </cell>
          <cell r="C271">
            <v>7000</v>
          </cell>
          <cell r="D271" t="str">
            <v xml:space="preserve">B </v>
          </cell>
        </row>
        <row r="272">
          <cell r="A272" t="str">
            <v xml:space="preserve">BAK-DMSAP-1.1.0-P </v>
          </cell>
          <cell r="B272" t="str">
            <v xml:space="preserve">SOLSTICE DB SAP, CD DOC LI </v>
          </cell>
          <cell r="C272">
            <v>14000</v>
          </cell>
          <cell r="D272" t="str">
            <v xml:space="preserve">B </v>
          </cell>
        </row>
        <row r="273">
          <cell r="A273" t="str">
            <v xml:space="preserve">BAK-MME-1.0.0-P </v>
          </cell>
          <cell r="B273" t="str">
            <v xml:space="preserve">SOLS BACKUP MME 1.0, CD DOC LI </v>
          </cell>
          <cell r="C273">
            <v>1400</v>
          </cell>
          <cell r="D273" t="str">
            <v xml:space="preserve">B </v>
          </cell>
        </row>
        <row r="274">
          <cell r="A274" t="str">
            <v xml:space="preserve">BAK-MMS-1.0.0-P </v>
          </cell>
          <cell r="B274" t="str">
            <v xml:space="preserve">SOLS BACKUP MMS 1.0, CD DOC LI </v>
          </cell>
          <cell r="C274">
            <v>1400</v>
          </cell>
          <cell r="D274" t="str">
            <v xml:space="preserve">B </v>
          </cell>
        </row>
        <row r="275">
          <cell r="A275" t="str">
            <v xml:space="preserve">BUA99-510-9999 </v>
          </cell>
          <cell r="B275" t="str">
            <v xml:space="preserve">SW SBU 5.1 ARCHIVE, LIC </v>
          </cell>
          <cell r="C275">
            <v>4900</v>
          </cell>
          <cell r="D275" t="str">
            <v xml:space="preserve">B </v>
          </cell>
        </row>
        <row r="276">
          <cell r="A276" t="str">
            <v xml:space="preserve">BUA99-510-99U9 </v>
          </cell>
          <cell r="B276" t="str">
            <v xml:space="preserve">SW SBU 5.1 ARCHIVE UPGR RTU </v>
          </cell>
          <cell r="C276">
            <v>2450</v>
          </cell>
          <cell r="D276" t="str">
            <v xml:space="preserve">B </v>
          </cell>
        </row>
        <row r="277">
          <cell r="A277" t="str">
            <v xml:space="preserve">BUD99-510-99U9 </v>
          </cell>
          <cell r="B277" t="str">
            <v xml:space="preserve">SW SBU 5.1 UPGR HSD RTU </v>
          </cell>
          <cell r="C277">
            <v>4550</v>
          </cell>
          <cell r="D277" t="str">
            <v xml:space="preserve">B </v>
          </cell>
        </row>
        <row r="278">
          <cell r="A278" t="str">
            <v xml:space="preserve">BUE99-510-99T9 </v>
          </cell>
          <cell r="B278" t="str">
            <v xml:space="preserve">SW SBU 5.1 UPG SE-PE RTU </v>
          </cell>
          <cell r="C278">
            <v>16800</v>
          </cell>
          <cell r="D278" t="str">
            <v xml:space="preserve">B </v>
          </cell>
        </row>
        <row r="279">
          <cell r="A279" t="str">
            <v xml:space="preserve">BUE99-510-99U9 </v>
          </cell>
          <cell r="B279" t="str">
            <v xml:space="preserve">SW SBU 5.1 PE UPG CD, DOC, RTU </v>
          </cell>
          <cell r="C279">
            <v>10500</v>
          </cell>
          <cell r="D279" t="str">
            <v xml:space="preserve">B </v>
          </cell>
        </row>
        <row r="280">
          <cell r="A280" t="str">
            <v xml:space="preserve">BUE99-510-E999 </v>
          </cell>
          <cell r="B280" t="str">
            <v xml:space="preserve">SW SBU 5.1 PE, CD DOC LI </v>
          </cell>
          <cell r="C280">
            <v>21000</v>
          </cell>
          <cell r="D280" t="str">
            <v xml:space="preserve">B </v>
          </cell>
        </row>
        <row r="281">
          <cell r="A281" t="str">
            <v xml:space="preserve">BUE99-510-W9T9 </v>
          </cell>
          <cell r="B281" t="str">
            <v xml:space="preserve">SW SBU 5.1 UPG NE-PE RTU </v>
          </cell>
          <cell r="C281">
            <v>12600</v>
          </cell>
          <cell r="D281" t="str">
            <v xml:space="preserve">B </v>
          </cell>
        </row>
        <row r="282">
          <cell r="A282" t="str">
            <v xml:space="preserve">BUH99-510-9999 </v>
          </cell>
          <cell r="B282" t="str">
            <v xml:space="preserve">SW SBU 5.1 HSM, LIC </v>
          </cell>
          <cell r="C282">
            <v>21000</v>
          </cell>
          <cell r="D282" t="str">
            <v xml:space="preserve">B </v>
          </cell>
        </row>
        <row r="283">
          <cell r="A283" t="str">
            <v xml:space="preserve">BUH99-510-99U9 </v>
          </cell>
          <cell r="B283" t="str">
            <v xml:space="preserve">SW SBU 5.1 UPGR HSM RTU </v>
          </cell>
          <cell r="C283">
            <v>10500</v>
          </cell>
          <cell r="D283" t="str">
            <v xml:space="preserve">B </v>
          </cell>
        </row>
        <row r="284">
          <cell r="A284" t="str">
            <v xml:space="preserve">BUJC9-510-9999 </v>
          </cell>
          <cell r="B284" t="str">
            <v xml:space="preserve">SW SBU 5.1 1-128 SLOT JB, LIC </v>
          </cell>
          <cell r="C284">
            <v>11200</v>
          </cell>
          <cell r="D284" t="str">
            <v xml:space="preserve">B </v>
          </cell>
        </row>
        <row r="285">
          <cell r="A285" t="str">
            <v xml:space="preserve">BUJC9-510-99T9 </v>
          </cell>
          <cell r="B285" t="str">
            <v xml:space="preserve">SW SBU 5.1 UPG 16 - 128 JB RTU </v>
          </cell>
          <cell r="C285">
            <v>7700</v>
          </cell>
          <cell r="D285" t="str">
            <v xml:space="preserve">B </v>
          </cell>
        </row>
        <row r="286">
          <cell r="A286" t="str">
            <v xml:space="preserve">BUJC9-510-99U9 </v>
          </cell>
          <cell r="B286" t="str">
            <v xml:space="preserve">SW SBU 5.1 UP 128 SLOT JB RTU </v>
          </cell>
          <cell r="C286">
            <v>5600</v>
          </cell>
          <cell r="D286" t="str">
            <v xml:space="preserve">B </v>
          </cell>
        </row>
        <row r="287">
          <cell r="A287" t="str">
            <v xml:space="preserve">BUJC9-510-D9T9 </v>
          </cell>
          <cell r="B287" t="str">
            <v xml:space="preserve">SW SBU 5.1 UPG 32 - 128 JB RTU </v>
          </cell>
          <cell r="C287">
            <v>5600</v>
          </cell>
          <cell r="D287" t="str">
            <v xml:space="preserve">B </v>
          </cell>
        </row>
        <row r="288">
          <cell r="A288" t="str">
            <v xml:space="preserve">BUJC9-510-W9T9 </v>
          </cell>
          <cell r="B288" t="str">
            <v xml:space="preserve">SW SBU 5.1 UPG 64 - 128 JB RTU </v>
          </cell>
          <cell r="C288">
            <v>3500</v>
          </cell>
          <cell r="D288" t="str">
            <v xml:space="preserve">B </v>
          </cell>
        </row>
        <row r="289">
          <cell r="A289" t="str">
            <v xml:space="preserve">BUJE9-510-9999 </v>
          </cell>
          <cell r="B289" t="str">
            <v xml:space="preserve">SW SBU 5.1 1-256 SLOT JB, LIC </v>
          </cell>
          <cell r="C289">
            <v>13300</v>
          </cell>
          <cell r="D289" t="str">
            <v xml:space="preserve">B </v>
          </cell>
        </row>
        <row r="290">
          <cell r="A290" t="str">
            <v xml:space="preserve">BUJE9-510-99T9 </v>
          </cell>
          <cell r="B290" t="str">
            <v xml:space="preserve">SW SBU 5.1 UPG 64 - 256 JB RTU </v>
          </cell>
          <cell r="C290">
            <v>5600</v>
          </cell>
          <cell r="D290" t="str">
            <v xml:space="preserve">B </v>
          </cell>
        </row>
        <row r="291">
          <cell r="A291" t="str">
            <v xml:space="preserve">BUJE9-510-99U9 </v>
          </cell>
          <cell r="B291" t="str">
            <v xml:space="preserve">SW SBU 5.1 UP 256 SLOT JB RTU </v>
          </cell>
          <cell r="C291">
            <v>6650</v>
          </cell>
          <cell r="D291" t="str">
            <v xml:space="preserve">B </v>
          </cell>
        </row>
        <row r="292">
          <cell r="A292" t="str">
            <v xml:space="preserve">BUJE9-510-D9T9 </v>
          </cell>
          <cell r="B292" t="str">
            <v xml:space="preserve">SW SBU 5.1 UP 128 - 256 JB RTU </v>
          </cell>
          <cell r="C292">
            <v>3500</v>
          </cell>
          <cell r="D292" t="str">
            <v xml:space="preserve">B </v>
          </cell>
        </row>
        <row r="293">
          <cell r="A293" t="str">
            <v xml:space="preserve">BUJL9-510-9999 </v>
          </cell>
          <cell r="B293" t="str">
            <v xml:space="preserve">SW SBU 5.1 1-64 SLOT JB, LIC </v>
          </cell>
          <cell r="C293">
            <v>9100</v>
          </cell>
          <cell r="D293" t="str">
            <v xml:space="preserve">B </v>
          </cell>
        </row>
        <row r="294">
          <cell r="A294" t="str">
            <v xml:space="preserve">BUJL9-510-99T9 </v>
          </cell>
          <cell r="B294" t="str">
            <v xml:space="preserve">SW SBU 5.1 UPGR 16 - 64 JB RTU </v>
          </cell>
          <cell r="C294">
            <v>5600</v>
          </cell>
          <cell r="D294" t="str">
            <v xml:space="preserve">B </v>
          </cell>
        </row>
        <row r="295">
          <cell r="A295" t="str">
            <v xml:space="preserve">BUJL9-510-99U9 </v>
          </cell>
          <cell r="B295" t="str">
            <v xml:space="preserve">SW SBU 5.1 UP 1-64 SLOT JB RTU </v>
          </cell>
          <cell r="C295">
            <v>4550</v>
          </cell>
          <cell r="D295" t="str">
            <v xml:space="preserve">B </v>
          </cell>
        </row>
        <row r="296">
          <cell r="A296" t="str">
            <v xml:space="preserve">BUJL9-510-D9T9 </v>
          </cell>
          <cell r="B296" t="str">
            <v xml:space="preserve">SW SBU 5.1 UPG 32 - 64 JB RTU </v>
          </cell>
          <cell r="C296">
            <v>3500</v>
          </cell>
          <cell r="D296" t="str">
            <v xml:space="preserve">B </v>
          </cell>
        </row>
        <row r="297">
          <cell r="A297" t="str">
            <v xml:space="preserve">BUJV9-510-9999 </v>
          </cell>
          <cell r="B297" t="str">
            <v xml:space="preserve">SW SBU 5.1 1-8 SLOT JB, LIC </v>
          </cell>
          <cell r="C297">
            <v>2100</v>
          </cell>
          <cell r="D297" t="str">
            <v xml:space="preserve">B </v>
          </cell>
        </row>
        <row r="298">
          <cell r="A298" t="str">
            <v xml:space="preserve">BUJV9-510-99U9 </v>
          </cell>
          <cell r="B298" t="str">
            <v xml:space="preserve">SW SBU 5.1 UP 1-8 SLOT JB RTU </v>
          </cell>
          <cell r="C298">
            <v>1050</v>
          </cell>
          <cell r="D298" t="str">
            <v xml:space="preserve">B </v>
          </cell>
        </row>
        <row r="299">
          <cell r="A299" t="str">
            <v xml:space="preserve">BUJW9-510-9999 </v>
          </cell>
          <cell r="B299" t="str">
            <v xml:space="preserve">SW SBU 5.1 UNLIMITED JB, LIC </v>
          </cell>
          <cell r="C299">
            <v>17500</v>
          </cell>
          <cell r="D299" t="str">
            <v xml:space="preserve">B </v>
          </cell>
        </row>
        <row r="300">
          <cell r="A300" t="str">
            <v xml:space="preserve">BUJW9-510-99T9 </v>
          </cell>
          <cell r="B300" t="str">
            <v xml:space="preserve">SW SBU 5.1 UP 128 - UNL JB RTU </v>
          </cell>
          <cell r="C300">
            <v>7700</v>
          </cell>
          <cell r="D300" t="str">
            <v xml:space="preserve">B </v>
          </cell>
        </row>
        <row r="301">
          <cell r="A301" t="str">
            <v xml:space="preserve">BUJW9-510-99U9 </v>
          </cell>
          <cell r="B301" t="str">
            <v xml:space="preserve">SW SBU 5.1 UP UNLIMITED JB RTU </v>
          </cell>
          <cell r="C301">
            <v>8750</v>
          </cell>
          <cell r="D301" t="str">
            <v xml:space="preserve">B </v>
          </cell>
        </row>
        <row r="302">
          <cell r="A302" t="str">
            <v xml:space="preserve">BUJW9-510-D9T9 </v>
          </cell>
          <cell r="B302" t="str">
            <v xml:space="preserve">SW SBU 5.1 UP 256 - UNL JB RTU </v>
          </cell>
          <cell r="C302">
            <v>5600</v>
          </cell>
          <cell r="D302" t="str">
            <v xml:space="preserve">B </v>
          </cell>
        </row>
        <row r="303">
          <cell r="A303" t="str">
            <v xml:space="preserve">BUJX9-510-9999 </v>
          </cell>
          <cell r="B303" t="str">
            <v xml:space="preserve">SW SBU 5.1 1-16 SLOT JB, LIC </v>
          </cell>
          <cell r="C303">
            <v>4900</v>
          </cell>
          <cell r="D303" t="str">
            <v xml:space="preserve">B </v>
          </cell>
        </row>
        <row r="304">
          <cell r="A304" t="str">
            <v xml:space="preserve">BUJX9-510-99T9 </v>
          </cell>
          <cell r="B304" t="str">
            <v xml:space="preserve">SW SBU 5.1 UP 8 - 16 JB RTU </v>
          </cell>
          <cell r="C304">
            <v>4200</v>
          </cell>
          <cell r="D304" t="str">
            <v xml:space="preserve">B </v>
          </cell>
        </row>
        <row r="305">
          <cell r="A305" t="str">
            <v xml:space="preserve">BUJX9-510-99U9 </v>
          </cell>
          <cell r="B305" t="str">
            <v xml:space="preserve">SW SBU 5.1 UP 1-16 SLOT JB RTU </v>
          </cell>
          <cell r="C305">
            <v>2450</v>
          </cell>
          <cell r="D305" t="str">
            <v xml:space="preserve">B </v>
          </cell>
        </row>
        <row r="306">
          <cell r="A306" t="str">
            <v xml:space="preserve">BUJY9-510-9999 </v>
          </cell>
          <cell r="B306" t="str">
            <v xml:space="preserve">SW SBU 5.1 1-32 SLOT JB, LIC </v>
          </cell>
          <cell r="C306">
            <v>7000</v>
          </cell>
          <cell r="D306" t="str">
            <v xml:space="preserve">B </v>
          </cell>
        </row>
        <row r="307">
          <cell r="A307" t="str">
            <v xml:space="preserve">BUJY9-510-99T9 </v>
          </cell>
          <cell r="B307" t="str">
            <v xml:space="preserve">SW SBU 5.1 UPGR 8 - 32 JB RTU </v>
          </cell>
          <cell r="C307">
            <v>6300</v>
          </cell>
          <cell r="D307" t="str">
            <v xml:space="preserve">B </v>
          </cell>
        </row>
        <row r="308">
          <cell r="A308" t="str">
            <v xml:space="preserve">BUJY9-510-99U9 </v>
          </cell>
          <cell r="B308" t="str">
            <v xml:space="preserve">SW SBU 5.1 UP 1-32 SLOT JB RTU </v>
          </cell>
          <cell r="C308">
            <v>3500</v>
          </cell>
          <cell r="D308" t="str">
            <v xml:space="preserve">B </v>
          </cell>
        </row>
        <row r="309">
          <cell r="A309" t="str">
            <v xml:space="preserve">BUJY9-510-D9T9 </v>
          </cell>
          <cell r="B309" t="str">
            <v xml:space="preserve">SW SBU 5.1 UPGR 16 - 32 JB RTU </v>
          </cell>
          <cell r="C309">
            <v>3500</v>
          </cell>
          <cell r="D309" t="str">
            <v xml:space="preserve">B </v>
          </cell>
        </row>
        <row r="310">
          <cell r="A310" t="str">
            <v xml:space="preserve">BUKC9-510-9999 </v>
          </cell>
          <cell r="B310" t="str">
            <v xml:space="preserve">SW SBU 5.1 1-128 SLOT SILO,LIC </v>
          </cell>
          <cell r="C310">
            <v>13300</v>
          </cell>
          <cell r="D310" t="str">
            <v xml:space="preserve">B </v>
          </cell>
        </row>
        <row r="311">
          <cell r="A311" t="str">
            <v xml:space="preserve">BUKC9-510-99U9 </v>
          </cell>
          <cell r="B311" t="str">
            <v xml:space="preserve">SW SBU 5.1 UP 128 SILO RTU </v>
          </cell>
          <cell r="C311">
            <v>6650</v>
          </cell>
          <cell r="D311" t="str">
            <v xml:space="preserve">B </v>
          </cell>
        </row>
        <row r="312">
          <cell r="A312" t="str">
            <v xml:space="preserve">BUKW9-510-9999 </v>
          </cell>
          <cell r="B312" t="str">
            <v xml:space="preserve">SW SBU 5.1 UNLIMITED SILO, LIC </v>
          </cell>
          <cell r="C312">
            <v>42000</v>
          </cell>
          <cell r="D312" t="str">
            <v xml:space="preserve">B </v>
          </cell>
        </row>
        <row r="313">
          <cell r="A313" t="str">
            <v xml:space="preserve">BUKW9-510-99T9 </v>
          </cell>
          <cell r="B313" t="str">
            <v xml:space="preserve">SW SBU 5.1 UP 128-UNL SILO RTU </v>
          </cell>
          <cell r="C313">
            <v>31500</v>
          </cell>
          <cell r="D313" t="str">
            <v xml:space="preserve">B </v>
          </cell>
        </row>
        <row r="314">
          <cell r="A314" t="str">
            <v xml:space="preserve">BUKW9-510-99U9 </v>
          </cell>
          <cell r="B314" t="str">
            <v xml:space="preserve">SW SBU 5.1 UP UNLIMIT SILO RTU </v>
          </cell>
          <cell r="C314">
            <v>21000</v>
          </cell>
          <cell r="D314" t="str">
            <v xml:space="preserve">B </v>
          </cell>
        </row>
        <row r="315">
          <cell r="A315" t="str">
            <v xml:space="preserve">BUL9N-100-9999 </v>
          </cell>
          <cell r="B315" t="str">
            <v xml:space="preserve">SW SBU DML 1.0 NT, CD DOC LI </v>
          </cell>
          <cell r="C315">
            <v>1400</v>
          </cell>
          <cell r="D315" t="str">
            <v xml:space="preserve">B </v>
          </cell>
        </row>
        <row r="316">
          <cell r="A316" t="str">
            <v xml:space="preserve">BUL9S-100-9999 </v>
          </cell>
          <cell r="B316" t="str">
            <v xml:space="preserve">SW SBU DML 1.0 SOL, CD DOC LI </v>
          </cell>
          <cell r="C316">
            <v>7000</v>
          </cell>
          <cell r="D316" t="str">
            <v xml:space="preserve">B </v>
          </cell>
        </row>
        <row r="317">
          <cell r="A317" t="str">
            <v xml:space="preserve">BUM99-510-9999 </v>
          </cell>
          <cell r="B317" t="str">
            <v xml:space="preserve">SW SBU 5.1 SNMP, LIC </v>
          </cell>
          <cell r="C317">
            <v>2100</v>
          </cell>
          <cell r="D317" t="str">
            <v xml:space="preserve">B </v>
          </cell>
        </row>
        <row r="318">
          <cell r="A318" t="str">
            <v xml:space="preserve">BUM99-510-99U9 </v>
          </cell>
          <cell r="B318" t="str">
            <v xml:space="preserve">SW SBU 5.1 SNMP UPGR RTU </v>
          </cell>
          <cell r="C318">
            <v>1050</v>
          </cell>
          <cell r="D318" t="str">
            <v xml:space="preserve">B </v>
          </cell>
        </row>
        <row r="319">
          <cell r="A319" t="str">
            <v xml:space="preserve">BUN99-510-E999 </v>
          </cell>
          <cell r="B319" t="str">
            <v xml:space="preserve">SW SBU 5.1 PE STG NODE, LIC </v>
          </cell>
          <cell r="C319">
            <v>21000</v>
          </cell>
          <cell r="D319" t="str">
            <v xml:space="preserve">B </v>
          </cell>
        </row>
        <row r="320">
          <cell r="A320" t="str">
            <v xml:space="preserve">BUN99-510-E9T9 </v>
          </cell>
          <cell r="B320" t="str">
            <v xml:space="preserve">SW SBU 5.1 UPG NE-PE SN RTU </v>
          </cell>
          <cell r="C320">
            <v>12600</v>
          </cell>
          <cell r="D320" t="str">
            <v xml:space="preserve">B </v>
          </cell>
        </row>
        <row r="321">
          <cell r="A321" t="str">
            <v xml:space="preserve">BUN99-510-E9U9 </v>
          </cell>
          <cell r="B321" t="str">
            <v xml:space="preserve">SW SBU 5.1 PE SN UP CD,DOC,RTU </v>
          </cell>
          <cell r="C321">
            <v>10500</v>
          </cell>
          <cell r="D321" t="str">
            <v xml:space="preserve">B </v>
          </cell>
        </row>
        <row r="322">
          <cell r="A322" t="str">
            <v xml:space="preserve">BUN99-510-W999 </v>
          </cell>
          <cell r="B322" t="str">
            <v xml:space="preserve">SW SBU 5.1 NE STG NODE, LIC </v>
          </cell>
          <cell r="C322">
            <v>8400</v>
          </cell>
          <cell r="D322" t="str">
            <v xml:space="preserve">B </v>
          </cell>
        </row>
        <row r="323">
          <cell r="A323" t="str">
            <v xml:space="preserve">BUN99-510-W9U9 </v>
          </cell>
          <cell r="B323" t="str">
            <v xml:space="preserve">SW SBU 5.1 NE SN UP CD,DOC,RTU </v>
          </cell>
          <cell r="C323">
            <v>4200</v>
          </cell>
          <cell r="D323" t="str">
            <v xml:space="preserve">B </v>
          </cell>
        </row>
        <row r="324">
          <cell r="A324" t="str">
            <v xml:space="preserve">BUO9N-210-9999 </v>
          </cell>
          <cell r="B324" t="str">
            <v xml:space="preserve">SW SBU DMO 2.1 NT, CD DOC LI </v>
          </cell>
          <cell r="C324">
            <v>1400</v>
          </cell>
          <cell r="D324" t="str">
            <v xml:space="preserve">B </v>
          </cell>
        </row>
        <row r="325">
          <cell r="A325" t="str">
            <v xml:space="preserve">BUO9S-210-9999 </v>
          </cell>
          <cell r="B325" t="str">
            <v xml:space="preserve">SW SBU DMO 2.1 SOL, CD DOC LI </v>
          </cell>
          <cell r="C325">
            <v>7000</v>
          </cell>
          <cell r="D325" t="str">
            <v xml:space="preserve">B </v>
          </cell>
        </row>
        <row r="326">
          <cell r="A326" t="str">
            <v xml:space="preserve">BUO9S-210-99U9 </v>
          </cell>
          <cell r="B326" t="str">
            <v xml:space="preserve">SW SBU DMO 2.1 UPG, CD,DOC,RTU </v>
          </cell>
          <cell r="C326">
            <v>3500</v>
          </cell>
          <cell r="D326" t="str">
            <v xml:space="preserve">B </v>
          </cell>
        </row>
        <row r="327">
          <cell r="A327" t="str">
            <v xml:space="preserve">BUS99-510-9999 </v>
          </cell>
          <cell r="B327" t="str">
            <v xml:space="preserve">SW SBU 5.1 SS, CD DOC LI </v>
          </cell>
          <cell r="C327">
            <v>33600</v>
          </cell>
          <cell r="D327" t="str">
            <v xml:space="preserve">B </v>
          </cell>
        </row>
        <row r="328">
          <cell r="A328" t="str">
            <v xml:space="preserve">BUS99-510-99U9 </v>
          </cell>
          <cell r="B328" t="str">
            <v xml:space="preserve">SW SBU 5.1 SS UPGR CD,DOC,RTU </v>
          </cell>
          <cell r="C328">
            <v>16800</v>
          </cell>
          <cell r="D328" t="str">
            <v xml:space="preserve">B </v>
          </cell>
        </row>
        <row r="329">
          <cell r="A329" t="str">
            <v xml:space="preserve">BUS99-510-W9T9 </v>
          </cell>
          <cell r="B329" t="str">
            <v xml:space="preserve">SW SBU 5.1 UPG NE-SS RTU </v>
          </cell>
          <cell r="C329">
            <v>23100</v>
          </cell>
          <cell r="D329" t="str">
            <v xml:space="preserve">B </v>
          </cell>
        </row>
        <row r="330">
          <cell r="A330" t="str">
            <v xml:space="preserve">BUT99-510-99T9 </v>
          </cell>
          <cell r="B330" t="str">
            <v xml:space="preserve">SW SBU 5.1 UPG NE-TURBO RTU </v>
          </cell>
          <cell r="C330">
            <v>4900</v>
          </cell>
          <cell r="D330" t="str">
            <v xml:space="preserve">B </v>
          </cell>
        </row>
        <row r="331">
          <cell r="A331" t="str">
            <v xml:space="preserve">BUU99-510-9999 </v>
          </cell>
          <cell r="B331" t="str">
            <v xml:space="preserve">SW SBU 5.1 SE, CD DOC LI </v>
          </cell>
          <cell r="C331">
            <v>4200</v>
          </cell>
          <cell r="D331" t="str">
            <v xml:space="preserve">B </v>
          </cell>
        </row>
        <row r="332">
          <cell r="A332" t="str">
            <v xml:space="preserve">BUU99-510-99U9 </v>
          </cell>
          <cell r="B332" t="str">
            <v xml:space="preserve">SW SBU 5.1 SE UPG CD, DOC, RTU </v>
          </cell>
          <cell r="C332">
            <v>2100</v>
          </cell>
          <cell r="D332" t="str">
            <v xml:space="preserve">B </v>
          </cell>
        </row>
        <row r="333">
          <cell r="A333" t="str">
            <v xml:space="preserve">BUU9S-999-9999 </v>
          </cell>
          <cell r="B333" t="str">
            <v xml:space="preserve">SW SBU DB MODULE EVAL CD </v>
          </cell>
          <cell r="C333">
            <v>35</v>
          </cell>
          <cell r="D333" t="str">
            <v xml:space="preserve">D </v>
          </cell>
        </row>
        <row r="334">
          <cell r="A334" t="str">
            <v xml:space="preserve">BUUC9-510-99U9 </v>
          </cell>
          <cell r="B334" t="str">
            <v xml:space="preserve">SW SBU 5.1 UPGR 100-CLIENT RTU </v>
          </cell>
          <cell r="C334">
            <v>10500</v>
          </cell>
          <cell r="D334" t="str">
            <v xml:space="preserve">B </v>
          </cell>
        </row>
        <row r="335">
          <cell r="A335" t="str">
            <v xml:space="preserve">BUUC9-510-R999 </v>
          </cell>
          <cell r="B335" t="str">
            <v xml:space="preserve">SW SBU 5.1 100-CLIENT, LIC </v>
          </cell>
          <cell r="C335">
            <v>21000</v>
          </cell>
          <cell r="D335" t="str">
            <v xml:space="preserve">B </v>
          </cell>
        </row>
        <row r="336">
          <cell r="A336" t="str">
            <v xml:space="preserve">BUUD9-510-9999 </v>
          </cell>
          <cell r="B336" t="str">
            <v xml:space="preserve">SW SBU 5.1 DOCUMENTATION KIT </v>
          </cell>
          <cell r="C336">
            <v>210</v>
          </cell>
          <cell r="D336" t="str">
            <v xml:space="preserve">D </v>
          </cell>
        </row>
        <row r="337">
          <cell r="A337" t="str">
            <v xml:space="preserve">BUUM9-510-9999 </v>
          </cell>
          <cell r="B337" t="str">
            <v xml:space="preserve">SW SBU 5.1 EVAL CD </v>
          </cell>
          <cell r="C337">
            <v>70</v>
          </cell>
          <cell r="D337" t="str">
            <v xml:space="preserve">D </v>
          </cell>
        </row>
        <row r="338">
          <cell r="A338" t="str">
            <v xml:space="preserve">BUUMN-510-R999 </v>
          </cell>
          <cell r="B338" t="str">
            <v xml:space="preserve">SW SBU 5.1 CLIENTPAK IV, CD </v>
          </cell>
          <cell r="C338">
            <v>2100</v>
          </cell>
          <cell r="D338" t="str">
            <v xml:space="preserve">B </v>
          </cell>
        </row>
        <row r="339">
          <cell r="A339" t="str">
            <v xml:space="preserve">BUUV9-510-99U9 </v>
          </cell>
          <cell r="B339" t="str">
            <v xml:space="preserve">SW SBU 5.1 UPGR 5-CLIENT RTU </v>
          </cell>
          <cell r="C339">
            <v>875</v>
          </cell>
          <cell r="D339" t="str">
            <v xml:space="preserve">B </v>
          </cell>
        </row>
        <row r="340">
          <cell r="A340" t="str">
            <v xml:space="preserve">BUUV9-510-R999 </v>
          </cell>
          <cell r="B340" t="str">
            <v xml:space="preserve">SW SBU 5.1 5-CLIENT, LIC </v>
          </cell>
          <cell r="C340">
            <v>1750</v>
          </cell>
          <cell r="D340" t="str">
            <v xml:space="preserve">B </v>
          </cell>
        </row>
        <row r="341">
          <cell r="A341" t="str">
            <v xml:space="preserve">BUUY9-510-99U9 </v>
          </cell>
          <cell r="B341" t="str">
            <v xml:space="preserve">SW SBU 5.1 UPGR 25-CLIENT RTU </v>
          </cell>
          <cell r="C341">
            <v>3500</v>
          </cell>
          <cell r="D341" t="str">
            <v xml:space="preserve">B </v>
          </cell>
        </row>
        <row r="342">
          <cell r="A342" t="str">
            <v xml:space="preserve">BUUY9-510-R999 </v>
          </cell>
          <cell r="B342" t="str">
            <v xml:space="preserve">SW SBU 5.1 25-CLIENT, LIC </v>
          </cell>
          <cell r="C342">
            <v>7000</v>
          </cell>
          <cell r="D342" t="str">
            <v xml:space="preserve">B </v>
          </cell>
        </row>
        <row r="343">
          <cell r="A343" t="str">
            <v xml:space="preserve">BUW99-510-99T9 </v>
          </cell>
          <cell r="B343" t="str">
            <v xml:space="preserve">SW SBU 5.1 UPG SE-NE RTU </v>
          </cell>
          <cell r="C343">
            <v>4200</v>
          </cell>
          <cell r="D343" t="str">
            <v xml:space="preserve">B </v>
          </cell>
        </row>
        <row r="344">
          <cell r="A344" t="str">
            <v xml:space="preserve">BUW99-510-99U9 </v>
          </cell>
          <cell r="B344" t="str">
            <v xml:space="preserve">SW SBU 5.1 NE UPG CD, DOC, RTU </v>
          </cell>
          <cell r="C344">
            <v>4200</v>
          </cell>
          <cell r="D344" t="str">
            <v xml:space="preserve">B </v>
          </cell>
        </row>
        <row r="345">
          <cell r="A345" t="str">
            <v xml:space="preserve">BUW99-510-W999 </v>
          </cell>
          <cell r="B345" t="str">
            <v xml:space="preserve">SW SBU 5.1 NE, CD DOC LI </v>
          </cell>
          <cell r="C345">
            <v>8400</v>
          </cell>
          <cell r="D345" t="str">
            <v xml:space="preserve">B </v>
          </cell>
        </row>
        <row r="346">
          <cell r="A346" t="str">
            <v xml:space="preserve">BUW99-510-W9U9 </v>
          </cell>
          <cell r="B346" t="str">
            <v xml:space="preserve">SW SBU 5.1 NE UPG CD, DOC, RTU </v>
          </cell>
          <cell r="C346">
            <v>1750</v>
          </cell>
          <cell r="D346" t="str">
            <v xml:space="preserve">B </v>
          </cell>
        </row>
        <row r="347">
          <cell r="A347" t="str">
            <v xml:space="preserve">BUY9S-100-9999 </v>
          </cell>
          <cell r="B347" t="str">
            <v xml:space="preserve">SW SBU DMS 1.0, CD DOC LI </v>
          </cell>
          <cell r="C347">
            <v>7000</v>
          </cell>
          <cell r="D347" t="str">
            <v xml:space="preserve">B </v>
          </cell>
        </row>
        <row r="348">
          <cell r="A348" t="str">
            <v xml:space="preserve">C1012A </v>
          </cell>
          <cell r="B348" t="str">
            <v xml:space="preserve">CTO-SBUS SUNISDN EXP KIT </v>
          </cell>
          <cell r="C348">
            <v>774</v>
          </cell>
          <cell r="D348" t="str">
            <v xml:space="preserve">A </v>
          </cell>
        </row>
        <row r="349">
          <cell r="A349" t="str">
            <v xml:space="preserve">C1018A </v>
          </cell>
          <cell r="B349" t="str">
            <v xml:space="preserve">CTO-SBUS SFE FWSCSI ADAPTER </v>
          </cell>
          <cell r="C349">
            <v>1424</v>
          </cell>
          <cell r="D349" t="str">
            <v xml:space="preserve">A </v>
          </cell>
        </row>
        <row r="350">
          <cell r="A350" t="str">
            <v xml:space="preserve">C1021A </v>
          </cell>
          <cell r="B350" t="str">
            <v xml:space="preserve">CTO-SBUS PRESTOSERVE NFS ACCEL </v>
          </cell>
          <cell r="C350">
            <v>3894</v>
          </cell>
          <cell r="D350" t="str">
            <v xml:space="preserve">A </v>
          </cell>
        </row>
        <row r="351">
          <cell r="A351" t="str">
            <v xml:space="preserve">C1030A </v>
          </cell>
          <cell r="B351" t="str">
            <v xml:space="preserve">CTO-SBUS PCMCIA INTERFACE </v>
          </cell>
          <cell r="C351">
            <v>384</v>
          </cell>
          <cell r="D351" t="str">
            <v xml:space="preserve">A </v>
          </cell>
        </row>
        <row r="352">
          <cell r="A352" t="str">
            <v xml:space="preserve">C1032A </v>
          </cell>
          <cell r="B352" t="str">
            <v xml:space="preserve">CTO-INT PCI 10/100BASET NIC </v>
          </cell>
          <cell r="C352">
            <v>1294</v>
          </cell>
          <cell r="D352" t="str">
            <v xml:space="preserve">A </v>
          </cell>
        </row>
        <row r="353">
          <cell r="A353" t="str">
            <v xml:space="preserve">C1033A </v>
          </cell>
          <cell r="B353" t="str">
            <v xml:space="preserve">CTO-PCI FAST ETHERNET ADAPT </v>
          </cell>
          <cell r="C353">
            <v>904</v>
          </cell>
          <cell r="D353" t="str">
            <v xml:space="preserve">A </v>
          </cell>
        </row>
        <row r="354">
          <cell r="A354" t="str">
            <v xml:space="preserve">C1049A </v>
          </cell>
          <cell r="B354" t="str">
            <v xml:space="preserve">CTO-QUAD FASTETHERNET W/SW </v>
          </cell>
          <cell r="C354">
            <v>2594</v>
          </cell>
          <cell r="D354" t="str">
            <v xml:space="preserve">A </v>
          </cell>
        </row>
        <row r="355">
          <cell r="A355" t="str">
            <v xml:space="preserve">C1053A </v>
          </cell>
          <cell r="B355" t="str">
            <v xml:space="preserve">CTO-SBUS FSBE/FAST SCSI BUFFER </v>
          </cell>
          <cell r="C355">
            <v>1424</v>
          </cell>
          <cell r="D355" t="str">
            <v xml:space="preserve">A </v>
          </cell>
        </row>
        <row r="356">
          <cell r="A356" t="str">
            <v xml:space="preserve">C1055A </v>
          </cell>
          <cell r="B356" t="str">
            <v xml:space="preserve">CTO SBUS SCSI HOST ADAPTER </v>
          </cell>
          <cell r="C356">
            <v>644</v>
          </cell>
          <cell r="D356" t="str">
            <v xml:space="preserve">A </v>
          </cell>
        </row>
        <row r="357">
          <cell r="A357" t="str">
            <v xml:space="preserve">C1059A </v>
          </cell>
          <cell r="B357" t="str">
            <v xml:space="preserve">CTO-SBUS FAST ETHERNET W/SW </v>
          </cell>
          <cell r="C357">
            <v>1034</v>
          </cell>
          <cell r="D357" t="str">
            <v xml:space="preserve">A </v>
          </cell>
        </row>
        <row r="358">
          <cell r="A358" t="str">
            <v xml:space="preserve">C1060A </v>
          </cell>
          <cell r="B358" t="str">
            <v xml:space="preserve">CTO-SBUS SUNATM155/MFIBER W/SW </v>
          </cell>
          <cell r="C358">
            <v>1684</v>
          </cell>
          <cell r="D358" t="str">
            <v xml:space="preserve">A </v>
          </cell>
        </row>
        <row r="359">
          <cell r="A359" t="str">
            <v xml:space="preserve">C1061A </v>
          </cell>
          <cell r="B359" t="str">
            <v xml:space="preserve">CTO-SBUS SUNATM155/UTP5 W/SW </v>
          </cell>
          <cell r="C359">
            <v>1294</v>
          </cell>
          <cell r="D359" t="str">
            <v xml:space="preserve">A </v>
          </cell>
        </row>
        <row r="360">
          <cell r="A360" t="str">
            <v xml:space="preserve">C1062A </v>
          </cell>
          <cell r="B360" t="str">
            <v xml:space="preserve">CTO SBUS F/W DWIS/S ADAPTER </v>
          </cell>
          <cell r="C360">
            <v>1684</v>
          </cell>
          <cell r="D360" t="str">
            <v xml:space="preserve">A </v>
          </cell>
        </row>
        <row r="361">
          <cell r="A361" t="str">
            <v xml:space="preserve">C1063A </v>
          </cell>
          <cell r="B361" t="str">
            <v xml:space="preserve">CTO SBUS F/W SWIS/S ADAPTER </v>
          </cell>
          <cell r="C361">
            <v>1554</v>
          </cell>
          <cell r="D361" t="str">
            <v xml:space="preserve">A </v>
          </cell>
        </row>
        <row r="362">
          <cell r="A362" t="str">
            <v xml:space="preserve">C1064A </v>
          </cell>
          <cell r="B362" t="str">
            <v xml:space="preserve">CTO-SBUS SUNATM622/MFIBER W/SW </v>
          </cell>
          <cell r="C362">
            <v>6494</v>
          </cell>
          <cell r="D362" t="str">
            <v xml:space="preserve">A </v>
          </cell>
        </row>
        <row r="363">
          <cell r="A363" t="str">
            <v xml:space="preserve">C1065A </v>
          </cell>
          <cell r="B363" t="str">
            <v xml:space="preserve">CTO ULTRA DWIS/S HOST ADAPTER </v>
          </cell>
          <cell r="C363">
            <v>1684</v>
          </cell>
          <cell r="D363" t="str">
            <v xml:space="preserve">A </v>
          </cell>
        </row>
        <row r="364">
          <cell r="A364" t="str">
            <v xml:space="preserve">C1066A </v>
          </cell>
          <cell r="B364" t="str">
            <v xml:space="preserve">CTO-PCI SUNATM/P-155MMF W/SW </v>
          </cell>
          <cell r="C364">
            <v>1424</v>
          </cell>
          <cell r="D364" t="str">
            <v xml:space="preserve">A </v>
          </cell>
        </row>
        <row r="365">
          <cell r="A365" t="str">
            <v xml:space="preserve">C1067A </v>
          </cell>
          <cell r="B365" t="str">
            <v xml:space="preserve">CTO-PCI SUNATM/P-155UTP W/SW </v>
          </cell>
          <cell r="C365">
            <v>1164</v>
          </cell>
          <cell r="D365" t="str">
            <v xml:space="preserve">A </v>
          </cell>
        </row>
        <row r="366">
          <cell r="A366" t="str">
            <v xml:space="preserve">C1068A </v>
          </cell>
          <cell r="B366" t="str">
            <v xml:space="preserve">CTP-PCI SUNATM/P-622MMF W/SW </v>
          </cell>
          <cell r="C366">
            <v>5194</v>
          </cell>
          <cell r="D366" t="str">
            <v xml:space="preserve">A </v>
          </cell>
        </row>
        <row r="367">
          <cell r="A367" t="str">
            <v xml:space="preserve">C1129A-4.2-P </v>
          </cell>
          <cell r="B367" t="str">
            <v xml:space="preserve">CTO-SBUS SUNPC 133/586 W/SW </v>
          </cell>
          <cell r="C367">
            <v>553</v>
          </cell>
          <cell r="D367" t="str">
            <v xml:space="preserve">A </v>
          </cell>
        </row>
        <row r="368">
          <cell r="A368" t="str">
            <v xml:space="preserve">C1140A </v>
          </cell>
          <cell r="B368" t="str">
            <v xml:space="preserve">SUN GIGABITETHERNET/S 2.0 </v>
          </cell>
          <cell r="C368">
            <v>2984</v>
          </cell>
          <cell r="D368" t="str">
            <v xml:space="preserve">A </v>
          </cell>
        </row>
        <row r="369">
          <cell r="A369" t="str">
            <v xml:space="preserve">C1141A </v>
          </cell>
          <cell r="B369" t="str">
            <v xml:space="preserve">SUN GIGABITETHERNET/P 2.0 </v>
          </cell>
          <cell r="C369">
            <v>2724</v>
          </cell>
          <cell r="D369" t="str">
            <v xml:space="preserve">A </v>
          </cell>
        </row>
        <row r="370">
          <cell r="A370" t="str">
            <v xml:space="preserve">C2761A </v>
          </cell>
          <cell r="B370" t="str">
            <v xml:space="preserve">E10000 SYSTEM BOARD (EMPTY) </v>
          </cell>
          <cell r="C370">
            <v>96000</v>
          </cell>
          <cell r="D370" t="str">
            <v xml:space="preserve">A </v>
          </cell>
        </row>
        <row r="371">
          <cell r="A371" t="str">
            <v xml:space="preserve">C32-9.1-L1 </v>
          </cell>
          <cell r="B371" t="str">
            <v xml:space="preserve">SUNLINK CG3270 9.1, LIC </v>
          </cell>
          <cell r="C371">
            <v>813</v>
          </cell>
          <cell r="D371" t="str">
            <v xml:space="preserve">B </v>
          </cell>
        </row>
        <row r="372">
          <cell r="A372" t="str">
            <v xml:space="preserve">C32-9.1-L8 </v>
          </cell>
          <cell r="B372" t="str">
            <v xml:space="preserve">SUNLINK CG3270 9.1, 8LIC </v>
          </cell>
          <cell r="C372">
            <v>5129</v>
          </cell>
          <cell r="D372" t="str">
            <v xml:space="preserve">B </v>
          </cell>
        </row>
        <row r="373">
          <cell r="A373" t="str">
            <v xml:space="preserve">C3655A </v>
          </cell>
          <cell r="B373" t="str">
            <v xml:space="preserve">CTO-TURBOGXPLUS CARD W/CABLES </v>
          </cell>
          <cell r="C373">
            <v>1162</v>
          </cell>
          <cell r="D373" t="str">
            <v xml:space="preserve">H </v>
          </cell>
        </row>
        <row r="374">
          <cell r="A374" t="str">
            <v xml:space="preserve">C3664A </v>
          </cell>
          <cell r="B374" t="str">
            <v xml:space="preserve">CTO-ELITE3D M3 W/CBL </v>
          </cell>
          <cell r="C374">
            <v>2594</v>
          </cell>
          <cell r="D374" t="str">
            <v xml:space="preserve">H </v>
          </cell>
        </row>
        <row r="375">
          <cell r="A375" t="str">
            <v xml:space="preserve">C3665A </v>
          </cell>
          <cell r="B375" t="str">
            <v xml:space="preserve">CTO-ELITE3D M6 VERTICAL W/CBL </v>
          </cell>
          <cell r="C375">
            <v>3894</v>
          </cell>
          <cell r="D375" t="str">
            <v xml:space="preserve">H </v>
          </cell>
        </row>
        <row r="376">
          <cell r="A376" t="str">
            <v xml:space="preserve">C3667A </v>
          </cell>
          <cell r="B376" t="str">
            <v xml:space="preserve">ELITE3D M6 HORIZ. W/CBL </v>
          </cell>
          <cell r="C376">
            <v>3894</v>
          </cell>
          <cell r="D376" t="str">
            <v xml:space="preserve">H </v>
          </cell>
        </row>
        <row r="377">
          <cell r="A377" t="str">
            <v xml:space="preserve">C3668A </v>
          </cell>
          <cell r="B377" t="str">
            <v xml:space="preserve">PGX32 CARD W/VIDEO ADAPTOR </v>
          </cell>
          <cell r="C377">
            <v>398</v>
          </cell>
          <cell r="D377" t="str">
            <v xml:space="preserve">H </v>
          </cell>
        </row>
        <row r="378">
          <cell r="A378" t="str">
            <v xml:space="preserve">C3670A </v>
          </cell>
          <cell r="B378" t="str">
            <v xml:space="preserve">CTO-CREATR3D SERIES 3,VERTICAL </v>
          </cell>
          <cell r="C378">
            <v>1034</v>
          </cell>
          <cell r="D378" t="str">
            <v xml:space="preserve">H </v>
          </cell>
        </row>
        <row r="379">
          <cell r="A379" t="str">
            <v xml:space="preserve">C3671A </v>
          </cell>
          <cell r="B379" t="str">
            <v xml:space="preserve">CTO-CREATOR3D SERIES 3 HORIZ </v>
          </cell>
          <cell r="C379">
            <v>1034</v>
          </cell>
          <cell r="D379" t="str">
            <v xml:space="preserve">H </v>
          </cell>
        </row>
        <row r="380">
          <cell r="A380" t="str">
            <v xml:space="preserve">C3672A </v>
          </cell>
          <cell r="B380" t="str">
            <v xml:space="preserve">CTO-CREATOR SERIES 3 VERTICAL </v>
          </cell>
          <cell r="C380">
            <v>1113</v>
          </cell>
          <cell r="D380" t="str">
            <v xml:space="preserve">H </v>
          </cell>
        </row>
        <row r="381">
          <cell r="A381" t="str">
            <v xml:space="preserve">C3851A </v>
          </cell>
          <cell r="B381" t="str">
            <v xml:space="preserve">E10000 CTO POWER CORD, (INT'L) </v>
          </cell>
          <cell r="C381">
            <v>0</v>
          </cell>
          <cell r="D381" t="str">
            <v xml:space="preserve">D </v>
          </cell>
        </row>
        <row r="382">
          <cell r="A382" t="str">
            <v xml:space="preserve">C3865A </v>
          </cell>
          <cell r="B382" t="str">
            <v xml:space="preserve">E10000 CTO P-CORD 14FT FOR N.A </v>
          </cell>
          <cell r="C382">
            <v>0</v>
          </cell>
          <cell r="D382" t="str">
            <v xml:space="preserve">D </v>
          </cell>
        </row>
        <row r="383">
          <cell r="A383" t="str">
            <v xml:space="preserve">C3875A </v>
          </cell>
          <cell r="B383" t="str">
            <v xml:space="preserve">E10000 CTO AC INPUT MODULE </v>
          </cell>
          <cell r="C383">
            <v>3900</v>
          </cell>
          <cell r="D383" t="str">
            <v xml:space="preserve">A </v>
          </cell>
        </row>
        <row r="384">
          <cell r="A384" t="str">
            <v xml:space="preserve">C5214A </v>
          </cell>
          <cell r="B384" t="str">
            <v xml:space="preserve">CTO-4GB,7200RPM,ULTRA SCSI DRI </v>
          </cell>
          <cell r="C384">
            <v>1015</v>
          </cell>
          <cell r="D384" t="str">
            <v xml:space="preserve">H </v>
          </cell>
        </row>
        <row r="385">
          <cell r="A385" t="str">
            <v xml:space="preserve">C5229A </v>
          </cell>
          <cell r="B385" t="str">
            <v xml:space="preserve">CTO-9GB,7200RPM,ULTRA SCSI DRI </v>
          </cell>
          <cell r="C385">
            <v>1484</v>
          </cell>
          <cell r="D385" t="str">
            <v xml:space="preserve">H </v>
          </cell>
        </row>
        <row r="386">
          <cell r="A386" t="str">
            <v xml:space="preserve">C5232A </v>
          </cell>
          <cell r="B386" t="str">
            <v xml:space="preserve">CTO-18GB,7200RPM,ULTRA SCSI DR </v>
          </cell>
          <cell r="C386">
            <v>2660</v>
          </cell>
          <cell r="D386" t="str">
            <v xml:space="preserve">H </v>
          </cell>
        </row>
        <row r="387">
          <cell r="A387" t="str">
            <v xml:space="preserve">C5234A </v>
          </cell>
          <cell r="B387" t="str">
            <v xml:space="preserve">OPT INT DISK 9.1GB/10K USCSI </v>
          </cell>
          <cell r="C387">
            <v>1715</v>
          </cell>
          <cell r="D387" t="str">
            <v xml:space="preserve">H </v>
          </cell>
        </row>
        <row r="388">
          <cell r="A388" t="str">
            <v xml:space="preserve">C6003A </v>
          </cell>
          <cell r="B388" t="str">
            <v xml:space="preserve">CTO-INT FLOPPY 1.44GB FOR U2 </v>
          </cell>
          <cell r="C388">
            <v>175</v>
          </cell>
          <cell r="D388" t="str">
            <v xml:space="preserve">H </v>
          </cell>
        </row>
        <row r="389">
          <cell r="A389" t="str">
            <v xml:space="preserve">C6004A </v>
          </cell>
          <cell r="B389" t="str">
            <v xml:space="preserve">CTO-INT FLOPPY DRIVE U30 </v>
          </cell>
          <cell r="C389">
            <v>175</v>
          </cell>
          <cell r="D389" t="str">
            <v xml:space="preserve">H </v>
          </cell>
        </row>
        <row r="390">
          <cell r="A390" t="str">
            <v xml:space="preserve">C6166A </v>
          </cell>
          <cell r="B390" t="str">
            <v xml:space="preserve">CTO-OPT INT CD 32X FOR U30/U60 </v>
          </cell>
          <cell r="C390">
            <v>350</v>
          </cell>
          <cell r="D390" t="str">
            <v xml:space="preserve">H </v>
          </cell>
        </row>
        <row r="391">
          <cell r="A391" t="str">
            <v xml:space="preserve">C6167A </v>
          </cell>
          <cell r="B391" t="str">
            <v xml:space="preserve">CTO-OPT INT CD 32X FOR U2/E2 </v>
          </cell>
          <cell r="C391">
            <v>350</v>
          </cell>
          <cell r="D391" t="str">
            <v xml:space="preserve">H </v>
          </cell>
        </row>
        <row r="392">
          <cell r="A392" t="str">
            <v xml:space="preserve">C6212A </v>
          </cell>
          <cell r="B392" t="str">
            <v xml:space="preserve">CTO - INT TAPE 7GB/8MM </v>
          </cell>
          <cell r="C392">
            <v>2030</v>
          </cell>
          <cell r="D392" t="str">
            <v xml:space="preserve">H </v>
          </cell>
        </row>
        <row r="393">
          <cell r="A393" t="str">
            <v xml:space="preserve">C6282A </v>
          </cell>
          <cell r="B393" t="str">
            <v xml:space="preserve">CTO - INT TAPE 12GB 4MM DDS-3 </v>
          </cell>
          <cell r="C393">
            <v>1785</v>
          </cell>
          <cell r="D393" t="str">
            <v xml:space="preserve">H </v>
          </cell>
        </row>
        <row r="394">
          <cell r="A394" t="str">
            <v xml:space="preserve">C6541A </v>
          </cell>
          <cell r="B394" t="str">
            <v xml:space="preserve">CTO INT PCI ULTRASCSI DIFF CRD </v>
          </cell>
          <cell r="C394">
            <v>1872</v>
          </cell>
          <cell r="D394" t="str">
            <v xml:space="preserve">A </v>
          </cell>
        </row>
        <row r="395">
          <cell r="A395" t="str">
            <v xml:space="preserve">C7002A </v>
          </cell>
          <cell r="B395" t="str">
            <v xml:space="preserve">CTO-OPT MEMORY 64MB (2*32MB) </v>
          </cell>
          <cell r="C395">
            <v>664</v>
          </cell>
          <cell r="D395" t="str">
            <v xml:space="preserve">H </v>
          </cell>
        </row>
        <row r="396">
          <cell r="A396" t="str">
            <v xml:space="preserve">C7003A </v>
          </cell>
          <cell r="B396" t="str">
            <v xml:space="preserve">CTO-OPT MEMORY 128MB (2*64MB) </v>
          </cell>
          <cell r="C396">
            <v>1264</v>
          </cell>
          <cell r="D396" t="str">
            <v xml:space="preserve">H </v>
          </cell>
        </row>
        <row r="397">
          <cell r="A397" t="str">
            <v xml:space="preserve">C7004A </v>
          </cell>
          <cell r="B397" t="str">
            <v xml:space="preserve">CTO-OPT MEMORY 256MB (2*128MB) </v>
          </cell>
          <cell r="C397">
            <v>2400</v>
          </cell>
          <cell r="D397" t="str">
            <v xml:space="preserve">H </v>
          </cell>
        </row>
        <row r="398">
          <cell r="A398" t="str">
            <v xml:space="preserve">C7110A </v>
          </cell>
          <cell r="B398" t="str">
            <v xml:space="preserve">CTO-TURBOGX CARD W/CABLES </v>
          </cell>
          <cell r="C398">
            <v>1079</v>
          </cell>
          <cell r="D398" t="str">
            <v xml:space="preserve">H </v>
          </cell>
        </row>
        <row r="399">
          <cell r="A399" t="str">
            <v xml:space="preserve">C9671A </v>
          </cell>
          <cell r="B399" t="str">
            <v xml:space="preserve">E10000 CTO FAN TRAY </v>
          </cell>
          <cell r="C399">
            <v>3200</v>
          </cell>
          <cell r="D399" t="str">
            <v xml:space="preserve">A </v>
          </cell>
        </row>
        <row r="400">
          <cell r="A400" t="str">
            <v xml:space="preserve">C9685A </v>
          </cell>
          <cell r="B400" t="str">
            <v xml:space="preserve">E10000 CTO POWER SUPPLY </v>
          </cell>
          <cell r="C400">
            <v>6400</v>
          </cell>
          <cell r="D400" t="str">
            <v xml:space="preserve">A </v>
          </cell>
        </row>
        <row r="401">
          <cell r="A401" t="str">
            <v xml:space="preserve">CL0VS-22A-9999 </v>
          </cell>
          <cell r="B401" t="str">
            <v xml:space="preserve">Sun Cluster 2.2 for E10000 </v>
          </cell>
          <cell r="C401">
            <v>70000</v>
          </cell>
          <cell r="D401" t="str">
            <v xml:space="preserve">B </v>
          </cell>
        </row>
        <row r="402">
          <cell r="A402" t="str">
            <v xml:space="preserve">CL2IS-229-9999 </v>
          </cell>
          <cell r="B402" t="str">
            <v xml:space="preserve">SC 2.2 for E2 </v>
          </cell>
          <cell r="C402">
            <v>2800</v>
          </cell>
          <cell r="D402" t="str">
            <v xml:space="preserve">B </v>
          </cell>
        </row>
        <row r="403">
          <cell r="A403" t="str">
            <v xml:space="preserve">CL3IS-229-9999 </v>
          </cell>
          <cell r="B403" t="str">
            <v xml:space="preserve">SC 2.2 for E250 </v>
          </cell>
          <cell r="C403">
            <v>2800</v>
          </cell>
          <cell r="D403" t="str">
            <v xml:space="preserve">B </v>
          </cell>
        </row>
        <row r="404">
          <cell r="A404" t="str">
            <v xml:space="preserve">CL4IS-229-9999 </v>
          </cell>
          <cell r="B404" t="str">
            <v xml:space="preserve">SC 2.2 for E450 </v>
          </cell>
          <cell r="C404">
            <v>7000</v>
          </cell>
          <cell r="D404" t="str">
            <v xml:space="preserve">B </v>
          </cell>
        </row>
        <row r="405">
          <cell r="A405" t="str">
            <v xml:space="preserve">CL5IS-22A-9999 </v>
          </cell>
          <cell r="B405" t="str">
            <v xml:space="preserve">SC 2.2 for E3000 &amp; SS1000 </v>
          </cell>
          <cell r="C405">
            <v>9800</v>
          </cell>
          <cell r="D405" t="str">
            <v xml:space="preserve">B </v>
          </cell>
        </row>
        <row r="406">
          <cell r="A406" t="str">
            <v xml:space="preserve">CL6IS-22A-9999 </v>
          </cell>
          <cell r="B406" t="str">
            <v xml:space="preserve">SC 2.2 for E4/5X00 &amp; SC2000 </v>
          </cell>
          <cell r="C406">
            <v>16800</v>
          </cell>
          <cell r="D406" t="str">
            <v xml:space="preserve">B </v>
          </cell>
        </row>
        <row r="407">
          <cell r="A407" t="str">
            <v xml:space="preserve">CL7IS-22A-9999 </v>
          </cell>
          <cell r="B407" t="str">
            <v xml:space="preserve">Sun Cluster 2.2 for E6000 </v>
          </cell>
          <cell r="C407">
            <v>33600</v>
          </cell>
          <cell r="D407" t="str">
            <v xml:space="preserve">B </v>
          </cell>
        </row>
        <row r="408">
          <cell r="A408" t="str">
            <v xml:space="preserve">CL9DS-229-999H </v>
          </cell>
          <cell r="B408" t="str">
            <v xml:space="preserve">SUN CLUSTER 2.2 DOCS - Korean </v>
          </cell>
          <cell r="C408">
            <v>700</v>
          </cell>
          <cell r="D408" t="str">
            <v xml:space="preserve">B </v>
          </cell>
        </row>
        <row r="409">
          <cell r="A409" t="str">
            <v xml:space="preserve">CL1DS-229-9999 </v>
          </cell>
          <cell r="B409" t="str">
            <v>SUN CLUSTER 2.2 DOCS - English</v>
          </cell>
          <cell r="C409">
            <v>700</v>
          </cell>
          <cell r="D409" t="str">
            <v xml:space="preserve">B </v>
          </cell>
        </row>
        <row r="410">
          <cell r="A410" t="str">
            <v xml:space="preserve">CL1MS-229-999H </v>
          </cell>
          <cell r="B410" t="str">
            <v xml:space="preserve">SC 2.2 s/w English, Docs Engl </v>
          </cell>
          <cell r="C410">
            <v>0</v>
          </cell>
          <cell r="D410" t="str">
            <v xml:space="preserve">B </v>
          </cell>
        </row>
        <row r="411">
          <cell r="A411" t="str">
            <v xml:space="preserve">CLAIS-22I-9999 </v>
          </cell>
          <cell r="B411" t="str">
            <v xml:space="preserve">SC 2.2 INFORMIX HA AGENT </v>
          </cell>
          <cell r="C411">
            <v>2800</v>
          </cell>
          <cell r="D411" t="str">
            <v xml:space="preserve">B </v>
          </cell>
        </row>
        <row r="412">
          <cell r="A412" t="str">
            <v xml:space="preserve">CLAIS-22L-9999 </v>
          </cell>
          <cell r="B412" t="str">
            <v xml:space="preserve">SC 2.2 LOTUS NOTES HA AGENT </v>
          </cell>
          <cell r="C412">
            <v>2800</v>
          </cell>
          <cell r="D412" t="str">
            <v xml:space="preserve">B </v>
          </cell>
        </row>
        <row r="413">
          <cell r="A413" t="str">
            <v xml:space="preserve">CLAIS-22N-9999 </v>
          </cell>
          <cell r="B413" t="str">
            <v xml:space="preserve">SC 2.2 NETSCAPE AGENT </v>
          </cell>
          <cell r="C413">
            <v>2800</v>
          </cell>
          <cell r="D413" t="str">
            <v xml:space="preserve">B </v>
          </cell>
        </row>
        <row r="414">
          <cell r="A414" t="str">
            <v xml:space="preserve">CLAIS-22O-9999 </v>
          </cell>
          <cell r="B414" t="str">
            <v xml:space="preserve">SC 2.2 ORACLE HA AGENT </v>
          </cell>
          <cell r="C414">
            <v>2800</v>
          </cell>
          <cell r="D414" t="str">
            <v xml:space="preserve">B </v>
          </cell>
        </row>
        <row r="415">
          <cell r="A415" t="str">
            <v xml:space="preserve">CLAIS-22T-9999 </v>
          </cell>
          <cell r="B415" t="str">
            <v xml:space="preserve">SC 2.2 TIVOLI HA AGENT </v>
          </cell>
          <cell r="C415">
            <v>2800</v>
          </cell>
          <cell r="D415" t="str">
            <v xml:space="preserve">B </v>
          </cell>
        </row>
        <row r="416">
          <cell r="A416" t="str">
            <v xml:space="preserve">CLAIS-22Y-9999 </v>
          </cell>
          <cell r="B416" t="str">
            <v xml:space="preserve">SC 2.2 SYBASE HA AGENT </v>
          </cell>
          <cell r="C416">
            <v>2800</v>
          </cell>
          <cell r="D416" t="str">
            <v xml:space="preserve">B </v>
          </cell>
        </row>
        <row r="417">
          <cell r="A417" t="str">
            <v xml:space="preserve">CLBIS-2AP-9999 </v>
          </cell>
          <cell r="B417" t="str">
            <v xml:space="preserve">SC 2.2 OPS FOR E1-E3x00 </v>
          </cell>
          <cell r="C417">
            <v>2800</v>
          </cell>
          <cell r="D417" t="str">
            <v xml:space="preserve">B </v>
          </cell>
        </row>
        <row r="418">
          <cell r="A418" t="str">
            <v xml:space="preserve">CLBIS-22S-9999 </v>
          </cell>
          <cell r="B418" t="str">
            <v xml:space="preserve">SC 2.2 SAP AGENT E1-E3000 </v>
          </cell>
          <cell r="C418">
            <v>2800</v>
          </cell>
          <cell r="D418" t="str">
            <v xml:space="preserve">B </v>
          </cell>
        </row>
        <row r="419">
          <cell r="A419" t="str">
            <v xml:space="preserve">CLBIS-22X-9999 </v>
          </cell>
          <cell r="B419" t="str">
            <v xml:space="preserve">SC 2.2 XPS FOR E1-E3x00 </v>
          </cell>
          <cell r="C419">
            <v>2800</v>
          </cell>
          <cell r="D419" t="str">
            <v xml:space="preserve">B </v>
          </cell>
        </row>
        <row r="420">
          <cell r="A420" t="str">
            <v xml:space="preserve">CLCIS-2AP-9999 </v>
          </cell>
          <cell r="B420" t="str">
            <v xml:space="preserve">SC 2.2 OPS FOR E4/5/6x00 </v>
          </cell>
          <cell r="C420">
            <v>5600</v>
          </cell>
          <cell r="D420" t="str">
            <v xml:space="preserve">B </v>
          </cell>
        </row>
        <row r="421">
          <cell r="A421" t="str">
            <v xml:space="preserve">CLCIS-22S-9999 </v>
          </cell>
          <cell r="B421" t="str">
            <v xml:space="preserve">SC 2.2 SAP AGENT E4/5/6x00 </v>
          </cell>
          <cell r="C421">
            <v>5600</v>
          </cell>
          <cell r="D421" t="str">
            <v xml:space="preserve">B </v>
          </cell>
        </row>
        <row r="422">
          <cell r="A422" t="str">
            <v xml:space="preserve">CLCIS-22X-9999 </v>
          </cell>
          <cell r="B422" t="str">
            <v xml:space="preserve">SC 2.2 INFX XPS FOR E4/5/6x00 </v>
          </cell>
          <cell r="C422">
            <v>5600</v>
          </cell>
          <cell r="D422" t="str">
            <v xml:space="preserve">B </v>
          </cell>
        </row>
        <row r="423">
          <cell r="A423" t="str">
            <v xml:space="preserve">CLDVS-22I-9999 </v>
          </cell>
          <cell r="B423" t="str">
            <v xml:space="preserve">SC 2.2 INFORMIX AGENT E10000 </v>
          </cell>
          <cell r="C423">
            <v>2800</v>
          </cell>
          <cell r="D423" t="str">
            <v xml:space="preserve">B </v>
          </cell>
        </row>
        <row r="424">
          <cell r="A424" t="str">
            <v xml:space="preserve">CLDVS-22L-9999 </v>
          </cell>
          <cell r="B424" t="str">
            <v xml:space="preserve">SC2.2 LOTUS NOTES AGENT E10000 </v>
          </cell>
          <cell r="C424">
            <v>2800</v>
          </cell>
          <cell r="D424" t="str">
            <v xml:space="preserve">B </v>
          </cell>
        </row>
        <row r="425">
          <cell r="A425" t="str">
            <v xml:space="preserve">CLDVS-22N-9999 </v>
          </cell>
          <cell r="B425" t="str">
            <v xml:space="preserve">SC 2.2 NETSCAPE AGENT E10000 </v>
          </cell>
          <cell r="C425">
            <v>2800</v>
          </cell>
          <cell r="D425" t="str">
            <v xml:space="preserve">B </v>
          </cell>
        </row>
        <row r="426">
          <cell r="A426" t="str">
            <v xml:space="preserve">CLDVS-22O-9999 </v>
          </cell>
          <cell r="B426" t="str">
            <v xml:space="preserve">SC 2.2 ORACLE AGENT E10000 </v>
          </cell>
          <cell r="C426">
            <v>2800</v>
          </cell>
          <cell r="D426" t="str">
            <v xml:space="preserve">B </v>
          </cell>
        </row>
        <row r="427">
          <cell r="A427" t="str">
            <v xml:space="preserve">CLDVS-2AP-9999 </v>
          </cell>
          <cell r="B427" t="str">
            <v xml:space="preserve">SC 2.2 OPS FOR E10000 </v>
          </cell>
          <cell r="C427">
            <v>22400</v>
          </cell>
          <cell r="D427" t="str">
            <v xml:space="preserve">B </v>
          </cell>
        </row>
        <row r="428">
          <cell r="A428" t="str">
            <v xml:space="preserve">CLDVS-22S-9999 </v>
          </cell>
          <cell r="B428" t="str">
            <v xml:space="preserve">SC 2.2 SAP AGENT E10000 </v>
          </cell>
          <cell r="C428">
            <v>22400</v>
          </cell>
          <cell r="D428" t="str">
            <v xml:space="preserve">B </v>
          </cell>
        </row>
        <row r="429">
          <cell r="A429" t="str">
            <v xml:space="preserve">CLDVS-22T-9999 </v>
          </cell>
          <cell r="B429" t="str">
            <v xml:space="preserve">SC 2.2 TIVOLI AGENT E10000 </v>
          </cell>
          <cell r="C429">
            <v>2800</v>
          </cell>
          <cell r="D429" t="str">
            <v xml:space="preserve">B </v>
          </cell>
        </row>
        <row r="430">
          <cell r="A430" t="str">
            <v xml:space="preserve">CLDVS-22X-9999 </v>
          </cell>
          <cell r="B430" t="str">
            <v xml:space="preserve">SC 2.2 INFX XPS FOR E10000 </v>
          </cell>
          <cell r="C430">
            <v>22400</v>
          </cell>
          <cell r="D430" t="str">
            <v xml:space="preserve">B </v>
          </cell>
        </row>
        <row r="431">
          <cell r="A431" t="str">
            <v xml:space="preserve">CLDVS-22Y-9999 </v>
          </cell>
          <cell r="B431" t="str">
            <v xml:space="preserve">SC 2.2 SYBASE AGENT E10000 </v>
          </cell>
          <cell r="C431">
            <v>2800</v>
          </cell>
          <cell r="D431" t="str">
            <v xml:space="preserve">B </v>
          </cell>
        </row>
        <row r="432">
          <cell r="A432" t="str">
            <v xml:space="preserve">CLI-9.1-L32 </v>
          </cell>
          <cell r="B432" t="str">
            <v xml:space="preserve">SUNLINK CLIENT3270 9.1, 32LIC </v>
          </cell>
          <cell r="C432">
            <v>9354</v>
          </cell>
          <cell r="D432" t="str">
            <v xml:space="preserve">B </v>
          </cell>
        </row>
        <row r="433">
          <cell r="A433" t="str">
            <v xml:space="preserve">CLI-9.1-L64 </v>
          </cell>
          <cell r="B433" t="str">
            <v xml:space="preserve">SUNLINK CLIENT3270 9.1, 64LIC </v>
          </cell>
          <cell r="C433">
            <v>16114</v>
          </cell>
          <cell r="D433" t="str">
            <v xml:space="preserve">B </v>
          </cell>
        </row>
        <row r="434">
          <cell r="A434" t="str">
            <v xml:space="preserve">CLI-9.1-L8 </v>
          </cell>
          <cell r="B434" t="str">
            <v xml:space="preserve">SUNLINK CLIENT3270 9.1, 8LIC </v>
          </cell>
          <cell r="C434">
            <v>2984</v>
          </cell>
          <cell r="D434" t="str">
            <v xml:space="preserve">B </v>
          </cell>
        </row>
        <row r="435">
          <cell r="A435" t="str">
            <v xml:space="preserve">CLTIS-229-9999 </v>
          </cell>
          <cell r="B435" t="str">
            <v xml:space="preserve">SC 2.2 for Netra t 1120/1125 </v>
          </cell>
          <cell r="C435">
            <v>2800</v>
          </cell>
          <cell r="D435" t="str">
            <v xml:space="preserve">B </v>
          </cell>
        </row>
        <row r="436">
          <cell r="A436" t="str">
            <v xml:space="preserve">CLUS-2.0-DOC </v>
          </cell>
          <cell r="B436" t="str">
            <v xml:space="preserve">SUN CLUSTER 2.0 DOCS </v>
          </cell>
          <cell r="C436">
            <v>700</v>
          </cell>
          <cell r="D436" t="str">
            <v xml:space="preserve">B </v>
          </cell>
        </row>
        <row r="437">
          <cell r="A437" t="str">
            <v xml:space="preserve">CLUS-2.1-DOC </v>
          </cell>
          <cell r="B437" t="str">
            <v xml:space="preserve">SUN CLUSTER 2.1 DOCS </v>
          </cell>
          <cell r="C437">
            <v>700</v>
          </cell>
          <cell r="D437" t="str">
            <v xml:space="preserve">B </v>
          </cell>
        </row>
        <row r="438">
          <cell r="A438" t="str">
            <v xml:space="preserve">CLUS-2.1-E1 </v>
          </cell>
          <cell r="B438" t="str">
            <v xml:space="preserve">SC 2.1 FOR E1 </v>
          </cell>
          <cell r="C438">
            <v>2800</v>
          </cell>
          <cell r="D438" t="str">
            <v xml:space="preserve">B </v>
          </cell>
        </row>
        <row r="439">
          <cell r="A439" t="str">
            <v xml:space="preserve">CLUS-2.1-E10000 </v>
          </cell>
          <cell r="B439" t="str">
            <v xml:space="preserve">SC 2.1 FOR E10000 </v>
          </cell>
          <cell r="C439">
            <v>70000</v>
          </cell>
          <cell r="D439" t="str">
            <v xml:space="preserve">B </v>
          </cell>
        </row>
        <row r="440">
          <cell r="A440" t="str">
            <v xml:space="preserve">CLUS-2.1-E2 </v>
          </cell>
          <cell r="B440" t="str">
            <v xml:space="preserve">SC 2.1 FOR E2 </v>
          </cell>
          <cell r="C440">
            <v>2800</v>
          </cell>
          <cell r="D440" t="str">
            <v xml:space="preserve">B </v>
          </cell>
        </row>
        <row r="441">
          <cell r="A441" t="str">
            <v xml:space="preserve">CLUS-2.1-E250 </v>
          </cell>
          <cell r="B441" t="str">
            <v xml:space="preserve">SC 2.1 FOR E250 </v>
          </cell>
          <cell r="C441">
            <v>2800</v>
          </cell>
          <cell r="D441" t="str">
            <v xml:space="preserve">B </v>
          </cell>
        </row>
        <row r="442">
          <cell r="A442" t="str">
            <v xml:space="preserve">CLUS-2.1-E3000 </v>
          </cell>
          <cell r="B442" t="str">
            <v xml:space="preserve">SC 2.1 FOR E3000 &amp; SS1000 </v>
          </cell>
          <cell r="C442">
            <v>9800</v>
          </cell>
          <cell r="D442" t="str">
            <v xml:space="preserve">B </v>
          </cell>
        </row>
        <row r="443">
          <cell r="A443" t="str">
            <v xml:space="preserve">CLUS-2.1-E4000 </v>
          </cell>
          <cell r="B443" t="str">
            <v xml:space="preserve">SC 2.1 FOR E4/5X00 &amp; SC2000 </v>
          </cell>
          <cell r="C443">
            <v>16800</v>
          </cell>
          <cell r="D443" t="str">
            <v xml:space="preserve">B </v>
          </cell>
        </row>
        <row r="444">
          <cell r="A444" t="str">
            <v xml:space="preserve">CLUS-2.1-E450 </v>
          </cell>
          <cell r="B444" t="str">
            <v xml:space="preserve">SC 2.1 FOR E450 </v>
          </cell>
          <cell r="C444">
            <v>7000</v>
          </cell>
          <cell r="D444" t="str">
            <v xml:space="preserve">B </v>
          </cell>
        </row>
        <row r="445">
          <cell r="A445" t="str">
            <v xml:space="preserve">CLUS-2.1-E6000 </v>
          </cell>
          <cell r="B445" t="str">
            <v xml:space="preserve">SC 2.1 FOR E6000 </v>
          </cell>
          <cell r="C445">
            <v>33600</v>
          </cell>
          <cell r="D445" t="str">
            <v xml:space="preserve">B </v>
          </cell>
        </row>
        <row r="446">
          <cell r="A446" t="str">
            <v xml:space="preserve">CLUS-2.1-INFX-L </v>
          </cell>
          <cell r="B446" t="str">
            <v xml:space="preserve">SC 2.1 INFORMIX HA AGENT </v>
          </cell>
          <cell r="C446">
            <v>2800</v>
          </cell>
          <cell r="D446" t="str">
            <v xml:space="preserve">B </v>
          </cell>
        </row>
        <row r="447">
          <cell r="A447" t="str">
            <v xml:space="preserve">CLUS-2.1-INFX3-L </v>
          </cell>
          <cell r="B447" t="str">
            <v xml:space="preserve">SC 2.1 INFORMIX AGENT E10000 </v>
          </cell>
          <cell r="C447">
            <v>2800</v>
          </cell>
          <cell r="D447" t="str">
            <v xml:space="preserve">B </v>
          </cell>
        </row>
        <row r="448">
          <cell r="A448" t="str">
            <v xml:space="preserve">CLUS-2.1-NS-L </v>
          </cell>
          <cell r="B448" t="str">
            <v xml:space="preserve">SC 2.1 NETSCAPE HA AGENT </v>
          </cell>
          <cell r="C448">
            <v>2800</v>
          </cell>
          <cell r="D448" t="str">
            <v xml:space="preserve">B </v>
          </cell>
        </row>
        <row r="449">
          <cell r="A449" t="str">
            <v xml:space="preserve">CLUS-2.1-NS3-L </v>
          </cell>
          <cell r="B449" t="str">
            <v xml:space="preserve">SC 2.1 NETSCAPE AGENT E10000 </v>
          </cell>
          <cell r="C449">
            <v>2800</v>
          </cell>
          <cell r="D449" t="str">
            <v xml:space="preserve">B </v>
          </cell>
        </row>
        <row r="450">
          <cell r="A450" t="str">
            <v xml:space="preserve">CLUS-2.1-OPS1-L </v>
          </cell>
          <cell r="B450" t="str">
            <v xml:space="preserve">SC 2.1 OPS FOR E1-E3000 </v>
          </cell>
          <cell r="C450">
            <v>2800</v>
          </cell>
          <cell r="D450" t="str">
            <v xml:space="preserve">B </v>
          </cell>
        </row>
        <row r="451">
          <cell r="A451" t="str">
            <v xml:space="preserve">CLUS-2.1-OPS2-L </v>
          </cell>
          <cell r="B451" t="str">
            <v xml:space="preserve">SC 2.1 OPS FOR E4/5/6000 </v>
          </cell>
          <cell r="C451">
            <v>5600</v>
          </cell>
          <cell r="D451" t="str">
            <v xml:space="preserve">B </v>
          </cell>
        </row>
        <row r="452">
          <cell r="A452" t="str">
            <v xml:space="preserve">CLUS-2.1-OPS3-L </v>
          </cell>
          <cell r="B452" t="str">
            <v xml:space="preserve">SC 2.1 OPS FOR E10000 </v>
          </cell>
          <cell r="C452">
            <v>22400</v>
          </cell>
          <cell r="D452" t="str">
            <v xml:space="preserve">B </v>
          </cell>
        </row>
        <row r="453">
          <cell r="A453" t="str">
            <v xml:space="preserve">CLUS-2.1-ORCL-L </v>
          </cell>
          <cell r="B453" t="str">
            <v xml:space="preserve">SC 2.1 ORACLE HA AGENT </v>
          </cell>
          <cell r="C453">
            <v>2800</v>
          </cell>
          <cell r="D453" t="str">
            <v xml:space="preserve">B </v>
          </cell>
        </row>
        <row r="454">
          <cell r="A454" t="str">
            <v xml:space="preserve">CLUS-2.1-ORCL3-L </v>
          </cell>
          <cell r="B454" t="str">
            <v xml:space="preserve">SC 2.1 ORACLE AGENT E10000 </v>
          </cell>
          <cell r="C454">
            <v>2800</v>
          </cell>
          <cell r="D454" t="str">
            <v xml:space="preserve">B </v>
          </cell>
        </row>
        <row r="455">
          <cell r="A455" t="str">
            <v xml:space="preserve">CLUS-2.1-SAP1-L </v>
          </cell>
          <cell r="B455" t="str">
            <v xml:space="preserve">SC 2.1 SAP AGENT E1-E3000 </v>
          </cell>
          <cell r="C455">
            <v>2800</v>
          </cell>
          <cell r="D455" t="str">
            <v xml:space="preserve">B </v>
          </cell>
        </row>
        <row r="456">
          <cell r="A456" t="str">
            <v xml:space="preserve">CLUS-2.1-SAP2-L </v>
          </cell>
          <cell r="B456" t="str">
            <v xml:space="preserve">SC 2.1 SAP AGENT E4/5/6000 </v>
          </cell>
          <cell r="C456">
            <v>5600</v>
          </cell>
          <cell r="D456" t="str">
            <v xml:space="preserve">B </v>
          </cell>
        </row>
        <row r="457">
          <cell r="A457" t="str">
            <v xml:space="preserve">CLUS-2.1-SAP3-L </v>
          </cell>
          <cell r="B457" t="str">
            <v xml:space="preserve">SC 2.1 SAP AGENT E10000 </v>
          </cell>
          <cell r="C457">
            <v>22400</v>
          </cell>
          <cell r="D457" t="str">
            <v xml:space="preserve">B </v>
          </cell>
        </row>
        <row r="458">
          <cell r="A458" t="str">
            <v xml:space="preserve">CLUS-2.1-SYBS-L </v>
          </cell>
          <cell r="B458" t="str">
            <v xml:space="preserve">SC 2.1 SYBASE HA AGENT </v>
          </cell>
          <cell r="C458">
            <v>2800</v>
          </cell>
          <cell r="D458" t="str">
            <v xml:space="preserve">B </v>
          </cell>
        </row>
        <row r="459">
          <cell r="A459" t="str">
            <v xml:space="preserve">CLUS-2.1-SYBS3-L </v>
          </cell>
          <cell r="B459" t="str">
            <v xml:space="preserve">SC 2.1 SYBASE AGENT E10000 </v>
          </cell>
          <cell r="C459">
            <v>2800</v>
          </cell>
          <cell r="D459" t="str">
            <v xml:space="preserve">B </v>
          </cell>
        </row>
        <row r="460">
          <cell r="A460" t="str">
            <v xml:space="preserve">CLUS-2.1-XPS1-L </v>
          </cell>
          <cell r="B460" t="str">
            <v xml:space="preserve">SC 2.1 XPS FOR E1-E3000 </v>
          </cell>
          <cell r="C460">
            <v>2800</v>
          </cell>
          <cell r="D460" t="str">
            <v xml:space="preserve">B </v>
          </cell>
        </row>
        <row r="461">
          <cell r="A461" t="str">
            <v xml:space="preserve">CLUS-2.1-XPS2-L </v>
          </cell>
          <cell r="B461" t="str">
            <v xml:space="preserve">SC 2.1 XPS FOR E4/5/6000 </v>
          </cell>
          <cell r="C461">
            <v>5600</v>
          </cell>
          <cell r="D461" t="str">
            <v xml:space="preserve">B </v>
          </cell>
        </row>
        <row r="462">
          <cell r="A462" t="str">
            <v xml:space="preserve">CLUS-2.1-XPS3-L </v>
          </cell>
          <cell r="B462" t="str">
            <v xml:space="preserve">SC 2.1 XPS FOR E10000 </v>
          </cell>
          <cell r="C462">
            <v>22400</v>
          </cell>
          <cell r="D462" t="str">
            <v xml:space="preserve">B </v>
          </cell>
        </row>
        <row r="463">
          <cell r="A463" t="str">
            <v xml:space="preserve">CMPD9-821-9999 </v>
          </cell>
          <cell r="B463" t="str">
            <v xml:space="preserve">CMIP 8.2.1 DOCS ONLY </v>
          </cell>
          <cell r="C463">
            <v>195</v>
          </cell>
          <cell r="D463" t="str">
            <v xml:space="preserve">D </v>
          </cell>
        </row>
        <row r="464">
          <cell r="A464" t="str">
            <v xml:space="preserve">CMPII-821-R999 </v>
          </cell>
          <cell r="B464" t="str">
            <v xml:space="preserve">CMIP 8.2.1 INTEL RT, LIC </v>
          </cell>
          <cell r="C464">
            <v>2793</v>
          </cell>
          <cell r="D464" t="str">
            <v xml:space="preserve">B </v>
          </cell>
        </row>
        <row r="465">
          <cell r="A465" t="str">
            <v xml:space="preserve">CMPII-821-T999 </v>
          </cell>
          <cell r="B465" t="str">
            <v xml:space="preserve">CMIP 8.2.1 SDE INTEL, LIC </v>
          </cell>
          <cell r="C465">
            <v>6993</v>
          </cell>
          <cell r="D465" t="str">
            <v xml:space="preserve">B </v>
          </cell>
        </row>
        <row r="466">
          <cell r="A466" t="str">
            <v xml:space="preserve">CMPIN-821-9999 </v>
          </cell>
          <cell r="B466" t="str">
            <v xml:space="preserve">CMIP 8.2.1 SDE NT, LIC </v>
          </cell>
          <cell r="C466">
            <v>6993</v>
          </cell>
          <cell r="D466" t="str">
            <v xml:space="preserve">B </v>
          </cell>
        </row>
        <row r="467">
          <cell r="A467" t="str">
            <v xml:space="preserve">CMPIN-821-R999 </v>
          </cell>
          <cell r="B467" t="str">
            <v xml:space="preserve">CMIP 8.2.1 NT RT, LIC </v>
          </cell>
          <cell r="C467">
            <v>2793</v>
          </cell>
          <cell r="D467" t="str">
            <v xml:space="preserve">B </v>
          </cell>
        </row>
        <row r="468">
          <cell r="A468" t="str">
            <v xml:space="preserve">CMPIS-821-R999 </v>
          </cell>
          <cell r="B468" t="str">
            <v xml:space="preserve">CMIP 8.2.1 SPARC RT, LIC </v>
          </cell>
          <cell r="C468">
            <v>2793</v>
          </cell>
          <cell r="D468" t="str">
            <v xml:space="preserve">B </v>
          </cell>
        </row>
        <row r="469">
          <cell r="A469" t="str">
            <v xml:space="preserve">CMPIS-821-R9U9 </v>
          </cell>
          <cell r="B469" t="str">
            <v xml:space="preserve">UG CMIP 8.2.1 RT SPARC, LIC </v>
          </cell>
          <cell r="C469">
            <v>1034</v>
          </cell>
          <cell r="D469" t="str">
            <v xml:space="preserve">D </v>
          </cell>
        </row>
        <row r="470">
          <cell r="A470" t="str">
            <v xml:space="preserve">CMPIS-821-T999 </v>
          </cell>
          <cell r="B470" t="str">
            <v xml:space="preserve">CMIP 8.2.1 SDE SPARC 1 RTU </v>
          </cell>
          <cell r="C470">
            <v>6993</v>
          </cell>
          <cell r="D470" t="str">
            <v xml:space="preserve">B </v>
          </cell>
        </row>
        <row r="471">
          <cell r="A471" t="str">
            <v xml:space="preserve">CMPIS-821-T9U9 </v>
          </cell>
          <cell r="B471" t="str">
            <v xml:space="preserve">UG CMIP 8.2.1 SDE SPARC, LIC </v>
          </cell>
          <cell r="C471">
            <v>2405</v>
          </cell>
          <cell r="D471" t="str">
            <v xml:space="preserve">D </v>
          </cell>
        </row>
        <row r="472">
          <cell r="A472" t="str">
            <v xml:space="preserve">CTO-INSTALL </v>
          </cell>
          <cell r="B472" t="str">
            <v xml:space="preserve">FAC INSTALL SERVICE OF INT OPT </v>
          </cell>
          <cell r="C472">
            <v>0</v>
          </cell>
          <cell r="D472" t="str">
            <v xml:space="preserve">D </v>
          </cell>
        </row>
        <row r="473">
          <cell r="A473" t="str">
            <v xml:space="preserve">DDK-2.5.1-P </v>
          </cell>
          <cell r="B473" t="str">
            <v xml:space="preserve">SOL 2.5.1 DVR DEV KT,CD DOC LI </v>
          </cell>
          <cell r="C473">
            <v>254</v>
          </cell>
          <cell r="D473" t="str">
            <v xml:space="preserve">B </v>
          </cell>
        </row>
        <row r="474">
          <cell r="A474" t="str">
            <v xml:space="preserve">DIR-1.0-CD </v>
          </cell>
          <cell r="B474" t="str">
            <v xml:space="preserve">DIRECTORY SERVICE 1.0 CD </v>
          </cell>
          <cell r="C474">
            <v>140</v>
          </cell>
          <cell r="D474" t="str">
            <v xml:space="preserve">B </v>
          </cell>
        </row>
        <row r="475">
          <cell r="A475" t="str">
            <v xml:space="preserve">DIR-1.0-S-100K </v>
          </cell>
          <cell r="B475" t="str">
            <v xml:space="preserve">DIR SERVICE 1.0 10K, CD LIC </v>
          </cell>
          <cell r="C475">
            <v>13930</v>
          </cell>
          <cell r="D475" t="str">
            <v xml:space="preserve">B </v>
          </cell>
        </row>
        <row r="476">
          <cell r="A476" t="str">
            <v xml:space="preserve">DIR-1.0-S-10K </v>
          </cell>
          <cell r="B476" t="str">
            <v xml:space="preserve">DIR SERVICE 1.0 10K, CD LIC </v>
          </cell>
          <cell r="C476">
            <v>1393</v>
          </cell>
          <cell r="D476" t="str">
            <v xml:space="preserve">B </v>
          </cell>
        </row>
        <row r="477">
          <cell r="A477" t="str">
            <v xml:space="preserve">DIR-1.0-S-UNL </v>
          </cell>
          <cell r="B477" t="str">
            <v xml:space="preserve">DIR SERVICE 1.0 UNLTD, CD LIC </v>
          </cell>
          <cell r="C477">
            <v>27930</v>
          </cell>
          <cell r="D477" t="str">
            <v xml:space="preserve">B </v>
          </cell>
        </row>
        <row r="478">
          <cell r="A478" t="str">
            <v xml:space="preserve">DIR-1.0-S100U </v>
          </cell>
          <cell r="B478" t="str">
            <v xml:space="preserve">UG DIR SVC 1.0 100-UNL, CD DOC </v>
          </cell>
          <cell r="C478">
            <v>14000</v>
          </cell>
          <cell r="D478" t="str">
            <v xml:space="preserve">B </v>
          </cell>
        </row>
        <row r="479">
          <cell r="A479" t="str">
            <v xml:space="preserve">DIR-1.0-S10U </v>
          </cell>
          <cell r="B479" t="str">
            <v xml:space="preserve">DIRECTORY SERVICE 1.0 CD </v>
          </cell>
          <cell r="C479">
            <v>12600</v>
          </cell>
          <cell r="D479" t="str">
            <v xml:space="preserve">B </v>
          </cell>
        </row>
        <row r="480">
          <cell r="A480" t="str">
            <v xml:space="preserve">DNI-7.0-4.1-4-21 </v>
          </cell>
          <cell r="B480" t="str">
            <v xml:space="preserve">CD ASSY,SUNLINK DNI 7.0,S4 </v>
          </cell>
          <cell r="C480">
            <v>3894</v>
          </cell>
          <cell r="D480" t="str">
            <v xml:space="preserve">B </v>
          </cell>
        </row>
        <row r="481">
          <cell r="A481" t="str">
            <v xml:space="preserve">DNI-P </v>
          </cell>
          <cell r="B481" t="str">
            <v xml:space="preserve">SUNLINK DNI 8.0 </v>
          </cell>
          <cell r="C481">
            <v>1931</v>
          </cell>
          <cell r="D481" t="str">
            <v xml:space="preserve">B </v>
          </cell>
        </row>
        <row r="482">
          <cell r="A482" t="str">
            <v xml:space="preserve">DOB99-100-9999 </v>
          </cell>
          <cell r="B482" t="str">
            <v xml:space="preserve">DATASHARE OPEN BACKUP SW LIC </v>
          </cell>
          <cell r="C482">
            <v>49000</v>
          </cell>
          <cell r="D482" t="str">
            <v xml:space="preserve">B </v>
          </cell>
        </row>
        <row r="483">
          <cell r="A483" t="str">
            <v xml:space="preserve">DSH99-310-9999 </v>
          </cell>
          <cell r="B483" t="str">
            <v xml:space="preserve">DATASHARE CORE SW LICENSE </v>
          </cell>
          <cell r="C483">
            <v>119000</v>
          </cell>
          <cell r="D483" t="str">
            <v xml:space="preserve">B </v>
          </cell>
        </row>
        <row r="484">
          <cell r="A484" t="str">
            <v xml:space="preserve">E1-SC2.X-GOLD </v>
          </cell>
          <cell r="B484" t="str">
            <v xml:space="preserve">Spectrum Gold Package (per Nod </v>
          </cell>
          <cell r="C484">
            <v>4000</v>
          </cell>
          <cell r="D484" t="str">
            <v xml:space="preserve">D </v>
          </cell>
        </row>
        <row r="485">
          <cell r="A485" t="str">
            <v xml:space="preserve">E10000-4 </v>
          </cell>
          <cell r="B485" t="str">
            <v xml:space="preserve">Enterprise E10000 BASE CABINET </v>
          </cell>
          <cell r="C485">
            <v>524000</v>
          </cell>
          <cell r="D485" t="str">
            <v xml:space="preserve">A </v>
          </cell>
        </row>
        <row r="486">
          <cell r="A486" t="str">
            <v xml:space="preserve">E10000-5 </v>
          </cell>
          <cell r="B486" t="str">
            <v xml:space="preserve">Enterprise E10000 Custom BASE CABINET </v>
          </cell>
          <cell r="C486">
            <v>699400</v>
          </cell>
          <cell r="D486" t="str">
            <v xml:space="preserve">A </v>
          </cell>
        </row>
        <row r="487">
          <cell r="A487" t="str">
            <v xml:space="preserve">E10000-CTO </v>
          </cell>
          <cell r="B487" t="str">
            <v xml:space="preserve">E10000 CONFIGURE-TO-ORDER OPTS </v>
          </cell>
          <cell r="C487">
            <v>0</v>
          </cell>
          <cell r="D487" t="str">
            <v xml:space="preserve">D </v>
          </cell>
        </row>
        <row r="488">
          <cell r="A488" t="str">
            <v xml:space="preserve">E10000-SC2.X-GOLD </v>
          </cell>
          <cell r="B488" t="str">
            <v xml:space="preserve">Spectrum Gold Package (per Nod </v>
          </cell>
          <cell r="C488">
            <v>0</v>
          </cell>
          <cell r="D488" t="str">
            <v xml:space="preserve">D </v>
          </cell>
        </row>
        <row r="489">
          <cell r="A489" t="str">
            <v xml:space="preserve">E10000-SC2.X-PLAT </v>
          </cell>
          <cell r="B489" t="str">
            <v xml:space="preserve">Platinum Spectrum Gold Package (per Nod </v>
          </cell>
          <cell r="C489">
            <v>0</v>
          </cell>
          <cell r="D489" t="str">
            <v xml:space="preserve">D </v>
          </cell>
        </row>
        <row r="490">
          <cell r="A490" t="str">
            <v xml:space="preserve">E10000-SW-SSP-3.1 </v>
          </cell>
          <cell r="B490" t="str">
            <v xml:space="preserve">SSP SW 3.1, CD DOC LI </v>
          </cell>
          <cell r="C490">
            <v>0</v>
          </cell>
          <cell r="D490" t="str">
            <v xml:space="preserve">D </v>
          </cell>
        </row>
        <row r="491">
          <cell r="A491" t="str">
            <v xml:space="preserve">E10000-SW-SSP-3.1.1 </v>
          </cell>
          <cell r="B491" t="str">
            <v xml:space="preserve">SSP SW 3.1.1, CD DOC LI </v>
          </cell>
          <cell r="C491">
            <v>0</v>
          </cell>
          <cell r="D491" t="str">
            <v xml:space="preserve">D </v>
          </cell>
        </row>
        <row r="492">
          <cell r="A492" t="str">
            <v xml:space="preserve">E3000-SC2.X-GOLD </v>
          </cell>
          <cell r="B492" t="str">
            <v xml:space="preserve">Spectrum Gold Package (per Nod </v>
          </cell>
          <cell r="C492">
            <v>10000</v>
          </cell>
          <cell r="D492" t="str">
            <v>S</v>
          </cell>
        </row>
        <row r="493">
          <cell r="A493" t="str">
            <v>E3000-SC2.X-PLAT</v>
          </cell>
          <cell r="B493" t="str">
            <v xml:space="preserve">Platinum Spectrum Gold Package (per Nod </v>
          </cell>
          <cell r="C493">
            <v>17500</v>
          </cell>
          <cell r="D493" t="str">
            <v>S</v>
          </cell>
        </row>
        <row r="494">
          <cell r="A494" t="str">
            <v xml:space="preserve">E3500-C52 </v>
          </cell>
          <cell r="B494" t="str">
            <v xml:space="preserve">SERVER UE3500 BASE, 250MHZ/4MB </v>
          </cell>
          <cell r="C494">
            <v>54000</v>
          </cell>
          <cell r="D494" t="str">
            <v xml:space="preserve">A </v>
          </cell>
        </row>
        <row r="495">
          <cell r="A495" t="str">
            <v xml:space="preserve">E3500-C62 </v>
          </cell>
          <cell r="B495" t="str">
            <v xml:space="preserve">SERVER UE3500 BASE, 336MHZ/4MB </v>
          </cell>
          <cell r="C495">
            <v>63000</v>
          </cell>
          <cell r="D495" t="str">
            <v xml:space="preserve">A </v>
          </cell>
        </row>
        <row r="496">
          <cell r="A496" t="str">
            <v xml:space="preserve">E3500-C72 </v>
          </cell>
          <cell r="B496" t="str">
            <v xml:space="preserve">SERVER UE3500 BASE, 400MHZ/4MB </v>
          </cell>
          <cell r="C496">
            <v>60200</v>
          </cell>
          <cell r="D496" t="str">
            <v xml:space="preserve">A </v>
          </cell>
        </row>
        <row r="497">
          <cell r="A497" t="str">
            <v xml:space="preserve">E3501 </v>
          </cell>
          <cell r="B497" t="str">
            <v xml:space="preserve">E3501 SERVER BASE 1*PS </v>
          </cell>
          <cell r="C497">
            <v>16500</v>
          </cell>
          <cell r="D497" t="str">
            <v xml:space="preserve">A </v>
          </cell>
        </row>
        <row r="498">
          <cell r="A498" t="str">
            <v xml:space="preserve">E3501-C62 </v>
          </cell>
          <cell r="B498" t="str">
            <v xml:space="preserve">Server UE3501 BASE, 336MHZ/4MB </v>
          </cell>
          <cell r="C498">
            <v>55500</v>
          </cell>
          <cell r="D498" t="str">
            <v xml:space="preserve">A </v>
          </cell>
        </row>
        <row r="499">
          <cell r="A499" t="str">
            <v xml:space="preserve">E3501-C72 </v>
          </cell>
          <cell r="B499" t="str">
            <v xml:space="preserve">Server UE3501 BASE, 400MHZ/4MB </v>
          </cell>
          <cell r="C499">
            <v>64500</v>
          </cell>
          <cell r="D499" t="str">
            <v xml:space="preserve">A </v>
          </cell>
        </row>
        <row r="500">
          <cell r="A500" t="str">
            <v xml:space="preserve">E3501-C82 </v>
          </cell>
          <cell r="B500" t="str">
            <v xml:space="preserve">Server UE3501 BASE, 400MHZ/8MB </v>
          </cell>
          <cell r="C500">
            <v>66000</v>
          </cell>
          <cell r="D500" t="str">
            <v xml:space="preserve">A </v>
          </cell>
        </row>
        <row r="501">
          <cell r="A501" t="str">
            <v xml:space="preserve">E4000-SC2.X-GOLD </v>
          </cell>
          <cell r="B501" t="str">
            <v xml:space="preserve">Spectrum Gold Package (per Nod </v>
          </cell>
          <cell r="C501">
            <v>10600</v>
          </cell>
          <cell r="D501" t="str">
            <v>S</v>
          </cell>
        </row>
        <row r="502">
          <cell r="A502" t="str">
            <v>E4000-SC2.X-PLAT</v>
          </cell>
          <cell r="B502" t="str">
            <v xml:space="preserve">Platinum Gold Package (per Nod </v>
          </cell>
          <cell r="C502">
            <v>18550</v>
          </cell>
          <cell r="D502" t="str">
            <v>S</v>
          </cell>
        </row>
        <row r="503">
          <cell r="A503" t="str">
            <v>E450-SC2.X-GOLD(SC2.1)</v>
          </cell>
          <cell r="B503" t="str">
            <v xml:space="preserve">Spectrum Gold Package (per Nod </v>
          </cell>
          <cell r="C503">
            <v>6600</v>
          </cell>
          <cell r="D503" t="str">
            <v xml:space="preserve">D </v>
          </cell>
        </row>
        <row r="504">
          <cell r="A504" t="str">
            <v xml:space="preserve">E4500 </v>
          </cell>
          <cell r="B504" t="str">
            <v xml:space="preserve">E4500 SERVER BASE 2*PS </v>
          </cell>
          <cell r="C504">
            <v>55500</v>
          </cell>
          <cell r="D504" t="str">
            <v xml:space="preserve">A </v>
          </cell>
        </row>
        <row r="505">
          <cell r="A505" t="str">
            <v>E4501</v>
          </cell>
          <cell r="B505" t="str">
            <v xml:space="preserve">E4501 SERVER BASE 2*PS </v>
          </cell>
          <cell r="C505">
            <v>59200</v>
          </cell>
          <cell r="D505" t="str">
            <v xml:space="preserve">A </v>
          </cell>
        </row>
        <row r="506">
          <cell r="A506" t="str">
            <v>E4503</v>
          </cell>
          <cell r="B506" t="str">
            <v xml:space="preserve">E4503 SERVER BASE 1*PS </v>
          </cell>
          <cell r="C506">
            <v>48320</v>
          </cell>
          <cell r="D506" t="str">
            <v xml:space="preserve">A </v>
          </cell>
        </row>
        <row r="507">
          <cell r="A507" t="str">
            <v xml:space="preserve">E5000-SC2.X-GOLD </v>
          </cell>
          <cell r="B507" t="str">
            <v xml:space="preserve">Spectrum Gold Package (per Nod </v>
          </cell>
          <cell r="C507">
            <v>15300</v>
          </cell>
          <cell r="D507" t="str">
            <v xml:space="preserve">D </v>
          </cell>
        </row>
        <row r="508">
          <cell r="A508" t="str">
            <v xml:space="preserve">E5500 </v>
          </cell>
          <cell r="B508" t="str">
            <v xml:space="preserve">E5500 SERVER BASE 2*PS </v>
          </cell>
          <cell r="C508">
            <v>72000</v>
          </cell>
          <cell r="D508" t="str">
            <v xml:space="preserve">A </v>
          </cell>
        </row>
        <row r="509">
          <cell r="A509" t="str">
            <v xml:space="preserve">E5501 </v>
          </cell>
          <cell r="B509" t="str">
            <v xml:space="preserve">E5501 SERVER BASE 2*PS </v>
          </cell>
          <cell r="C509">
            <v>76800</v>
          </cell>
          <cell r="D509" t="str">
            <v xml:space="preserve">A </v>
          </cell>
        </row>
        <row r="510">
          <cell r="A510" t="str">
            <v xml:space="preserve">E6000-SC2.X-GOLD </v>
          </cell>
          <cell r="B510" t="str">
            <v xml:space="preserve">Spectrum Gold Package (per Nod </v>
          </cell>
          <cell r="C510">
            <v>33300</v>
          </cell>
          <cell r="D510" t="str">
            <v xml:space="preserve">D </v>
          </cell>
        </row>
        <row r="511">
          <cell r="A511" t="str">
            <v xml:space="preserve">E6000-SC2.X-PLAT </v>
          </cell>
          <cell r="B511" t="str">
            <v xml:space="preserve">Platinum  Gold Package (per Nod </v>
          </cell>
          <cell r="C511">
            <v>33300</v>
          </cell>
          <cell r="D511" t="str">
            <v xml:space="preserve">D </v>
          </cell>
        </row>
        <row r="512">
          <cell r="A512" t="str">
            <v xml:space="preserve">E6500 </v>
          </cell>
          <cell r="B512" t="str">
            <v xml:space="preserve">E6500 SERVER BASE 2*PS </v>
          </cell>
          <cell r="C512">
            <v>225000</v>
          </cell>
          <cell r="D512" t="str">
            <v xml:space="preserve">A </v>
          </cell>
        </row>
        <row r="513">
          <cell r="A513" t="str">
            <v xml:space="preserve">E6501 </v>
          </cell>
          <cell r="B513" t="str">
            <v xml:space="preserve">E6501 SERVER BASE 2*PS </v>
          </cell>
          <cell r="C513">
            <v>192000</v>
          </cell>
          <cell r="D513" t="str">
            <v xml:space="preserve">A </v>
          </cell>
        </row>
        <row r="514">
          <cell r="A514" t="str">
            <v xml:space="preserve">E6503 </v>
          </cell>
          <cell r="B514" t="str">
            <v xml:space="preserve">E6503 SERVER BASE 1*PS </v>
          </cell>
          <cell r="C514">
            <v>157120</v>
          </cell>
          <cell r="D514" t="str">
            <v xml:space="preserve">A </v>
          </cell>
        </row>
        <row r="515">
          <cell r="A515" t="str">
            <v xml:space="preserve">EFSMS-200W9999 </v>
          </cell>
          <cell r="B515" t="str">
            <v xml:space="preserve">SUNSCREEN EFS CD, DOCS, LIC </v>
          </cell>
          <cell r="C515">
            <v>13993</v>
          </cell>
          <cell r="D515" t="str">
            <v xml:space="preserve">B </v>
          </cell>
        </row>
        <row r="516">
          <cell r="A516" t="str">
            <v xml:space="preserve">EHRIS-311-9999 </v>
          </cell>
          <cell r="B516" t="str">
            <v xml:space="preserve">SW HSM 3.1.1 REMOTE STG EXT RT </v>
          </cell>
          <cell r="C516">
            <v>21000</v>
          </cell>
          <cell r="D516" t="str">
            <v xml:space="preserve">B </v>
          </cell>
        </row>
        <row r="517">
          <cell r="A517" t="str">
            <v xml:space="preserve">EHRIS-311-99U9 </v>
          </cell>
          <cell r="B517" t="str">
            <v xml:space="preserve">SW HSM 3.1.1 RMT STG EXT RTU U </v>
          </cell>
          <cell r="C517">
            <v>10500</v>
          </cell>
          <cell r="D517" t="str">
            <v xml:space="preserve">B </v>
          </cell>
        </row>
        <row r="518">
          <cell r="A518" t="str">
            <v xml:space="preserve">EHRIS-311-E999 </v>
          </cell>
          <cell r="B518" t="str">
            <v xml:space="preserve">SW HSM 3.1.1 REMOTE TIER 3 RTU </v>
          </cell>
          <cell r="C518">
            <v>42000</v>
          </cell>
          <cell r="D518" t="str">
            <v xml:space="preserve">B </v>
          </cell>
        </row>
        <row r="519">
          <cell r="A519" t="str">
            <v xml:space="preserve">EHS9S-311-9999 </v>
          </cell>
          <cell r="B519" t="str">
            <v xml:space="preserve">SW EHSM 3.1.1 BASE PACK CD,DOC </v>
          </cell>
          <cell r="C519">
            <v>140</v>
          </cell>
          <cell r="D519" t="str">
            <v xml:space="preserve">D </v>
          </cell>
        </row>
        <row r="520">
          <cell r="A520" t="str">
            <v xml:space="preserve">EHSIS-311-9999 </v>
          </cell>
          <cell r="B520" t="str">
            <v xml:space="preserve">SW HSM 3.1.1 MGMT INTERFACE RT </v>
          </cell>
          <cell r="C520">
            <v>28000</v>
          </cell>
          <cell r="D520" t="str">
            <v xml:space="preserve">B </v>
          </cell>
        </row>
        <row r="521">
          <cell r="A521" t="str">
            <v xml:space="preserve">EHSIS-311-99U9 </v>
          </cell>
          <cell r="B521" t="str">
            <v xml:space="preserve">SW HSM 3.1.1 MGMT IF RTU UPGRA </v>
          </cell>
          <cell r="C521">
            <v>14000</v>
          </cell>
          <cell r="D521" t="str">
            <v xml:space="preserve">B </v>
          </cell>
        </row>
        <row r="522">
          <cell r="A522" t="str">
            <v xml:space="preserve">EHSIS-311-E999 </v>
          </cell>
          <cell r="B522" t="str">
            <v xml:space="preserve">SW HSM 3.1.1 SERVER TIER 3 RTU </v>
          </cell>
          <cell r="C522">
            <v>56000</v>
          </cell>
          <cell r="D522" t="str">
            <v xml:space="preserve">B </v>
          </cell>
        </row>
        <row r="523">
          <cell r="A523" t="str">
            <v xml:space="preserve">EM1IS-210-9999 </v>
          </cell>
          <cell r="B523" t="str">
            <v xml:space="preserve">EM 2.1 SINGLE MIS LIC MC-1 </v>
          </cell>
          <cell r="C523">
            <v>21700</v>
          </cell>
          <cell r="D523" t="str">
            <v xml:space="preserve">B </v>
          </cell>
        </row>
        <row r="524">
          <cell r="A524" t="str">
            <v xml:space="preserve">EM1IS-210-99U9 </v>
          </cell>
          <cell r="B524" t="str">
            <v xml:space="preserve">EM 2.1 MIS LIC. UPGRADE MC-1 </v>
          </cell>
          <cell r="C524">
            <v>10850</v>
          </cell>
          <cell r="D524" t="str">
            <v xml:space="preserve">B </v>
          </cell>
        </row>
        <row r="525">
          <cell r="A525" t="str">
            <v xml:space="preserve">EM2IS-210-9999 </v>
          </cell>
          <cell r="B525" t="str">
            <v xml:space="preserve">EM 2.1 SINGLE MIS LIC MC-2 </v>
          </cell>
          <cell r="C525">
            <v>35700</v>
          </cell>
          <cell r="D525" t="str">
            <v xml:space="preserve">B </v>
          </cell>
        </row>
        <row r="526">
          <cell r="A526" t="str">
            <v xml:space="preserve">EM2IS-210-99T9 </v>
          </cell>
          <cell r="B526" t="str">
            <v xml:space="preserve">EM 2.1 MIS LIC MC-1 TO MC-2 </v>
          </cell>
          <cell r="C526">
            <v>14000</v>
          </cell>
          <cell r="D526" t="str">
            <v xml:space="preserve">B </v>
          </cell>
        </row>
        <row r="527">
          <cell r="A527" t="str">
            <v xml:space="preserve">EM2IS-210-99U9 </v>
          </cell>
          <cell r="B527" t="str">
            <v xml:space="preserve">EM 2.1 MIS LIC. UPGRADE MC-2 </v>
          </cell>
          <cell r="C527">
            <v>17850</v>
          </cell>
          <cell r="D527" t="str">
            <v xml:space="preserve">B </v>
          </cell>
        </row>
        <row r="528">
          <cell r="A528" t="str">
            <v xml:space="preserve">EMAIS-210-9999 </v>
          </cell>
          <cell r="B528" t="str">
            <v xml:space="preserve">EM 2.1 APPLICATION CLIENT, LIC </v>
          </cell>
          <cell r="C528">
            <v>7000</v>
          </cell>
          <cell r="D528" t="str">
            <v xml:space="preserve">B </v>
          </cell>
        </row>
        <row r="529">
          <cell r="A529" t="str">
            <v xml:space="preserve">EMAIS-210-99U9 </v>
          </cell>
          <cell r="B529" t="str">
            <v xml:space="preserve">UG EM 2.1 APPLICATION CLNT LIC </v>
          </cell>
          <cell r="C529">
            <v>3500</v>
          </cell>
          <cell r="D529" t="str">
            <v xml:space="preserve">B </v>
          </cell>
        </row>
        <row r="530">
          <cell r="A530" t="str">
            <v xml:space="preserve">EMAIS-300IR999 </v>
          </cell>
          <cell r="B530" t="str">
            <v xml:space="preserve">EM 3.0 Fault Mgmt App Cl. Lic. </v>
          </cell>
          <cell r="C530">
            <v>7000</v>
          </cell>
          <cell r="D530" t="str">
            <v xml:space="preserve">B </v>
          </cell>
        </row>
        <row r="531">
          <cell r="A531" t="str">
            <v xml:space="preserve">EMAIS-300IR9U9 </v>
          </cell>
          <cell r="B531" t="str">
            <v xml:space="preserve">EM 3.0 Fault Mgmt App Lic Upgr </v>
          </cell>
          <cell r="C531">
            <v>2800</v>
          </cell>
          <cell r="D531" t="str">
            <v xml:space="preserve">B </v>
          </cell>
        </row>
        <row r="532">
          <cell r="A532" t="str">
            <v xml:space="preserve">EMCMS-300I9999 </v>
          </cell>
          <cell r="B532" t="str">
            <v xml:space="preserve">EM 3.0 Media </v>
          </cell>
          <cell r="C532">
            <v>140</v>
          </cell>
          <cell r="D532" t="str">
            <v xml:space="preserve">B </v>
          </cell>
        </row>
        <row r="533">
          <cell r="A533" t="str">
            <v xml:space="preserve">EMEDS-210-9999 </v>
          </cell>
          <cell r="B533" t="str">
            <v xml:space="preserve">EM 2.1 ENDUSER HARDCOPY DOCS </v>
          </cell>
          <cell r="C533">
            <v>210</v>
          </cell>
          <cell r="D533" t="str">
            <v xml:space="preserve">B </v>
          </cell>
        </row>
        <row r="534">
          <cell r="A534" t="str">
            <v xml:space="preserve">EMEDS-300IR999 </v>
          </cell>
          <cell r="B534" t="str">
            <v xml:space="preserve">EM 3.0 End User Documentation </v>
          </cell>
          <cell r="C534">
            <v>210</v>
          </cell>
          <cell r="D534" t="str">
            <v xml:space="preserve">B </v>
          </cell>
        </row>
        <row r="535">
          <cell r="A535" t="str">
            <v xml:space="preserve">EMEMS-210-9999 </v>
          </cell>
          <cell r="B535" t="str">
            <v xml:space="preserve">EM 2.1 MEDIA AND RELNOTES </v>
          </cell>
          <cell r="C535">
            <v>140</v>
          </cell>
          <cell r="D535" t="str">
            <v xml:space="preserve">B </v>
          </cell>
        </row>
        <row r="536">
          <cell r="A536" t="str">
            <v xml:space="preserve">EMJDS-300I9999 </v>
          </cell>
          <cell r="B536" t="str">
            <v xml:space="preserve">EM 3.0 Java Toolkit Doc. </v>
          </cell>
          <cell r="C536">
            <v>490</v>
          </cell>
          <cell r="D536" t="str">
            <v xml:space="preserve">B </v>
          </cell>
        </row>
        <row r="537">
          <cell r="A537" t="str">
            <v xml:space="preserve">EMJIS-300IR999 </v>
          </cell>
          <cell r="B537" t="str">
            <v xml:space="preserve">EM 3.0 Java DMK Interface Lic. </v>
          </cell>
          <cell r="C537">
            <v>12600</v>
          </cell>
          <cell r="D537" t="str">
            <v xml:space="preserve">B </v>
          </cell>
        </row>
        <row r="538">
          <cell r="A538" t="str">
            <v xml:space="preserve">EMJIS-300IT999 </v>
          </cell>
          <cell r="B538" t="str">
            <v xml:space="preserve">EM 3.0 Java Toolkit License </v>
          </cell>
          <cell r="C538">
            <v>7000</v>
          </cell>
          <cell r="D538" t="str">
            <v xml:space="preserve">B </v>
          </cell>
        </row>
        <row r="539">
          <cell r="A539" t="str">
            <v xml:space="preserve">EMKDS-210-9999 </v>
          </cell>
          <cell r="B539" t="str">
            <v xml:space="preserve">EM 2.1 TOOLKIT DOC SET </v>
          </cell>
          <cell r="C539">
            <v>490</v>
          </cell>
          <cell r="D539" t="str">
            <v xml:space="preserve">B </v>
          </cell>
        </row>
        <row r="540">
          <cell r="A540" t="str">
            <v xml:space="preserve">EMKDS-300I9999 </v>
          </cell>
          <cell r="B540" t="str">
            <v xml:space="preserve">EM 3.0 Toolkit Documentation </v>
          </cell>
          <cell r="C540">
            <v>490</v>
          </cell>
          <cell r="D540" t="str">
            <v xml:space="preserve">B </v>
          </cell>
        </row>
        <row r="541">
          <cell r="A541" t="str">
            <v xml:space="preserve">EMKIS-210-T999 </v>
          </cell>
          <cell r="B541" t="str">
            <v xml:space="preserve">EM 2.1 TOOLKIT LICENSE </v>
          </cell>
          <cell r="C541">
            <v>70000</v>
          </cell>
          <cell r="D541" t="str">
            <v xml:space="preserve">B </v>
          </cell>
        </row>
        <row r="542">
          <cell r="A542" t="str">
            <v xml:space="preserve">EMKIS-210-T9U9 </v>
          </cell>
          <cell r="B542" t="str">
            <v xml:space="preserve">EM 2.1 TOOLKIT LIC. UPGRADE </v>
          </cell>
          <cell r="C542">
            <v>35000</v>
          </cell>
          <cell r="D542" t="str">
            <v xml:space="preserve">B </v>
          </cell>
        </row>
        <row r="543">
          <cell r="A543" t="str">
            <v xml:space="preserve">EMKIS-300IT999 </v>
          </cell>
          <cell r="B543" t="str">
            <v xml:space="preserve">EM 3.0 Toolkit License </v>
          </cell>
          <cell r="C543">
            <v>70000</v>
          </cell>
          <cell r="D543" t="str">
            <v xml:space="preserve">B </v>
          </cell>
        </row>
        <row r="544">
          <cell r="A544" t="str">
            <v xml:space="preserve">EMKIS-300IT9U9 </v>
          </cell>
          <cell r="B544" t="str">
            <v xml:space="preserve">EM 3.0 Toolkit License Upgrade </v>
          </cell>
          <cell r="C544">
            <v>31500</v>
          </cell>
          <cell r="D544" t="str">
            <v xml:space="preserve">B </v>
          </cell>
        </row>
        <row r="545">
          <cell r="A545" t="str">
            <v xml:space="preserve">EMMIS-300ID999 </v>
          </cell>
          <cell r="B545" t="str">
            <v xml:space="preserve">EM 3.0 MIS Bronze License </v>
          </cell>
          <cell r="C545">
            <v>21700</v>
          </cell>
          <cell r="D545" t="str">
            <v xml:space="preserve">B </v>
          </cell>
        </row>
        <row r="546">
          <cell r="A546" t="str">
            <v xml:space="preserve">EMMIS-300ID9U9 </v>
          </cell>
          <cell r="B546" t="str">
            <v xml:space="preserve">EM 3.0 MIS Bronze Lic. Upgrade </v>
          </cell>
          <cell r="C546">
            <v>9765</v>
          </cell>
          <cell r="D546" t="str">
            <v xml:space="preserve">B </v>
          </cell>
        </row>
        <row r="547">
          <cell r="A547" t="str">
            <v xml:space="preserve">EMMIS-300IE999 </v>
          </cell>
          <cell r="B547" t="str">
            <v xml:space="preserve">EM 3.0 MIS Gold License </v>
          </cell>
          <cell r="C547">
            <v>35700</v>
          </cell>
          <cell r="D547" t="str">
            <v xml:space="preserve">B </v>
          </cell>
        </row>
        <row r="548">
          <cell r="A548" t="str">
            <v xml:space="preserve">EMMIS-300IE9T9 </v>
          </cell>
          <cell r="B548" t="str">
            <v xml:space="preserve">EM 3.0 Silver-Gold Trade Up </v>
          </cell>
          <cell r="C548">
            <v>7000</v>
          </cell>
          <cell r="D548" t="str">
            <v xml:space="preserve">B </v>
          </cell>
        </row>
        <row r="549">
          <cell r="A549" t="str">
            <v xml:space="preserve">EMMIS-300IE9U9 </v>
          </cell>
          <cell r="B549" t="str">
            <v xml:space="preserve">EM 3.0 MIS Gold Lic. Upgrade </v>
          </cell>
          <cell r="C549">
            <v>16065</v>
          </cell>
          <cell r="D549" t="str">
            <v xml:space="preserve">B </v>
          </cell>
        </row>
        <row r="550">
          <cell r="A550" t="str">
            <v xml:space="preserve">EMMIS-300IW999 </v>
          </cell>
          <cell r="B550" t="str">
            <v xml:space="preserve">EM 3.0 MIS Silver License </v>
          </cell>
          <cell r="C550">
            <v>28700</v>
          </cell>
          <cell r="D550" t="str">
            <v xml:space="preserve">B </v>
          </cell>
        </row>
        <row r="551">
          <cell r="A551" t="str">
            <v xml:space="preserve">EMMIS-300IW9T9 </v>
          </cell>
          <cell r="B551" t="str">
            <v xml:space="preserve">EM 3.0 Bronze-Silver Trade Up </v>
          </cell>
          <cell r="C551">
            <v>7000</v>
          </cell>
          <cell r="D551" t="str">
            <v xml:space="preserve">B </v>
          </cell>
        </row>
        <row r="552">
          <cell r="A552" t="str">
            <v xml:space="preserve">EMMIS-300IW9U9 </v>
          </cell>
          <cell r="B552" t="str">
            <v xml:space="preserve">EM 3.0 MIS Silver Lic. Upgrade </v>
          </cell>
          <cell r="C552">
            <v>12915</v>
          </cell>
          <cell r="D552" t="str">
            <v xml:space="preserve">B </v>
          </cell>
        </row>
        <row r="553">
          <cell r="A553" t="str">
            <v xml:space="preserve">EMQIS-300IR999 </v>
          </cell>
          <cell r="B553" t="str">
            <v xml:space="preserve">EM 3.0 TMN Q3 Interface Lic. </v>
          </cell>
          <cell r="C553">
            <v>9800</v>
          </cell>
          <cell r="D553" t="str">
            <v xml:space="preserve">B </v>
          </cell>
        </row>
        <row r="554">
          <cell r="A554" t="str">
            <v xml:space="preserve">EMQIS-300IR9U9 </v>
          </cell>
          <cell r="B554" t="str">
            <v xml:space="preserve">EM 3.0 TMN Q3 Interface Upgrad </v>
          </cell>
          <cell r="C554">
            <v>4200</v>
          </cell>
          <cell r="D554" t="str">
            <v xml:space="preserve">B </v>
          </cell>
        </row>
        <row r="555">
          <cell r="A555" t="str">
            <v xml:space="preserve">EMTIS-210-9999 </v>
          </cell>
          <cell r="B555" t="str">
            <v xml:space="preserve">EM 2.1 TMNQ3 INTERFACE LIC </v>
          </cell>
          <cell r="C555">
            <v>9800</v>
          </cell>
          <cell r="D555" t="str">
            <v xml:space="preserve">B </v>
          </cell>
        </row>
        <row r="556">
          <cell r="A556" t="str">
            <v xml:space="preserve">EMTIS-210-99U9 </v>
          </cell>
          <cell r="B556" t="str">
            <v xml:space="preserve">EM 2.1 TMNQ3 INTERFACE UPGR. </v>
          </cell>
          <cell r="C556">
            <v>4900</v>
          </cell>
          <cell r="D556" t="str">
            <v xml:space="preserve">B </v>
          </cell>
        </row>
        <row r="557">
          <cell r="A557" t="str">
            <v xml:space="preserve">EN1VS-210-9999 </v>
          </cell>
          <cell r="B557" t="str">
            <v xml:space="preserve">EM 2.1 NETWORK MGMT PKG MC-1 </v>
          </cell>
          <cell r="C557">
            <v>121800</v>
          </cell>
          <cell r="D557" t="str">
            <v xml:space="preserve">B </v>
          </cell>
        </row>
        <row r="558">
          <cell r="A558" t="str">
            <v xml:space="preserve">EN2VS-210-9999 </v>
          </cell>
          <cell r="B558" t="str">
            <v xml:space="preserve">EM 2.1 NETWORK MGMT PKG MC-2 </v>
          </cell>
          <cell r="C558">
            <v>182000</v>
          </cell>
          <cell r="D558" t="str">
            <v xml:space="preserve">B </v>
          </cell>
        </row>
        <row r="559">
          <cell r="A559" t="str">
            <v xml:space="preserve">EN2VS-210-99T9 </v>
          </cell>
          <cell r="B559" t="str">
            <v xml:space="preserve">EM 2.1 NW MGT PKG MC-1 TO MC-2 </v>
          </cell>
          <cell r="C559">
            <v>60200</v>
          </cell>
          <cell r="D559" t="str">
            <v xml:space="preserve">B </v>
          </cell>
        </row>
        <row r="560">
          <cell r="A560" t="str">
            <v xml:space="preserve">ENB99-311-9999 </v>
          </cell>
          <cell r="B560" t="str">
            <v xml:space="preserve">SW NBU 3.1.1 DB EXT CD,DOC </v>
          </cell>
          <cell r="C560">
            <v>140</v>
          </cell>
          <cell r="D560" t="str">
            <v xml:space="preserve">D </v>
          </cell>
        </row>
        <row r="561">
          <cell r="A561" t="str">
            <v xml:space="preserve">ENB99-311-R999 </v>
          </cell>
          <cell r="B561" t="str">
            <v xml:space="preserve">SW NBU 3.1.1 PC CLIENTS CD,DOC </v>
          </cell>
          <cell r="C561">
            <v>140</v>
          </cell>
          <cell r="D561" t="str">
            <v xml:space="preserve">D </v>
          </cell>
        </row>
        <row r="562">
          <cell r="A562" t="str">
            <v xml:space="preserve">ENB9S-311-9999 </v>
          </cell>
          <cell r="B562" t="str">
            <v xml:space="preserve">SW ENBU 3.1.1 BASE PACK CD,DOC </v>
          </cell>
          <cell r="C562">
            <v>140</v>
          </cell>
          <cell r="D562" t="str">
            <v xml:space="preserve">D </v>
          </cell>
        </row>
        <row r="563">
          <cell r="A563" t="str">
            <v xml:space="preserve">ENB9S-311-S999 </v>
          </cell>
          <cell r="B563" t="str">
            <v xml:space="preserve">SW NBU 3.1.1 (E10000 ONLY) </v>
          </cell>
          <cell r="C563">
            <v>0</v>
          </cell>
          <cell r="D563" t="str">
            <v xml:space="preserve">D </v>
          </cell>
        </row>
        <row r="564">
          <cell r="A564" t="str">
            <v xml:space="preserve">ENBC9-311-9999 </v>
          </cell>
          <cell r="B564" t="str">
            <v xml:space="preserve">SW NBU 3.1.1 100-CLIENT RTU </v>
          </cell>
          <cell r="C564">
            <v>45500</v>
          </cell>
          <cell r="D564" t="str">
            <v xml:space="preserve">B </v>
          </cell>
        </row>
        <row r="565">
          <cell r="A565" t="str">
            <v xml:space="preserve">ENBC9-311-99U9 </v>
          </cell>
          <cell r="B565" t="str">
            <v xml:space="preserve">SW NBU 3.1.1 100-CLIENT RTU UP </v>
          </cell>
          <cell r="C565">
            <v>22750</v>
          </cell>
          <cell r="D565" t="str">
            <v xml:space="preserve">B </v>
          </cell>
        </row>
        <row r="566">
          <cell r="A566" t="str">
            <v xml:space="preserve">ENBI9-311-D999 </v>
          </cell>
          <cell r="B566" t="str">
            <v xml:space="preserve">SW NBU 3.1.1 WS CLIENT RTU </v>
          </cell>
          <cell r="C566">
            <v>280</v>
          </cell>
          <cell r="D566" t="str">
            <v xml:space="preserve">B </v>
          </cell>
        </row>
        <row r="567">
          <cell r="A567" t="str">
            <v xml:space="preserve">ENBI9-311-D9U9 </v>
          </cell>
          <cell r="B567" t="str">
            <v xml:space="preserve">SW NBU 3.1.1 WS CLIENT RTU UPG </v>
          </cell>
          <cell r="C567">
            <v>140</v>
          </cell>
          <cell r="D567" t="str">
            <v xml:space="preserve">B </v>
          </cell>
        </row>
        <row r="568">
          <cell r="A568" t="str">
            <v xml:space="preserve">ENBI9-311-E999 </v>
          </cell>
          <cell r="B568" t="str">
            <v xml:space="preserve">SW NBU 3.1.1 MULTI-USER CLIENT </v>
          </cell>
          <cell r="C568">
            <v>980</v>
          </cell>
          <cell r="D568" t="str">
            <v xml:space="preserve">B </v>
          </cell>
        </row>
        <row r="569">
          <cell r="A569" t="str">
            <v xml:space="preserve">ENBI9-311-E9U9 </v>
          </cell>
          <cell r="B569" t="str">
            <v xml:space="preserve">SW NBU 3.1.1 MULTI-USER CLNT U </v>
          </cell>
          <cell r="C569">
            <v>490</v>
          </cell>
          <cell r="D569" t="str">
            <v xml:space="preserve">B </v>
          </cell>
        </row>
        <row r="570">
          <cell r="A570" t="str">
            <v xml:space="preserve">ENBIS-311-9999 </v>
          </cell>
          <cell r="B570" t="str">
            <v xml:space="preserve">SW NBU 3.1.1 MGMT INTERFACE RT </v>
          </cell>
          <cell r="C570">
            <v>11900</v>
          </cell>
          <cell r="D570" t="str">
            <v xml:space="preserve">B </v>
          </cell>
        </row>
        <row r="571">
          <cell r="A571" t="str">
            <v xml:space="preserve">ENBIS-311-99U9 </v>
          </cell>
          <cell r="B571" t="str">
            <v xml:space="preserve">SW NBU 3.1.1 MGMT IF RTU UPGR </v>
          </cell>
          <cell r="C571">
            <v>5950</v>
          </cell>
          <cell r="D571" t="str">
            <v xml:space="preserve">B </v>
          </cell>
        </row>
        <row r="572">
          <cell r="A572" t="str">
            <v xml:space="preserve">ENBX9-311-R999 </v>
          </cell>
          <cell r="B572" t="str">
            <v xml:space="preserve">SW NBU 3.1.1 PC 10-CLIENT RTU </v>
          </cell>
          <cell r="C572">
            <v>700</v>
          </cell>
          <cell r="D572" t="str">
            <v xml:space="preserve">B </v>
          </cell>
        </row>
        <row r="573">
          <cell r="A573" t="str">
            <v xml:space="preserve">ENBX9-311-R9U9 </v>
          </cell>
          <cell r="B573" t="str">
            <v xml:space="preserve">SW NBU 3.1.1 PC 10-CLIENT RTU </v>
          </cell>
          <cell r="C573">
            <v>350</v>
          </cell>
          <cell r="D573" t="str">
            <v xml:space="preserve">B </v>
          </cell>
        </row>
        <row r="574">
          <cell r="A574" t="str">
            <v xml:space="preserve">ENDIS-311-9999 </v>
          </cell>
          <cell r="B574" t="str">
            <v xml:space="preserve">SW NBU 3.1.1 DATABASE EXT RTU </v>
          </cell>
          <cell r="C574">
            <v>7000</v>
          </cell>
          <cell r="D574" t="str">
            <v xml:space="preserve">B </v>
          </cell>
        </row>
        <row r="575">
          <cell r="A575" t="str">
            <v xml:space="preserve">ENDIS-311-99U9 </v>
          </cell>
          <cell r="B575" t="str">
            <v xml:space="preserve">SW NBU 3.1.1 DB EXT RTU UPGRAD </v>
          </cell>
          <cell r="C575">
            <v>3500</v>
          </cell>
          <cell r="D575" t="str">
            <v xml:space="preserve">B </v>
          </cell>
        </row>
        <row r="576">
          <cell r="A576" t="str">
            <v xml:space="preserve">ENDIS-311-E999 </v>
          </cell>
          <cell r="B576" t="str">
            <v xml:space="preserve">SW NBU 3.1.1 DB TIER 3 RTU </v>
          </cell>
          <cell r="C576">
            <v>14000</v>
          </cell>
          <cell r="D576" t="str">
            <v xml:space="preserve">B </v>
          </cell>
        </row>
        <row r="577">
          <cell r="A577" t="str">
            <v xml:space="preserve">ENEI9-311-9999 </v>
          </cell>
          <cell r="B577" t="str">
            <v xml:space="preserve">SW NBU 3.1.1 client engr </v>
          </cell>
          <cell r="C577">
            <v>2800</v>
          </cell>
          <cell r="D577" t="str">
            <v xml:space="preserve">B </v>
          </cell>
        </row>
        <row r="578">
          <cell r="A578" t="str">
            <v xml:space="preserve">ENEI9-311-D999 </v>
          </cell>
          <cell r="B578" t="str">
            <v xml:space="preserve">SW NBU 3.1.1 WS ENCRY RTU </v>
          </cell>
          <cell r="C578">
            <v>280</v>
          </cell>
          <cell r="D578" t="str">
            <v xml:space="preserve">B </v>
          </cell>
        </row>
        <row r="579">
          <cell r="A579" t="str">
            <v xml:space="preserve">ENEI9-311-E999 </v>
          </cell>
          <cell r="B579" t="str">
            <v xml:space="preserve">SW NBU 3.1.1 M-U CLIENT ENCR R </v>
          </cell>
          <cell r="C579">
            <v>980</v>
          </cell>
          <cell r="D579" t="str">
            <v xml:space="preserve">B </v>
          </cell>
        </row>
        <row r="580">
          <cell r="A580" t="str">
            <v xml:space="preserve">ENEI9-311-R999 </v>
          </cell>
          <cell r="B580" t="str">
            <v xml:space="preserve">SW NBU 3.1.1 PC ENCRY RTU </v>
          </cell>
          <cell r="C580">
            <v>70</v>
          </cell>
          <cell r="D580" t="str">
            <v xml:space="preserve">B </v>
          </cell>
        </row>
        <row r="581">
          <cell r="A581" t="str">
            <v xml:space="preserve">ENFIS-311-9999 </v>
          </cell>
          <cell r="B581" t="str">
            <v xml:space="preserve">SW NBU 3.1.1 FLASHBACKUP RTU </v>
          </cell>
          <cell r="C581">
            <v>7000</v>
          </cell>
          <cell r="D581" t="str">
            <v xml:space="preserve">B </v>
          </cell>
        </row>
        <row r="582">
          <cell r="A582" t="str">
            <v xml:space="preserve">ENM9N-311-9999 </v>
          </cell>
          <cell r="B582" t="str">
            <v xml:space="preserve">SW NBU 3.1.1 SQL-EXCH EXT RTU </v>
          </cell>
          <cell r="C582">
            <v>1400</v>
          </cell>
          <cell r="D582" t="str">
            <v xml:space="preserve">B </v>
          </cell>
        </row>
        <row r="583">
          <cell r="A583" t="str">
            <v xml:space="preserve">ENNIS-311-9999 </v>
          </cell>
          <cell r="B583" t="str">
            <v xml:space="preserve">SW NBU 3.1.1 NDMP RTU, DOC </v>
          </cell>
          <cell r="C583">
            <v>11900</v>
          </cell>
          <cell r="D583" t="str">
            <v xml:space="preserve">B </v>
          </cell>
        </row>
        <row r="584">
          <cell r="A584" t="str">
            <v xml:space="preserve">ENRI9-311-D999 </v>
          </cell>
          <cell r="B584" t="str">
            <v xml:space="preserve">SW NBU 3.1.1 ROBOTICS TIER1 RT </v>
          </cell>
          <cell r="C584">
            <v>5600</v>
          </cell>
          <cell r="D584" t="str">
            <v xml:space="preserve">B </v>
          </cell>
        </row>
        <row r="585">
          <cell r="A585" t="str">
            <v xml:space="preserve">ENRI9-311-D9U9 </v>
          </cell>
          <cell r="B585" t="str">
            <v xml:space="preserve">SW NBU 3.1.1 ROBTC TIER1 RTU U </v>
          </cell>
          <cell r="C585">
            <v>2800</v>
          </cell>
          <cell r="D585" t="str">
            <v xml:space="preserve">B </v>
          </cell>
        </row>
        <row r="586">
          <cell r="A586" t="str">
            <v xml:space="preserve">ENRI9-311-E999 </v>
          </cell>
          <cell r="B586" t="str">
            <v xml:space="preserve">SW NBU 3.1.1 ROBOTICS TIER3 RT </v>
          </cell>
          <cell r="C586">
            <v>23800</v>
          </cell>
          <cell r="D586" t="str">
            <v xml:space="preserve">B </v>
          </cell>
        </row>
        <row r="587">
          <cell r="A587" t="str">
            <v xml:space="preserve">ENRI9-311-E9U9 </v>
          </cell>
          <cell r="B587" t="str">
            <v xml:space="preserve">SW NBU 3.1.1 ROBTC TIER3 RTU U </v>
          </cell>
          <cell r="C587">
            <v>11900</v>
          </cell>
          <cell r="D587" t="str">
            <v xml:space="preserve">B </v>
          </cell>
        </row>
        <row r="588">
          <cell r="A588" t="str">
            <v xml:space="preserve">ENRI9-311-T999 </v>
          </cell>
          <cell r="B588" t="str">
            <v xml:space="preserve">SW NBU 3.1.1 ROBOTICS TIER4 RT </v>
          </cell>
          <cell r="C588">
            <v>35000</v>
          </cell>
          <cell r="D588" t="str">
            <v xml:space="preserve">B </v>
          </cell>
        </row>
        <row r="589">
          <cell r="A589" t="str">
            <v xml:space="preserve">ENRI9-311-T9U9 </v>
          </cell>
          <cell r="B589" t="str">
            <v xml:space="preserve">SW NBU 3.1.1 ROBTC TIER4 RTU U </v>
          </cell>
          <cell r="C589">
            <v>17500</v>
          </cell>
          <cell r="D589" t="str">
            <v xml:space="preserve">B </v>
          </cell>
        </row>
        <row r="590">
          <cell r="A590" t="str">
            <v xml:space="preserve">ENRI9-311-W999 </v>
          </cell>
          <cell r="B590" t="str">
            <v xml:space="preserve">SW NBU 3.1.1 ROBOTICS TIER2 RT </v>
          </cell>
          <cell r="C590">
            <v>13300</v>
          </cell>
          <cell r="D590" t="str">
            <v xml:space="preserve">B </v>
          </cell>
        </row>
        <row r="591">
          <cell r="A591" t="str">
            <v xml:space="preserve">ENRI9-311-W9U9 </v>
          </cell>
          <cell r="B591" t="str">
            <v xml:space="preserve">SW NBU 3.1.1 ROBTC TIER2 RTU U </v>
          </cell>
          <cell r="C591">
            <v>6650</v>
          </cell>
          <cell r="D591" t="str">
            <v xml:space="preserve">B </v>
          </cell>
        </row>
        <row r="592">
          <cell r="A592" t="str">
            <v xml:space="preserve">ENSIS-311-9999 </v>
          </cell>
          <cell r="B592" t="str">
            <v xml:space="preserve">SW NBU 3.1.1 SAP EXT RTU </v>
          </cell>
          <cell r="C592">
            <v>14000</v>
          </cell>
          <cell r="D592" t="str">
            <v xml:space="preserve">B </v>
          </cell>
        </row>
        <row r="593">
          <cell r="A593" t="str">
            <v xml:space="preserve">ENSIS-311-99U9 </v>
          </cell>
          <cell r="B593" t="str">
            <v xml:space="preserve">SW NBU 3.1.1 SAP EXT RTU UPGRA </v>
          </cell>
          <cell r="C593">
            <v>7000</v>
          </cell>
          <cell r="D593" t="str">
            <v xml:space="preserve">B </v>
          </cell>
        </row>
        <row r="594">
          <cell r="A594" t="str">
            <v xml:space="preserve">ENSIS-311-E999 </v>
          </cell>
          <cell r="B594" t="str">
            <v xml:space="preserve">SW NBU 3.1.1 SAP TIER 3 RTU </v>
          </cell>
          <cell r="C594">
            <v>28000</v>
          </cell>
          <cell r="D594" t="str">
            <v xml:space="preserve">B </v>
          </cell>
        </row>
        <row r="595">
          <cell r="A595" t="str">
            <v xml:space="preserve">ENTIS-311-9999 </v>
          </cell>
          <cell r="B595" t="str">
            <v xml:space="preserve">SW NBU 3.1.1 TIVOLI INTEGR RTU </v>
          </cell>
          <cell r="C595">
            <v>13993</v>
          </cell>
          <cell r="D595" t="str">
            <v xml:space="preserve">B </v>
          </cell>
        </row>
        <row r="596">
          <cell r="A596" t="str">
            <v xml:space="preserve">ET1VS-210-9999 </v>
          </cell>
          <cell r="B596" t="str">
            <v xml:space="preserve">EM 2.1 TELCO MGMT PKG MC-1 </v>
          </cell>
          <cell r="C596">
            <v>163800</v>
          </cell>
          <cell r="D596" t="str">
            <v xml:space="preserve">B </v>
          </cell>
        </row>
        <row r="597">
          <cell r="A597" t="str">
            <v xml:space="preserve">ET2VS-210-9999 </v>
          </cell>
          <cell r="B597" t="str">
            <v xml:space="preserve">EM 2.1 TELCO MGMT PKG MC-2 </v>
          </cell>
          <cell r="C597">
            <v>224000</v>
          </cell>
          <cell r="D597" t="str">
            <v xml:space="preserve">B </v>
          </cell>
        </row>
        <row r="598">
          <cell r="A598" t="str">
            <v xml:space="preserve">ET2VS-210-99T9 </v>
          </cell>
          <cell r="B598" t="str">
            <v xml:space="preserve">EM 2.1 TELCO MPKG MC-1 TO MC-2 </v>
          </cell>
          <cell r="C598">
            <v>60200</v>
          </cell>
          <cell r="D598" t="str">
            <v xml:space="preserve">B </v>
          </cell>
        </row>
        <row r="599">
          <cell r="A599" t="str">
            <v xml:space="preserve">FCED9-600-T999 </v>
          </cell>
          <cell r="B599" t="str">
            <v>C++ Enterprise 6 Doc Set</v>
          </cell>
          <cell r="C599">
            <v>560</v>
          </cell>
          <cell r="D599" t="str">
            <v xml:space="preserve">B </v>
          </cell>
        </row>
        <row r="600">
          <cell r="A600" t="str">
            <v xml:space="preserve">FCEIS-600-T999 </v>
          </cell>
          <cell r="B600" t="str">
            <v>C++ Enterprise Ed 6 1 user Slim Kit</v>
          </cell>
          <cell r="C600">
            <v>4893</v>
          </cell>
          <cell r="D600" t="str">
            <v xml:space="preserve">B </v>
          </cell>
        </row>
        <row r="601">
          <cell r="A601" t="str">
            <v xml:space="preserve">FCEIS-600-T9U9 </v>
          </cell>
          <cell r="B601" t="str">
            <v>C++ Enterprise Ed 6 1 user UP Kit</v>
          </cell>
          <cell r="C601">
            <v>1470</v>
          </cell>
          <cell r="D601" t="str">
            <v xml:space="preserve">B </v>
          </cell>
        </row>
        <row r="602">
          <cell r="A602" t="str">
            <v xml:space="preserve">FIG-ECR-3.0G1-PU </v>
          </cell>
          <cell r="B602" t="str">
            <v xml:space="preserve">UG FW-1 3.0 IGER/RC </v>
          </cell>
          <cell r="C602">
            <v>21000</v>
          </cell>
          <cell r="D602" t="str">
            <v xml:space="preserve">B </v>
          </cell>
        </row>
        <row r="603">
          <cell r="A603" t="str">
            <v xml:space="preserve">FIR-100-250-3.0-PU </v>
          </cell>
          <cell r="B603" t="str">
            <v xml:space="preserve">UG FW-1 3.0 100-250, CD DOC LI </v>
          </cell>
          <cell r="C603">
            <v>5040</v>
          </cell>
          <cell r="D603" t="str">
            <v xml:space="preserve">B </v>
          </cell>
        </row>
        <row r="604">
          <cell r="A604" t="str">
            <v xml:space="preserve">FIR-25-50-3.0-PU </v>
          </cell>
          <cell r="B604" t="str">
            <v xml:space="preserve">UG FW-1 3.0 25-50, CD DOC LI </v>
          </cell>
          <cell r="C604">
            <v>3640</v>
          </cell>
          <cell r="D604" t="str">
            <v xml:space="preserve">B </v>
          </cell>
        </row>
        <row r="605">
          <cell r="A605" t="str">
            <v xml:space="preserve">FIR-250-ISC-3.0-PU </v>
          </cell>
          <cell r="B605" t="str">
            <v xml:space="preserve">UG FW-1 3.0 50-ISC, CD DOC LI </v>
          </cell>
          <cell r="C605">
            <v>15400</v>
          </cell>
          <cell r="D605" t="str">
            <v xml:space="preserve">B </v>
          </cell>
        </row>
        <row r="606">
          <cell r="A606" t="str">
            <v xml:space="preserve">FIR-50-100-3.0-PU </v>
          </cell>
          <cell r="B606" t="str">
            <v xml:space="preserve">UG FW-1 3.0 50-100, CD DOC LI </v>
          </cell>
          <cell r="C606">
            <v>5600</v>
          </cell>
          <cell r="D606" t="str">
            <v xml:space="preserve">B </v>
          </cell>
        </row>
        <row r="607">
          <cell r="A607" t="str">
            <v xml:space="preserve">FIR-FRST-50-3.0-PU </v>
          </cell>
          <cell r="B607" t="str">
            <v xml:space="preserve">UG FW-FRST TO FW-1 50,CD DOCLI </v>
          </cell>
          <cell r="C607">
            <v>5593</v>
          </cell>
          <cell r="D607" t="str">
            <v xml:space="preserve">B </v>
          </cell>
        </row>
        <row r="608">
          <cell r="A608" t="str">
            <v xml:space="preserve">FR-2.0.1-D </v>
          </cell>
          <cell r="B608" t="str">
            <v xml:space="preserve">FRAME RELAY 2.0.1, DOCS </v>
          </cell>
          <cell r="C608">
            <v>195</v>
          </cell>
          <cell r="D608" t="str">
            <v xml:space="preserve">D </v>
          </cell>
        </row>
        <row r="609">
          <cell r="A609" t="str">
            <v xml:space="preserve">FR-2.0.1-DT-S </v>
          </cell>
          <cell r="B609" t="str">
            <v xml:space="preserve">FRAME RELAY 2.0.1, CD LIC </v>
          </cell>
          <cell r="C609">
            <v>2093</v>
          </cell>
          <cell r="D609" t="str">
            <v xml:space="preserve">B </v>
          </cell>
        </row>
        <row r="610">
          <cell r="A610" t="str">
            <v xml:space="preserve">FR-2.0.1-ES-S </v>
          </cell>
          <cell r="B610" t="str">
            <v xml:space="preserve">FRAME RELAY 2.0.1, CD LIC </v>
          </cell>
          <cell r="C610">
            <v>3493</v>
          </cell>
          <cell r="D610" t="str">
            <v xml:space="preserve">B </v>
          </cell>
        </row>
        <row r="611">
          <cell r="A611" t="str">
            <v xml:space="preserve">FTAM-8.0.3-CD </v>
          </cell>
          <cell r="B611" t="str">
            <v xml:space="preserve">SUNLINK FTAM 8.0.3, CD </v>
          </cell>
          <cell r="C611">
            <v>130</v>
          </cell>
          <cell r="D611" t="str">
            <v xml:space="preserve">D </v>
          </cell>
        </row>
        <row r="612">
          <cell r="A612" t="str">
            <v xml:space="preserve">FTAM-8.0.3-D </v>
          </cell>
          <cell r="B612" t="str">
            <v xml:space="preserve">SUNLINK FTAM 8.0.3, DOC </v>
          </cell>
          <cell r="C612">
            <v>195</v>
          </cell>
          <cell r="D612" t="str">
            <v xml:space="preserve">D </v>
          </cell>
        </row>
        <row r="613">
          <cell r="A613" t="str">
            <v xml:space="preserve">FTAM-8.0.3-S </v>
          </cell>
          <cell r="B613" t="str">
            <v xml:space="preserve">SUNLINK FTAM 8.0.3, CD LIC </v>
          </cell>
          <cell r="C613">
            <v>2405</v>
          </cell>
          <cell r="D613" t="str">
            <v xml:space="preserve">B </v>
          </cell>
        </row>
        <row r="614">
          <cell r="A614" t="str">
            <v xml:space="preserve">FTAM-8.0.3-SU </v>
          </cell>
          <cell r="B614" t="str">
            <v xml:space="preserve">UG SUNLINK FTAM 8.0.3, CD LIC </v>
          </cell>
          <cell r="C614">
            <v>1037</v>
          </cell>
          <cell r="D614" t="str">
            <v xml:space="preserve">B </v>
          </cell>
        </row>
        <row r="615">
          <cell r="A615" t="str">
            <v xml:space="preserve">GDKM9-100-T999 </v>
          </cell>
          <cell r="B615" t="str">
            <v xml:space="preserve">Global App Developer Kit 1.0 </v>
          </cell>
          <cell r="C615">
            <v>413</v>
          </cell>
          <cell r="D615" t="str">
            <v xml:space="preserve">B </v>
          </cell>
        </row>
        <row r="616">
          <cell r="A616" t="str">
            <v xml:space="preserve">GDMD9-100-9999 </v>
          </cell>
          <cell r="B616" t="str">
            <v xml:space="preserve">GDMO BUILDER 1.0, DOC </v>
          </cell>
          <cell r="C616">
            <v>195</v>
          </cell>
          <cell r="D616" t="str">
            <v xml:space="preserve">D </v>
          </cell>
        </row>
        <row r="617">
          <cell r="A617" t="str">
            <v xml:space="preserve">GDMIS-100-9999 </v>
          </cell>
          <cell r="B617" t="str">
            <v xml:space="preserve">GDMO BUILDER 1.0, LIC </v>
          </cell>
          <cell r="C617">
            <v>12586</v>
          </cell>
          <cell r="D617" t="str">
            <v xml:space="preserve">B </v>
          </cell>
        </row>
        <row r="618">
          <cell r="A618" t="str">
            <v xml:space="preserve">GDMO-1.0-D </v>
          </cell>
          <cell r="B618" t="str">
            <v xml:space="preserve">GDMO BUILDER 1.0, DOC </v>
          </cell>
          <cell r="C618">
            <v>195</v>
          </cell>
          <cell r="D618" t="str">
            <v xml:space="preserve">D </v>
          </cell>
        </row>
        <row r="619">
          <cell r="A619" t="str">
            <v xml:space="preserve">GDMO-1.0-S </v>
          </cell>
          <cell r="B619" t="str">
            <v xml:space="preserve">GDMO BUILDER 1.0, CD LIC </v>
          </cell>
          <cell r="C619">
            <v>11687</v>
          </cell>
          <cell r="D619" t="str">
            <v xml:space="preserve">B </v>
          </cell>
        </row>
        <row r="620">
          <cell r="A620" t="str">
            <v xml:space="preserve">HA-1.3-DOC </v>
          </cell>
          <cell r="B620" t="str">
            <v xml:space="preserve">SOLSTICE HA 1.3 DOCS </v>
          </cell>
          <cell r="C620">
            <v>700</v>
          </cell>
          <cell r="D620" t="str">
            <v xml:space="preserve">B </v>
          </cell>
        </row>
        <row r="621">
          <cell r="A621" t="str">
            <v xml:space="preserve">HA-MULT </v>
          </cell>
          <cell r="B621" t="str">
            <v xml:space="preserve">HA Support Bundle </v>
          </cell>
          <cell r="C621">
            <v>12500</v>
          </cell>
          <cell r="D621" t="str">
            <v xml:space="preserve">D </v>
          </cell>
        </row>
        <row r="622">
          <cell r="A622" t="str">
            <v xml:space="preserve">HA-SAP1-1.3-L </v>
          </cell>
          <cell r="B622" t="str">
            <v xml:space="preserve">HA 1.3 SAP AGENT E2-E3000 </v>
          </cell>
          <cell r="C622">
            <v>2800</v>
          </cell>
          <cell r="D622" t="str">
            <v xml:space="preserve">B </v>
          </cell>
        </row>
        <row r="623">
          <cell r="A623" t="str">
            <v xml:space="preserve">HA-SAP2-1.3-L </v>
          </cell>
          <cell r="B623" t="str">
            <v xml:space="preserve">HA 1.3 SAP AGENT E4/5/6000 </v>
          </cell>
          <cell r="C623">
            <v>5600</v>
          </cell>
          <cell r="D623" t="str">
            <v xml:space="preserve">B </v>
          </cell>
        </row>
        <row r="624">
          <cell r="A624" t="str">
            <v xml:space="preserve">HA-SUPP </v>
          </cell>
          <cell r="B624" t="str">
            <v xml:space="preserve">HA SUPPORT BUNDLE </v>
          </cell>
          <cell r="C624">
            <v>24500</v>
          </cell>
          <cell r="D624" t="str">
            <v xml:space="preserve">D </v>
          </cell>
        </row>
        <row r="625">
          <cell r="A625" t="str">
            <v xml:space="preserve">HA2-1.3-S </v>
          </cell>
          <cell r="B625" t="str">
            <v xml:space="preserve">SOLSTICE HA 1.3 E2, CD DOC LI </v>
          </cell>
          <cell r="C625">
            <v>2800</v>
          </cell>
          <cell r="D625" t="str">
            <v xml:space="preserve">B </v>
          </cell>
        </row>
        <row r="626">
          <cell r="A626" t="str">
            <v xml:space="preserve">HA3-1.3-S </v>
          </cell>
          <cell r="B626" t="str">
            <v xml:space="preserve">SOLST HA 1.3 E3000, CD DOC LI </v>
          </cell>
          <cell r="C626">
            <v>10500</v>
          </cell>
          <cell r="D626" t="str">
            <v xml:space="preserve">B </v>
          </cell>
        </row>
        <row r="627">
          <cell r="A627" t="str">
            <v xml:space="preserve">HA4-1.3-S </v>
          </cell>
          <cell r="B627" t="str">
            <v xml:space="preserve">SOLS HA 1.3 E4000, CD DOC LI </v>
          </cell>
          <cell r="C627">
            <v>16800</v>
          </cell>
          <cell r="D627" t="str">
            <v xml:space="preserve">B </v>
          </cell>
        </row>
        <row r="628">
          <cell r="A628" t="str">
            <v xml:space="preserve">HA5-1.3-S </v>
          </cell>
          <cell r="B628" t="str">
            <v xml:space="preserve">SOLST HA 1.3 E5000, CD DOC LI </v>
          </cell>
          <cell r="C628">
            <v>16800</v>
          </cell>
          <cell r="D628" t="str">
            <v xml:space="preserve">B </v>
          </cell>
        </row>
        <row r="629">
          <cell r="A629" t="str">
            <v xml:space="preserve">HA6-1.3-S </v>
          </cell>
          <cell r="B629" t="str">
            <v xml:space="preserve">SOLST HA 1.3 E6000, CD DOC LI </v>
          </cell>
          <cell r="C629">
            <v>33600</v>
          </cell>
          <cell r="D629" t="str">
            <v xml:space="preserve">B </v>
          </cell>
        </row>
        <row r="630">
          <cell r="A630" t="str">
            <v xml:space="preserve">HAI-1.3-L </v>
          </cell>
          <cell r="B630" t="str">
            <v xml:space="preserve">HA 1.3 INFORMIX DS MODULE </v>
          </cell>
          <cell r="C630">
            <v>2800</v>
          </cell>
          <cell r="D630" t="str">
            <v xml:space="preserve">B </v>
          </cell>
        </row>
        <row r="631">
          <cell r="A631" t="str">
            <v xml:space="preserve">HAN-1.3-L </v>
          </cell>
          <cell r="B631" t="str">
            <v xml:space="preserve">HA 1.3 INTERNET DS MODULE </v>
          </cell>
          <cell r="C631">
            <v>2800</v>
          </cell>
          <cell r="D631" t="str">
            <v xml:space="preserve">B </v>
          </cell>
        </row>
        <row r="632">
          <cell r="A632" t="str">
            <v xml:space="preserve">HAO-1.3-L </v>
          </cell>
          <cell r="B632" t="str">
            <v xml:space="preserve">HA 1.3 ORACLE DS MODULE </v>
          </cell>
          <cell r="C632">
            <v>2800</v>
          </cell>
          <cell r="D632" t="str">
            <v xml:space="preserve">B </v>
          </cell>
        </row>
        <row r="633">
          <cell r="A633" t="str">
            <v xml:space="preserve">HAS-1.3-L </v>
          </cell>
          <cell r="B633" t="str">
            <v xml:space="preserve">HA 1.3 SYBASE DS MODULE </v>
          </cell>
          <cell r="C633">
            <v>2800</v>
          </cell>
          <cell r="D633" t="str">
            <v xml:space="preserve">B </v>
          </cell>
        </row>
        <row r="634">
          <cell r="A634" t="str">
            <v xml:space="preserve">HPC-2.0-B </v>
          </cell>
          <cell r="B634" t="str">
            <v xml:space="preserve">HPC 2.0 MEDIA AND DOC </v>
          </cell>
          <cell r="C634">
            <v>560</v>
          </cell>
          <cell r="D634" t="str">
            <v xml:space="preserve">B </v>
          </cell>
        </row>
        <row r="635">
          <cell r="A635" t="str">
            <v xml:space="preserve">HPC-L3.0R3.0-L1 </v>
          </cell>
          <cell r="B635" t="str">
            <v xml:space="preserve">HPC 2.0 LSF &amp; RTE LIC 1 PROC </v>
          </cell>
          <cell r="C635">
            <v>2800</v>
          </cell>
          <cell r="D635" t="str">
            <v xml:space="preserve">B </v>
          </cell>
        </row>
        <row r="636">
          <cell r="A636" t="str">
            <v xml:space="preserve">HPC-L3.0R3.0-L16 </v>
          </cell>
          <cell r="B636" t="str">
            <v xml:space="preserve">HPC 2.0 LSF &amp; RTE LIC 32 PROC </v>
          </cell>
          <cell r="C636">
            <v>44800</v>
          </cell>
          <cell r="D636" t="str">
            <v xml:space="preserve">B </v>
          </cell>
        </row>
        <row r="637">
          <cell r="A637" t="str">
            <v xml:space="preserve">HPC-L3.0R3.0-L4 </v>
          </cell>
          <cell r="B637" t="str">
            <v xml:space="preserve">HPC 2.0 LSF &amp; RTE LIC 8 PROC </v>
          </cell>
          <cell r="C637">
            <v>11200</v>
          </cell>
          <cell r="D637" t="str">
            <v xml:space="preserve">B </v>
          </cell>
        </row>
        <row r="638">
          <cell r="A638" t="str">
            <v xml:space="preserve">HPC-PDE1.0FC-L1 </v>
          </cell>
          <cell r="B638" t="str">
            <v xml:space="preserve">HPC 2.0 PDE/PERF FORT, BP </v>
          </cell>
          <cell r="C638">
            <v>4893</v>
          </cell>
          <cell r="D638" t="str">
            <v xml:space="preserve">B </v>
          </cell>
        </row>
        <row r="639">
          <cell r="A639" t="str">
            <v xml:space="preserve">HPC-PDE1.0WF-L1 </v>
          </cell>
          <cell r="B639" t="str">
            <v xml:space="preserve">HPC 2.0 PDE/PERF FORT, LIC </v>
          </cell>
          <cell r="C639">
            <v>7973</v>
          </cell>
          <cell r="D639" t="str">
            <v xml:space="preserve">B </v>
          </cell>
        </row>
        <row r="640">
          <cell r="A640" t="str">
            <v xml:space="preserve">HPC3500-C72-2 </v>
          </cell>
          <cell r="B640" t="str">
            <v xml:space="preserve">HPC3500-C72 Server Base Pkg </v>
          </cell>
          <cell r="C640">
            <v>68040</v>
          </cell>
          <cell r="D640" t="str">
            <v xml:space="preserve">A </v>
          </cell>
        </row>
        <row r="641">
          <cell r="A641" t="str">
            <v xml:space="preserve">HPC450-BA-2 </v>
          </cell>
          <cell r="B641" t="str">
            <v xml:space="preserve">SUN HPC 450 SERVER BASE PCKG </v>
          </cell>
          <cell r="C641">
            <v>18389</v>
          </cell>
          <cell r="D641" t="str">
            <v xml:space="preserve">H </v>
          </cell>
        </row>
        <row r="642">
          <cell r="A642" t="str">
            <v xml:space="preserve">HPC4500-2 </v>
          </cell>
          <cell r="B642" t="str">
            <v xml:space="preserve">HPC4500 SERVER BASE PKG </v>
          </cell>
          <cell r="C642">
            <v>70200</v>
          </cell>
          <cell r="D642" t="str">
            <v xml:space="preserve">A </v>
          </cell>
        </row>
        <row r="643">
          <cell r="A643" t="str">
            <v xml:space="preserve">HPC5500-2 </v>
          </cell>
          <cell r="B643" t="str">
            <v xml:space="preserve">HPC5500 SERVER BASE PKG </v>
          </cell>
          <cell r="C643">
            <v>86700</v>
          </cell>
          <cell r="D643" t="str">
            <v xml:space="preserve">A </v>
          </cell>
        </row>
        <row r="644">
          <cell r="A644" t="str">
            <v xml:space="preserve">HPC6500-2 </v>
          </cell>
          <cell r="B644" t="str">
            <v xml:space="preserve">HPC6500 SERVER BASE </v>
          </cell>
          <cell r="C644">
            <v>256500</v>
          </cell>
          <cell r="D644" t="str">
            <v xml:space="preserve">A </v>
          </cell>
        </row>
        <row r="645">
          <cell r="A645" t="str">
            <v xml:space="preserve">HSI-PF </v>
          </cell>
          <cell r="B645" t="str">
            <v xml:space="preserve">SUNLINK HSI/S 2.0 UPGRADE </v>
          </cell>
          <cell r="C645">
            <v>540</v>
          </cell>
          <cell r="D645" t="str">
            <v xml:space="preserve">B </v>
          </cell>
        </row>
        <row r="646">
          <cell r="A646" t="str">
            <v xml:space="preserve">IMCI9-320-9999 </v>
          </cell>
          <cell r="B646" t="str">
            <v xml:space="preserve">SIMS 3.2 CC:MAIL </v>
          </cell>
          <cell r="C646">
            <v>7000</v>
          </cell>
          <cell r="D646" t="str">
            <v xml:space="preserve">B </v>
          </cell>
        </row>
        <row r="647">
          <cell r="A647" t="str">
            <v xml:space="preserve">IMCI9-350-9999 </v>
          </cell>
          <cell r="B647" t="str">
            <v xml:space="preserve">SIMS 3.5 CC:MAIL CONNECTIVITY </v>
          </cell>
          <cell r="C647">
            <v>7000</v>
          </cell>
          <cell r="D647" t="str">
            <v xml:space="preserve">B </v>
          </cell>
        </row>
        <row r="648">
          <cell r="A648" t="str">
            <v xml:space="preserve">IMMI9-320-9999 </v>
          </cell>
          <cell r="B648" t="str">
            <v xml:space="preserve">SIMS 3.2 MS MAIL </v>
          </cell>
          <cell r="C648">
            <v>7000</v>
          </cell>
          <cell r="D648" t="str">
            <v xml:space="preserve">B </v>
          </cell>
        </row>
        <row r="649">
          <cell r="A649" t="str">
            <v xml:space="preserve">IMMI9-350-9999 </v>
          </cell>
          <cell r="B649" t="str">
            <v xml:space="preserve">SIMS 3.5 MS MAIL CONNECTIVITY </v>
          </cell>
          <cell r="C649">
            <v>7000</v>
          </cell>
          <cell r="D649" t="str">
            <v xml:space="preserve">B </v>
          </cell>
        </row>
        <row r="650">
          <cell r="A650" t="str">
            <v xml:space="preserve">IMP99-350-E999 </v>
          </cell>
          <cell r="B650" t="str">
            <v xml:space="preserve">SIMS 3.5 IMAP/POP PROXY SERVER </v>
          </cell>
          <cell r="C650">
            <v>2800</v>
          </cell>
          <cell r="D650" t="str">
            <v xml:space="preserve">B </v>
          </cell>
        </row>
        <row r="651">
          <cell r="A651" t="str">
            <v xml:space="preserve">IMPI9-320-9999 </v>
          </cell>
          <cell r="B651" t="str">
            <v xml:space="preserve">SIMS 3.2 IBM PROFS </v>
          </cell>
          <cell r="C651">
            <v>14000</v>
          </cell>
          <cell r="D651" t="str">
            <v xml:space="preserve">B </v>
          </cell>
        </row>
        <row r="652">
          <cell r="A652" t="str">
            <v xml:space="preserve">IMS99-320-E9T9 </v>
          </cell>
          <cell r="B652" t="str">
            <v xml:space="preserve">UG SIMS 3.2 DEP - ENT SERVER </v>
          </cell>
          <cell r="C652">
            <v>2800</v>
          </cell>
          <cell r="D652" t="str">
            <v xml:space="preserve">B </v>
          </cell>
        </row>
        <row r="653">
          <cell r="A653" t="str">
            <v xml:space="preserve">IMS99-350-HA10 </v>
          </cell>
          <cell r="B653" t="str">
            <v xml:space="preserve">SUNCLUSTER 2.1 SIMS STARFIRE </v>
          </cell>
          <cell r="C653">
            <v>2800</v>
          </cell>
          <cell r="D653" t="str">
            <v xml:space="preserve">B </v>
          </cell>
        </row>
        <row r="654">
          <cell r="A654" t="str">
            <v xml:space="preserve">IMSC9-320-9999 </v>
          </cell>
          <cell r="B654" t="str">
            <v xml:space="preserve">SIMS 3.2 100 ADD. MAILBOXES </v>
          </cell>
          <cell r="C654">
            <v>1680</v>
          </cell>
          <cell r="D654" t="str">
            <v xml:space="preserve">B </v>
          </cell>
        </row>
        <row r="655">
          <cell r="A655" t="str">
            <v xml:space="preserve">IMSC9-320WE999 </v>
          </cell>
          <cell r="B655" t="str">
            <v xml:space="preserve">SIMS 3.2 ENT. SERVER, CD LIC </v>
          </cell>
          <cell r="C655">
            <v>4893</v>
          </cell>
          <cell r="D655" t="str">
            <v xml:space="preserve">B </v>
          </cell>
        </row>
        <row r="656">
          <cell r="A656" t="str">
            <v xml:space="preserve">IMSC9-320WE99C </v>
          </cell>
          <cell r="B656" t="str">
            <v xml:space="preserve">JAP SIMS 3.2 ENT. SVR, CD LIC </v>
          </cell>
          <cell r="C656">
            <v>4893</v>
          </cell>
          <cell r="D656" t="str">
            <v xml:space="preserve">B </v>
          </cell>
        </row>
        <row r="657">
          <cell r="A657" t="str">
            <v xml:space="preserve">IMSC9-320WW999 </v>
          </cell>
          <cell r="B657" t="str">
            <v xml:space="preserve">SIMS 3.2 DEP. SERVER, CD LIC </v>
          </cell>
          <cell r="C657">
            <v>2093</v>
          </cell>
          <cell r="D657" t="str">
            <v xml:space="preserve">B </v>
          </cell>
        </row>
        <row r="658">
          <cell r="A658" t="str">
            <v xml:space="preserve">IMSC9-320WW99C </v>
          </cell>
          <cell r="B658" t="str">
            <v xml:space="preserve">JAP SIMS 3.2 DEP. SVR, CD LIC </v>
          </cell>
          <cell r="C658">
            <v>2093</v>
          </cell>
          <cell r="D658" t="str">
            <v xml:space="preserve">B </v>
          </cell>
        </row>
        <row r="659">
          <cell r="A659" t="str">
            <v xml:space="preserve">IMSC9-350-9999 </v>
          </cell>
          <cell r="B659" t="str">
            <v xml:space="preserve">SIMS 3.5 10,000 ADD'L LICENSES </v>
          </cell>
          <cell r="C659">
            <v>115500</v>
          </cell>
          <cell r="D659" t="str">
            <v xml:space="preserve">B </v>
          </cell>
        </row>
        <row r="660">
          <cell r="A660" t="str">
            <v xml:space="preserve">IMSD9-320-9999 </v>
          </cell>
          <cell r="B660" t="str">
            <v xml:space="preserve">SIMS 3.2 DOCUMENTATION </v>
          </cell>
          <cell r="C660">
            <v>210</v>
          </cell>
          <cell r="D660" t="str">
            <v xml:space="preserve">B </v>
          </cell>
        </row>
        <row r="661">
          <cell r="A661" t="str">
            <v xml:space="preserve">IMSD9-350-9999 </v>
          </cell>
          <cell r="B661" t="str">
            <v xml:space="preserve">SIMS 3.5 DOCUMENTATION </v>
          </cell>
          <cell r="C661">
            <v>210</v>
          </cell>
          <cell r="D661" t="str">
            <v xml:space="preserve">B </v>
          </cell>
        </row>
        <row r="662">
          <cell r="A662" t="str">
            <v xml:space="preserve">IMSE9-350-9999 </v>
          </cell>
          <cell r="B662" t="str">
            <v xml:space="preserve">SIMS 3.5 25,000 ADD'L LICENSES </v>
          </cell>
          <cell r="C662">
            <v>236250</v>
          </cell>
          <cell r="D662" t="str">
            <v xml:space="preserve">B </v>
          </cell>
        </row>
        <row r="663">
          <cell r="A663" t="str">
            <v xml:space="preserve">IMSF9-350-9999 </v>
          </cell>
          <cell r="B663" t="str">
            <v xml:space="preserve">SIMS 3.5 50,000 ADD'L LICENSES </v>
          </cell>
          <cell r="C663">
            <v>420000</v>
          </cell>
          <cell r="D663" t="str">
            <v xml:space="preserve">B </v>
          </cell>
        </row>
        <row r="664">
          <cell r="A664" t="str">
            <v xml:space="preserve">IMSG9-320-9999 </v>
          </cell>
          <cell r="B664" t="str">
            <v xml:space="preserve">SIMS 3.2 1000 ADD. MAILBOXES </v>
          </cell>
          <cell r="C664">
            <v>14000</v>
          </cell>
          <cell r="D664" t="str">
            <v xml:space="preserve">B </v>
          </cell>
        </row>
        <row r="665">
          <cell r="A665" t="str">
            <v xml:space="preserve">IMSG9-350-9999 </v>
          </cell>
          <cell r="B665" t="str">
            <v xml:space="preserve">SIMS 3.5 ADD'L MAILBOX LICENCE </v>
          </cell>
          <cell r="C665">
            <v>630000</v>
          </cell>
          <cell r="D665" t="str">
            <v xml:space="preserve">B </v>
          </cell>
        </row>
        <row r="666">
          <cell r="A666" t="str">
            <v xml:space="preserve">IMSH9-350-9999 </v>
          </cell>
          <cell r="B666" t="str">
            <v xml:space="preserve">SIMS 3.5 250,000 ADD'L LICENSE </v>
          </cell>
          <cell r="C666">
            <v>1312500</v>
          </cell>
          <cell r="D666" t="str">
            <v xml:space="preserve">B </v>
          </cell>
        </row>
        <row r="667">
          <cell r="A667" t="str">
            <v xml:space="preserve">IMSI9-350-9999 </v>
          </cell>
          <cell r="B667" t="str">
            <v xml:space="preserve">SIMS 3.5 100 ADD'L MAILBOXES </v>
          </cell>
          <cell r="C667">
            <v>1680</v>
          </cell>
          <cell r="D667" t="str">
            <v xml:space="preserve">B </v>
          </cell>
        </row>
        <row r="668">
          <cell r="A668" t="str">
            <v xml:space="preserve">IMSI9-350WE999 </v>
          </cell>
          <cell r="B668" t="str">
            <v xml:space="preserve">SIMS 3.5 ENTERPRISE SERVER </v>
          </cell>
          <cell r="C668">
            <v>4893</v>
          </cell>
          <cell r="D668" t="str">
            <v xml:space="preserve">B </v>
          </cell>
        </row>
        <row r="669">
          <cell r="A669" t="str">
            <v xml:space="preserve">IMSI9-350WW999 </v>
          </cell>
          <cell r="B669" t="str">
            <v xml:space="preserve">SIMS 3.5 DEPARTMENTAL SERVER </v>
          </cell>
          <cell r="C669">
            <v>2093</v>
          </cell>
          <cell r="D669" t="str">
            <v xml:space="preserve">B </v>
          </cell>
        </row>
        <row r="670">
          <cell r="A670" t="str">
            <v xml:space="preserve">IMSJ9-350-9999 </v>
          </cell>
          <cell r="B670" t="str">
            <v xml:space="preserve">SIMS 3.5 500,000 ADD'L LICENSE </v>
          </cell>
          <cell r="C670">
            <v>2100000</v>
          </cell>
          <cell r="D670" t="str">
            <v xml:space="preserve">B </v>
          </cell>
        </row>
        <row r="671">
          <cell r="A671" t="str">
            <v xml:space="preserve">IMSK9-320-9999 </v>
          </cell>
          <cell r="B671" t="str">
            <v xml:space="preserve">SIMS 3.2 10,000 ADD. MAILBOXES </v>
          </cell>
          <cell r="C671">
            <v>126000</v>
          </cell>
          <cell r="D671" t="str">
            <v xml:space="preserve">B </v>
          </cell>
        </row>
        <row r="672">
          <cell r="A672" t="str">
            <v xml:space="preserve">IMSK9-350-9999 </v>
          </cell>
          <cell r="B672" t="str">
            <v xml:space="preserve">SIMS 3.5 1 MILLION ADD'L LICS </v>
          </cell>
          <cell r="C672">
            <v>2800000</v>
          </cell>
          <cell r="D672" t="str">
            <v xml:space="preserve">B </v>
          </cell>
        </row>
        <row r="673">
          <cell r="A673" t="str">
            <v xml:space="preserve">IMSM9-350W9999 </v>
          </cell>
          <cell r="B673" t="str">
            <v xml:space="preserve">SIMS 3.5 REPLACEMENT CD </v>
          </cell>
          <cell r="C673">
            <v>105</v>
          </cell>
          <cell r="D673" t="str">
            <v xml:space="preserve">B </v>
          </cell>
        </row>
        <row r="674">
          <cell r="A674" t="str">
            <v xml:space="preserve">IMSN9-320-9999 </v>
          </cell>
          <cell r="B674" t="str">
            <v xml:space="preserve">SIMS 3.2 25,000 ADD. MAILBOXES </v>
          </cell>
          <cell r="C674">
            <v>280000</v>
          </cell>
          <cell r="D674" t="str">
            <v xml:space="preserve">B </v>
          </cell>
        </row>
        <row r="675">
          <cell r="A675" t="str">
            <v xml:space="preserve">IMSN9-350-9999 </v>
          </cell>
          <cell r="B675" t="str">
            <v xml:space="preserve">SIMS 3.5 2.5 MILLION ADD'L LIC </v>
          </cell>
          <cell r="C675">
            <v>4550000</v>
          </cell>
          <cell r="D675" t="str">
            <v xml:space="preserve">B </v>
          </cell>
        </row>
        <row r="676">
          <cell r="A676" t="str">
            <v xml:space="preserve">IMSP9-350-9999 </v>
          </cell>
          <cell r="B676" t="str">
            <v xml:space="preserve">SIMS 3.5 5 MILLION ADD'L LICS </v>
          </cell>
          <cell r="C676">
            <v>5250000</v>
          </cell>
          <cell r="D676" t="str">
            <v xml:space="preserve">B </v>
          </cell>
        </row>
        <row r="677">
          <cell r="A677" t="str">
            <v xml:space="preserve">IMSR9-320-9999 </v>
          </cell>
          <cell r="B677" t="str">
            <v xml:space="preserve">SIMS 3.2 100,000 ADD. MAILBOXE </v>
          </cell>
          <cell r="C677">
            <v>840000</v>
          </cell>
          <cell r="D677" t="str">
            <v xml:space="preserve">B </v>
          </cell>
        </row>
        <row r="678">
          <cell r="A678" t="str">
            <v xml:space="preserve">IMST9-350-9999 </v>
          </cell>
          <cell r="B678" t="str">
            <v xml:space="preserve">SIMS 3.5 75,000 ADD'L LICENSE </v>
          </cell>
          <cell r="C678">
            <v>551250</v>
          </cell>
          <cell r="D678" t="str">
            <v xml:space="preserve">B </v>
          </cell>
        </row>
        <row r="679">
          <cell r="A679" t="str">
            <v xml:space="preserve">IMSU9-350-9999 </v>
          </cell>
          <cell r="B679" t="str">
            <v xml:space="preserve">SIMS 3.5 750,000 ADD'L LICENSE </v>
          </cell>
          <cell r="C679">
            <v>2625000</v>
          </cell>
          <cell r="D679" t="str">
            <v xml:space="preserve">B </v>
          </cell>
        </row>
        <row r="680">
          <cell r="A680" t="str">
            <v xml:space="preserve">IMSX9-350-9999 </v>
          </cell>
          <cell r="B680" t="str">
            <v xml:space="preserve">SIMS 3.5 1000 Add'l Licenses </v>
          </cell>
          <cell r="C680">
            <v>14000</v>
          </cell>
          <cell r="D680" t="str">
            <v xml:space="preserve">B </v>
          </cell>
        </row>
        <row r="681">
          <cell r="A681" t="str">
            <v xml:space="preserve">IPCCS-200-E999 </v>
          </cell>
          <cell r="B681" t="str">
            <v xml:space="preserve">i-Planet 100 User Lic </v>
          </cell>
          <cell r="C681">
            <v>13993</v>
          </cell>
          <cell r="D681" t="str">
            <v xml:space="preserve">B </v>
          </cell>
        </row>
        <row r="682">
          <cell r="A682" t="str">
            <v xml:space="preserve">IPCGS-200-E999 </v>
          </cell>
          <cell r="B682" t="str">
            <v xml:space="preserve">i-Planet 1000 User Lic </v>
          </cell>
          <cell r="C682">
            <v>69993</v>
          </cell>
          <cell r="D682" t="str">
            <v xml:space="preserve">B </v>
          </cell>
        </row>
        <row r="683">
          <cell r="A683" t="str">
            <v xml:space="preserve">IPCJS-200-E999 </v>
          </cell>
          <cell r="B683" t="str">
            <v xml:space="preserve">i-Planet 5000 User Lic </v>
          </cell>
          <cell r="C683">
            <v>244993</v>
          </cell>
          <cell r="D683" t="str">
            <v xml:space="preserve">B </v>
          </cell>
        </row>
        <row r="684">
          <cell r="A684" t="str">
            <v xml:space="preserve">IPCMS-200NE999 </v>
          </cell>
          <cell r="B684" t="str">
            <v xml:space="preserve">i-Planet Media, doc, US &amp; Can </v>
          </cell>
          <cell r="C684">
            <v>413</v>
          </cell>
          <cell r="D684" t="str">
            <v xml:space="preserve">B </v>
          </cell>
        </row>
        <row r="685">
          <cell r="A685" t="str">
            <v xml:space="preserve">IPCMS-200WE999 </v>
          </cell>
          <cell r="B685" t="str">
            <v xml:space="preserve">i-Planet Media, doc, Global </v>
          </cell>
          <cell r="C685">
            <v>413</v>
          </cell>
          <cell r="D685" t="str">
            <v xml:space="preserve">B </v>
          </cell>
        </row>
        <row r="686">
          <cell r="A686" t="str">
            <v xml:space="preserve">IPCNS-200-E999 </v>
          </cell>
          <cell r="B686" t="str">
            <v xml:space="preserve">i-Planet 25000 User Lic </v>
          </cell>
          <cell r="C686">
            <v>699993</v>
          </cell>
          <cell r="D686" t="str">
            <v xml:space="preserve">B </v>
          </cell>
        </row>
        <row r="687">
          <cell r="A687" t="str">
            <v xml:space="preserve">IPCSS-200-E999 </v>
          </cell>
          <cell r="B687" t="str">
            <v xml:space="preserve">i-Planet Site License </v>
          </cell>
          <cell r="C687">
            <v>28</v>
          </cell>
          <cell r="D687" t="str">
            <v xml:space="preserve">B </v>
          </cell>
        </row>
        <row r="688">
          <cell r="A688" t="str">
            <v xml:space="preserve">IPMCS-200-E999 </v>
          </cell>
          <cell r="B688" t="str">
            <v xml:space="preserve">i-Planet Mail Users Lic Mail </v>
          </cell>
          <cell r="C688">
            <v>2093</v>
          </cell>
          <cell r="D688" t="str">
            <v xml:space="preserve">B </v>
          </cell>
        </row>
        <row r="689">
          <cell r="A689" t="str">
            <v xml:space="preserve">IPMGS-200-E999 </v>
          </cell>
          <cell r="B689" t="str">
            <v xml:space="preserve">i-Planet Mail Users Lic 1000 u </v>
          </cell>
          <cell r="C689">
            <v>16793</v>
          </cell>
          <cell r="D689" t="str">
            <v xml:space="preserve">B </v>
          </cell>
        </row>
        <row r="690">
          <cell r="A690" t="str">
            <v xml:space="preserve">IPMJS-200-E999 </v>
          </cell>
          <cell r="B690" t="str">
            <v xml:space="preserve">i-Planet Mail Users Lic 5000 u </v>
          </cell>
          <cell r="C690">
            <v>69993</v>
          </cell>
          <cell r="D690" t="str">
            <v xml:space="preserve">B </v>
          </cell>
        </row>
        <row r="691">
          <cell r="A691" t="str">
            <v xml:space="preserve">IPMNS-200-E999 </v>
          </cell>
          <cell r="B691" t="str">
            <v xml:space="preserve">i-Planet Mail Users Lic 25000 </v>
          </cell>
          <cell r="C691">
            <v>209993</v>
          </cell>
          <cell r="D691" t="str">
            <v xml:space="preserve">B </v>
          </cell>
        </row>
        <row r="692">
          <cell r="A692" t="str">
            <v xml:space="preserve">IPMSS-200-E999 </v>
          </cell>
          <cell r="B692" t="str">
            <v xml:space="preserve">i-Planet Mail Users Lic Site L </v>
          </cell>
          <cell r="C692">
            <v>8</v>
          </cell>
          <cell r="D692" t="str">
            <v xml:space="preserve">B </v>
          </cell>
        </row>
        <row r="693">
          <cell r="A693" t="str">
            <v xml:space="preserve">IPTCS-200-E9T9 </v>
          </cell>
          <cell r="B693" t="str">
            <v xml:space="preserve">i-Planet Tradeup User Lic 100 </v>
          </cell>
          <cell r="C693">
            <v>12593</v>
          </cell>
          <cell r="D693" t="str">
            <v xml:space="preserve">B </v>
          </cell>
        </row>
        <row r="694">
          <cell r="A694" t="str">
            <v xml:space="preserve">IPTGS-200-E9T9 </v>
          </cell>
          <cell r="B694" t="str">
            <v xml:space="preserve">i-Planet Tradeup User Lic1000 </v>
          </cell>
          <cell r="C694">
            <v>55993</v>
          </cell>
          <cell r="D694" t="str">
            <v xml:space="preserve">B </v>
          </cell>
        </row>
        <row r="695">
          <cell r="A695" t="str">
            <v xml:space="preserve">IPTJS-200-E9T9 </v>
          </cell>
          <cell r="B695" t="str">
            <v xml:space="preserve">i-Planet Tradeup User Lic 5000 </v>
          </cell>
          <cell r="C695">
            <v>195993</v>
          </cell>
          <cell r="D695" t="str">
            <v xml:space="preserve">B </v>
          </cell>
        </row>
        <row r="696">
          <cell r="A696" t="str">
            <v xml:space="preserve">IPTNS-200-E9T9 </v>
          </cell>
          <cell r="B696" t="str">
            <v xml:space="preserve">i-Planet Tradeup User Li 25000 </v>
          </cell>
          <cell r="C696">
            <v>559993</v>
          </cell>
          <cell r="D696" t="str">
            <v xml:space="preserve">B </v>
          </cell>
        </row>
        <row r="697">
          <cell r="A697" t="str">
            <v xml:space="preserve">IPTSS-200-E9T9 </v>
          </cell>
          <cell r="B697" t="str">
            <v xml:space="preserve">i-Planet T-up Site Lic per use </v>
          </cell>
          <cell r="C697">
            <v>22</v>
          </cell>
          <cell r="D697" t="str">
            <v xml:space="preserve">B </v>
          </cell>
        </row>
        <row r="698">
          <cell r="A698" t="str">
            <v xml:space="preserve">ISOL-2.5.1APR97-P </v>
          </cell>
          <cell r="B698" t="str">
            <v xml:space="preserve">SOL X86 2.5.1HW4/97,CD DOC LI </v>
          </cell>
          <cell r="C698">
            <v>2984</v>
          </cell>
          <cell r="D698" t="str">
            <v xml:space="preserve">D </v>
          </cell>
        </row>
        <row r="699">
          <cell r="A699" t="str">
            <v xml:space="preserve">ISOL-2.6-D-P </v>
          </cell>
          <cell r="B699" t="str">
            <v xml:space="preserve">SOLARIS 2.6 DT X86 US </v>
          </cell>
          <cell r="C699">
            <v>585</v>
          </cell>
          <cell r="D699" t="str">
            <v xml:space="preserve">D </v>
          </cell>
        </row>
        <row r="700">
          <cell r="A700" t="str">
            <v xml:space="preserve">ISOL-2.6-USL-P </v>
          </cell>
          <cell r="B700" t="str">
            <v xml:space="preserve">SOLARIS 2.6 WG SV X86 US </v>
          </cell>
          <cell r="C700">
            <v>904</v>
          </cell>
          <cell r="D700" t="str">
            <v xml:space="preserve">D </v>
          </cell>
        </row>
        <row r="701">
          <cell r="A701" t="str">
            <v xml:space="preserve">JAVAST-RTU </v>
          </cell>
          <cell r="B701" t="str">
            <v xml:space="preserve">JAVASTATION CLIENT SW RTU </v>
          </cell>
          <cell r="C701">
            <v>93</v>
          </cell>
          <cell r="D701" t="str">
            <v>G</v>
          </cell>
        </row>
        <row r="702">
          <cell r="A702" t="str">
            <v xml:space="preserve">JDAG9-200-R999 </v>
          </cell>
          <cell r="B702" t="str">
            <v xml:space="preserve">JDMK 2.0 1000RTU RUNTIME AGENT </v>
          </cell>
          <cell r="C702">
            <v>6993</v>
          </cell>
          <cell r="D702" t="str">
            <v xml:space="preserve">B </v>
          </cell>
        </row>
        <row r="703">
          <cell r="A703" t="str">
            <v xml:space="preserve">JDBX9-200-R999 </v>
          </cell>
          <cell r="B703" t="str">
            <v xml:space="preserve">JDMK 2.0 10RTU MASTER AGENT RT </v>
          </cell>
          <cell r="C703">
            <v>6993</v>
          </cell>
          <cell r="D703" t="str">
            <v xml:space="preserve">B </v>
          </cell>
        </row>
        <row r="704">
          <cell r="A704" t="str">
            <v xml:space="preserve">JDM99-300-RO99 </v>
          </cell>
          <cell r="B704" t="str">
            <v xml:space="preserve">Java DMK 3.0 Runtime Royalties </v>
          </cell>
          <cell r="C704">
            <v>700</v>
          </cell>
          <cell r="D704" t="str">
            <v xml:space="preserve">D </v>
          </cell>
        </row>
        <row r="705">
          <cell r="A705" t="str">
            <v xml:space="preserve">JDM99-320-RO99 </v>
          </cell>
          <cell r="B705" t="str">
            <v xml:space="preserve">Java DMK 3.2 Runtime Royalties </v>
          </cell>
          <cell r="C705">
            <v>210</v>
          </cell>
          <cell r="D705" t="str">
            <v xml:space="preserve">D </v>
          </cell>
        </row>
        <row r="706">
          <cell r="A706" t="str">
            <v xml:space="preserve">JDMB9-320-TO99 </v>
          </cell>
          <cell r="B706" t="str">
            <v xml:space="preserve">JDMK 3.2 Dev. Mngt (ED) </v>
          </cell>
          <cell r="C706">
            <v>8400</v>
          </cell>
          <cell r="D706" t="str">
            <v xml:space="preserve">B </v>
          </cell>
        </row>
        <row r="707">
          <cell r="A707" t="str">
            <v xml:space="preserve">JDMD9-200-R999 </v>
          </cell>
          <cell r="B707" t="str">
            <v xml:space="preserve">JDMK 2.0 DOCUMENTATION SET </v>
          </cell>
          <cell r="C707">
            <v>210</v>
          </cell>
          <cell r="D707" t="str">
            <v xml:space="preserve">D </v>
          </cell>
        </row>
        <row r="708">
          <cell r="A708" t="str">
            <v xml:space="preserve">JDMD9-300-M999 </v>
          </cell>
          <cell r="B708" t="str">
            <v xml:space="preserve">Java DMK 3.0 Doc. only </v>
          </cell>
          <cell r="C708">
            <v>210</v>
          </cell>
          <cell r="D708" t="str">
            <v xml:space="preserve">D </v>
          </cell>
        </row>
        <row r="709">
          <cell r="A709" t="str">
            <v xml:space="preserve">JDMD9-320-M999 </v>
          </cell>
          <cell r="B709" t="str">
            <v xml:space="preserve">JDMK 3.2 Documentation </v>
          </cell>
          <cell r="C709">
            <v>210</v>
          </cell>
          <cell r="D709" t="str">
            <v xml:space="preserve">D </v>
          </cell>
        </row>
        <row r="710">
          <cell r="A710" t="str">
            <v xml:space="preserve">JDMI9-320-TO99 </v>
          </cell>
          <cell r="B710" t="str">
            <v xml:space="preserve">JDMK 3.2 Dev. Environment </v>
          </cell>
          <cell r="C710">
            <v>8400</v>
          </cell>
          <cell r="D710" t="str">
            <v xml:space="preserve">B </v>
          </cell>
        </row>
        <row r="711">
          <cell r="A711" t="str">
            <v xml:space="preserve">JDMV9-300-TO99 </v>
          </cell>
          <cell r="B711" t="str">
            <v xml:space="preserve">Java DMK Devlt Environmt Pack </v>
          </cell>
          <cell r="C711">
            <v>8400</v>
          </cell>
          <cell r="D711" t="str">
            <v xml:space="preserve">B </v>
          </cell>
        </row>
        <row r="712">
          <cell r="A712" t="str">
            <v xml:space="preserve">JDMV9-320-TO99 </v>
          </cell>
          <cell r="B712" t="str">
            <v xml:space="preserve">JDMK 3.2 5 Developer Packs </v>
          </cell>
          <cell r="C712">
            <v>25200</v>
          </cell>
          <cell r="D712" t="str">
            <v xml:space="preserve">B </v>
          </cell>
        </row>
        <row r="713">
          <cell r="A713" t="str">
            <v xml:space="preserve">JK-00-32-45 </v>
          </cell>
          <cell r="B713" t="str">
            <v xml:space="preserve">JAVASTATION TOWER, 32MB KOREA </v>
          </cell>
          <cell r="C713">
            <v>599</v>
          </cell>
          <cell r="D713" t="str">
            <v>G</v>
          </cell>
        </row>
        <row r="714">
          <cell r="A714" t="str">
            <v xml:space="preserve">JK-00-64-45 </v>
          </cell>
          <cell r="B714" t="str">
            <v xml:space="preserve">JAVASTATION TOWER, 64MB KOREA </v>
          </cell>
          <cell r="C714">
            <v>719</v>
          </cell>
          <cell r="D714" t="str">
            <v>G</v>
          </cell>
        </row>
        <row r="715">
          <cell r="A715" t="str">
            <v xml:space="preserve">JK-08-32-45 </v>
          </cell>
          <cell r="B715" t="str">
            <v xml:space="preserve">JAVASTN TWR, FLASH/32MB KOREA </v>
          </cell>
          <cell r="C715">
            <v>719</v>
          </cell>
          <cell r="D715" t="str">
            <v>G</v>
          </cell>
        </row>
        <row r="716">
          <cell r="A716" t="str">
            <v xml:space="preserve">JK-08-64-45 </v>
          </cell>
          <cell r="B716" t="str">
            <v xml:space="preserve">JAVASTN TWR, FLASH/64MB KOREA </v>
          </cell>
          <cell r="C716">
            <v>839</v>
          </cell>
          <cell r="D716" t="str">
            <v>G</v>
          </cell>
        </row>
        <row r="717">
          <cell r="A717" t="str">
            <v xml:space="preserve">JPCCI-110ND999 </v>
          </cell>
          <cell r="B717" t="str">
            <v xml:space="preserve">JavaPC1.1, 100 RTU, 128bit </v>
          </cell>
          <cell r="C717">
            <v>12460</v>
          </cell>
          <cell r="D717" t="str">
            <v xml:space="preserve">B </v>
          </cell>
        </row>
        <row r="718">
          <cell r="A718" t="str">
            <v xml:space="preserve">JPCCI-110WD999 </v>
          </cell>
          <cell r="B718" t="str">
            <v xml:space="preserve">JavaPC1.1, 100 RTU, 40bit </v>
          </cell>
          <cell r="C718">
            <v>12460</v>
          </cell>
          <cell r="D718" t="str">
            <v xml:space="preserve">B </v>
          </cell>
        </row>
        <row r="719">
          <cell r="A719" t="str">
            <v xml:space="preserve">JPCEI-110ND999 </v>
          </cell>
          <cell r="B719" t="str">
            <v xml:space="preserve">JavaPC1.1, 250 RTU, 128bit </v>
          </cell>
          <cell r="C719">
            <v>28700</v>
          </cell>
          <cell r="D719" t="str">
            <v xml:space="preserve">B </v>
          </cell>
        </row>
        <row r="720">
          <cell r="A720" t="str">
            <v xml:space="preserve">JPCEI-110WD999 </v>
          </cell>
          <cell r="B720" t="str">
            <v xml:space="preserve">JavaPC1.1, 250 RTU, 40bit </v>
          </cell>
          <cell r="C720">
            <v>28700</v>
          </cell>
          <cell r="D720" t="str">
            <v xml:space="preserve">B </v>
          </cell>
        </row>
        <row r="721">
          <cell r="A721" t="str">
            <v xml:space="preserve">JPCFI-110ND999 </v>
          </cell>
          <cell r="B721" t="str">
            <v xml:space="preserve">JavaPC1.1, 500 RTU, 128bit </v>
          </cell>
          <cell r="C721">
            <v>53340</v>
          </cell>
          <cell r="D721" t="str">
            <v xml:space="preserve">B </v>
          </cell>
        </row>
        <row r="722">
          <cell r="A722" t="str">
            <v xml:space="preserve">JPCFI-110WD999 </v>
          </cell>
          <cell r="B722" t="str">
            <v xml:space="preserve">JavaPC1.1, 500 RTU, 40bit </v>
          </cell>
          <cell r="C722">
            <v>53340</v>
          </cell>
          <cell r="D722" t="str">
            <v xml:space="preserve">B </v>
          </cell>
        </row>
        <row r="723">
          <cell r="A723" t="str">
            <v xml:space="preserve">JPCGI-110ND999 </v>
          </cell>
          <cell r="B723" t="str">
            <v xml:space="preserve">JavaPC1.1, 1000 RTU, 128bit </v>
          </cell>
          <cell r="C723">
            <v>90300</v>
          </cell>
          <cell r="D723" t="str">
            <v xml:space="preserve">B </v>
          </cell>
        </row>
        <row r="724">
          <cell r="A724" t="str">
            <v xml:space="preserve">JPCGI-110WD999 </v>
          </cell>
          <cell r="B724" t="str">
            <v xml:space="preserve">JavaPC1.1, 1000 RTU, 40bit </v>
          </cell>
          <cell r="C724">
            <v>90300</v>
          </cell>
          <cell r="D724" t="str">
            <v xml:space="preserve">B </v>
          </cell>
        </row>
        <row r="725">
          <cell r="A725" t="str">
            <v xml:space="preserve">JPCII-110ND999 </v>
          </cell>
          <cell r="B725" t="str">
            <v xml:space="preserve">JavaPC1.1 single client,128bit </v>
          </cell>
          <cell r="C725">
            <v>139</v>
          </cell>
          <cell r="D725" t="str">
            <v xml:space="preserve">B </v>
          </cell>
        </row>
        <row r="726">
          <cell r="A726" t="str">
            <v xml:space="preserve">JPCII-110WD999 </v>
          </cell>
          <cell r="B726" t="str">
            <v xml:space="preserve">JavaPC 1.1, 1 RTU, 40bit </v>
          </cell>
          <cell r="C726">
            <v>139</v>
          </cell>
          <cell r="D726" t="str">
            <v xml:space="preserve">B </v>
          </cell>
        </row>
        <row r="727">
          <cell r="A727" t="str">
            <v xml:space="preserve">JPCJI-110ND999 </v>
          </cell>
          <cell r="B727" t="str">
            <v xml:space="preserve">JavaPC1.1, 5000 RTU, 128bit </v>
          </cell>
          <cell r="C727">
            <v>420000</v>
          </cell>
          <cell r="D727" t="str">
            <v xml:space="preserve">B </v>
          </cell>
        </row>
        <row r="728">
          <cell r="A728" t="str">
            <v xml:space="preserve">JPCJI-110WD999 </v>
          </cell>
          <cell r="B728" t="str">
            <v xml:space="preserve">JavaPC1.1, 5000 RTU, 40bit </v>
          </cell>
          <cell r="C728">
            <v>420000</v>
          </cell>
          <cell r="D728" t="str">
            <v xml:space="preserve">B </v>
          </cell>
        </row>
        <row r="729">
          <cell r="A729" t="str">
            <v xml:space="preserve">JPCXI-110ND999 </v>
          </cell>
          <cell r="B729" t="str">
            <v xml:space="preserve">JavaPC1.1, 10 RTU, 128bit </v>
          </cell>
          <cell r="C729">
            <v>1330</v>
          </cell>
          <cell r="D729" t="str">
            <v xml:space="preserve">B </v>
          </cell>
        </row>
        <row r="730">
          <cell r="A730" t="str">
            <v xml:space="preserve">JPCXI-110WD999 </v>
          </cell>
          <cell r="B730" t="str">
            <v xml:space="preserve">JavaPC1.1, 10 RTU, 40bit </v>
          </cell>
          <cell r="C730">
            <v>1330</v>
          </cell>
          <cell r="D730" t="str">
            <v xml:space="preserve">B </v>
          </cell>
        </row>
        <row r="731">
          <cell r="A731" t="str">
            <v xml:space="preserve">JSCI9-100-T999 </v>
          </cell>
          <cell r="B731" t="str">
            <v xml:space="preserve">JAVASCOPE 1.0, 1LIC CERT KIT </v>
          </cell>
          <cell r="C731">
            <v>1113</v>
          </cell>
          <cell r="D731" t="str">
            <v xml:space="preserve">B </v>
          </cell>
        </row>
        <row r="732">
          <cell r="A732" t="str">
            <v xml:space="preserve">JSCX9-100-T999 </v>
          </cell>
          <cell r="B732" t="str">
            <v xml:space="preserve">JAVASCOPE 1.0, 10 LIC CERT KIT </v>
          </cell>
          <cell r="C732">
            <v>10017</v>
          </cell>
          <cell r="D732" t="str">
            <v xml:space="preserve">B </v>
          </cell>
        </row>
        <row r="733">
          <cell r="A733" t="str">
            <v xml:space="preserve">JSPI9-101-T999 </v>
          </cell>
          <cell r="B733" t="str">
            <v xml:space="preserve">JAVASPEC 1.0.2, 1 LIC CERT KIT </v>
          </cell>
          <cell r="C733">
            <v>2233</v>
          </cell>
          <cell r="D733" t="str">
            <v xml:space="preserve">B </v>
          </cell>
        </row>
        <row r="734">
          <cell r="A734" t="str">
            <v xml:space="preserve">JSPX9-101-T999 </v>
          </cell>
          <cell r="B734" t="str">
            <v xml:space="preserve">JAVASPEC 1.0.2, 10LIC CERT KIT </v>
          </cell>
          <cell r="C734">
            <v>20097</v>
          </cell>
          <cell r="D734" t="str">
            <v xml:space="preserve">B </v>
          </cell>
        </row>
        <row r="735">
          <cell r="A735" t="str">
            <v xml:space="preserve">JSRI9-113-T999 </v>
          </cell>
          <cell r="B735" t="str">
            <v xml:space="preserve">JAVASTAR 1.1.3, 1 LIC CERT KIT </v>
          </cell>
          <cell r="C735">
            <v>2793</v>
          </cell>
          <cell r="D735" t="str">
            <v xml:space="preserve">B </v>
          </cell>
        </row>
        <row r="736">
          <cell r="A736" t="str">
            <v xml:space="preserve">JSRX9-113-T999 </v>
          </cell>
          <cell r="B736" t="str">
            <v xml:space="preserve">JAVASTAR 1.1.3, 10LIC CERT KIT </v>
          </cell>
          <cell r="C736">
            <v>25193</v>
          </cell>
          <cell r="D736" t="str">
            <v xml:space="preserve">B </v>
          </cell>
        </row>
        <row r="737">
          <cell r="A737" t="str">
            <v xml:space="preserve">JST-ENT </v>
          </cell>
          <cell r="B737" t="str">
            <v xml:space="preserve">JUMPSTART EX000 SERVERS </v>
          </cell>
          <cell r="C737">
            <v>0</v>
          </cell>
          <cell r="D737" t="str">
            <v xml:space="preserve">D </v>
          </cell>
        </row>
        <row r="738">
          <cell r="A738" t="str">
            <v xml:space="preserve">JWPI9-113NW999 </v>
          </cell>
          <cell r="B738" t="str">
            <v xml:space="preserve">Java WebSvr 1.1.3 Dom License </v>
          </cell>
          <cell r="C738">
            <v>413</v>
          </cell>
          <cell r="D738" t="str">
            <v xml:space="preserve">B </v>
          </cell>
        </row>
        <row r="739">
          <cell r="A739" t="str">
            <v xml:space="preserve">JWPI9-113WW999 </v>
          </cell>
          <cell r="B739" t="str">
            <v xml:space="preserve">Java WebSvr 1.1.3 glob License </v>
          </cell>
          <cell r="C739">
            <v>413</v>
          </cell>
          <cell r="D739" t="str">
            <v xml:space="preserve">B </v>
          </cell>
        </row>
        <row r="740">
          <cell r="A740" t="str">
            <v xml:space="preserve">LMA9S-200-E999 </v>
          </cell>
          <cell r="B740" t="str">
            <v xml:space="preserve">SW LIBMON 2.0 BP, RTU ATL ENG </v>
          </cell>
          <cell r="C740">
            <v>0</v>
          </cell>
          <cell r="D740" t="str">
            <v xml:space="preserve">D </v>
          </cell>
        </row>
        <row r="741">
          <cell r="A741" t="str">
            <v xml:space="preserve">LMA9S-200-E9U9 </v>
          </cell>
          <cell r="B741" t="str">
            <v xml:space="preserve">SW LIBMON 2.0 BP, RTU UPGRADE </v>
          </cell>
          <cell r="C741">
            <v>489</v>
          </cell>
          <cell r="D741" t="str">
            <v xml:space="preserve">B </v>
          </cell>
        </row>
        <row r="742">
          <cell r="A742" t="str">
            <v xml:space="preserve">LMD9S-200-E999 </v>
          </cell>
          <cell r="B742" t="str">
            <v xml:space="preserve">SW LIBMON 2.0 DOCS (ENG) </v>
          </cell>
          <cell r="C742">
            <v>140</v>
          </cell>
          <cell r="D742" t="str">
            <v xml:space="preserve">D </v>
          </cell>
        </row>
        <row r="743">
          <cell r="A743" t="str">
            <v xml:space="preserve">LMN9S-200-E999 </v>
          </cell>
          <cell r="B743" t="str">
            <v xml:space="preserve">SW LIBMON 2.0 NON-ATL LIB ENG </v>
          </cell>
          <cell r="C743">
            <v>699</v>
          </cell>
          <cell r="D743" t="str">
            <v xml:space="preserve">B </v>
          </cell>
        </row>
        <row r="744">
          <cell r="A744" t="str">
            <v xml:space="preserve">LU0-9.1-P </v>
          </cell>
          <cell r="B744" t="str">
            <v xml:space="preserve">SUNLINK LU0 9.1, CD DOC LI </v>
          </cell>
          <cell r="C744">
            <v>3894</v>
          </cell>
          <cell r="D744" t="str">
            <v xml:space="preserve">B </v>
          </cell>
        </row>
        <row r="745">
          <cell r="A745" t="str">
            <v xml:space="preserve">MDT-4.1-P </v>
          </cell>
          <cell r="B745" t="str">
            <v xml:space="preserve">COBOL DEV KIT 4.1, CD DOC LI </v>
          </cell>
          <cell r="C745">
            <v>3290</v>
          </cell>
          <cell r="D745" t="str">
            <v xml:space="preserve">B </v>
          </cell>
        </row>
        <row r="746">
          <cell r="A746" t="str">
            <v xml:space="preserve">MDT-4.1-PU </v>
          </cell>
          <cell r="B746" t="str">
            <v xml:space="preserve">MFCOBOL 4.1 DEVLPR TOOLKIT UPG </v>
          </cell>
          <cell r="C746">
            <v>2118</v>
          </cell>
          <cell r="D746" t="str">
            <v xml:space="preserve">B </v>
          </cell>
        </row>
        <row r="747">
          <cell r="A747" t="str">
            <v xml:space="preserve">MM-286 </v>
          </cell>
          <cell r="B747" t="str">
            <v xml:space="preserve">SUNTUTOR:NIS+ ADMINISTRATION </v>
          </cell>
          <cell r="C747">
            <v>904</v>
          </cell>
          <cell r="D747" t="str">
            <v xml:space="preserve">D </v>
          </cell>
        </row>
        <row r="748">
          <cell r="A748" t="str">
            <v xml:space="preserve">MM-286-10 </v>
          </cell>
          <cell r="B748" t="str">
            <v xml:space="preserve">SUNTUTOR:NIS+ ADMINISTRATION </v>
          </cell>
          <cell r="C748">
            <v>1717</v>
          </cell>
          <cell r="D748" t="str">
            <v xml:space="preserve">D </v>
          </cell>
        </row>
        <row r="749">
          <cell r="A749" t="str">
            <v xml:space="preserve">MM-286-20 </v>
          </cell>
          <cell r="B749" t="str">
            <v xml:space="preserve">SUNTUTOR:NIS+ ADMINISTRATION </v>
          </cell>
          <cell r="C749">
            <v>3275</v>
          </cell>
          <cell r="D749" t="str">
            <v xml:space="preserve">D </v>
          </cell>
        </row>
        <row r="750">
          <cell r="A750" t="str">
            <v xml:space="preserve">MOSX-ADD-4.1-L10 </v>
          </cell>
          <cell r="B750" t="str">
            <v xml:space="preserve">COBOL OSX ADD 4.1, 10LI </v>
          </cell>
          <cell r="C750">
            <v>700</v>
          </cell>
          <cell r="D750" t="str">
            <v xml:space="preserve">B </v>
          </cell>
        </row>
        <row r="751">
          <cell r="A751" t="str">
            <v xml:space="preserve">MOSX-INI-4.1-S10 </v>
          </cell>
          <cell r="B751" t="str">
            <v xml:space="preserve">COBOL OSX INIT 4.1, CD 10LI </v>
          </cell>
          <cell r="C751">
            <v>980</v>
          </cell>
          <cell r="D751" t="str">
            <v xml:space="preserve">B </v>
          </cell>
        </row>
        <row r="752">
          <cell r="A752" t="str">
            <v xml:space="preserve">N03-UEC1-9N-128AE </v>
          </cell>
          <cell r="B752" t="str">
            <v xml:space="preserve">NETRA T AC, 1P 300MHZ,128MB,9G </v>
          </cell>
          <cell r="C752">
            <v>23093</v>
          </cell>
          <cell r="D752" t="str">
            <v xml:space="preserve">A </v>
          </cell>
        </row>
        <row r="753">
          <cell r="A753" t="str">
            <v xml:space="preserve">N03-UEC2-9N-512AE </v>
          </cell>
          <cell r="B753" t="str">
            <v xml:space="preserve">NETRA T AC, 2P 300MHZ,512MB,9G </v>
          </cell>
          <cell r="C753">
            <v>37093</v>
          </cell>
          <cell r="D753" t="str">
            <v xml:space="preserve">A </v>
          </cell>
        </row>
        <row r="754">
          <cell r="A754" t="str">
            <v xml:space="preserve">N04-UEC1-9S-128AH </v>
          </cell>
          <cell r="B754" t="str">
            <v xml:space="preserve">NETRA T 1120, 1X300, 128MB/9GB </v>
          </cell>
          <cell r="C754">
            <v>23093</v>
          </cell>
          <cell r="D754" t="str">
            <v xml:space="preserve">A </v>
          </cell>
        </row>
        <row r="755">
          <cell r="A755" t="str">
            <v xml:space="preserve">N04-UEC2-9S-512AH </v>
          </cell>
          <cell r="B755" t="str">
            <v xml:space="preserve">NETRA T 1120, 2X300, 512MB/9GB </v>
          </cell>
          <cell r="C755">
            <v>37093</v>
          </cell>
          <cell r="D755" t="str">
            <v xml:space="preserve">A </v>
          </cell>
        </row>
        <row r="756">
          <cell r="A756" t="str">
            <v xml:space="preserve">NDAC9-SUS-9999 </v>
          </cell>
          <cell r="B756" t="str">
            <v xml:space="preserve">NETDYNAMICS TECH SUPP PROD 100 </v>
          </cell>
          <cell r="C756">
            <v>7800</v>
          </cell>
          <cell r="D756" t="str">
            <v xml:space="preserve">D </v>
          </cell>
        </row>
        <row r="757">
          <cell r="A757" t="str">
            <v xml:space="preserve">NDACS-410-9999 </v>
          </cell>
          <cell r="B757" t="str">
            <v xml:space="preserve">NETDYNAMICS PROD APP SVR 100AC </v>
          </cell>
          <cell r="C757">
            <v>42000</v>
          </cell>
          <cell r="D757" t="str">
            <v xml:space="preserve">B </v>
          </cell>
        </row>
        <row r="758">
          <cell r="A758" t="str">
            <v xml:space="preserve">NDACS-410-R999 </v>
          </cell>
          <cell r="B758" t="str">
            <v xml:space="preserve">NETDYNAMICS APP SVR 100 AC LIC </v>
          </cell>
          <cell r="C758">
            <v>42000</v>
          </cell>
          <cell r="D758" t="str">
            <v xml:space="preserve">B </v>
          </cell>
        </row>
        <row r="759">
          <cell r="A759" t="str">
            <v xml:space="preserve">NDAD9-410-9999 </v>
          </cell>
          <cell r="B759" t="str">
            <v xml:space="preserve">NETDYNAMICS DOCUMENT SET </v>
          </cell>
          <cell r="C759">
            <v>350</v>
          </cell>
          <cell r="D759" t="str">
            <v xml:space="preserve">B </v>
          </cell>
        </row>
        <row r="760">
          <cell r="A760" t="str">
            <v xml:space="preserve">NDAD9-500-9999 </v>
          </cell>
          <cell r="B760" t="str">
            <v xml:space="preserve">Doc set,netd 5.0 </v>
          </cell>
          <cell r="C760">
            <v>350</v>
          </cell>
          <cell r="D760" t="str">
            <v xml:space="preserve">B </v>
          </cell>
        </row>
        <row r="761">
          <cell r="A761" t="str">
            <v xml:space="preserve">NDALS-500-I999 </v>
          </cell>
          <cell r="B761" t="str">
            <v xml:space="preserve">NetD 5.0 App dev svr,SLRS,25ac </v>
          </cell>
          <cell r="C761">
            <v>21000</v>
          </cell>
          <cell r="D761" t="str">
            <v xml:space="preserve">B </v>
          </cell>
        </row>
        <row r="762">
          <cell r="A762" t="str">
            <v xml:space="preserve">NDARB-500-I999 </v>
          </cell>
          <cell r="B762" t="str">
            <v xml:space="preserve">NetD5.0 app svr dplmt adtl RTU </v>
          </cell>
          <cell r="C762">
            <v>35000</v>
          </cell>
          <cell r="D762" t="str">
            <v xml:space="preserve">B </v>
          </cell>
        </row>
        <row r="763">
          <cell r="A763" t="str">
            <v xml:space="preserve">NDARB-500NI999 </v>
          </cell>
          <cell r="B763" t="str">
            <v xml:space="preserve">NetD5.0 SEC APP SVR DEP AD/RTU </v>
          </cell>
          <cell r="C763">
            <v>7000</v>
          </cell>
          <cell r="D763" t="str">
            <v xml:space="preserve">B </v>
          </cell>
        </row>
        <row r="764">
          <cell r="A764" t="str">
            <v xml:space="preserve">NDAWS-500-I999 </v>
          </cell>
          <cell r="B764" t="str">
            <v xml:space="preserve">NetD5.0 App depl svr,SLRS,1CPU </v>
          </cell>
          <cell r="C764">
            <v>35000</v>
          </cell>
          <cell r="D764" t="str">
            <v xml:space="preserve">B </v>
          </cell>
        </row>
        <row r="765">
          <cell r="A765" t="str">
            <v xml:space="preserve">NDAWS-500NI999 </v>
          </cell>
          <cell r="B765" t="str">
            <v xml:space="preserve">NetD5.0 sec app svr,slrs,1CPU </v>
          </cell>
          <cell r="C765">
            <v>7000</v>
          </cell>
          <cell r="D765" t="str">
            <v xml:space="preserve">B </v>
          </cell>
        </row>
        <row r="766">
          <cell r="A766" t="str">
            <v xml:space="preserve">NDAX9-SUS-9999 </v>
          </cell>
          <cell r="B766" t="str">
            <v xml:space="preserve">NETDYNAMICS TECH SUPP DEV APP </v>
          </cell>
          <cell r="C766">
            <v>1300</v>
          </cell>
          <cell r="D766" t="str">
            <v xml:space="preserve">D </v>
          </cell>
        </row>
        <row r="767">
          <cell r="A767" t="str">
            <v xml:space="preserve">NDAXS-410-9999 </v>
          </cell>
          <cell r="B767" t="str">
            <v xml:space="preserve">NETDYNAMICS DEV APP SVR 10 A/C </v>
          </cell>
          <cell r="C767">
            <v>7000</v>
          </cell>
          <cell r="D767" t="str">
            <v xml:space="preserve">B </v>
          </cell>
        </row>
        <row r="768">
          <cell r="A768" t="str">
            <v xml:space="preserve">NDEC9-SUS-9999 </v>
          </cell>
          <cell r="B768" t="str">
            <v xml:space="preserve">NetDynamics Supp. Secure Svr </v>
          </cell>
          <cell r="C768">
            <v>1400</v>
          </cell>
          <cell r="D768" t="str">
            <v xml:space="preserve">D </v>
          </cell>
        </row>
        <row r="769">
          <cell r="A769" t="str">
            <v xml:space="preserve">NDECS-410N9999 </v>
          </cell>
          <cell r="B769" t="str">
            <v xml:space="preserve">NetDynamics secure srvr addon </v>
          </cell>
          <cell r="C769">
            <v>7000</v>
          </cell>
          <cell r="D769" t="str">
            <v xml:space="preserve">B </v>
          </cell>
        </row>
        <row r="770">
          <cell r="A770" t="str">
            <v xml:space="preserve">NDECS-410NR999 </v>
          </cell>
          <cell r="B770" t="str">
            <v xml:space="preserve">NetDynamics secure srvr addon </v>
          </cell>
          <cell r="C770">
            <v>7000</v>
          </cell>
          <cell r="D770" t="str">
            <v xml:space="preserve">B </v>
          </cell>
        </row>
        <row r="771">
          <cell r="A771" t="str">
            <v xml:space="preserve">NDPI9-410-R999 </v>
          </cell>
          <cell r="B771" t="str">
            <v xml:space="preserve">NETDYNAMICS PAC SDK ADD'L LIC </v>
          </cell>
          <cell r="C771">
            <v>10500</v>
          </cell>
          <cell r="D771" t="str">
            <v xml:space="preserve">B </v>
          </cell>
        </row>
        <row r="772">
          <cell r="A772" t="str">
            <v xml:space="preserve">NDPI9-410-T999 </v>
          </cell>
          <cell r="B772" t="str">
            <v xml:space="preserve">NETDYNAMICS PAC SDK </v>
          </cell>
          <cell r="C772">
            <v>35000</v>
          </cell>
          <cell r="D772" t="str">
            <v xml:space="preserve">B </v>
          </cell>
        </row>
        <row r="773">
          <cell r="A773" t="str">
            <v xml:space="preserve">NDPI9-SUS-T999 </v>
          </cell>
          <cell r="B773" t="str">
            <v xml:space="preserve">NETDYNAMICS TECH SUPP PAC SDK </v>
          </cell>
          <cell r="C773">
            <v>6500</v>
          </cell>
          <cell r="D773" t="str">
            <v xml:space="preserve">D </v>
          </cell>
        </row>
        <row r="774">
          <cell r="A774" t="str">
            <v xml:space="preserve">NDPR9-500-I999 </v>
          </cell>
          <cell r="B774" t="str">
            <v xml:space="preserve">NetD5.0 addtl rtu PAC SDK 1cpu </v>
          </cell>
          <cell r="C774">
            <v>21000</v>
          </cell>
          <cell r="D774" t="str">
            <v xml:space="preserve">B </v>
          </cell>
        </row>
        <row r="775">
          <cell r="A775" t="str">
            <v xml:space="preserve">NDPRS-500-I999 </v>
          </cell>
          <cell r="B775" t="str">
            <v xml:space="preserve">NetD5.0 PAC SDK Deploy SLRS </v>
          </cell>
          <cell r="C775">
            <v>21000</v>
          </cell>
          <cell r="D775" t="str">
            <v xml:space="preserve">B </v>
          </cell>
        </row>
        <row r="776">
          <cell r="A776" t="str">
            <v xml:space="preserve">NDPWS-500-I999 </v>
          </cell>
          <cell r="B776" t="str">
            <v xml:space="preserve">NetD5.0 PAC SDK DVLPMT SLRS </v>
          </cell>
          <cell r="C776">
            <v>2793</v>
          </cell>
          <cell r="D776" t="str">
            <v xml:space="preserve">B </v>
          </cell>
        </row>
        <row r="777">
          <cell r="A777" t="str">
            <v xml:space="preserve">NDRL9-500-I999 </v>
          </cell>
          <cell r="B777" t="str">
            <v xml:space="preserve">NetD5.0 pac sap,SLRS,1cpu </v>
          </cell>
          <cell r="C777">
            <v>14000</v>
          </cell>
          <cell r="D777" t="str">
            <v xml:space="preserve">B </v>
          </cell>
        </row>
        <row r="778">
          <cell r="A778" t="str">
            <v xml:space="preserve">NDRL9-500NI999 </v>
          </cell>
          <cell r="B778" t="str">
            <v xml:space="preserve">NetD5.0SECpac sap,SLRS,add1cpu </v>
          </cell>
          <cell r="C778">
            <v>2800</v>
          </cell>
          <cell r="D778" t="str">
            <v xml:space="preserve">B </v>
          </cell>
        </row>
        <row r="779">
          <cell r="A779" t="str">
            <v xml:space="preserve">NDRL9-SUS-9999 </v>
          </cell>
          <cell r="B779" t="str">
            <v xml:space="preserve">NETDYNAMICS TECH SUPP PAC 50 </v>
          </cell>
          <cell r="C779">
            <v>2600</v>
          </cell>
          <cell r="D779" t="str">
            <v xml:space="preserve">D </v>
          </cell>
        </row>
        <row r="780">
          <cell r="A780" t="str">
            <v xml:space="preserve">NDRLS-410-9999 </v>
          </cell>
          <cell r="B780" t="str">
            <v xml:space="preserve">NETDYNAMICS PAC FOR SAP R/3 </v>
          </cell>
          <cell r="C780">
            <v>14000</v>
          </cell>
          <cell r="D780" t="str">
            <v xml:space="preserve">B </v>
          </cell>
        </row>
        <row r="781">
          <cell r="A781" t="str">
            <v xml:space="preserve">NDRLS-410-R999 </v>
          </cell>
          <cell r="B781" t="str">
            <v xml:space="preserve">NETDYNAMICS PAC SAP R/3 50 A/C </v>
          </cell>
          <cell r="C781">
            <v>14000</v>
          </cell>
          <cell r="D781" t="str">
            <v xml:space="preserve">B </v>
          </cell>
        </row>
        <row r="782">
          <cell r="A782" t="str">
            <v xml:space="preserve">NDRLS-500-I999 </v>
          </cell>
          <cell r="B782" t="str">
            <v xml:space="preserve">NetD5.0 PAC SAP SLRS 1cpu </v>
          </cell>
          <cell r="C782">
            <v>14000</v>
          </cell>
          <cell r="D782" t="str">
            <v xml:space="preserve">B </v>
          </cell>
        </row>
        <row r="783">
          <cell r="A783" t="str">
            <v xml:space="preserve">NDRLS-500NI999 </v>
          </cell>
          <cell r="B783" t="str">
            <v xml:space="preserve">NetD5.0SEC PAC SAP SLRS 1CPU </v>
          </cell>
          <cell r="C783">
            <v>2800</v>
          </cell>
          <cell r="D783" t="str">
            <v xml:space="preserve">B </v>
          </cell>
        </row>
        <row r="784">
          <cell r="A784" t="str">
            <v xml:space="preserve">NDSI9-410-T999 </v>
          </cell>
          <cell r="B784" t="str">
            <v xml:space="preserve">NETDYNAMICS STUDIO FOR NT </v>
          </cell>
          <cell r="C784">
            <v>1253</v>
          </cell>
          <cell r="D784" t="str">
            <v xml:space="preserve">B </v>
          </cell>
        </row>
        <row r="785">
          <cell r="A785" t="str">
            <v xml:space="preserve">NDSI9-500-I999 </v>
          </cell>
          <cell r="B785" t="str">
            <v xml:space="preserve">NetD App Svr Dev Stu Sgl nt/98 </v>
          </cell>
          <cell r="C785">
            <v>1253</v>
          </cell>
          <cell r="D785" t="str">
            <v xml:space="preserve">B </v>
          </cell>
        </row>
        <row r="786">
          <cell r="A786" t="str">
            <v xml:space="preserve">NDSI9-SUS-T999 </v>
          </cell>
          <cell r="B786" t="str">
            <v xml:space="preserve">NETDYNAMICS TECH SUPP STUDIO 1 </v>
          </cell>
          <cell r="C786">
            <v>650</v>
          </cell>
          <cell r="D786" t="str">
            <v xml:space="preserve">D </v>
          </cell>
        </row>
        <row r="787">
          <cell r="A787" t="str">
            <v xml:space="preserve">NDSIN-500-T9D9 </v>
          </cell>
          <cell r="B787" t="str">
            <v xml:space="preserve">EVAL CD,NETD5.0 WIN NT/98 </v>
          </cell>
          <cell r="C787">
            <v>0</v>
          </cell>
          <cell r="D787" t="str">
            <v xml:space="preserve">D </v>
          </cell>
        </row>
        <row r="788">
          <cell r="A788" t="str">
            <v xml:space="preserve">NDSIS-500-T9D9 </v>
          </cell>
          <cell r="B788" t="str">
            <v xml:space="preserve">EVAL CD,NETD5.0 SLRS/SPARC </v>
          </cell>
          <cell r="C788">
            <v>0</v>
          </cell>
          <cell r="D788" t="str">
            <v xml:space="preserve">D </v>
          </cell>
        </row>
        <row r="789">
          <cell r="A789" t="str">
            <v xml:space="preserve">NDSV9-410-T999 </v>
          </cell>
          <cell r="B789" t="str">
            <v xml:space="preserve">NETDYNAMICS STUDIO 5 PACK </v>
          </cell>
          <cell r="C789">
            <v>5593</v>
          </cell>
          <cell r="D789" t="str">
            <v xml:space="preserve">B </v>
          </cell>
        </row>
        <row r="790">
          <cell r="A790" t="str">
            <v xml:space="preserve">NDSV9-500-I999 </v>
          </cell>
          <cell r="B790" t="str">
            <v xml:space="preserve">NetD5.0 App dev svr 5pk nt/98 </v>
          </cell>
          <cell r="C790">
            <v>5593</v>
          </cell>
          <cell r="D790" t="str">
            <v xml:space="preserve">B </v>
          </cell>
        </row>
        <row r="791">
          <cell r="A791" t="str">
            <v xml:space="preserve">NDSV9-SUS-T999 </v>
          </cell>
          <cell r="B791" t="str">
            <v xml:space="preserve">NETDYNAMICS TECH SUPP STUDIO 5 </v>
          </cell>
          <cell r="C791">
            <v>1040</v>
          </cell>
          <cell r="D791" t="str">
            <v xml:space="preserve">D </v>
          </cell>
        </row>
        <row r="792">
          <cell r="A792" t="str">
            <v xml:space="preserve">NFCC9-311-9999 </v>
          </cell>
          <cell r="B792" t="str">
            <v xml:space="preserve">NFSC 3.1.1, 100LIC </v>
          </cell>
          <cell r="C792">
            <v>6300</v>
          </cell>
          <cell r="D792" t="str">
            <v xml:space="preserve">B </v>
          </cell>
        </row>
        <row r="793">
          <cell r="A793" t="str">
            <v xml:space="preserve">NFCF9-311-9999 </v>
          </cell>
          <cell r="B793" t="str">
            <v xml:space="preserve">NFSC 3.1.1, 500LIC </v>
          </cell>
          <cell r="C793">
            <v>28700</v>
          </cell>
          <cell r="D793" t="str">
            <v xml:space="preserve">B </v>
          </cell>
        </row>
        <row r="794">
          <cell r="A794" t="str">
            <v xml:space="preserve">NFCI9-311E9999 </v>
          </cell>
          <cell r="B794" t="str">
            <v xml:space="preserve">NFSC 3.1.1 CONTR., CD DOC LI </v>
          </cell>
          <cell r="C794">
            <v>112</v>
          </cell>
          <cell r="D794" t="str">
            <v xml:space="preserve">B </v>
          </cell>
        </row>
        <row r="795">
          <cell r="A795" t="str">
            <v xml:space="preserve">NFCI9-311I9999 </v>
          </cell>
          <cell r="B795" t="str">
            <v xml:space="preserve">NFSC 3.1.1 GLOBAL-1, CD DOC LI </v>
          </cell>
          <cell r="C795">
            <v>112</v>
          </cell>
          <cell r="D795" t="str">
            <v xml:space="preserve">B </v>
          </cell>
        </row>
        <row r="796">
          <cell r="A796" t="str">
            <v xml:space="preserve">NFCI9-311W9999 </v>
          </cell>
          <cell r="B796" t="str">
            <v xml:space="preserve">NFSC 3.1.1 GLOBAL, CD DOC LI </v>
          </cell>
          <cell r="C796">
            <v>112</v>
          </cell>
          <cell r="D796" t="str">
            <v xml:space="preserve">B </v>
          </cell>
        </row>
        <row r="797">
          <cell r="A797" t="str">
            <v xml:space="preserve">NFCX9-311-9999 </v>
          </cell>
          <cell r="B797" t="str">
            <v xml:space="preserve">NFSC 3.1.1, 10LIC </v>
          </cell>
          <cell r="C797">
            <v>700</v>
          </cell>
          <cell r="D797" t="str">
            <v xml:space="preserve">B </v>
          </cell>
        </row>
        <row r="798">
          <cell r="A798" t="str">
            <v xml:space="preserve">NFSC9-320-9999 </v>
          </cell>
          <cell r="B798" t="str">
            <v xml:space="preserve">NFSC 3.2, 100 RTU LICENSE </v>
          </cell>
          <cell r="C798">
            <v>6300</v>
          </cell>
          <cell r="D798" t="str">
            <v xml:space="preserve">B </v>
          </cell>
        </row>
        <row r="799">
          <cell r="A799" t="str">
            <v xml:space="preserve">NFSF9-320-9999 </v>
          </cell>
          <cell r="B799" t="str">
            <v xml:space="preserve">NFSC 3.2, 500 RTU LICENSE </v>
          </cell>
          <cell r="C799">
            <v>28700</v>
          </cell>
          <cell r="D799" t="str">
            <v xml:space="preserve">B </v>
          </cell>
        </row>
        <row r="800">
          <cell r="A800" t="str">
            <v xml:space="preserve">NFSI9-320E9999 </v>
          </cell>
          <cell r="B800" t="str">
            <v xml:space="preserve">NFSC 3.2 CTRLD, CD DOC LI </v>
          </cell>
          <cell r="C800">
            <v>112</v>
          </cell>
          <cell r="D800" t="str">
            <v xml:space="preserve">B </v>
          </cell>
        </row>
        <row r="801">
          <cell r="A801" t="str">
            <v xml:space="preserve">NFSI9-320I999A </v>
          </cell>
          <cell r="B801" t="str">
            <v xml:space="preserve">NFSC 3.2 GLOBAL-1, CD DOC LI </v>
          </cell>
          <cell r="C801">
            <v>112</v>
          </cell>
          <cell r="D801" t="str">
            <v xml:space="preserve">B </v>
          </cell>
        </row>
        <row r="802">
          <cell r="A802" t="str">
            <v xml:space="preserve">NFSI9-320W999B </v>
          </cell>
          <cell r="B802" t="str">
            <v xml:space="preserve">NFSC 3.2 GLOBAL, CD DOC LI </v>
          </cell>
          <cell r="C802">
            <v>112</v>
          </cell>
          <cell r="D802" t="str">
            <v xml:space="preserve">B </v>
          </cell>
        </row>
        <row r="803">
          <cell r="A803" t="str">
            <v xml:space="preserve">NFSV9-320-9999 </v>
          </cell>
          <cell r="B803" t="str">
            <v xml:space="preserve">NFSC 3.2, 5 RTU LICENSE </v>
          </cell>
          <cell r="C803">
            <v>413</v>
          </cell>
          <cell r="D803" t="str">
            <v xml:space="preserve">B </v>
          </cell>
        </row>
        <row r="804">
          <cell r="A804" t="str">
            <v xml:space="preserve">NFSX9-320-9999 </v>
          </cell>
          <cell r="B804" t="str">
            <v xml:space="preserve">NFSC 3.2, 10 RTU LICENSE </v>
          </cell>
          <cell r="C804">
            <v>700</v>
          </cell>
          <cell r="D804" t="str">
            <v xml:space="preserve">B </v>
          </cell>
        </row>
        <row r="805">
          <cell r="A805" t="str">
            <v xml:space="preserve">NFSY9-320-9999 </v>
          </cell>
          <cell r="B805" t="str">
            <v xml:space="preserve">NFSC 3.2, 25 RTU LICENSE </v>
          </cell>
          <cell r="C805">
            <v>1680</v>
          </cell>
          <cell r="D805" t="str">
            <v xml:space="preserve">B </v>
          </cell>
        </row>
        <row r="806">
          <cell r="A806" t="str">
            <v xml:space="preserve">NS-ARY144A-36GAC </v>
          </cell>
          <cell r="B806" t="str">
            <v xml:space="preserve">Netra st A1000, 4x9GB, AC </v>
          </cell>
          <cell r="C806">
            <v>24073</v>
          </cell>
          <cell r="D806" t="str">
            <v xml:space="preserve">A </v>
          </cell>
        </row>
        <row r="807">
          <cell r="A807" t="str">
            <v xml:space="preserve">NS-ARY144A-36GDC </v>
          </cell>
          <cell r="B807" t="str">
            <v xml:space="preserve">Netra st A1000, 4x9GB, DC </v>
          </cell>
          <cell r="C807">
            <v>24073</v>
          </cell>
          <cell r="D807" t="str">
            <v xml:space="preserve">A </v>
          </cell>
        </row>
        <row r="808">
          <cell r="A808" t="str">
            <v xml:space="preserve">NS-ARY145A-36GAC </v>
          </cell>
          <cell r="B808" t="str">
            <v xml:space="preserve">Netra st D1000, 4x9GB, AC </v>
          </cell>
          <cell r="C808">
            <v>19593</v>
          </cell>
          <cell r="D808" t="str">
            <v xml:space="preserve">A </v>
          </cell>
        </row>
        <row r="809">
          <cell r="A809" t="str">
            <v xml:space="preserve">NS-ARY145A-36GDC </v>
          </cell>
          <cell r="B809" t="str">
            <v xml:space="preserve">Netra st D1000, 4x9GB, DC </v>
          </cell>
          <cell r="C809">
            <v>19593</v>
          </cell>
          <cell r="D809" t="str">
            <v xml:space="preserve">A </v>
          </cell>
        </row>
        <row r="810">
          <cell r="A810" t="str">
            <v xml:space="preserve">NTJMS-300EE999 </v>
          </cell>
          <cell r="B810" t="str">
            <v xml:space="preserve">NETRA J 3.0 128-BIT CD-ENGLISH </v>
          </cell>
          <cell r="C810">
            <v>2093</v>
          </cell>
          <cell r="D810" t="str">
            <v xml:space="preserve">B </v>
          </cell>
        </row>
        <row r="811">
          <cell r="A811" t="str">
            <v xml:space="preserve">NTJMS-300EE9U9 </v>
          </cell>
          <cell r="B811" t="str">
            <v xml:space="preserve">NETRA J 3.0 128-BIT UPGRADE CD </v>
          </cell>
          <cell r="C811">
            <v>273</v>
          </cell>
          <cell r="D811" t="str">
            <v xml:space="preserve">B </v>
          </cell>
        </row>
        <row r="812">
          <cell r="A812" t="str">
            <v xml:space="preserve">NTJMS-300WE999 </v>
          </cell>
          <cell r="B812" t="str">
            <v xml:space="preserve">NETRA j 3.0 40-bit CD-English </v>
          </cell>
          <cell r="C812">
            <v>2093</v>
          </cell>
          <cell r="D812" t="str">
            <v xml:space="preserve">B </v>
          </cell>
        </row>
        <row r="813">
          <cell r="A813" t="str">
            <v xml:space="preserve">NTJMS-300WE9U9 </v>
          </cell>
          <cell r="B813" t="str">
            <v xml:space="preserve">NETRA J 3.0 40-BIT UPGRADE CD </v>
          </cell>
          <cell r="C813">
            <v>273</v>
          </cell>
          <cell r="D813" t="str">
            <v xml:space="preserve">B </v>
          </cell>
        </row>
        <row r="814">
          <cell r="A814" t="str">
            <v xml:space="preserve">NWS-2.0-L25RU </v>
          </cell>
          <cell r="B814" t="str">
            <v xml:space="preserve">UG NW SERVER 2.0, 25LIC </v>
          </cell>
          <cell r="C814">
            <v>490</v>
          </cell>
          <cell r="D814" t="str">
            <v xml:space="preserve">B </v>
          </cell>
        </row>
        <row r="815">
          <cell r="A815" t="str">
            <v xml:space="preserve">OCSMS-999WE9U9 </v>
          </cell>
          <cell r="B815" t="str">
            <v xml:space="preserve">OCS 10 USER UPG. FOR NETRA J </v>
          </cell>
          <cell r="C815">
            <v>1386</v>
          </cell>
          <cell r="D815" t="str">
            <v xml:space="preserve">B </v>
          </cell>
        </row>
        <row r="816">
          <cell r="A816" t="str">
            <v xml:space="preserve">ODS-1.0-4-4-21D </v>
          </cell>
          <cell r="B816" t="str">
            <v xml:space="preserve">DISKSUITE 1.0 DT, CD DOC LI </v>
          </cell>
          <cell r="C816">
            <v>1300</v>
          </cell>
          <cell r="D816" t="str">
            <v xml:space="preserve">A </v>
          </cell>
        </row>
        <row r="817">
          <cell r="A817" t="str">
            <v xml:space="preserve">OSI-7.0-4-4-21 </v>
          </cell>
          <cell r="B817" t="str">
            <v xml:space="preserve">SUNLINK OSI 7.0, CD DOC LI </v>
          </cell>
          <cell r="C817">
            <v>5194</v>
          </cell>
          <cell r="D817" t="str">
            <v xml:space="preserve">B </v>
          </cell>
        </row>
        <row r="818">
          <cell r="A818" t="str">
            <v xml:space="preserve">OSI-8.0.1-P </v>
          </cell>
          <cell r="B818" t="str">
            <v xml:space="preserve">SUNLINK OSI 8.0.1, CD DOC LI </v>
          </cell>
          <cell r="C818">
            <v>2594</v>
          </cell>
          <cell r="D818" t="str">
            <v xml:space="preserve">B </v>
          </cell>
        </row>
        <row r="819">
          <cell r="A819" t="str">
            <v xml:space="preserve">OSI-8.1-PF </v>
          </cell>
          <cell r="B819" t="str">
            <v xml:space="preserve">UG SUNLINK OSI 8.1, CD DOC LI </v>
          </cell>
          <cell r="C819">
            <v>1037</v>
          </cell>
          <cell r="D819" t="str">
            <v xml:space="preserve">B </v>
          </cell>
        </row>
        <row r="820">
          <cell r="A820" t="str">
            <v xml:space="preserve">OSI-8.1.1-CD </v>
          </cell>
          <cell r="B820" t="str">
            <v xml:space="preserve">SUNLINK OSI 8.1.1, CD </v>
          </cell>
          <cell r="C820">
            <v>130</v>
          </cell>
          <cell r="D820" t="str">
            <v xml:space="preserve">D </v>
          </cell>
        </row>
        <row r="821">
          <cell r="A821" t="str">
            <v xml:space="preserve">OSI-8.1.1-D </v>
          </cell>
          <cell r="B821" t="str">
            <v xml:space="preserve">SUNLINK OSI 8.1.1, DOC </v>
          </cell>
          <cell r="C821">
            <v>195</v>
          </cell>
          <cell r="D821" t="str">
            <v xml:space="preserve">D </v>
          </cell>
        </row>
        <row r="822">
          <cell r="A822" t="str">
            <v xml:space="preserve">OSI-8.1.1-S </v>
          </cell>
          <cell r="B822" t="str">
            <v xml:space="preserve">SUNLINK OSI 8.1.1, CD LIC </v>
          </cell>
          <cell r="C822">
            <v>2405</v>
          </cell>
          <cell r="D822" t="str">
            <v xml:space="preserve">B </v>
          </cell>
        </row>
        <row r="823">
          <cell r="A823" t="str">
            <v xml:space="preserve">OSI-8.1.1-SU </v>
          </cell>
          <cell r="B823" t="str">
            <v xml:space="preserve">UG SUNLIND OSI 8.1.1, CD LIC </v>
          </cell>
          <cell r="C823">
            <v>1037</v>
          </cell>
          <cell r="D823" t="str">
            <v xml:space="preserve">B </v>
          </cell>
        </row>
        <row r="824">
          <cell r="A824" t="str">
            <v xml:space="preserve">PDB-INFORMIX-MULTI </v>
          </cell>
          <cell r="B824" t="str">
            <v xml:space="preserve">INFOMRIX PDB SUPP BUNDLE MULTI </v>
          </cell>
          <cell r="C824">
            <v>11090</v>
          </cell>
          <cell r="D824" t="str">
            <v xml:space="preserve">D </v>
          </cell>
        </row>
        <row r="825">
          <cell r="A825" t="str">
            <v xml:space="preserve">PDB-INFORMIX-SUPP </v>
          </cell>
          <cell r="B825" t="str">
            <v xml:space="preserve">INFOMRIX PDB SUPP BUNDLE 1ST </v>
          </cell>
          <cell r="C825">
            <v>37300</v>
          </cell>
          <cell r="D825" t="str">
            <v xml:space="preserve">D </v>
          </cell>
        </row>
        <row r="826">
          <cell r="A826" t="str">
            <v xml:space="preserve">PDB-ORACLE-MULTI </v>
          </cell>
          <cell r="B826" t="str">
            <v xml:space="preserve">ORACLE PDB SUPP BUNDLE MULTI </v>
          </cell>
          <cell r="C826">
            <v>14720</v>
          </cell>
          <cell r="D826" t="str">
            <v xml:space="preserve">D </v>
          </cell>
        </row>
        <row r="827">
          <cell r="A827" t="str">
            <v xml:space="preserve">PDB-ORACLE-SUPP </v>
          </cell>
          <cell r="B827" t="str">
            <v xml:space="preserve">ORACLE PDB SUPP BUNDLE 1ST CLS </v>
          </cell>
          <cell r="C827">
            <v>25300</v>
          </cell>
          <cell r="D827" t="str">
            <v xml:space="preserve">D </v>
          </cell>
        </row>
        <row r="828">
          <cell r="A828" t="str">
            <v xml:space="preserve">PPP-3.0.1-ES-P </v>
          </cell>
          <cell r="B828" t="str">
            <v xml:space="preserve">SOLS PPP 3.0.1 T2, CD DOC LI </v>
          </cell>
          <cell r="C828">
            <v>2594</v>
          </cell>
          <cell r="D828" t="str">
            <v xml:space="preserve">B </v>
          </cell>
        </row>
        <row r="829">
          <cell r="A829" t="str">
            <v xml:space="preserve">PPP-3.0.1-SS-P </v>
          </cell>
          <cell r="B829" t="str">
            <v xml:space="preserve">SOLS PPP 3.0.1 T1, CD DOC LI </v>
          </cell>
          <cell r="C829">
            <v>1294</v>
          </cell>
          <cell r="D829" t="str">
            <v xml:space="preserve">B </v>
          </cell>
        </row>
        <row r="830">
          <cell r="A830" t="str">
            <v xml:space="preserve">PSD-1.0-S </v>
          </cell>
          <cell r="B830" t="str">
            <v xml:space="preserve">VWC++/JWS/JS 1RTU XOPTION </v>
          </cell>
          <cell r="C830">
            <v>1559</v>
          </cell>
          <cell r="D830" t="str">
            <v xml:space="preserve">H </v>
          </cell>
        </row>
        <row r="831">
          <cell r="A831" t="str">
            <v xml:space="preserve">PTP-9.1-P </v>
          </cell>
          <cell r="B831" t="str">
            <v xml:space="preserve">SUNLINK PTP 9.1, CD DOC LI </v>
          </cell>
          <cell r="C831">
            <v>9490</v>
          </cell>
          <cell r="D831" t="str">
            <v xml:space="preserve">B </v>
          </cell>
        </row>
        <row r="832">
          <cell r="A832" t="str">
            <v xml:space="preserve">PTR-9.1-S </v>
          </cell>
          <cell r="B832" t="str">
            <v xml:space="preserve">SUNLINK PTP 9.1 RT, CD LIC </v>
          </cell>
          <cell r="C832">
            <v>3634</v>
          </cell>
          <cell r="D832" t="str">
            <v xml:space="preserve">B </v>
          </cell>
        </row>
        <row r="833">
          <cell r="A833" t="str">
            <v xml:space="preserve">PW1II-500-T9T9 </v>
          </cell>
          <cell r="B833" t="str">
            <v xml:space="preserve">Tradeup to PerfWS Fortran 5 In </v>
          </cell>
          <cell r="C833">
            <v>3920</v>
          </cell>
          <cell r="D833" t="str">
            <v xml:space="preserve">B </v>
          </cell>
        </row>
        <row r="834">
          <cell r="A834" t="str">
            <v xml:space="preserve">PW1IS-500-T9T9 </v>
          </cell>
          <cell r="B834" t="str">
            <v xml:space="preserve">Tradeup to PerfWS Fortran 5.0 </v>
          </cell>
          <cell r="C834">
            <v>3920</v>
          </cell>
          <cell r="D834" t="str">
            <v xml:space="preserve">B </v>
          </cell>
        </row>
        <row r="835">
          <cell r="A835" t="str">
            <v xml:space="preserve">PW2II-500-T9T9 </v>
          </cell>
          <cell r="B835" t="str">
            <v xml:space="preserve">Tradeup to PerfWS Fortran 5 In </v>
          </cell>
          <cell r="C835">
            <v>2940</v>
          </cell>
          <cell r="D835" t="str">
            <v xml:space="preserve">B </v>
          </cell>
        </row>
        <row r="836">
          <cell r="A836" t="str">
            <v xml:space="preserve">PW2IS-500-T9T9 </v>
          </cell>
          <cell r="B836" t="str">
            <v xml:space="preserve">Tradeup to PerfWS Fortran 5 </v>
          </cell>
          <cell r="C836">
            <v>2940</v>
          </cell>
          <cell r="D836" t="str">
            <v xml:space="preserve">B </v>
          </cell>
        </row>
        <row r="837">
          <cell r="A837" t="str">
            <v xml:space="preserve">PWF-3.0-D </v>
          </cell>
          <cell r="B837" t="str">
            <v xml:space="preserve">PERF. WS FORTRAN 3.0, DOC </v>
          </cell>
          <cell r="C837">
            <v>560</v>
          </cell>
          <cell r="D837" t="str">
            <v xml:space="preserve">B </v>
          </cell>
        </row>
        <row r="838">
          <cell r="A838" t="str">
            <v xml:space="preserve">PWF-3.0-S </v>
          </cell>
          <cell r="B838" t="str">
            <v xml:space="preserve">PERF. WS FORTRAN 3.0,CD DOC LI </v>
          </cell>
          <cell r="C838">
            <v>4893</v>
          </cell>
          <cell r="D838" t="str">
            <v xml:space="preserve">B </v>
          </cell>
        </row>
        <row r="839">
          <cell r="A839" t="str">
            <v xml:space="preserve">PWF-3.0-SU </v>
          </cell>
          <cell r="B839" t="str">
            <v xml:space="preserve">UG PERWS FORTRAN 3.0,CD DOC LI </v>
          </cell>
          <cell r="C839">
            <v>1470</v>
          </cell>
          <cell r="D839" t="str">
            <v xml:space="preserve">B </v>
          </cell>
        </row>
        <row r="840">
          <cell r="A840" t="str">
            <v xml:space="preserve">PWPII-500-T999 </v>
          </cell>
          <cell r="B840" t="str">
            <v xml:space="preserve">PerfWS Fortran Pers.5.0 Sl-1 I </v>
          </cell>
          <cell r="C840">
            <v>2793</v>
          </cell>
          <cell r="D840" t="str">
            <v xml:space="preserve">B </v>
          </cell>
        </row>
        <row r="841">
          <cell r="A841" t="str">
            <v xml:space="preserve">PWPII-500-T9T9 </v>
          </cell>
          <cell r="B841" t="str">
            <v xml:space="preserve">Tradeup to PerfWS Fortran 5 In </v>
          </cell>
          <cell r="C841">
            <v>2240</v>
          </cell>
          <cell r="D841" t="str">
            <v xml:space="preserve">B </v>
          </cell>
        </row>
        <row r="842">
          <cell r="A842" t="str">
            <v xml:space="preserve">PWPIS-500-T999 </v>
          </cell>
          <cell r="B842" t="str">
            <v xml:space="preserve">PerfWS Fortran Pers.5.0 Sl-1 S </v>
          </cell>
          <cell r="C842">
            <v>2793</v>
          </cell>
          <cell r="D842" t="str">
            <v xml:space="preserve">B </v>
          </cell>
        </row>
        <row r="843">
          <cell r="A843" t="str">
            <v xml:space="preserve">PWPIS-500-T9T9 </v>
          </cell>
          <cell r="B843" t="str">
            <v xml:space="preserve">Tradeup to PerfWS Fortran 5 </v>
          </cell>
          <cell r="C843">
            <v>2240</v>
          </cell>
          <cell r="D843" t="str">
            <v xml:space="preserve">B </v>
          </cell>
        </row>
        <row r="844">
          <cell r="A844" t="str">
            <v xml:space="preserve">PWSCS-500-TG99 </v>
          </cell>
          <cell r="B844" t="str">
            <v xml:space="preserve">Gold Perf WS Fortran 5.0 100 S </v>
          </cell>
          <cell r="C844">
            <v>293580</v>
          </cell>
          <cell r="D844" t="str">
            <v xml:space="preserve">B </v>
          </cell>
        </row>
        <row r="845">
          <cell r="A845" t="str">
            <v xml:space="preserve">PWSD9-500-T999 </v>
          </cell>
          <cell r="B845" t="str">
            <v xml:space="preserve">Perf WS Fortran 5.0 Doc Set </v>
          </cell>
          <cell r="C845">
            <v>560</v>
          </cell>
          <cell r="D845" t="str">
            <v xml:space="preserve">B </v>
          </cell>
        </row>
        <row r="846">
          <cell r="A846" t="str">
            <v xml:space="preserve">PWSES-500-TG99 </v>
          </cell>
          <cell r="B846" t="str">
            <v xml:space="preserve">Gold Perf WS Fortran 5.0 250 S </v>
          </cell>
          <cell r="C846">
            <v>646100</v>
          </cell>
          <cell r="D846" t="str">
            <v xml:space="preserve">B </v>
          </cell>
        </row>
        <row r="847">
          <cell r="A847" t="str">
            <v xml:space="preserve">PWSII-500-T999 </v>
          </cell>
          <cell r="B847" t="str">
            <v xml:space="preserve">Perf WS Fortran 5.0 Slim 1 Int </v>
          </cell>
          <cell r="C847">
            <v>4893</v>
          </cell>
          <cell r="D847" t="str">
            <v xml:space="preserve">B </v>
          </cell>
        </row>
        <row r="848">
          <cell r="A848" t="str">
            <v xml:space="preserve">PWSII-500-T9U9 </v>
          </cell>
          <cell r="B848" t="str">
            <v xml:space="preserve">PerfWS Fortran 1-User In Upgr </v>
          </cell>
          <cell r="C848">
            <v>1470</v>
          </cell>
          <cell r="D848" t="str">
            <v xml:space="preserve">B </v>
          </cell>
        </row>
        <row r="849">
          <cell r="A849" t="str">
            <v xml:space="preserve">PWSIS-500-T999 </v>
          </cell>
          <cell r="B849" t="str">
            <v xml:space="preserve">Perf WS Fortran 5.0 Slim 1 SP </v>
          </cell>
          <cell r="C849">
            <v>4893</v>
          </cell>
          <cell r="D849" t="str">
            <v xml:space="preserve">B </v>
          </cell>
        </row>
        <row r="850">
          <cell r="A850" t="str">
            <v xml:space="preserve">PWSIS-500-T9U9 </v>
          </cell>
          <cell r="B850" t="str">
            <v xml:space="preserve">PerfWS Fortran 1-User SP Upgr </v>
          </cell>
          <cell r="C850">
            <v>1470</v>
          </cell>
          <cell r="D850" t="str">
            <v xml:space="preserve">B </v>
          </cell>
        </row>
        <row r="851">
          <cell r="A851" t="str">
            <v xml:space="preserve">PWSIS-500-TG99 </v>
          </cell>
          <cell r="B851" t="str">
            <v xml:space="preserve">Gold Perf WS Fortran 5 1-Lic S </v>
          </cell>
          <cell r="C851">
            <v>4893</v>
          </cell>
          <cell r="D851" t="str">
            <v xml:space="preserve">B </v>
          </cell>
        </row>
        <row r="852">
          <cell r="A852" t="str">
            <v xml:space="preserve">PWSMS-500-TG99 </v>
          </cell>
          <cell r="B852" t="str">
            <v xml:space="preserve">Gold Perf WS Fortran 5 Base SP </v>
          </cell>
          <cell r="C852">
            <v>7000</v>
          </cell>
          <cell r="D852" t="str">
            <v xml:space="preserve">B </v>
          </cell>
        </row>
        <row r="853">
          <cell r="A853" t="str">
            <v xml:space="preserve">PWSXI-500-T999 </v>
          </cell>
          <cell r="B853" t="str">
            <v xml:space="preserve">Perf WS Fortran 5.0 Slim 10 In </v>
          </cell>
          <cell r="C853">
            <v>41580</v>
          </cell>
          <cell r="D853" t="str">
            <v xml:space="preserve">B </v>
          </cell>
        </row>
        <row r="854">
          <cell r="A854" t="str">
            <v xml:space="preserve">PWSXI-500-T9U9 </v>
          </cell>
          <cell r="B854" t="str">
            <v xml:space="preserve">PerfWS Fortran 10-User In Upgr </v>
          </cell>
          <cell r="C854">
            <v>13874</v>
          </cell>
          <cell r="D854" t="str">
            <v xml:space="preserve">B </v>
          </cell>
        </row>
        <row r="855">
          <cell r="A855" t="str">
            <v xml:space="preserve">PWSXS-500-T999 </v>
          </cell>
          <cell r="B855" t="str">
            <v xml:space="preserve">Perf WS Fortran 5.0 Slim 10 SP </v>
          </cell>
          <cell r="C855">
            <v>41580</v>
          </cell>
          <cell r="D855" t="str">
            <v xml:space="preserve">B </v>
          </cell>
        </row>
        <row r="856">
          <cell r="A856" t="str">
            <v xml:space="preserve">PWSXS-500-T9U9 </v>
          </cell>
          <cell r="B856" t="str">
            <v xml:space="preserve">PerfWS Fortran 10-User SP Upgr </v>
          </cell>
          <cell r="C856">
            <v>13874</v>
          </cell>
          <cell r="D856" t="str">
            <v xml:space="preserve">B </v>
          </cell>
        </row>
        <row r="857">
          <cell r="A857" t="str">
            <v xml:space="preserve">PWSXS-500-TG99 </v>
          </cell>
          <cell r="B857" t="str">
            <v xml:space="preserve">Gold Perf WS Fortran 5.0 10 SP </v>
          </cell>
          <cell r="C857">
            <v>41580</v>
          </cell>
          <cell r="D857" t="str">
            <v xml:space="preserve">B </v>
          </cell>
        </row>
        <row r="858">
          <cell r="A858" t="str">
            <v xml:space="preserve">PWSYS-500-T999 </v>
          </cell>
          <cell r="B858" t="str">
            <v xml:space="preserve">Perf WS Fortran 5.0 Slim 25 SP </v>
          </cell>
          <cell r="C858">
            <v>97860</v>
          </cell>
          <cell r="D858" t="str">
            <v xml:space="preserve">B </v>
          </cell>
        </row>
        <row r="859">
          <cell r="A859" t="str">
            <v xml:space="preserve">PWSYS-500-TG99 </v>
          </cell>
          <cell r="B859" t="str">
            <v xml:space="preserve">Gold Perf WS Fortran 5.0 25 SP </v>
          </cell>
          <cell r="C859">
            <v>97860</v>
          </cell>
          <cell r="D859" t="str">
            <v xml:space="preserve">B </v>
          </cell>
        </row>
        <row r="860">
          <cell r="A860" t="str">
            <v xml:space="preserve">RJE-9.1-P </v>
          </cell>
          <cell r="B860" t="str">
            <v xml:space="preserve">SNA 3770/RJE 9.1, CD DOC </v>
          </cell>
          <cell r="C860">
            <v>3894</v>
          </cell>
          <cell r="D860" t="str">
            <v xml:space="preserve">B </v>
          </cell>
        </row>
        <row r="861">
          <cell r="A861" t="str">
            <v xml:space="preserve">RPCIS-100-999H </v>
          </cell>
          <cell r="B861" t="str">
            <v xml:space="preserve">KORE REALPC SW, CD DOC LIC </v>
          </cell>
          <cell r="C861">
            <v>107</v>
          </cell>
          <cell r="D861" t="str">
            <v>D</v>
          </cell>
        </row>
        <row r="862">
          <cell r="A862" t="str">
            <v xml:space="preserve">RPCXS-100-999H </v>
          </cell>
          <cell r="B862" t="str">
            <v xml:space="preserve">KORE REALPC SW, CD DOC 10 CC L </v>
          </cell>
          <cell r="C862">
            <v>911</v>
          </cell>
          <cell r="D862" t="str">
            <v>D</v>
          </cell>
        </row>
        <row r="863">
          <cell r="A863" t="str">
            <v xml:space="preserve">RPCYS-100-999H </v>
          </cell>
          <cell r="B863" t="str">
            <v xml:space="preserve">KORE REALPC SW, CD DOC 25 CC L </v>
          </cell>
          <cell r="C863">
            <v>2153</v>
          </cell>
          <cell r="D863" t="str">
            <v>D</v>
          </cell>
        </row>
        <row r="864">
          <cell r="A864" t="str">
            <v xml:space="preserve">S32-9.1-CD </v>
          </cell>
          <cell r="B864" t="str">
            <v xml:space="preserve">SNA 9.1, CD DOCS </v>
          </cell>
          <cell r="C864">
            <v>260</v>
          </cell>
          <cell r="D864" t="str">
            <v xml:space="preserve">D </v>
          </cell>
        </row>
        <row r="865">
          <cell r="A865" t="str">
            <v xml:space="preserve">S32-9.1-L128 </v>
          </cell>
          <cell r="B865" t="str">
            <v xml:space="preserve">SNA 9.1, 128 SESSION LIC </v>
          </cell>
          <cell r="C865">
            <v>20313</v>
          </cell>
          <cell r="D865" t="str">
            <v xml:space="preserve">B </v>
          </cell>
        </row>
        <row r="866">
          <cell r="A866" t="str">
            <v xml:space="preserve">S32-9.1-L256 </v>
          </cell>
          <cell r="B866" t="str">
            <v xml:space="preserve">SNA 9.1, 256 SESSION LIC </v>
          </cell>
          <cell r="C866">
            <v>30466</v>
          </cell>
          <cell r="D866" t="str">
            <v xml:space="preserve">B </v>
          </cell>
        </row>
        <row r="867">
          <cell r="A867" t="str">
            <v xml:space="preserve">S32-9.1-L64 </v>
          </cell>
          <cell r="B867" t="str">
            <v xml:space="preserve">SNA 9.1, 64 SESSION LIC </v>
          </cell>
          <cell r="C867">
            <v>12188</v>
          </cell>
          <cell r="D867" t="str">
            <v xml:space="preserve">B </v>
          </cell>
        </row>
        <row r="868">
          <cell r="A868" t="str">
            <v xml:space="preserve">S32-9.1-S </v>
          </cell>
          <cell r="B868" t="str">
            <v xml:space="preserve">SNA3270 9.1 GATEWAY, CD LIC </v>
          </cell>
          <cell r="C868">
            <v>3634</v>
          </cell>
          <cell r="D868" t="str">
            <v xml:space="preserve">B </v>
          </cell>
        </row>
        <row r="869">
          <cell r="A869" t="str">
            <v xml:space="preserve">S4IBI-200NI999 </v>
          </cell>
          <cell r="B869" t="str">
            <v xml:space="preserve">SlsISP 2.0 Esd Intel DM 4 CPU </v>
          </cell>
          <cell r="C869">
            <v>7794</v>
          </cell>
          <cell r="D869" t="str">
            <v xml:space="preserve">B </v>
          </cell>
        </row>
        <row r="870">
          <cell r="A870" t="str">
            <v xml:space="preserve">S4IBI-200WI999 </v>
          </cell>
          <cell r="B870" t="str">
            <v xml:space="preserve">SlsISP 2.0 Esd Intel Gb 4 CPU </v>
          </cell>
          <cell r="C870">
            <v>7794</v>
          </cell>
          <cell r="D870" t="str">
            <v xml:space="preserve">B </v>
          </cell>
        </row>
        <row r="871">
          <cell r="A871" t="str">
            <v xml:space="preserve">S4IBS-200NI999 </v>
          </cell>
          <cell r="B871" t="str">
            <v xml:space="preserve">SlsISP 2.0 Esd SPC DM 4 CPU </v>
          </cell>
          <cell r="C871">
            <v>7794</v>
          </cell>
          <cell r="D871" t="str">
            <v xml:space="preserve">B </v>
          </cell>
        </row>
        <row r="872">
          <cell r="A872" t="str">
            <v xml:space="preserve">S4IBS-200WI999 </v>
          </cell>
          <cell r="B872" t="str">
            <v xml:space="preserve">SlsISP 2.0 Esd SPC Gb 4 CPU </v>
          </cell>
          <cell r="C872">
            <v>7794</v>
          </cell>
          <cell r="D872" t="str">
            <v xml:space="preserve">B </v>
          </cell>
        </row>
        <row r="873">
          <cell r="A873" t="str">
            <v xml:space="preserve">S4IC9-200-I999 </v>
          </cell>
          <cell r="B873" t="str">
            <v xml:space="preserve">SlsISP 2.0 +100 RTU 4 CPU </v>
          </cell>
          <cell r="C873">
            <v>467610</v>
          </cell>
          <cell r="D873" t="str">
            <v xml:space="preserve">B </v>
          </cell>
        </row>
        <row r="874">
          <cell r="A874" t="str">
            <v xml:space="preserve">S4ID9-200-F999 </v>
          </cell>
          <cell r="B874" t="str">
            <v xml:space="preserve">SlsISP 2.0 Documentation </v>
          </cell>
          <cell r="C874">
            <v>195</v>
          </cell>
          <cell r="D874" t="str">
            <v xml:space="preserve">B </v>
          </cell>
        </row>
        <row r="875">
          <cell r="A875" t="str">
            <v xml:space="preserve">S4II9-200-C999 </v>
          </cell>
          <cell r="B875" t="str">
            <v xml:space="preserve">SlsISP 2.0 1 RTU 64 CPU </v>
          </cell>
          <cell r="C875">
            <v>43316</v>
          </cell>
          <cell r="D875" t="str">
            <v xml:space="preserve">B </v>
          </cell>
        </row>
        <row r="876">
          <cell r="A876" t="str">
            <v xml:space="preserve">S4II9-200-I999 </v>
          </cell>
          <cell r="B876" t="str">
            <v xml:space="preserve">SlsISP 2.0 RTU inc. IP SVC </v>
          </cell>
          <cell r="C876">
            <v>774</v>
          </cell>
          <cell r="D876" t="str">
            <v xml:space="preserve">B </v>
          </cell>
        </row>
        <row r="877">
          <cell r="A877" t="str">
            <v xml:space="preserve">S4II9-200-L999 </v>
          </cell>
          <cell r="B877" t="str">
            <v xml:space="preserve">SlsISP 2.0 1 RTU 32 CPU </v>
          </cell>
          <cell r="C877">
            <v>24154</v>
          </cell>
          <cell r="D877" t="str">
            <v xml:space="preserve">B </v>
          </cell>
        </row>
        <row r="878">
          <cell r="A878" t="str">
            <v xml:space="preserve">S4II9-200-X999 </v>
          </cell>
          <cell r="B878" t="str">
            <v xml:space="preserve">SlsISP 2.0 1 RTU 8 CPU </v>
          </cell>
          <cell r="C878">
            <v>4680</v>
          </cell>
          <cell r="D878" t="str">
            <v xml:space="preserve">B </v>
          </cell>
        </row>
        <row r="879">
          <cell r="A879" t="str">
            <v xml:space="preserve">S4II9-200-Y999 </v>
          </cell>
          <cell r="B879" t="str">
            <v xml:space="preserve">SlsISP 2.0 1 RTU 16 CPU </v>
          </cell>
          <cell r="C879">
            <v>12168</v>
          </cell>
          <cell r="D879" t="str">
            <v xml:space="preserve">B </v>
          </cell>
        </row>
        <row r="880">
          <cell r="A880" t="str">
            <v xml:space="preserve">S4IMI-200NI999 </v>
          </cell>
          <cell r="B880" t="str">
            <v xml:space="preserve">SlsISP 2.0 Esd SPC Dom 4 CPU </v>
          </cell>
          <cell r="C880">
            <v>7794</v>
          </cell>
          <cell r="D880" t="str">
            <v xml:space="preserve">B </v>
          </cell>
        </row>
        <row r="881">
          <cell r="A881" t="str">
            <v xml:space="preserve">S4IMI-200WI999 </v>
          </cell>
          <cell r="B881" t="str">
            <v xml:space="preserve">SlsISP 2.0 Esd SPC Gbl 4 CPU </v>
          </cell>
          <cell r="C881">
            <v>7794</v>
          </cell>
          <cell r="D881" t="str">
            <v xml:space="preserve">B </v>
          </cell>
        </row>
        <row r="882">
          <cell r="A882" t="str">
            <v xml:space="preserve">S4IMS-200NI999 </v>
          </cell>
          <cell r="B882" t="str">
            <v xml:space="preserve">S4I2.0 CD, 1RTU 1-4 CPU,Dom, S </v>
          </cell>
          <cell r="C882">
            <v>7794</v>
          </cell>
          <cell r="D882" t="str">
            <v xml:space="preserve">B </v>
          </cell>
        </row>
        <row r="883">
          <cell r="A883" t="str">
            <v xml:space="preserve">S4IMS-200WI999 </v>
          </cell>
          <cell r="B883" t="str">
            <v xml:space="preserve">SlsISP 2.0 CD SPC Gbl 4 CPU </v>
          </cell>
          <cell r="C883">
            <v>7794</v>
          </cell>
          <cell r="D883" t="str">
            <v xml:space="preserve">B </v>
          </cell>
        </row>
        <row r="884">
          <cell r="A884" t="str">
            <v xml:space="preserve">S4IX9-200-I999 </v>
          </cell>
          <cell r="B884" t="str">
            <v xml:space="preserve">SlsISP 2.0 +10 RTU 4 CPU </v>
          </cell>
          <cell r="C884">
            <v>62348</v>
          </cell>
          <cell r="D884" t="str">
            <v xml:space="preserve">B </v>
          </cell>
        </row>
        <row r="885">
          <cell r="A885" t="str">
            <v xml:space="preserve">S4IY9-200-I999 </v>
          </cell>
          <cell r="B885" t="str">
            <v xml:space="preserve">SlsISP 2.0 +25 RTU 4 CPU </v>
          </cell>
          <cell r="C885">
            <v>136383</v>
          </cell>
          <cell r="D885" t="str">
            <v xml:space="preserve">B </v>
          </cell>
        </row>
        <row r="886">
          <cell r="A886" t="str">
            <v xml:space="preserve">SBAIS-100-9999 </v>
          </cell>
          <cell r="B886" t="str">
            <v xml:space="preserve">SUW BANDWIDTH ALLOC 1.0, LIC </v>
          </cell>
          <cell r="C886">
            <v>6993</v>
          </cell>
          <cell r="D886" t="str">
            <v xml:space="preserve">B </v>
          </cell>
        </row>
        <row r="887">
          <cell r="A887" t="str">
            <v xml:space="preserve">SBAM9-100-9999 </v>
          </cell>
          <cell r="B887" t="str">
            <v xml:space="preserve">SW BANDWIDTH ALLOC 1.0, CD DOC </v>
          </cell>
          <cell r="C887">
            <v>140</v>
          </cell>
          <cell r="D887" t="str">
            <v xml:space="preserve">B </v>
          </cell>
        </row>
        <row r="888">
          <cell r="A888" t="str">
            <v xml:space="preserve">SBAXS-100-9999 </v>
          </cell>
          <cell r="B888" t="str">
            <v xml:space="preserve">SW BANDWIDTH ALLOC 1.0, 10LIC </v>
          </cell>
          <cell r="C888">
            <v>41930</v>
          </cell>
          <cell r="D888" t="str">
            <v xml:space="preserve">B </v>
          </cell>
        </row>
        <row r="889">
          <cell r="A889" t="str">
            <v xml:space="preserve">SCSC9-100-9999 </v>
          </cell>
          <cell r="B889" t="str">
            <v xml:space="preserve">Calendar Svr 1.0 1000 Clients </v>
          </cell>
          <cell r="C889">
            <v>35700</v>
          </cell>
          <cell r="D889" t="str">
            <v xml:space="preserve">B </v>
          </cell>
        </row>
        <row r="890">
          <cell r="A890" t="str">
            <v xml:space="preserve">SCSD9-100WW999 </v>
          </cell>
          <cell r="B890" t="str">
            <v xml:space="preserve">Calendar Server 1.0 Doc. </v>
          </cell>
          <cell r="C890">
            <v>210</v>
          </cell>
          <cell r="D890" t="str">
            <v xml:space="preserve">D </v>
          </cell>
        </row>
        <row r="891">
          <cell r="A891" t="str">
            <v xml:space="preserve">SCSE9-100-9999 </v>
          </cell>
          <cell r="B891" t="str">
            <v xml:space="preserve">Calendar Svr 1.0 2500 Clients </v>
          </cell>
          <cell r="C891">
            <v>87500</v>
          </cell>
          <cell r="D891" t="str">
            <v xml:space="preserve">B </v>
          </cell>
        </row>
        <row r="892">
          <cell r="A892" t="str">
            <v xml:space="preserve">SCSF9-100-9999 </v>
          </cell>
          <cell r="B892" t="str">
            <v xml:space="preserve">Calendar Svr 1.0 5000 Clients </v>
          </cell>
          <cell r="C892">
            <v>164500</v>
          </cell>
          <cell r="D892" t="str">
            <v xml:space="preserve">B </v>
          </cell>
        </row>
        <row r="893">
          <cell r="A893" t="str">
            <v xml:space="preserve">SCSG9-100-9999 </v>
          </cell>
          <cell r="B893" t="str">
            <v xml:space="preserve">Calendar Svr 1.0 10,000 Client </v>
          </cell>
          <cell r="C893">
            <v>315000</v>
          </cell>
          <cell r="D893" t="str">
            <v xml:space="preserve">B </v>
          </cell>
        </row>
        <row r="894">
          <cell r="A894" t="str">
            <v xml:space="preserve">SCSH9-100-9999 </v>
          </cell>
          <cell r="B894" t="str">
            <v xml:space="preserve">Calendar Svr 1.0 25,000 Client </v>
          </cell>
          <cell r="C894">
            <v>770000</v>
          </cell>
          <cell r="D894" t="str">
            <v xml:space="preserve">B </v>
          </cell>
        </row>
        <row r="895">
          <cell r="A895" t="str">
            <v xml:space="preserve">SCSJ9-100-9999 </v>
          </cell>
          <cell r="B895" t="str">
            <v xml:space="preserve">Calendar Svr 1.0 50,000 Client </v>
          </cell>
          <cell r="C895">
            <v>1400000</v>
          </cell>
          <cell r="D895" t="str">
            <v xml:space="preserve">B </v>
          </cell>
        </row>
        <row r="896">
          <cell r="A896" t="str">
            <v xml:space="preserve">SCSK9-100-9999 </v>
          </cell>
          <cell r="B896" t="str">
            <v xml:space="preserve">Calendar Svr 1.0 100,000 Clt </v>
          </cell>
          <cell r="C896">
            <v>2380000</v>
          </cell>
          <cell r="D896" t="str">
            <v xml:space="preserve">B </v>
          </cell>
        </row>
        <row r="897">
          <cell r="A897" t="str">
            <v xml:space="preserve">SCSL9-100-9999 </v>
          </cell>
          <cell r="B897" t="str">
            <v xml:space="preserve">Calendar Server 1.0 500 Client </v>
          </cell>
          <cell r="C897">
            <v>22050</v>
          </cell>
          <cell r="D897" t="str">
            <v xml:space="preserve">B </v>
          </cell>
        </row>
        <row r="898">
          <cell r="A898" t="str">
            <v xml:space="preserve">SCSM9-100WW999 </v>
          </cell>
          <cell r="B898" t="str">
            <v xml:space="preserve">Calendar Server 1.0 Media </v>
          </cell>
          <cell r="C898">
            <v>105</v>
          </cell>
          <cell r="D898" t="str">
            <v xml:space="preserve">D </v>
          </cell>
        </row>
        <row r="899">
          <cell r="A899" t="str">
            <v xml:space="preserve">SCSN9-100-9999 </v>
          </cell>
          <cell r="B899" t="str">
            <v xml:space="preserve">Calendar Svr 1.0 250K Clients </v>
          </cell>
          <cell r="C899">
            <v>5600000</v>
          </cell>
          <cell r="D899" t="str">
            <v xml:space="preserve">B </v>
          </cell>
        </row>
        <row r="900">
          <cell r="A900" t="str">
            <v xml:space="preserve">SCSP9-100-9999 </v>
          </cell>
          <cell r="B900" t="str">
            <v xml:space="preserve">Calendar Svr 1.0 500K Clients </v>
          </cell>
          <cell r="C900">
            <v>10150000</v>
          </cell>
          <cell r="D900" t="str">
            <v xml:space="preserve">B </v>
          </cell>
        </row>
        <row r="901">
          <cell r="A901" t="str">
            <v xml:space="preserve">SCST9-100-9999 </v>
          </cell>
          <cell r="B901" t="str">
            <v xml:space="preserve">Calendar Svr 1.0 7500 Clients </v>
          </cell>
          <cell r="C901">
            <v>241500</v>
          </cell>
          <cell r="D901" t="str">
            <v xml:space="preserve">B </v>
          </cell>
        </row>
        <row r="902">
          <cell r="A902" t="str">
            <v xml:space="preserve">SCSU9-100-9999 </v>
          </cell>
          <cell r="B902" t="str">
            <v xml:space="preserve">Calendar Svr 1.0 75,000 Client </v>
          </cell>
          <cell r="C902">
            <v>1890000</v>
          </cell>
          <cell r="D902" t="str">
            <v xml:space="preserve">B </v>
          </cell>
        </row>
        <row r="903">
          <cell r="A903" t="str">
            <v xml:space="preserve">SCSV9-100-9999 </v>
          </cell>
          <cell r="B903" t="str">
            <v xml:space="preserve">Calendar Server 1.0 50 Clients </v>
          </cell>
          <cell r="C903">
            <v>2450</v>
          </cell>
          <cell r="D903" t="str">
            <v xml:space="preserve">B </v>
          </cell>
        </row>
        <row r="904">
          <cell r="A904" t="str">
            <v xml:space="preserve">SCSV9-100WW999 </v>
          </cell>
          <cell r="B904" t="str">
            <v xml:space="preserve">Calendar Svr 1.0 Base Pack </v>
          </cell>
          <cell r="C904">
            <v>2450</v>
          </cell>
          <cell r="D904" t="str">
            <v xml:space="preserve">B </v>
          </cell>
        </row>
        <row r="905">
          <cell r="A905" t="str">
            <v xml:space="preserve">SCSX9-100-9999 </v>
          </cell>
          <cell r="B905" t="str">
            <v xml:space="preserve">Calendar Server 1.0 100 Client </v>
          </cell>
          <cell r="C905">
            <v>4900</v>
          </cell>
          <cell r="D905" t="str">
            <v xml:space="preserve">B </v>
          </cell>
        </row>
        <row r="906">
          <cell r="A906" t="str">
            <v xml:space="preserve">SDK-2.5.1-P </v>
          </cell>
          <cell r="B906" t="str">
            <v xml:space="preserve">SOL 2.5.1 DEV KIT, CD DOC LI </v>
          </cell>
          <cell r="C906">
            <v>644</v>
          </cell>
          <cell r="D906" t="str">
            <v xml:space="preserve">B </v>
          </cell>
        </row>
        <row r="907">
          <cell r="A907" t="str">
            <v xml:space="preserve">SDS-4.1-DOC </v>
          </cell>
          <cell r="B907" t="str">
            <v xml:space="preserve">DISKSUITE 4.1 DOCS </v>
          </cell>
          <cell r="C907">
            <v>210</v>
          </cell>
          <cell r="D907" t="str">
            <v xml:space="preserve">B </v>
          </cell>
        </row>
        <row r="908">
          <cell r="A908" t="str">
            <v xml:space="preserve">SDS-4.1-P </v>
          </cell>
          <cell r="B908" t="str">
            <v xml:space="preserve">DISKSUITE 4.1, CD DOC LI </v>
          </cell>
          <cell r="C908">
            <v>1995</v>
          </cell>
          <cell r="D908" t="str">
            <v xml:space="preserve">B </v>
          </cell>
        </row>
        <row r="909">
          <cell r="A909" t="str">
            <v xml:space="preserve">SDS-4.1-PU </v>
          </cell>
          <cell r="B909" t="str">
            <v xml:space="preserve">UG DISKSUITE 4.1, CD DOC LI </v>
          </cell>
          <cell r="C909">
            <v>700</v>
          </cell>
          <cell r="D909" t="str">
            <v xml:space="preserve">B </v>
          </cell>
        </row>
        <row r="910">
          <cell r="A910" t="str">
            <v xml:space="preserve">SDSC9-310-9999 </v>
          </cell>
          <cell r="B910" t="str">
            <v xml:space="preserve">SUNDS3.1, 1 RTU 100K ENTRIES </v>
          </cell>
          <cell r="C910">
            <v>10335</v>
          </cell>
          <cell r="D910" t="str">
            <v xml:space="preserve">B </v>
          </cell>
        </row>
        <row r="911">
          <cell r="A911" t="str">
            <v xml:space="preserve">SDSD9-310-9999 </v>
          </cell>
          <cell r="B911" t="str">
            <v xml:space="preserve">SUNDS3.1, DOCUMENTATION ONLY </v>
          </cell>
          <cell r="C911">
            <v>195</v>
          </cell>
          <cell r="D911" t="str">
            <v xml:space="preserve">B </v>
          </cell>
        </row>
        <row r="912">
          <cell r="A912" t="str">
            <v xml:space="preserve">SDSG9-310-9999 </v>
          </cell>
          <cell r="B912" t="str">
            <v xml:space="preserve">SUNDS3.1, 1 RTU 1M ENTRIES </v>
          </cell>
          <cell r="C912">
            <v>64935</v>
          </cell>
          <cell r="D912" t="str">
            <v xml:space="preserve">B </v>
          </cell>
        </row>
        <row r="913">
          <cell r="A913" t="str">
            <v xml:space="preserve">SDSX9-310-9999 </v>
          </cell>
          <cell r="B913" t="str">
            <v xml:space="preserve">SUNDS3.1, 1 RTU 10K ENTRIES </v>
          </cell>
          <cell r="C913">
            <v>1294</v>
          </cell>
          <cell r="D913" t="str">
            <v xml:space="preserve">B </v>
          </cell>
        </row>
        <row r="914">
          <cell r="A914" t="str">
            <v xml:space="preserve">SFMMS-200-D999 </v>
          </cell>
          <cell r="B914" t="str">
            <v xml:space="preserve">SunForum Media Kit </v>
          </cell>
          <cell r="C914">
            <v>35</v>
          </cell>
          <cell r="D914" t="str">
            <v xml:space="preserve">B </v>
          </cell>
        </row>
        <row r="915">
          <cell r="A915" t="str">
            <v xml:space="preserve">SG-ARY002A-0G </v>
          </cell>
          <cell r="B915" t="str">
            <v xml:space="preserve">A7000 CONTROLLER, DBL DRAWER </v>
          </cell>
          <cell r="C915">
            <v>216000</v>
          </cell>
          <cell r="D915" t="str">
            <v xml:space="preserve">A </v>
          </cell>
        </row>
        <row r="916">
          <cell r="A916" t="str">
            <v xml:space="preserve">SG-ARY132A-16GR4 </v>
          </cell>
          <cell r="B916" t="str">
            <v xml:space="preserve">RACKMOUNTABLE D1000 W/ 4*4GB </v>
          </cell>
          <cell r="C916">
            <v>14273</v>
          </cell>
          <cell r="D916" t="str">
            <v xml:space="preserve">H </v>
          </cell>
        </row>
        <row r="917">
          <cell r="A917" t="str">
            <v xml:space="preserve">SG-ARY134A-36GR4 </v>
          </cell>
          <cell r="B917" t="str">
            <v xml:space="preserve">36GB STOREDGE D1000 RACK </v>
          </cell>
          <cell r="C917">
            <v>15113</v>
          </cell>
          <cell r="D917" t="str">
            <v xml:space="preserve">H </v>
          </cell>
        </row>
        <row r="918">
          <cell r="A918" t="str">
            <v xml:space="preserve">SG-ARY134A-36GR5 </v>
          </cell>
          <cell r="B918" t="str">
            <v xml:space="preserve">36GB STOREDGE D1000 RACK </v>
          </cell>
          <cell r="C918">
            <v>15813</v>
          </cell>
          <cell r="D918" t="str">
            <v xml:space="preserve">H </v>
          </cell>
        </row>
        <row r="919">
          <cell r="A919" t="str">
            <v xml:space="preserve">SG-ARY135A-72GR5 </v>
          </cell>
          <cell r="B919" t="str">
            <v xml:space="preserve">72GB STOREDGE A1000 RACK </v>
          </cell>
          <cell r="C919">
            <v>27853</v>
          </cell>
          <cell r="D919" t="str">
            <v xml:space="preserve">H </v>
          </cell>
        </row>
        <row r="920">
          <cell r="A920" t="str">
            <v xml:space="preserve">SG-ARY136A-72GR5 </v>
          </cell>
          <cell r="B920" t="str">
            <v xml:space="preserve">RACK MOUNTABLE D1000 W/ 4X18GB </v>
          </cell>
          <cell r="C920">
            <v>22253</v>
          </cell>
          <cell r="D920" t="str">
            <v xml:space="preserve">H </v>
          </cell>
        </row>
        <row r="921">
          <cell r="A921" t="str">
            <v xml:space="preserve">SG-ARY351A-180G </v>
          </cell>
          <cell r="B921" t="str">
            <v xml:space="preserve">A3500 W/2 CONT.,5 TRAYS,18GBDR </v>
          </cell>
          <cell r="C921">
            <v>143710</v>
          </cell>
          <cell r="D921" t="str">
            <v xml:space="preserve">A </v>
          </cell>
        </row>
        <row r="922">
          <cell r="A922" t="str">
            <v xml:space="preserve">SG-ARY353A-360G </v>
          </cell>
          <cell r="B922" t="str">
            <v xml:space="preserve">A3500 W/4 CONT.,7 TRAYS,18GBDR </v>
          </cell>
          <cell r="C922">
            <v>242200</v>
          </cell>
          <cell r="D922" t="str">
            <v xml:space="preserve">A </v>
          </cell>
        </row>
        <row r="923">
          <cell r="A923" t="str">
            <v xml:space="preserve">SG-ARY360A-90G </v>
          </cell>
          <cell r="B923" t="str">
            <v xml:space="preserve">A3500 1 CONT/5 TRAYS/9GB(10K) </v>
          </cell>
          <cell r="C923">
            <v>122010</v>
          </cell>
          <cell r="D923" t="str">
            <v xml:space="preserve">A </v>
          </cell>
        </row>
        <row r="924">
          <cell r="A924" t="str">
            <v xml:space="preserve">SG-ARY362A-180G </v>
          </cell>
          <cell r="B924" t="str">
            <v xml:space="preserve">A3500 2 CONT/7 TRAYS/9GB(10K) </v>
          </cell>
          <cell r="C924">
            <v>198800</v>
          </cell>
          <cell r="D924" t="str">
            <v xml:space="preserve">A </v>
          </cell>
        </row>
        <row r="925">
          <cell r="A925" t="str">
            <v xml:space="preserve">SG-ARY366A-72G </v>
          </cell>
          <cell r="B925" t="str">
            <v xml:space="preserve">A3500 1 CONT/2 TRAYS/9GB(10K) </v>
          </cell>
          <cell r="C925">
            <v>72590</v>
          </cell>
          <cell r="D925" t="str">
            <v xml:space="preserve">A </v>
          </cell>
        </row>
        <row r="926">
          <cell r="A926" t="str">
            <v xml:space="preserve">SG-ARY511A-127G </v>
          </cell>
          <cell r="B926" t="str">
            <v xml:space="preserve">127GB SUN STOREDGE A5000 </v>
          </cell>
          <cell r="C926">
            <v>88200</v>
          </cell>
          <cell r="D926" t="str">
            <v xml:space="preserve">A </v>
          </cell>
        </row>
        <row r="927">
          <cell r="A927" t="str">
            <v xml:space="preserve">SG-ARY512A-127GR4 </v>
          </cell>
          <cell r="B927" t="str">
            <v xml:space="preserve">127GB SUN STOREDGE A5000 </v>
          </cell>
          <cell r="C927">
            <v>88200</v>
          </cell>
          <cell r="D927" t="str">
            <v xml:space="preserve">A </v>
          </cell>
        </row>
        <row r="928">
          <cell r="A928" t="str">
            <v xml:space="preserve">SG-ARY521A-200G </v>
          </cell>
          <cell r="B928" t="str">
            <v xml:space="preserve">200GB Sun StorEdge A5200 </v>
          </cell>
          <cell r="C928">
            <v>132300</v>
          </cell>
          <cell r="D928" t="str">
            <v xml:space="preserve">A </v>
          </cell>
        </row>
        <row r="929">
          <cell r="A929" t="str">
            <v xml:space="preserve">SG-ARY522A-200G </v>
          </cell>
          <cell r="B929" t="str">
            <v xml:space="preserve">200GB Sun StorEdge A5200 </v>
          </cell>
          <cell r="C929">
            <v>132300</v>
          </cell>
          <cell r="D929" t="str">
            <v xml:space="preserve">A </v>
          </cell>
        </row>
        <row r="930">
          <cell r="A930" t="str">
            <v xml:space="preserve">SG-ARY531A-254G </v>
          </cell>
          <cell r="B930" t="str">
            <v xml:space="preserve">254GB Sun StorEdge A5100 </v>
          </cell>
          <cell r="C930">
            <v>88060</v>
          </cell>
          <cell r="D930" t="str">
            <v xml:space="preserve">A </v>
          </cell>
        </row>
        <row r="931">
          <cell r="A931" t="str">
            <v xml:space="preserve">SG-ARY532A-254G </v>
          </cell>
          <cell r="B931" t="str">
            <v xml:space="preserve">254GB Sun StorEdge A5100 </v>
          </cell>
          <cell r="C931">
            <v>88060</v>
          </cell>
          <cell r="D931" t="str">
            <v xml:space="preserve">A </v>
          </cell>
        </row>
        <row r="932">
          <cell r="A932" t="str">
            <v xml:space="preserve">SG-DSK010A-9G </v>
          </cell>
          <cell r="B932" t="str">
            <v xml:space="preserve">9.1GB/10000RPM DISK UNIPACK </v>
          </cell>
          <cell r="C932">
            <v>1694</v>
          </cell>
          <cell r="D932" t="str">
            <v xml:space="preserve">H </v>
          </cell>
        </row>
        <row r="933">
          <cell r="A933" t="str">
            <v xml:space="preserve">SG-XDSK010A-18G </v>
          </cell>
          <cell r="B933" t="str">
            <v xml:space="preserve">18.2GB/10000RPM DISK UNIPACK </v>
          </cell>
          <cell r="C933">
            <v>1800</v>
          </cell>
          <cell r="D933" t="str">
            <v xml:space="preserve">H </v>
          </cell>
        </row>
        <row r="934">
          <cell r="A934" t="str">
            <v xml:space="preserve">SG-LIB8MMC-400GR5 </v>
          </cell>
          <cell r="B934" t="str">
            <v xml:space="preserve">STOREDGE L400 8MM 1DR EXP RACK </v>
          </cell>
          <cell r="C934">
            <v>17500</v>
          </cell>
          <cell r="D934" t="str">
            <v xml:space="preserve">H </v>
          </cell>
        </row>
        <row r="935">
          <cell r="A935" t="str">
            <v xml:space="preserve">SG-LIBDLT2-280GR5 </v>
          </cell>
          <cell r="B935" t="str">
            <v xml:space="preserve">TAPE 280/560GB DLT7000 RACKMNT </v>
          </cell>
          <cell r="C935">
            <v>21700</v>
          </cell>
          <cell r="D935" t="str">
            <v xml:space="preserve">H </v>
          </cell>
        </row>
        <row r="936">
          <cell r="A936" t="str">
            <v xml:space="preserve">SG-LIBDLT4R-1TBR5 </v>
          </cell>
          <cell r="B936" t="str">
            <v xml:space="preserve">STOREDGE L1000 4 TAPE RACKMNT </v>
          </cell>
          <cell r="C936">
            <v>91000</v>
          </cell>
          <cell r="D936" t="str">
            <v xml:space="preserve">H </v>
          </cell>
        </row>
        <row r="937">
          <cell r="A937" t="str">
            <v xml:space="preserve">SG-XARY030A </v>
          </cell>
          <cell r="B937" t="str">
            <v xml:space="preserve">72" STOREDGE EXPANSION RACK </v>
          </cell>
          <cell r="C937">
            <v>10500</v>
          </cell>
          <cell r="D937" t="str">
            <v xml:space="preserve">A </v>
          </cell>
        </row>
        <row r="938">
          <cell r="A938" t="str">
            <v xml:space="preserve">SG-XARY125A-109G </v>
          </cell>
          <cell r="B938" t="str">
            <v xml:space="preserve">109GB STOREDGE D1000 </v>
          </cell>
          <cell r="C938">
            <v>32053</v>
          </cell>
          <cell r="D938" t="str">
            <v xml:space="preserve">H </v>
          </cell>
        </row>
        <row r="939">
          <cell r="A939" t="str">
            <v xml:space="preserve">SG-XARY126A-144G </v>
          </cell>
          <cell r="B939" t="str">
            <v xml:space="preserve">144GB STOREDGE A1000 </v>
          </cell>
          <cell r="C939">
            <v>42413</v>
          </cell>
          <cell r="D939" t="str">
            <v xml:space="preserve">H </v>
          </cell>
        </row>
        <row r="940">
          <cell r="A940" t="str">
            <v xml:space="preserve">SG-XARY126A-72G </v>
          </cell>
          <cell r="B940" t="str">
            <v xml:space="preserve">72GB STOREDGE A1000 </v>
          </cell>
          <cell r="C940">
            <v>27853</v>
          </cell>
          <cell r="D940" t="str">
            <v xml:space="preserve">H </v>
          </cell>
        </row>
        <row r="941">
          <cell r="A941" t="str">
            <v xml:space="preserve">SG-XARY127A-144G </v>
          </cell>
          <cell r="B941" t="str">
            <v xml:space="preserve">144GB STOREDGE D1000 </v>
          </cell>
          <cell r="C941">
            <v>36813</v>
          </cell>
          <cell r="D941" t="str">
            <v xml:space="preserve">H </v>
          </cell>
        </row>
        <row r="942">
          <cell r="A942" t="str">
            <v xml:space="preserve">SG-XARY127A-72G </v>
          </cell>
          <cell r="B942" t="str">
            <v xml:space="preserve">72GB STOREDGE D1000 </v>
          </cell>
          <cell r="C942">
            <v>22253</v>
          </cell>
          <cell r="D942" t="str">
            <v xml:space="preserve">H </v>
          </cell>
        </row>
        <row r="943">
          <cell r="A943" t="str">
            <v xml:space="preserve">SG-XARY135A-72G </v>
          </cell>
          <cell r="B943" t="str">
            <v xml:space="preserve">72GB STOREDGE A1000 FOR RACK </v>
          </cell>
          <cell r="C943">
            <v>27853</v>
          </cell>
          <cell r="D943" t="str">
            <v xml:space="preserve">H </v>
          </cell>
        </row>
        <row r="944">
          <cell r="A944" t="str">
            <v xml:space="preserve">SG-XARY136A-72G </v>
          </cell>
          <cell r="B944" t="str">
            <v xml:space="preserve">72GB STOREDGE D1000 FOR RACK </v>
          </cell>
          <cell r="C944">
            <v>22253</v>
          </cell>
          <cell r="D944" t="str">
            <v xml:space="preserve">H </v>
          </cell>
        </row>
        <row r="945">
          <cell r="A945" t="str">
            <v xml:space="preserve">SG-XARY144A-109G </v>
          </cell>
          <cell r="B945" t="str">
            <v xml:space="preserve">109GB STOREDGE A1000(10K RPM) </v>
          </cell>
          <cell r="C945">
            <v>32613</v>
          </cell>
          <cell r="D945" t="str">
            <v xml:space="preserve">H </v>
          </cell>
        </row>
        <row r="946">
          <cell r="A946" t="str">
            <v xml:space="preserve">SG-XARY144A-36G </v>
          </cell>
          <cell r="B946" t="str">
            <v xml:space="preserve">36GB STOREDGE A1000(10K RPM) </v>
          </cell>
          <cell r="C946">
            <v>18333</v>
          </cell>
          <cell r="D946" t="str">
            <v xml:space="preserve">H </v>
          </cell>
        </row>
        <row r="947">
          <cell r="A947" t="str">
            <v xml:space="preserve">SG-XARY145A-109G </v>
          </cell>
          <cell r="B947" t="str">
            <v xml:space="preserve">109GB STOREDGE D1000(10K RPM) </v>
          </cell>
          <cell r="C947">
            <v>29113</v>
          </cell>
          <cell r="D947" t="str">
            <v xml:space="preserve">H </v>
          </cell>
        </row>
        <row r="948">
          <cell r="A948" t="str">
            <v xml:space="preserve">SG-XARY145A-36G </v>
          </cell>
          <cell r="B948" t="str">
            <v xml:space="preserve">36GB STOREDGE D1000(10K RPM) </v>
          </cell>
          <cell r="C948">
            <v>14833</v>
          </cell>
          <cell r="D948" t="str">
            <v xml:space="preserve">H </v>
          </cell>
        </row>
        <row r="949">
          <cell r="A949" t="str">
            <v xml:space="preserve">SG-XARY146A-36G </v>
          </cell>
          <cell r="B949" t="str">
            <v xml:space="preserve">36GB A1000 FOR RACK(10K RPM) </v>
          </cell>
          <cell r="C949">
            <v>18333</v>
          </cell>
          <cell r="D949" t="str">
            <v xml:space="preserve">H </v>
          </cell>
        </row>
        <row r="950">
          <cell r="A950" t="str">
            <v xml:space="preserve">SG-XARY147A-36G </v>
          </cell>
          <cell r="B950" t="str">
            <v xml:space="preserve">36GB D1000 FOR RACK(10K RPM) </v>
          </cell>
          <cell r="C950">
            <v>13643</v>
          </cell>
          <cell r="D950" t="str">
            <v xml:space="preserve">H </v>
          </cell>
        </row>
        <row r="951">
          <cell r="A951" t="str">
            <v xml:space="preserve">SG-XARY154A-72G </v>
          </cell>
          <cell r="B951" t="str">
            <v xml:space="preserve">72GB D1000 FOR RACK(10K RPM) </v>
          </cell>
          <cell r="C951">
            <v>11940</v>
          </cell>
          <cell r="D951" t="str">
            <v xml:space="preserve">H </v>
          </cell>
        </row>
        <row r="952">
          <cell r="A952" t="str">
            <v xml:space="preserve">SG-XARY155A-72G </v>
          </cell>
          <cell r="B952" t="str">
            <v xml:space="preserve">72GB A1000 FOR RACK(10K RPM) </v>
          </cell>
          <cell r="C952">
            <v>17138</v>
          </cell>
          <cell r="D952" t="str">
            <v xml:space="preserve">H </v>
          </cell>
        </row>
        <row r="953">
          <cell r="A953" t="str">
            <v xml:space="preserve">SG-XARY351A-180G </v>
          </cell>
          <cell r="B953" t="str">
            <v xml:space="preserve">A3500 2 CONT/5 TRAYS/18GB </v>
          </cell>
          <cell r="C953">
            <v>143710</v>
          </cell>
          <cell r="D953" t="str">
            <v xml:space="preserve">A </v>
          </cell>
        </row>
        <row r="954">
          <cell r="A954" t="str">
            <v xml:space="preserve">SG-XARY353A-1008G </v>
          </cell>
          <cell r="B954" t="str">
            <v xml:space="preserve">A3500 4 CONT/7 TRAYS/18GB </v>
          </cell>
          <cell r="C954">
            <v>343560</v>
          </cell>
          <cell r="D954" t="str">
            <v xml:space="preserve">A </v>
          </cell>
        </row>
        <row r="955">
          <cell r="A955" t="str">
            <v xml:space="preserve">SG-XARY353A-360G </v>
          </cell>
          <cell r="B955" t="str">
            <v xml:space="preserve">A3500 2 CONT/7 TRAYS/18GB </v>
          </cell>
          <cell r="C955">
            <v>242200</v>
          </cell>
          <cell r="D955" t="str">
            <v xml:space="preserve">A </v>
          </cell>
        </row>
        <row r="956">
          <cell r="A956" t="str">
            <v xml:space="preserve">SG-XARY355A-2160G </v>
          </cell>
          <cell r="B956" t="str">
            <v xml:space="preserve">A3500 3 CONT/15 TRAYS/18GB </v>
          </cell>
          <cell r="C956">
            <v>825230</v>
          </cell>
          <cell r="D956" t="str">
            <v xml:space="preserve">A </v>
          </cell>
        </row>
        <row r="957">
          <cell r="A957" t="str">
            <v xml:space="preserve">SG-XARY360A-545G </v>
          </cell>
          <cell r="B957" t="str">
            <v xml:space="preserve">545-GB A3500 (1X5X9-GB) </v>
          </cell>
          <cell r="C957">
            <v>230510</v>
          </cell>
          <cell r="D957" t="str">
            <v xml:space="preserve">A </v>
          </cell>
        </row>
        <row r="958">
          <cell r="A958" t="str">
            <v xml:space="preserve">SG-XARY360A-90G </v>
          </cell>
          <cell r="B958" t="str">
            <v xml:space="preserve">A3500 1 CONT/5 TRAYS/9GB(10K) </v>
          </cell>
          <cell r="C958">
            <v>122010</v>
          </cell>
          <cell r="D958" t="str">
            <v xml:space="preserve">A </v>
          </cell>
        </row>
        <row r="959">
          <cell r="A959" t="str">
            <v xml:space="preserve">SG-XARY362A-180G </v>
          </cell>
          <cell r="B959" t="str">
            <v xml:space="preserve">A3500 2 CONT/7 TRAYS/9GB(10K) </v>
          </cell>
          <cell r="C959">
            <v>198800</v>
          </cell>
          <cell r="D959" t="str">
            <v xml:space="preserve">A </v>
          </cell>
        </row>
        <row r="960">
          <cell r="A960" t="str">
            <v xml:space="preserve">SG-XARY362A-763G </v>
          </cell>
          <cell r="B960" t="str">
            <v xml:space="preserve">A3500 2 CONT/7 TRAYS/9GB(10K) </v>
          </cell>
          <cell r="C960">
            <v>337680</v>
          </cell>
          <cell r="D960" t="str">
            <v xml:space="preserve">A </v>
          </cell>
        </row>
        <row r="961">
          <cell r="A961" t="str">
            <v xml:space="preserve">SG-XARY364A-1635G </v>
          </cell>
          <cell r="B961" t="str">
            <v xml:space="preserve">A3500 3 CONT/15 TRAYS/9GB(10K) </v>
          </cell>
          <cell r="C961">
            <v>695030</v>
          </cell>
          <cell r="D961" t="str">
            <v xml:space="preserve">A </v>
          </cell>
        </row>
        <row r="962">
          <cell r="A962" t="str">
            <v xml:space="preserve">SG-XARY366A-72G </v>
          </cell>
          <cell r="B962" t="str">
            <v xml:space="preserve">A3500 1 CONT/2 TRAYS/9GB(10K) </v>
          </cell>
          <cell r="C962">
            <v>72590</v>
          </cell>
          <cell r="D962" t="str">
            <v xml:space="preserve">A </v>
          </cell>
        </row>
        <row r="963">
          <cell r="A963" t="str">
            <v xml:space="preserve">SG-XARY512A-127G </v>
          </cell>
          <cell r="B963" t="str">
            <v xml:space="preserve">127GB SUN STOREDGE A5000 </v>
          </cell>
          <cell r="C963">
            <v>88200</v>
          </cell>
          <cell r="D963" t="str">
            <v xml:space="preserve">A </v>
          </cell>
        </row>
        <row r="964">
          <cell r="A964" t="str">
            <v xml:space="preserve">SG-XARY520A-200G </v>
          </cell>
          <cell r="B964" t="str">
            <v xml:space="preserve">200GB Sun StorEdge A5200 </v>
          </cell>
          <cell r="C964">
            <v>132300</v>
          </cell>
          <cell r="D964" t="str">
            <v xml:space="preserve">A </v>
          </cell>
        </row>
        <row r="965">
          <cell r="A965" t="str">
            <v xml:space="preserve">SG-XARY520A-63G </v>
          </cell>
          <cell r="B965" t="str">
            <v xml:space="preserve">63GB Sun StorEdge A5200 </v>
          </cell>
          <cell r="C965">
            <v>71400</v>
          </cell>
          <cell r="D965" t="str">
            <v xml:space="preserve">A </v>
          </cell>
        </row>
        <row r="966">
          <cell r="A966" t="str">
            <v xml:space="preserve">SG-XARY523A-1200G </v>
          </cell>
          <cell r="B966" t="str">
            <v xml:space="preserve">1200GB Sun StorEdge A5200 </v>
          </cell>
          <cell r="C966">
            <v>831110</v>
          </cell>
          <cell r="D966" t="str">
            <v xml:space="preserve">A </v>
          </cell>
        </row>
        <row r="967">
          <cell r="A967" t="str">
            <v xml:space="preserve">SG-XARY523A-400G </v>
          </cell>
          <cell r="B967" t="str">
            <v xml:space="preserve">400GB Sun StorEdge A5200 </v>
          </cell>
          <cell r="C967">
            <v>288470</v>
          </cell>
          <cell r="D967" t="str">
            <v xml:space="preserve">A </v>
          </cell>
        </row>
        <row r="968">
          <cell r="A968" t="str">
            <v xml:space="preserve">SG-XARY523A-800G </v>
          </cell>
          <cell r="B968" t="str">
            <v xml:space="preserve">800GB Sun StorEdge A5200 </v>
          </cell>
          <cell r="C968">
            <v>563710</v>
          </cell>
          <cell r="D968" t="str">
            <v xml:space="preserve">A </v>
          </cell>
        </row>
        <row r="969">
          <cell r="A969" t="str">
            <v xml:space="preserve">SG-XARY530A-254G </v>
          </cell>
          <cell r="B969" t="str">
            <v xml:space="preserve">254GB Sun StorEdge A5100 </v>
          </cell>
          <cell r="C969">
            <v>88060</v>
          </cell>
          <cell r="D969" t="str">
            <v xml:space="preserve">A </v>
          </cell>
        </row>
        <row r="970">
          <cell r="A970" t="str">
            <v xml:space="preserve">SG-XARY530A-91G </v>
          </cell>
          <cell r="B970" t="str">
            <v xml:space="preserve">91GB Sun StorEdge A5100 </v>
          </cell>
          <cell r="C970">
            <v>49000</v>
          </cell>
          <cell r="D970" t="str">
            <v xml:space="preserve">A </v>
          </cell>
        </row>
        <row r="971">
          <cell r="A971" t="str">
            <v xml:space="preserve">SG-XARY533A-1528G </v>
          </cell>
          <cell r="B971" t="str">
            <v xml:space="preserve">1.5TB Sun StorEdge A5100 </v>
          </cell>
          <cell r="C971">
            <v>565320</v>
          </cell>
          <cell r="D971" t="str">
            <v xml:space="preserve">A </v>
          </cell>
        </row>
        <row r="972">
          <cell r="A972" t="str">
            <v xml:space="preserve">SG-XARY533A-509G </v>
          </cell>
          <cell r="B972" t="str">
            <v xml:space="preserve">509GB Sun StorEdge A5100 </v>
          </cell>
          <cell r="C972">
            <v>200480</v>
          </cell>
          <cell r="D972" t="str">
            <v xml:space="preserve">A </v>
          </cell>
        </row>
        <row r="973">
          <cell r="A973" t="str">
            <v xml:space="preserve">SG-XDSK010A-9G </v>
          </cell>
          <cell r="B973" t="str">
            <v xml:space="preserve">9.1GB/7200RPM DISK UNIPACK </v>
          </cell>
          <cell r="C973">
            <v>1694</v>
          </cell>
          <cell r="D973" t="str">
            <v xml:space="preserve">H </v>
          </cell>
        </row>
        <row r="974">
          <cell r="A974" t="str">
            <v xml:space="preserve">SG-XDSK010B-18G </v>
          </cell>
          <cell r="B974" t="str">
            <v xml:space="preserve">18.2GB/7200RPM DISK UNIPACK </v>
          </cell>
          <cell r="C974">
            <v>2870</v>
          </cell>
          <cell r="D974" t="str">
            <v xml:space="preserve">H </v>
          </cell>
        </row>
        <row r="975">
          <cell r="A975" t="str">
            <v xml:space="preserve">SG-XDSK010C-18G </v>
          </cell>
          <cell r="B975" t="str">
            <v xml:space="preserve">18.2GB/10000RPM DISK UNIPACK </v>
          </cell>
          <cell r="C975">
            <v>1800</v>
          </cell>
          <cell r="D975" t="str">
            <v xml:space="preserve">H </v>
          </cell>
        </row>
        <row r="976">
          <cell r="A976" t="str">
            <v xml:space="preserve">SG-XDSK020B-36G </v>
          </cell>
          <cell r="B976" t="str">
            <v xml:space="preserve">36.4GB/7200RPM DISK MULTIPACK </v>
          </cell>
          <cell r="C976">
            <v>6440</v>
          </cell>
          <cell r="D976" t="str">
            <v xml:space="preserve">H </v>
          </cell>
        </row>
        <row r="977">
          <cell r="A977" t="str">
            <v xml:space="preserve">SG-XDSK020C-18G </v>
          </cell>
          <cell r="B977" t="str">
            <v xml:space="preserve">18.2GB/10K RPM DISK MULTIPACK </v>
          </cell>
          <cell r="C977">
            <v>4550</v>
          </cell>
          <cell r="D977" t="str">
            <v xml:space="preserve">H </v>
          </cell>
        </row>
        <row r="978">
          <cell r="A978" t="str">
            <v xml:space="preserve">SG-XDSK040B-72G </v>
          </cell>
          <cell r="B978" t="str">
            <v xml:space="preserve">72.8GB/7200RPM DISK MULTIPACK </v>
          </cell>
          <cell r="C978">
            <v>11760</v>
          </cell>
          <cell r="D978" t="str">
            <v xml:space="preserve">H </v>
          </cell>
        </row>
        <row r="979">
          <cell r="A979" t="str">
            <v xml:space="preserve">SG-XDSK040C-36G </v>
          </cell>
          <cell r="B979" t="str">
            <v xml:space="preserve">36.4GB/10K RPM DISK MULTIPACK </v>
          </cell>
          <cell r="C979">
            <v>7980</v>
          </cell>
          <cell r="D979" t="str">
            <v xml:space="preserve">H </v>
          </cell>
        </row>
        <row r="980">
          <cell r="A980" t="str">
            <v xml:space="preserve">SG-XDSK060B-109G </v>
          </cell>
          <cell r="B980" t="str">
            <v xml:space="preserve">109.2GB/7200RPM DISK MULTIPACK </v>
          </cell>
          <cell r="C980">
            <v>17080</v>
          </cell>
          <cell r="D980" t="str">
            <v xml:space="preserve">H </v>
          </cell>
        </row>
        <row r="981">
          <cell r="A981" t="str">
            <v xml:space="preserve">SG-XDSK060C-54G </v>
          </cell>
          <cell r="B981" t="str">
            <v xml:space="preserve">54.6GB/10K RPM DISK MULTIPACK </v>
          </cell>
          <cell r="C981">
            <v>11410</v>
          </cell>
          <cell r="D981" t="str">
            <v xml:space="preserve">H </v>
          </cell>
        </row>
        <row r="982">
          <cell r="A982" t="str">
            <v xml:space="preserve">SG-XLIB8MM1-400G </v>
          </cell>
          <cell r="B982" t="str">
            <v xml:space="preserve">STOREDGE L400 400GB/8MM-2 DRVS </v>
          </cell>
          <cell r="C982">
            <v>22400</v>
          </cell>
          <cell r="D982" t="str">
            <v xml:space="preserve">H </v>
          </cell>
        </row>
        <row r="983">
          <cell r="A983" t="str">
            <v xml:space="preserve">SG-XLIB8MMB-400G </v>
          </cell>
          <cell r="B983" t="str">
            <v xml:space="preserve">STOREDGE L400 400GB/8MM 1 DRV </v>
          </cell>
          <cell r="C983">
            <v>17500</v>
          </cell>
          <cell r="D983" t="str">
            <v xml:space="preserve">H </v>
          </cell>
        </row>
        <row r="984">
          <cell r="A984" t="str">
            <v xml:space="preserve">SG-XLIB8MMC-400G </v>
          </cell>
          <cell r="B984" t="str">
            <v xml:space="preserve">STOREDGE L400 400GB/8MM 1DR/RK </v>
          </cell>
          <cell r="C984">
            <v>17500</v>
          </cell>
          <cell r="D984" t="str">
            <v xml:space="preserve">H </v>
          </cell>
        </row>
        <row r="985">
          <cell r="A985" t="str">
            <v xml:space="preserve">SG-XLIBDLT1-1TB-2 </v>
          </cell>
          <cell r="B985" t="str">
            <v xml:space="preserve">STOREDGE L1000 1 TAPE DESKSIDE </v>
          </cell>
          <cell r="C985">
            <v>42000</v>
          </cell>
          <cell r="D985" t="str">
            <v xml:space="preserve">A </v>
          </cell>
        </row>
        <row r="986">
          <cell r="A986" t="str">
            <v xml:space="preserve">SG-XLIBDLT1-280G </v>
          </cell>
          <cell r="B986" t="str">
            <v xml:space="preserve">TAPE 280/560GB STOREDGEL280 DT </v>
          </cell>
          <cell r="C986">
            <v>17150</v>
          </cell>
          <cell r="D986" t="str">
            <v xml:space="preserve">H </v>
          </cell>
        </row>
        <row r="987">
          <cell r="A987" t="str">
            <v xml:space="preserve">SG-XLIBDLT16-11TB </v>
          </cell>
          <cell r="B987" t="str">
            <v xml:space="preserve">L11000 11TB 16 DLT7000 DR. HA </v>
          </cell>
          <cell r="C987">
            <v>404600</v>
          </cell>
          <cell r="D987" t="str">
            <v xml:space="preserve">A </v>
          </cell>
        </row>
        <row r="988">
          <cell r="A988" t="str">
            <v xml:space="preserve">SG-XLIBDLT1R-1TB-2 </v>
          </cell>
          <cell r="B988" t="str">
            <v xml:space="preserve">STOREDGE L1000 1 TAPE RACKMNT </v>
          </cell>
          <cell r="C988">
            <v>42000</v>
          </cell>
          <cell r="D988" t="str">
            <v xml:space="preserve">A </v>
          </cell>
        </row>
        <row r="989">
          <cell r="A989" t="str">
            <v xml:space="preserve">SG-XLIBDLT2-280G </v>
          </cell>
          <cell r="B989" t="str">
            <v xml:space="preserve">TAPE 280/560GB DLT7000 FOR RCK </v>
          </cell>
          <cell r="C989">
            <v>17150</v>
          </cell>
          <cell r="D989" t="str">
            <v xml:space="preserve">H </v>
          </cell>
        </row>
        <row r="990">
          <cell r="A990" t="str">
            <v xml:space="preserve">SG-XLIBDLT4-11TB </v>
          </cell>
          <cell r="B990" t="str">
            <v xml:space="preserve">STOREDGE L11000, 4 X DLT7000 </v>
          </cell>
          <cell r="C990">
            <v>245000</v>
          </cell>
          <cell r="D990" t="str">
            <v xml:space="preserve">A </v>
          </cell>
        </row>
        <row r="991">
          <cell r="A991" t="str">
            <v xml:space="preserve">SG-XLIBDLT4-1TB-2 </v>
          </cell>
          <cell r="B991" t="str">
            <v xml:space="preserve">STOREDGE L1000 4 TAPE DESKSIDE </v>
          </cell>
          <cell r="C991">
            <v>75600</v>
          </cell>
          <cell r="D991" t="str">
            <v xml:space="preserve">A </v>
          </cell>
        </row>
        <row r="992">
          <cell r="A992" t="str">
            <v xml:space="preserve">SG-XLIBDLT4R-1TB-2 </v>
          </cell>
          <cell r="B992" t="str">
            <v xml:space="preserve">STOREDGE L1000 4 TAPE RACKMNT </v>
          </cell>
          <cell r="C992">
            <v>75600</v>
          </cell>
          <cell r="D992" t="str">
            <v xml:space="preserve">A </v>
          </cell>
        </row>
        <row r="993">
          <cell r="A993" t="str">
            <v xml:space="preserve">SG-XMED4MMCL-10 </v>
          </cell>
          <cell r="B993" t="str">
            <v xml:space="preserve">4MM DDS CLEANING TAPES-10 PACK </v>
          </cell>
          <cell r="C993">
            <v>168</v>
          </cell>
          <cell r="D993" t="str">
            <v xml:space="preserve">H </v>
          </cell>
        </row>
        <row r="994">
          <cell r="A994" t="str">
            <v xml:space="preserve">SG-XMED4MMDDS210 </v>
          </cell>
          <cell r="B994" t="str">
            <v xml:space="preserve">4MM 120M DDS2 TAPES - 10 PACK </v>
          </cell>
          <cell r="C994">
            <v>210</v>
          </cell>
          <cell r="D994" t="str">
            <v xml:space="preserve">H </v>
          </cell>
        </row>
        <row r="995">
          <cell r="A995" t="str">
            <v xml:space="preserve">SG-XMED4MMDDS310 </v>
          </cell>
          <cell r="B995" t="str">
            <v xml:space="preserve">4MM 125M DDS3 TAPES - 10 PACK </v>
          </cell>
          <cell r="C995">
            <v>336</v>
          </cell>
          <cell r="D995" t="str">
            <v xml:space="preserve">H </v>
          </cell>
        </row>
        <row r="996">
          <cell r="A996" t="str">
            <v xml:space="preserve">SG-XMED8MMAME-10 </v>
          </cell>
          <cell r="B996" t="str">
            <v xml:space="preserve">8MM 170M AME TAPE-PACK OF 10 </v>
          </cell>
          <cell r="C996">
            <v>1085</v>
          </cell>
          <cell r="D996" t="str">
            <v xml:space="preserve">H </v>
          </cell>
        </row>
        <row r="997">
          <cell r="A997" t="str">
            <v xml:space="preserve">SG-XMED8MMAME-PK </v>
          </cell>
          <cell r="B997" t="str">
            <v xml:space="preserve">8MM AME EXAPAK </v>
          </cell>
          <cell r="C997">
            <v>1155</v>
          </cell>
          <cell r="D997" t="str">
            <v xml:space="preserve">H </v>
          </cell>
        </row>
        <row r="998">
          <cell r="A998" t="str">
            <v xml:space="preserve">SG-XMED8MMAMEC10 </v>
          </cell>
          <cell r="B998" t="str">
            <v xml:space="preserve">8MM AME CLEANING TAPES-10 PACK </v>
          </cell>
          <cell r="C998">
            <v>371</v>
          </cell>
          <cell r="D998" t="str">
            <v xml:space="preserve">H </v>
          </cell>
        </row>
        <row r="999">
          <cell r="A999" t="str">
            <v xml:space="preserve">SG-XMED8MMXL-10 </v>
          </cell>
          <cell r="B999" t="str">
            <v xml:space="preserve">8MM 160M XL TAPES - 10 PACK </v>
          </cell>
          <cell r="C999">
            <v>210</v>
          </cell>
          <cell r="D999" t="str">
            <v xml:space="preserve">H </v>
          </cell>
        </row>
        <row r="1000">
          <cell r="A1000" t="str">
            <v xml:space="preserve">SG-XMED8MMXL-PK </v>
          </cell>
          <cell r="B1000" t="str">
            <v xml:space="preserve">8MM 160M EXAPACK </v>
          </cell>
          <cell r="C1000">
            <v>259</v>
          </cell>
          <cell r="D1000" t="str">
            <v xml:space="preserve">H </v>
          </cell>
        </row>
        <row r="1001">
          <cell r="A1001" t="str">
            <v xml:space="preserve">SG-XMED8MMXLCL10 </v>
          </cell>
          <cell r="B1001" t="str">
            <v xml:space="preserve">8MM XL CLEANING TAPES- 10 PACK </v>
          </cell>
          <cell r="C1001">
            <v>280</v>
          </cell>
          <cell r="D1001" t="str">
            <v xml:space="preserve">H </v>
          </cell>
        </row>
        <row r="1002">
          <cell r="A1002" t="str">
            <v xml:space="preserve">SG-XMEDDLTCIV-10 </v>
          </cell>
          <cell r="B1002" t="str">
            <v xml:space="preserve">DLT COMPACT IV TAPE, 10 PACK </v>
          </cell>
          <cell r="C1002">
            <v>1190</v>
          </cell>
          <cell r="D1002" t="str">
            <v xml:space="preserve">H </v>
          </cell>
        </row>
        <row r="1003">
          <cell r="A1003" t="str">
            <v xml:space="preserve">SG-XMEDDLTCL-10 </v>
          </cell>
          <cell r="B1003" t="str">
            <v xml:space="preserve">DLT CLEANING TAPES-10 PACK </v>
          </cell>
          <cell r="C1003">
            <v>700</v>
          </cell>
          <cell r="D1003" t="str">
            <v xml:space="preserve">H </v>
          </cell>
        </row>
        <row r="1004">
          <cell r="A1004" t="str">
            <v xml:space="preserve">SG-XTAP4MM-011A </v>
          </cell>
          <cell r="B1004" t="str">
            <v xml:space="preserve">TAPE 12GB 4MM DDS-3 UNIPACK </v>
          </cell>
          <cell r="C1004">
            <v>1820</v>
          </cell>
          <cell r="D1004" t="str">
            <v xml:space="preserve">H </v>
          </cell>
        </row>
        <row r="1005">
          <cell r="A1005" t="str">
            <v xml:space="preserve">SG-XTAP4MM-021A </v>
          </cell>
          <cell r="B1005" t="str">
            <v xml:space="preserve">TAPE 12GB 4MM DDS-3 FLEXIPK </v>
          </cell>
          <cell r="C1005">
            <v>2170</v>
          </cell>
          <cell r="D1005" t="str">
            <v xml:space="preserve">H </v>
          </cell>
        </row>
        <row r="1006">
          <cell r="A1006" t="str">
            <v xml:space="preserve">SG-XTAP4MM-031A </v>
          </cell>
          <cell r="B1006" t="str">
            <v xml:space="preserve">72GB 4MM DDS-3 AUTOLOADER </v>
          </cell>
          <cell r="C1006">
            <v>4270</v>
          </cell>
          <cell r="D1006" t="str">
            <v xml:space="preserve">H </v>
          </cell>
        </row>
        <row r="1007">
          <cell r="A1007" t="str">
            <v xml:space="preserve">SG-XTAP8MM-010A </v>
          </cell>
          <cell r="B1007" t="str">
            <v xml:space="preserve">TAPE 7GB 8MM UNIPACK </v>
          </cell>
          <cell r="C1007">
            <v>2160</v>
          </cell>
          <cell r="D1007" t="str">
            <v xml:space="preserve">H </v>
          </cell>
        </row>
        <row r="1008">
          <cell r="A1008" t="str">
            <v xml:space="preserve">SG-XTAP8MM-011A </v>
          </cell>
          <cell r="B1008" t="str">
            <v xml:space="preserve">TAPE 20GB 8MM UNIPACK </v>
          </cell>
          <cell r="C1008">
            <v>4658</v>
          </cell>
          <cell r="D1008" t="str">
            <v xml:space="preserve">H </v>
          </cell>
        </row>
        <row r="1009">
          <cell r="A1009" t="str">
            <v xml:space="preserve">SG-XTAP8MM-020A </v>
          </cell>
          <cell r="B1009" t="str">
            <v xml:space="preserve">7-14GB 8MM FLEXIPACK </v>
          </cell>
          <cell r="C1009">
            <v>2464</v>
          </cell>
          <cell r="D1009" t="str">
            <v xml:space="preserve">H </v>
          </cell>
        </row>
        <row r="1010">
          <cell r="A1010" t="str">
            <v xml:space="preserve">SG-XTAP8MM-021A </v>
          </cell>
          <cell r="B1010" t="str">
            <v xml:space="preserve">TAPE 20GB 8MM FLEXIPACK </v>
          </cell>
          <cell r="C1010">
            <v>4995</v>
          </cell>
          <cell r="D1010" t="str">
            <v xml:space="preserve">H </v>
          </cell>
        </row>
        <row r="1011">
          <cell r="A1011" t="str">
            <v xml:space="preserve">SG-XTAP8MM-400G </v>
          </cell>
          <cell r="B1011" t="str">
            <v xml:space="preserve">STOREDGE L400 TAPE DRIVE </v>
          </cell>
          <cell r="C1011">
            <v>4860</v>
          </cell>
          <cell r="D1011" t="str">
            <v xml:space="preserve">H </v>
          </cell>
        </row>
        <row r="1012">
          <cell r="A1012" t="str">
            <v xml:space="preserve">SG-XTAPDLT-020A </v>
          </cell>
          <cell r="B1012" t="str">
            <v xml:space="preserve">TAPE 20GB DLT4000 FLEXIPACK </v>
          </cell>
          <cell r="C1012">
            <v>5320</v>
          </cell>
          <cell r="D1012" t="str">
            <v xml:space="preserve">H </v>
          </cell>
        </row>
        <row r="1013">
          <cell r="A1013" t="str">
            <v xml:space="preserve">SG-XTAPDLT-021A </v>
          </cell>
          <cell r="B1013" t="str">
            <v xml:space="preserve">TAPE 35GB DLT7000 FLEXIPACK </v>
          </cell>
          <cell r="C1013">
            <v>10640</v>
          </cell>
          <cell r="D1013" t="str">
            <v xml:space="preserve">H </v>
          </cell>
        </row>
        <row r="1014">
          <cell r="A1014" t="str">
            <v xml:space="preserve">SG-XTAPDLT1-1TB </v>
          </cell>
          <cell r="B1014" t="str">
            <v xml:space="preserve">DLT7000 LIBRARY TAPE DRIVE </v>
          </cell>
          <cell r="C1014">
            <v>13300</v>
          </cell>
          <cell r="D1014" t="str">
            <v xml:space="preserve">A </v>
          </cell>
        </row>
        <row r="1015">
          <cell r="A1015" t="str">
            <v xml:space="preserve">SG-XTAPDLT2-11TB </v>
          </cell>
          <cell r="B1015" t="str">
            <v xml:space="preserve">DLT7000 TP DR (2) UPGD 4 L1100 </v>
          </cell>
          <cell r="C1015">
            <v>35000</v>
          </cell>
          <cell r="D1015" t="str">
            <v xml:space="preserve">A </v>
          </cell>
        </row>
        <row r="1016">
          <cell r="A1016" t="str">
            <v xml:space="preserve">SG-XTAPSLR-010A </v>
          </cell>
          <cell r="B1016" t="str">
            <v xml:space="preserve">TAPE 4GB SLR UNIPACK </v>
          </cell>
          <cell r="C1016">
            <v>1215</v>
          </cell>
          <cell r="D1016" t="str">
            <v xml:space="preserve">H </v>
          </cell>
        </row>
        <row r="1017">
          <cell r="A1017" t="str">
            <v xml:space="preserve">SG-XTAPSLR-020A </v>
          </cell>
          <cell r="B1017" t="str">
            <v xml:space="preserve">TAPE 4GB SLR FLEXIPACK </v>
          </cell>
          <cell r="C1017">
            <v>1553</v>
          </cell>
          <cell r="D1017" t="str">
            <v xml:space="preserve">H </v>
          </cell>
        </row>
        <row r="1018">
          <cell r="A1018" t="str">
            <v xml:space="preserve">SIMS-2.0-P1 </v>
          </cell>
          <cell r="B1018" t="str">
            <v xml:space="preserve">SOLSTICE INTERNT MAIL SRVR 2.0 </v>
          </cell>
          <cell r="C1018">
            <v>693</v>
          </cell>
          <cell r="D1018" t="str">
            <v xml:space="preserve">B </v>
          </cell>
        </row>
        <row r="1019">
          <cell r="A1019" t="str">
            <v xml:space="preserve">SKIP-1.1G-B </v>
          </cell>
          <cell r="B1019" t="str">
            <v xml:space="preserve">SKIP 1.1 GLOBAL, CD DOC LIC </v>
          </cell>
          <cell r="C1019">
            <v>139</v>
          </cell>
          <cell r="D1019" t="str">
            <v xml:space="preserve">B </v>
          </cell>
        </row>
        <row r="1020">
          <cell r="A1020" t="str">
            <v xml:space="preserve">SKIPWNT-3.0D-P </v>
          </cell>
          <cell r="B1020" t="str">
            <v xml:space="preserve">SKIP 3.0 WIN/NT DOM CD DOC LI </v>
          </cell>
          <cell r="C1020">
            <v>209</v>
          </cell>
          <cell r="D1020" t="str">
            <v xml:space="preserve">B </v>
          </cell>
        </row>
        <row r="1021">
          <cell r="A1021" t="str">
            <v xml:space="preserve">SKIPWNT-3.0D-P1000 </v>
          </cell>
          <cell r="B1021" t="str">
            <v xml:space="preserve">SKP3.0 WIN/NT DOM CD DOC 1K LI </v>
          </cell>
          <cell r="C1021">
            <v>57393</v>
          </cell>
          <cell r="D1021" t="str">
            <v xml:space="preserve">B </v>
          </cell>
        </row>
        <row r="1022">
          <cell r="A1022" t="str">
            <v xml:space="preserve">SKIPWNT-3.0DP10000 </v>
          </cell>
          <cell r="B1022" t="str">
            <v xml:space="preserve">SKP3.0 WIN/NT DOM CD DOC 10K L </v>
          </cell>
          <cell r="C1022">
            <v>504000</v>
          </cell>
          <cell r="D1022" t="str">
            <v xml:space="preserve">B </v>
          </cell>
        </row>
        <row r="1023">
          <cell r="A1023" t="str">
            <v xml:space="preserve">SKIPWNT-3.0E-P </v>
          </cell>
          <cell r="B1023" t="str">
            <v xml:space="preserve">SKIP 3.0 WIN/NT EC CD DOC LI </v>
          </cell>
          <cell r="C1023">
            <v>174</v>
          </cell>
          <cell r="D1023" t="str">
            <v xml:space="preserve">B </v>
          </cell>
        </row>
        <row r="1024">
          <cell r="A1024" t="str">
            <v xml:space="preserve">SKIPWNT-3.0E-P1000 </v>
          </cell>
          <cell r="B1024" t="str">
            <v xml:space="preserve">SKP3.0 WIN/NT ECT CD DOC 1K LI </v>
          </cell>
          <cell r="C1024">
            <v>57393</v>
          </cell>
          <cell r="D1024" t="str">
            <v xml:space="preserve">B </v>
          </cell>
        </row>
        <row r="1025">
          <cell r="A1025" t="str">
            <v xml:space="preserve">SKIPWNT-3.0EP10000 </v>
          </cell>
          <cell r="B1025" t="str">
            <v xml:space="preserve">SKP3.0 WIN/NT ECT CD DOC 10K L </v>
          </cell>
          <cell r="C1025">
            <v>504000</v>
          </cell>
          <cell r="D1025" t="str">
            <v xml:space="preserve">B </v>
          </cell>
        </row>
        <row r="1026">
          <cell r="A1026" t="str">
            <v xml:space="preserve">SKIPWNT-3.0G-P </v>
          </cell>
          <cell r="B1026" t="str">
            <v xml:space="preserve">SKIP 3.0 WIN/NT GLOB CD DOC LI </v>
          </cell>
          <cell r="C1026">
            <v>139</v>
          </cell>
          <cell r="D1026" t="str">
            <v xml:space="preserve">B </v>
          </cell>
        </row>
        <row r="1027">
          <cell r="A1027" t="str">
            <v xml:space="preserve">SKIPWNT-3.0G-P1000 </v>
          </cell>
          <cell r="B1027" t="str">
            <v xml:space="preserve">SKP3.0 WIN/NT GLB CD DOC 1K LI </v>
          </cell>
          <cell r="C1027">
            <v>55993</v>
          </cell>
          <cell r="D1027" t="str">
            <v xml:space="preserve">B </v>
          </cell>
        </row>
        <row r="1028">
          <cell r="A1028" t="str">
            <v xml:space="preserve">SKIPWNT-3.0GP10000 </v>
          </cell>
          <cell r="B1028" t="str">
            <v xml:space="preserve">SKP3.0 WIN/NT GBL CD DOC 10K L </v>
          </cell>
          <cell r="C1028">
            <v>490000</v>
          </cell>
          <cell r="D1028" t="str">
            <v xml:space="preserve">B </v>
          </cell>
        </row>
        <row r="1029">
          <cell r="A1029" t="str">
            <v xml:space="preserve">SLS9S-100-9999 </v>
          </cell>
          <cell r="B1029" t="str">
            <v xml:space="preserve">PC NetLink E4X00,E5X00,E6X00 </v>
          </cell>
          <cell r="C1029">
            <v>8393</v>
          </cell>
          <cell r="D1029" t="str">
            <v xml:space="preserve">B </v>
          </cell>
        </row>
        <row r="1030">
          <cell r="A1030" t="str">
            <v xml:space="preserve">SLS9S-100-999M </v>
          </cell>
          <cell r="B1030" t="str">
            <v xml:space="preserve">PC NetLink E4X00, E5X00, E6X00 </v>
          </cell>
          <cell r="C1030">
            <v>8393</v>
          </cell>
          <cell r="D1030" t="str">
            <v xml:space="preserve">B </v>
          </cell>
        </row>
        <row r="1031">
          <cell r="A1031" t="str">
            <v xml:space="preserve">SLS9S-100-99U9 </v>
          </cell>
          <cell r="B1031" t="str">
            <v xml:space="preserve">PC NetLink Upgrade from (TAS) </v>
          </cell>
          <cell r="C1031">
            <v>0</v>
          </cell>
          <cell r="D1031" t="str">
            <v xml:space="preserve">D </v>
          </cell>
        </row>
        <row r="1032">
          <cell r="A1032" t="str">
            <v xml:space="preserve">SLS9S-100-99UM </v>
          </cell>
          <cell r="B1032" t="str">
            <v xml:space="preserve">Upgrade from TAS to PC Netlink </v>
          </cell>
          <cell r="C1032">
            <v>0</v>
          </cell>
          <cell r="D1032" t="str">
            <v xml:space="preserve">D </v>
          </cell>
        </row>
        <row r="1033">
          <cell r="A1033" t="str">
            <v xml:space="preserve">SLS9S-100-E9U9 </v>
          </cell>
          <cell r="B1033" t="str">
            <v xml:space="preserve">PC NetLink Inst. Base E3X00 </v>
          </cell>
          <cell r="C1033">
            <v>4193</v>
          </cell>
          <cell r="D1033" t="str">
            <v xml:space="preserve">B </v>
          </cell>
        </row>
        <row r="1034">
          <cell r="A1034" t="str">
            <v xml:space="preserve">SLS9S-100-E9UM </v>
          </cell>
          <cell r="B1034" t="str">
            <v xml:space="preserve">PC NetLink Inst. Base 3x00 </v>
          </cell>
          <cell r="C1034">
            <v>4193</v>
          </cell>
          <cell r="D1034" t="str">
            <v xml:space="preserve">B </v>
          </cell>
        </row>
        <row r="1035">
          <cell r="A1035" t="str">
            <v xml:space="preserve">SLS9S-100-S999 </v>
          </cell>
          <cell r="B1035" t="str">
            <v xml:space="preserve">PC NetLink E10000 </v>
          </cell>
          <cell r="C1035">
            <v>13993</v>
          </cell>
          <cell r="D1035" t="str">
            <v xml:space="preserve">B </v>
          </cell>
        </row>
        <row r="1036">
          <cell r="A1036" t="str">
            <v xml:space="preserve">SLS9S-100-S99M </v>
          </cell>
          <cell r="B1036" t="str">
            <v xml:space="preserve">PC NetLink for E10K </v>
          </cell>
          <cell r="C1036">
            <v>13993</v>
          </cell>
          <cell r="D1036" t="str">
            <v xml:space="preserve">B </v>
          </cell>
        </row>
        <row r="1037">
          <cell r="A1037" t="str">
            <v xml:space="preserve">SLS9S-100-W999 </v>
          </cell>
          <cell r="B1037" t="str">
            <v xml:space="preserve">Solaris PC NetLink NewE5-E3500 </v>
          </cell>
          <cell r="C1037">
            <v>0</v>
          </cell>
          <cell r="D1037" t="str">
            <v xml:space="preserve">D </v>
          </cell>
        </row>
        <row r="1038">
          <cell r="A1038" t="str">
            <v xml:space="preserve">SLS9S-100-W99M </v>
          </cell>
          <cell r="B1038" t="str">
            <v xml:space="preserve">Solaris PC NetLink New E5-3500 </v>
          </cell>
          <cell r="C1038">
            <v>0</v>
          </cell>
          <cell r="D1038" t="str">
            <v xml:space="preserve">D </v>
          </cell>
        </row>
        <row r="1039">
          <cell r="A1039" t="str">
            <v xml:space="preserve">SLS9S-100-W9U9 </v>
          </cell>
          <cell r="B1039" t="str">
            <v xml:space="preserve">PC Netlink Inst Base E5 - E450 </v>
          </cell>
          <cell r="C1039">
            <v>2093</v>
          </cell>
          <cell r="D1039" t="str">
            <v xml:space="preserve">B </v>
          </cell>
        </row>
        <row r="1040">
          <cell r="A1040" t="str">
            <v xml:space="preserve">SLS9S-100-W9UM </v>
          </cell>
          <cell r="B1040" t="str">
            <v xml:space="preserve">PC NetLink Inst Base E5-E450 </v>
          </cell>
          <cell r="C1040">
            <v>2093</v>
          </cell>
          <cell r="D1040" t="str">
            <v xml:space="preserve">B </v>
          </cell>
        </row>
        <row r="1041">
          <cell r="A1041" t="str">
            <v xml:space="preserve">SNCC9-311-9999 </v>
          </cell>
          <cell r="B1041" t="str">
            <v xml:space="preserve">SNC 3.1.1, 100LIC </v>
          </cell>
          <cell r="C1041">
            <v>22400</v>
          </cell>
          <cell r="D1041" t="str">
            <v xml:space="preserve">B </v>
          </cell>
        </row>
        <row r="1042">
          <cell r="A1042" t="str">
            <v xml:space="preserve">SNCC9-311-99U9 </v>
          </cell>
          <cell r="B1042" t="str">
            <v xml:space="preserve">UG SNC 3.1.1, 100LIC </v>
          </cell>
          <cell r="C1042">
            <v>4060</v>
          </cell>
          <cell r="D1042" t="str">
            <v xml:space="preserve">B </v>
          </cell>
        </row>
        <row r="1043">
          <cell r="A1043" t="str">
            <v xml:space="preserve">SNCC9-320-9999 </v>
          </cell>
          <cell r="B1043" t="str">
            <v xml:space="preserve">SNC 3.2 100 USER RTU </v>
          </cell>
          <cell r="C1043">
            <v>22400</v>
          </cell>
          <cell r="D1043" t="str">
            <v xml:space="preserve">B </v>
          </cell>
        </row>
        <row r="1044">
          <cell r="A1044" t="str">
            <v xml:space="preserve">SNCC9-320-99T9 </v>
          </cell>
          <cell r="B1044" t="str">
            <v xml:space="preserve">SNC 3.2 IGRD, 100 RTU </v>
          </cell>
          <cell r="C1044">
            <v>16100</v>
          </cell>
          <cell r="D1044" t="str">
            <v xml:space="preserve">B </v>
          </cell>
        </row>
        <row r="1045">
          <cell r="A1045" t="str">
            <v xml:space="preserve">SNCC9-320-99U9 </v>
          </cell>
          <cell r="B1045" t="str">
            <v xml:space="preserve">SNC 3.2 UGRD, 100 RTU </v>
          </cell>
          <cell r="C1045">
            <v>4060</v>
          </cell>
          <cell r="D1045" t="str">
            <v xml:space="preserve">B </v>
          </cell>
        </row>
        <row r="1046">
          <cell r="A1046" t="str">
            <v xml:space="preserve">SNCF9-311-9999 </v>
          </cell>
          <cell r="B1046" t="str">
            <v xml:space="preserve">SNC 3.1.1, 500LIC </v>
          </cell>
          <cell r="C1046">
            <v>84000</v>
          </cell>
          <cell r="D1046" t="str">
            <v xml:space="preserve">B </v>
          </cell>
        </row>
        <row r="1047">
          <cell r="A1047" t="str">
            <v xml:space="preserve">SNCF9-320-9999 </v>
          </cell>
          <cell r="B1047" t="str">
            <v xml:space="preserve">SNC 3.2 500 USER RTU </v>
          </cell>
          <cell r="C1047">
            <v>84000</v>
          </cell>
          <cell r="D1047" t="str">
            <v xml:space="preserve">B </v>
          </cell>
        </row>
        <row r="1048">
          <cell r="A1048" t="str">
            <v xml:space="preserve">SNCF9-320-99T9 </v>
          </cell>
          <cell r="B1048" t="str">
            <v xml:space="preserve">SNC 3.2 IGRD, 500 RTU </v>
          </cell>
          <cell r="C1048">
            <v>55300</v>
          </cell>
          <cell r="D1048" t="str">
            <v xml:space="preserve">B </v>
          </cell>
        </row>
        <row r="1049">
          <cell r="A1049" t="str">
            <v xml:space="preserve">SNCF9-320-99U9 </v>
          </cell>
          <cell r="B1049" t="str">
            <v xml:space="preserve">SNC 3.2 UGRD, 500 RTU </v>
          </cell>
          <cell r="C1049">
            <v>15050</v>
          </cell>
          <cell r="D1049" t="str">
            <v xml:space="preserve">B </v>
          </cell>
        </row>
        <row r="1050">
          <cell r="A1050" t="str">
            <v xml:space="preserve">SNCI9-311E9999 </v>
          </cell>
          <cell r="B1050" t="str">
            <v xml:space="preserve">SNC 3.1.1 CTRLD, CD DOC LI </v>
          </cell>
          <cell r="C1050">
            <v>419</v>
          </cell>
          <cell r="D1050" t="str">
            <v xml:space="preserve">B </v>
          </cell>
        </row>
        <row r="1051">
          <cell r="A1051" t="str">
            <v xml:space="preserve">SNCI9-311E99U9 </v>
          </cell>
          <cell r="B1051" t="str">
            <v xml:space="preserve">UG SNC 3.1.1 CNTRL, CD DOC LI </v>
          </cell>
          <cell r="C1051">
            <v>125</v>
          </cell>
          <cell r="D1051" t="str">
            <v xml:space="preserve">B </v>
          </cell>
        </row>
        <row r="1052">
          <cell r="A1052" t="str">
            <v xml:space="preserve">SNCI9-311I9999 </v>
          </cell>
          <cell r="B1052" t="str">
            <v xml:space="preserve">SNC 3.1.1 GLOBAL-1, CD DOC LI </v>
          </cell>
          <cell r="C1052">
            <v>419</v>
          </cell>
          <cell r="D1052" t="str">
            <v xml:space="preserve">B </v>
          </cell>
        </row>
        <row r="1053">
          <cell r="A1053" t="str">
            <v xml:space="preserve">SNCI9-311I99U9 </v>
          </cell>
          <cell r="B1053" t="str">
            <v xml:space="preserve">UG SNC 3.1.1 GLOBAL-1,CD DOCLI </v>
          </cell>
          <cell r="C1053">
            <v>125</v>
          </cell>
          <cell r="D1053" t="str">
            <v xml:space="preserve">B </v>
          </cell>
        </row>
        <row r="1054">
          <cell r="A1054" t="str">
            <v xml:space="preserve">SNCI9-311W9999 </v>
          </cell>
          <cell r="B1054" t="str">
            <v xml:space="preserve">SNC 3.1.1 GLOBAL, CD DOC LI </v>
          </cell>
          <cell r="C1054">
            <v>419</v>
          </cell>
          <cell r="D1054" t="str">
            <v xml:space="preserve">B </v>
          </cell>
        </row>
        <row r="1055">
          <cell r="A1055" t="str">
            <v xml:space="preserve">SNCI9-311W99U9 </v>
          </cell>
          <cell r="B1055" t="str">
            <v xml:space="preserve">UG SNC 3.1.1 GLOBAL, CD DOC LI </v>
          </cell>
          <cell r="C1055">
            <v>125</v>
          </cell>
          <cell r="D1055" t="str">
            <v xml:space="preserve">B </v>
          </cell>
        </row>
        <row r="1056">
          <cell r="A1056" t="str">
            <v xml:space="preserve">SNCI9-320-99T9 </v>
          </cell>
          <cell r="B1056" t="str">
            <v xml:space="preserve">SNC 3.2 IGRD, 1 RTU </v>
          </cell>
          <cell r="C1056">
            <v>308</v>
          </cell>
          <cell r="D1056" t="str">
            <v xml:space="preserve">B </v>
          </cell>
        </row>
        <row r="1057">
          <cell r="A1057" t="str">
            <v xml:space="preserve">SNCI9-320E9999 </v>
          </cell>
          <cell r="B1057" t="str">
            <v xml:space="preserve">SNC 3.2 CTRLD, CD DOC LI </v>
          </cell>
          <cell r="C1057">
            <v>419</v>
          </cell>
          <cell r="D1057" t="str">
            <v xml:space="preserve">B </v>
          </cell>
        </row>
        <row r="1058">
          <cell r="A1058" t="str">
            <v xml:space="preserve">SNCI9-320E99U9 </v>
          </cell>
          <cell r="B1058" t="str">
            <v xml:space="preserve">SNC 3.2 CTLD, UGRD, CD DOC, LI </v>
          </cell>
          <cell r="C1058">
            <v>125</v>
          </cell>
          <cell r="D1058" t="str">
            <v xml:space="preserve">B </v>
          </cell>
        </row>
        <row r="1059">
          <cell r="A1059" t="str">
            <v xml:space="preserve">SNCI9-320E9D99 </v>
          </cell>
          <cell r="B1059" t="str">
            <v xml:space="preserve">SNC 3.2 CD, DOC, 30 DA EVAL LI </v>
          </cell>
          <cell r="C1059">
            <v>70</v>
          </cell>
          <cell r="D1059" t="str">
            <v xml:space="preserve">B </v>
          </cell>
        </row>
        <row r="1060">
          <cell r="A1060" t="str">
            <v xml:space="preserve">SNCI9-320I999A </v>
          </cell>
          <cell r="B1060" t="str">
            <v xml:space="preserve">SNC 3.2 GLOBAL 1, CD DOC LI </v>
          </cell>
          <cell r="C1060">
            <v>419</v>
          </cell>
          <cell r="D1060" t="str">
            <v xml:space="preserve">B </v>
          </cell>
        </row>
        <row r="1061">
          <cell r="A1061" t="str">
            <v xml:space="preserve">SNCI9-320I99UA </v>
          </cell>
          <cell r="B1061" t="str">
            <v xml:space="preserve">SNC 3.2 GBL1, UGRD, CD DOC, LI </v>
          </cell>
          <cell r="C1061">
            <v>125</v>
          </cell>
          <cell r="D1061" t="str">
            <v xml:space="preserve">B </v>
          </cell>
        </row>
        <row r="1062">
          <cell r="A1062" t="str">
            <v xml:space="preserve">SNCI9-320I9D9A </v>
          </cell>
          <cell r="B1062" t="str">
            <v xml:space="preserve">SNC 3.2 GBL-1 CD DOC EVAL </v>
          </cell>
          <cell r="C1062">
            <v>70</v>
          </cell>
          <cell r="D1062" t="str">
            <v xml:space="preserve">B </v>
          </cell>
        </row>
        <row r="1063">
          <cell r="A1063" t="str">
            <v xml:space="preserve">SNCI9-320W999B </v>
          </cell>
          <cell r="B1063" t="str">
            <v xml:space="preserve">SNC 3.2 GLOBAL, CD DOC LI </v>
          </cell>
          <cell r="C1063">
            <v>419</v>
          </cell>
          <cell r="D1063" t="str">
            <v xml:space="preserve">B </v>
          </cell>
        </row>
        <row r="1064">
          <cell r="A1064" t="str">
            <v xml:space="preserve">SNCI9-320W99UB </v>
          </cell>
          <cell r="B1064" t="str">
            <v xml:space="preserve">SNC 3.2 GBL, UGRD, CD DOC, LI </v>
          </cell>
          <cell r="C1064">
            <v>125</v>
          </cell>
          <cell r="D1064" t="str">
            <v xml:space="preserve">B </v>
          </cell>
        </row>
        <row r="1065">
          <cell r="A1065" t="str">
            <v xml:space="preserve">SNCI9-320W9D9B </v>
          </cell>
          <cell r="B1065" t="str">
            <v xml:space="preserve">SNC 3.2 GLOBAL, 30 DA EVAL LI </v>
          </cell>
          <cell r="C1065">
            <v>70</v>
          </cell>
          <cell r="D1065" t="str">
            <v xml:space="preserve">B </v>
          </cell>
        </row>
        <row r="1066">
          <cell r="A1066" t="str">
            <v xml:space="preserve">SNCV9-320-9999 </v>
          </cell>
          <cell r="B1066" t="str">
            <v xml:space="preserve">SNC 3.2 5 USER RTU </v>
          </cell>
          <cell r="C1066">
            <v>1750</v>
          </cell>
          <cell r="D1066" t="str">
            <v xml:space="preserve">B </v>
          </cell>
        </row>
        <row r="1067">
          <cell r="A1067" t="str">
            <v xml:space="preserve">SNCV9-320-99T9 </v>
          </cell>
          <cell r="B1067" t="str">
            <v xml:space="preserve">SNC 3.2 IGRD, 5 RTU </v>
          </cell>
          <cell r="C1067">
            <v>1393</v>
          </cell>
          <cell r="D1067" t="str">
            <v xml:space="preserve">B </v>
          </cell>
        </row>
        <row r="1068">
          <cell r="A1068" t="str">
            <v xml:space="preserve">SNCV9-320-99U9 </v>
          </cell>
          <cell r="B1068" t="str">
            <v xml:space="preserve">SNC 3.2 UGRD, 5 RTU </v>
          </cell>
          <cell r="C1068">
            <v>315</v>
          </cell>
          <cell r="D1068" t="str">
            <v xml:space="preserve">B </v>
          </cell>
        </row>
        <row r="1069">
          <cell r="A1069" t="str">
            <v xml:space="preserve">SNCX9-311-9999 </v>
          </cell>
          <cell r="B1069" t="str">
            <v xml:space="preserve">SNC 3.1.1, 10LIC </v>
          </cell>
          <cell r="C1069">
            <v>3220</v>
          </cell>
          <cell r="D1069" t="str">
            <v xml:space="preserve">B </v>
          </cell>
        </row>
        <row r="1070">
          <cell r="A1070" t="str">
            <v xml:space="preserve">SNCX9-311-99U9 </v>
          </cell>
          <cell r="B1070" t="str">
            <v xml:space="preserve">UG SNC 3.1.1, 10LIC </v>
          </cell>
          <cell r="C1070">
            <v>581</v>
          </cell>
          <cell r="D1070" t="str">
            <v xml:space="preserve">B </v>
          </cell>
        </row>
        <row r="1071">
          <cell r="A1071" t="str">
            <v xml:space="preserve">SNCX9-320-9999 </v>
          </cell>
          <cell r="B1071" t="str">
            <v xml:space="preserve">SNC 3.2 10 USER RTU </v>
          </cell>
          <cell r="C1071">
            <v>3220</v>
          </cell>
          <cell r="D1071" t="str">
            <v xml:space="preserve">B </v>
          </cell>
        </row>
        <row r="1072">
          <cell r="A1072" t="str">
            <v xml:space="preserve">SNCX9-320-99T9 </v>
          </cell>
          <cell r="B1072" t="str">
            <v xml:space="preserve">SNC 3.2 IGRD, 10 RTU </v>
          </cell>
          <cell r="C1072">
            <v>2520</v>
          </cell>
          <cell r="D1072" t="str">
            <v xml:space="preserve">B </v>
          </cell>
        </row>
        <row r="1073">
          <cell r="A1073" t="str">
            <v xml:space="preserve">SNCX9-320-99U9 </v>
          </cell>
          <cell r="B1073" t="str">
            <v xml:space="preserve">SNC 3.2 UGRD, 10 RTU </v>
          </cell>
          <cell r="C1073">
            <v>581</v>
          </cell>
          <cell r="D1073" t="str">
            <v xml:space="preserve">B </v>
          </cell>
        </row>
        <row r="1074">
          <cell r="A1074" t="str">
            <v xml:space="preserve">SNCY9-320-9999 </v>
          </cell>
          <cell r="B1074" t="str">
            <v xml:space="preserve">SNC 3.2 25 USER RTU </v>
          </cell>
          <cell r="C1074">
            <v>7000</v>
          </cell>
          <cell r="D1074" t="str">
            <v xml:space="preserve">B </v>
          </cell>
        </row>
        <row r="1075">
          <cell r="A1075" t="str">
            <v xml:space="preserve">SNCY9-320-99T9 </v>
          </cell>
          <cell r="B1075" t="str">
            <v xml:space="preserve">SNC 3.2 IGRD, 25 RTU </v>
          </cell>
          <cell r="C1075">
            <v>5320</v>
          </cell>
          <cell r="D1075" t="str">
            <v xml:space="preserve">B </v>
          </cell>
        </row>
        <row r="1076">
          <cell r="A1076" t="str">
            <v xml:space="preserve">SNCY9-320-99U9 </v>
          </cell>
          <cell r="B1076" t="str">
            <v xml:space="preserve">SNC 3.2 UGRD, 25 RTU </v>
          </cell>
          <cell r="C1076">
            <v>1260</v>
          </cell>
          <cell r="D1076" t="str">
            <v xml:space="preserve">B </v>
          </cell>
        </row>
        <row r="1077">
          <cell r="A1077" t="str">
            <v xml:space="preserve">SNM-2.3-D </v>
          </cell>
          <cell r="B1077" t="str">
            <v xml:space="preserve">DOMAIN MANAGER 2.3 DOCS </v>
          </cell>
          <cell r="C1077">
            <v>195</v>
          </cell>
          <cell r="D1077" t="str">
            <v xml:space="preserve">D </v>
          </cell>
        </row>
        <row r="1078">
          <cell r="A1078" t="str">
            <v xml:space="preserve">SNM-DM-2.3-P </v>
          </cell>
          <cell r="B1078" t="str">
            <v xml:space="preserve">DOMAIN MGR 2.3 SOL 2,CD DOC LI </v>
          </cell>
          <cell r="C1078">
            <v>13993</v>
          </cell>
          <cell r="D1078" t="str">
            <v xml:space="preserve">B </v>
          </cell>
        </row>
        <row r="1079">
          <cell r="A1079" t="str">
            <v xml:space="preserve">SNM-DM-2.3-PU </v>
          </cell>
          <cell r="B1079" t="str">
            <v xml:space="preserve">UG DOMAIN MGR 2.3, CD DOC LI </v>
          </cell>
          <cell r="C1079">
            <v>5593</v>
          </cell>
          <cell r="D1079" t="str">
            <v xml:space="preserve">B </v>
          </cell>
        </row>
        <row r="1080">
          <cell r="A1080" t="str">
            <v xml:space="preserve">SNM-NM-2.3-P </v>
          </cell>
          <cell r="B1080" t="str">
            <v xml:space="preserve">SUNNET MGR 2.3 SOL 2,CD DOC LI </v>
          </cell>
          <cell r="C1080">
            <v>9793</v>
          </cell>
          <cell r="D1080" t="str">
            <v xml:space="preserve">B </v>
          </cell>
        </row>
        <row r="1081">
          <cell r="A1081" t="str">
            <v xml:space="preserve">SNM-SM-2.3-P </v>
          </cell>
          <cell r="B1081" t="str">
            <v xml:space="preserve">SITE MGR. 2.3 SOL 2, CD DOC LI </v>
          </cell>
          <cell r="C1081">
            <v>2793</v>
          </cell>
          <cell r="D1081" t="str">
            <v xml:space="preserve">B </v>
          </cell>
        </row>
        <row r="1082">
          <cell r="A1082" t="str">
            <v xml:space="preserve">SNM-SM-2.3-PU </v>
          </cell>
          <cell r="B1082" t="str">
            <v xml:space="preserve">UG SITE MGR 2.3 SOL2,CD DOC LI </v>
          </cell>
          <cell r="C1082">
            <v>1113</v>
          </cell>
          <cell r="D1082" t="str">
            <v xml:space="preserve">B </v>
          </cell>
        </row>
        <row r="1083">
          <cell r="A1083" t="str">
            <v xml:space="preserve">SNV-9.1-P </v>
          </cell>
          <cell r="B1083" t="str">
            <v xml:space="preserve">SUNLINK SNA/SNM 9.1, CD DOC LI </v>
          </cell>
          <cell r="C1083">
            <v>12994</v>
          </cell>
          <cell r="D1083" t="str">
            <v xml:space="preserve">B </v>
          </cell>
        </row>
        <row r="1084">
          <cell r="A1084" t="str">
            <v xml:space="preserve">SOL-2.5.1APR97-D </v>
          </cell>
          <cell r="B1084" t="str">
            <v xml:space="preserve">MNL ASSY,SOL2.5.1 DOCUBOX </v>
          </cell>
          <cell r="C1084">
            <v>1554</v>
          </cell>
          <cell r="D1084" t="str">
            <v xml:space="preserve">B </v>
          </cell>
        </row>
        <row r="1085">
          <cell r="A1085" t="str">
            <v xml:space="preserve">SOL-2.5.1AUG97-D </v>
          </cell>
          <cell r="B1085" t="str">
            <v xml:space="preserve">SOLARIS 2.5.1 HW8/97 DOCS </v>
          </cell>
          <cell r="C1085">
            <v>1554</v>
          </cell>
          <cell r="D1085" t="str">
            <v xml:space="preserve">B </v>
          </cell>
        </row>
        <row r="1086">
          <cell r="A1086" t="str">
            <v xml:space="preserve">SOL-2.5.1NOV97-D </v>
          </cell>
          <cell r="B1086" t="str">
            <v xml:space="preserve">FULL ENGLISH DOCUMETATION SET </v>
          </cell>
          <cell r="C1086">
            <v>1554</v>
          </cell>
          <cell r="D1086" t="str">
            <v xml:space="preserve">B </v>
          </cell>
        </row>
        <row r="1087">
          <cell r="A1087" t="str">
            <v xml:space="preserve">SOL-2.5MAY96-D </v>
          </cell>
          <cell r="B1087" t="str">
            <v xml:space="preserve">MNL ASSY,SOL2.5.1 DOCUBOX </v>
          </cell>
          <cell r="C1087">
            <v>1554</v>
          </cell>
          <cell r="D1087" t="str">
            <v xml:space="preserve">B </v>
          </cell>
        </row>
        <row r="1088">
          <cell r="A1088" t="str">
            <v xml:space="preserve">SOL-2.6-45-ED </v>
          </cell>
          <cell r="B1088" t="str">
            <v xml:space="preserve">SOLARIS 2.6 KOREAN USERDOCS </v>
          </cell>
          <cell r="C1088">
            <v>325</v>
          </cell>
          <cell r="D1088" t="str">
            <v xml:space="preserve">B </v>
          </cell>
        </row>
        <row r="1089">
          <cell r="A1089" t="str">
            <v xml:space="preserve">SOL-2.6-D </v>
          </cell>
          <cell r="B1089" t="str">
            <v xml:space="preserve">SOLARIS 2.6 US FULL DOCS </v>
          </cell>
          <cell r="C1089">
            <v>1944</v>
          </cell>
          <cell r="D1089" t="str">
            <v xml:space="preserve">B </v>
          </cell>
        </row>
        <row r="1090">
          <cell r="A1090" t="str">
            <v xml:space="preserve">SOL-2.6-ED </v>
          </cell>
          <cell r="B1090" t="str">
            <v xml:space="preserve">SOLARIS 2.6 US USERDOCS </v>
          </cell>
          <cell r="C1090">
            <v>130</v>
          </cell>
          <cell r="D1090" t="str">
            <v xml:space="preserve">B </v>
          </cell>
        </row>
        <row r="1091">
          <cell r="A1091" t="str">
            <v xml:space="preserve">SOL-BT-2X-P20-D </v>
          </cell>
          <cell r="B1091" t="str">
            <v xml:space="preserve">ENG OPENBOOT 2.X REFGUIDE 20PK </v>
          </cell>
          <cell r="C1091">
            <v>72</v>
          </cell>
          <cell r="D1091" t="str">
            <v xml:space="preserve">B </v>
          </cell>
        </row>
        <row r="1092">
          <cell r="A1092" t="str">
            <v xml:space="preserve">SOL-BT-3X-P20-D </v>
          </cell>
          <cell r="B1092" t="str">
            <v xml:space="preserve">ENG OPENBOOT 3.X REFGUIDE 20PK </v>
          </cell>
          <cell r="C1092">
            <v>72</v>
          </cell>
          <cell r="D1092" t="str">
            <v xml:space="preserve">B </v>
          </cell>
        </row>
        <row r="1093">
          <cell r="A1093" t="str">
            <v xml:space="preserve">SOL-DTWG-LU </v>
          </cell>
          <cell r="B1093" t="str">
            <v xml:space="preserve">SOL DT TO WG SVR UPGD </v>
          </cell>
          <cell r="C1093">
            <v>2334</v>
          </cell>
          <cell r="D1093" t="str">
            <v xml:space="preserve">A </v>
          </cell>
        </row>
        <row r="1094">
          <cell r="A1094" t="str">
            <v xml:space="preserve">SOL-E450-D </v>
          </cell>
          <cell r="B1094" t="str">
            <v xml:space="preserve">E450 SOLARIS MEDIA KIT SUPP </v>
          </cell>
          <cell r="C1094">
            <v>0</v>
          </cell>
          <cell r="D1094" t="str">
            <v xml:space="preserve">D </v>
          </cell>
        </row>
        <row r="1095">
          <cell r="A1095" t="str">
            <v xml:space="preserve">SOL9S-999WC9U9 </v>
          </cell>
          <cell r="B1095" t="str">
            <v xml:space="preserve">SOLARIS 33-64CPU SRV LIC UPG </v>
          </cell>
          <cell r="C1095">
            <v>117000</v>
          </cell>
          <cell r="D1095" t="str">
            <v xml:space="preserve">A </v>
          </cell>
        </row>
        <row r="1096">
          <cell r="A1096" t="str">
            <v xml:space="preserve">SOL9S-999WD9U9 </v>
          </cell>
          <cell r="B1096" t="str">
            <v xml:space="preserve">SOLARIS DESKTOP UPGRADE - 1RTU </v>
          </cell>
          <cell r="C1096">
            <v>319</v>
          </cell>
          <cell r="D1096" t="str">
            <v xml:space="preserve">A </v>
          </cell>
        </row>
        <row r="1097">
          <cell r="A1097" t="str">
            <v xml:space="preserve">SOL9S-999WI9U9 </v>
          </cell>
          <cell r="B1097" t="str">
            <v xml:space="preserve">SOLARIS WG SERVER UPGRADE 1RTU </v>
          </cell>
          <cell r="C1097">
            <v>3192</v>
          </cell>
          <cell r="D1097" t="str">
            <v xml:space="preserve">A </v>
          </cell>
        </row>
        <row r="1098">
          <cell r="A1098" t="str">
            <v xml:space="preserve">SOL9S-999WL9U9 </v>
          </cell>
          <cell r="B1098" t="str">
            <v xml:space="preserve">SOLARIS 17-32CPU SRV LIC UPG </v>
          </cell>
          <cell r="C1098">
            <v>42120</v>
          </cell>
          <cell r="D1098" t="str">
            <v xml:space="preserve">A </v>
          </cell>
        </row>
        <row r="1099">
          <cell r="A1099" t="str">
            <v xml:space="preserve">SOL9S-999WX9U9 </v>
          </cell>
          <cell r="B1099" t="str">
            <v xml:space="preserve">SOLARIS 5-8CPU SRV LIC UPGRADE </v>
          </cell>
          <cell r="C1099">
            <v>4680</v>
          </cell>
          <cell r="D1099" t="str">
            <v xml:space="preserve">A </v>
          </cell>
        </row>
        <row r="1100">
          <cell r="A1100" t="str">
            <v xml:space="preserve">SOL9S-999WY9U9 </v>
          </cell>
          <cell r="B1100" t="str">
            <v xml:space="preserve">SOLARIS 9-16CPU SRV LIC UPG </v>
          </cell>
          <cell r="C1100">
            <v>16510</v>
          </cell>
          <cell r="D1100" t="str">
            <v xml:space="preserve">A </v>
          </cell>
        </row>
        <row r="1101">
          <cell r="A1101" t="str">
            <v xml:space="preserve">SOLC9-999-D99M </v>
          </cell>
          <cell r="B1101" t="str">
            <v xml:space="preserve">SOLARIS DESKTOP 100 RTU's </v>
          </cell>
          <cell r="C1101">
            <v>12870</v>
          </cell>
          <cell r="D1101" t="str">
            <v xml:space="preserve">A </v>
          </cell>
        </row>
        <row r="1102">
          <cell r="A1102" t="str">
            <v xml:space="preserve">SOLD-2.5.1APR97-45 </v>
          </cell>
          <cell r="B1102" t="str">
            <v xml:space="preserve">KOREAN SOLARIS 2.5.1 HW4/97 DT </v>
          </cell>
          <cell r="C1102">
            <v>325</v>
          </cell>
          <cell r="D1102" t="str">
            <v xml:space="preserve">A </v>
          </cell>
        </row>
        <row r="1103">
          <cell r="A1103" t="str">
            <v xml:space="preserve">SOLD-2.5.1AUG97-45 </v>
          </cell>
          <cell r="B1103" t="str">
            <v xml:space="preserve">KOREAN SOLARIS 2.5.1 HW8/97 DT </v>
          </cell>
          <cell r="C1103">
            <v>325</v>
          </cell>
          <cell r="D1103" t="str">
            <v xml:space="preserve">A </v>
          </cell>
        </row>
        <row r="1104">
          <cell r="A1104" t="str">
            <v xml:space="preserve">SOLD-2.5.1NOV97-45 </v>
          </cell>
          <cell r="B1104" t="str">
            <v xml:space="preserve">KOREAN SOLARIS 2.5.1 11/97 DT </v>
          </cell>
          <cell r="C1104">
            <v>325</v>
          </cell>
          <cell r="D1104" t="str">
            <v xml:space="preserve">A </v>
          </cell>
        </row>
        <row r="1105">
          <cell r="A1105" t="str">
            <v xml:space="preserve">SOLD-2.5MAY96-45 </v>
          </cell>
          <cell r="B1105" t="str">
            <v xml:space="preserve">CD ASSY,KO S2.5.1 HW5/96 DT </v>
          </cell>
          <cell r="C1105">
            <v>325</v>
          </cell>
          <cell r="D1105" t="str">
            <v xml:space="preserve">A </v>
          </cell>
        </row>
        <row r="1106">
          <cell r="A1106" t="str">
            <v xml:space="preserve">SOLD-2.6MAR98-45 </v>
          </cell>
          <cell r="B1106" t="str">
            <v xml:space="preserve">SOL 2.6 HW3/98 KOREAN DT </v>
          </cell>
          <cell r="C1106">
            <v>350</v>
          </cell>
          <cell r="D1106" t="str">
            <v xml:space="preserve">A </v>
          </cell>
        </row>
        <row r="1107">
          <cell r="A1107" t="str">
            <v xml:space="preserve">SOLD9-070-9999 </v>
          </cell>
          <cell r="B1107" t="str">
            <v xml:space="preserve">SOLARIS 7 FULL DOC SET </v>
          </cell>
          <cell r="C1107">
            <v>1944</v>
          </cell>
          <cell r="D1107" t="str">
            <v xml:space="preserve">B </v>
          </cell>
        </row>
        <row r="1108">
          <cell r="A1108" t="str">
            <v xml:space="preserve">SOLD9-070-R99H </v>
          </cell>
          <cell r="B1108" t="str">
            <v xml:space="preserve">SOLARIS 7 END USER DOC, KOREA </v>
          </cell>
          <cell r="C1108">
            <v>325</v>
          </cell>
          <cell r="D1108" t="str">
            <v xml:space="preserve">B </v>
          </cell>
        </row>
        <row r="1109">
          <cell r="A1109" t="str">
            <v xml:space="preserve">SOLDS-070-T99C </v>
          </cell>
          <cell r="B1109" t="str">
            <v xml:space="preserve">SOLARIS 7 DEVELOPER DOC JAPAN </v>
          </cell>
          <cell r="C1109">
            <v>774</v>
          </cell>
          <cell r="D1109" t="str">
            <v xml:space="preserve">B </v>
          </cell>
        </row>
        <row r="1110">
          <cell r="A1110" t="str">
            <v xml:space="preserve">SOLE-2.5MAY96-P </v>
          </cell>
          <cell r="B1110" t="str">
            <v xml:space="preserve">SW,S2.5.1,DES,BINARY </v>
          </cell>
          <cell r="C1110">
            <v>130</v>
          </cell>
          <cell r="D1110" t="str">
            <v xml:space="preserve">A </v>
          </cell>
        </row>
        <row r="1111">
          <cell r="A1111" t="str">
            <v xml:space="preserve">SOLE-2.6-P </v>
          </cell>
          <cell r="B1111" t="str">
            <v xml:space="preserve">SOLARIS 2.6 ENCRYPTION KIT </v>
          </cell>
          <cell r="C1111">
            <v>130</v>
          </cell>
          <cell r="D1111" t="str">
            <v xml:space="preserve">B </v>
          </cell>
        </row>
        <row r="1112">
          <cell r="A1112" t="str">
            <v xml:space="preserve">SOLIS-92D-W9UM </v>
          </cell>
          <cell r="B1112" t="str">
            <v xml:space="preserve">SOLARIS 2YR SUBSW/UPG WGSV 4 </v>
          </cell>
          <cell r="C1112">
            <v>3764</v>
          </cell>
          <cell r="D1112" t="str">
            <v xml:space="preserve">B </v>
          </cell>
        </row>
        <row r="1113">
          <cell r="A1113" t="str">
            <v xml:space="preserve">SOLL9-999-D99M </v>
          </cell>
          <cell r="B1113" t="str">
            <v xml:space="preserve">SOLARIS DESKTOP 50RTU's </v>
          </cell>
          <cell r="C1113">
            <v>7534</v>
          </cell>
          <cell r="D1113" t="str">
            <v xml:space="preserve">A </v>
          </cell>
        </row>
        <row r="1114">
          <cell r="A1114" t="str">
            <v xml:space="preserve">SOLMS-070W999H </v>
          </cell>
          <cell r="B1114" t="str">
            <v xml:space="preserve">SOLARIS 7 STD KOREAN SRVR </v>
          </cell>
          <cell r="C1114">
            <v>397</v>
          </cell>
          <cell r="D1114" t="str">
            <v xml:space="preserve">A </v>
          </cell>
        </row>
        <row r="1115">
          <cell r="A1115" t="str">
            <v xml:space="preserve">SOLMS-070WD99H </v>
          </cell>
          <cell r="B1115" t="str">
            <v xml:space="preserve">SOLARIS 7 STANDARD KOREAN DT </v>
          </cell>
          <cell r="C1115">
            <v>325</v>
          </cell>
          <cell r="D1115" t="str">
            <v xml:space="preserve">A </v>
          </cell>
        </row>
        <row r="1116">
          <cell r="A1116" t="str">
            <v xml:space="preserve">SOLMS-07AW999H </v>
          </cell>
          <cell r="B1116" t="str">
            <v xml:space="preserve">SOLARIS 7 10/98 KOREAN SRVR </v>
          </cell>
          <cell r="C1116">
            <v>397</v>
          </cell>
          <cell r="D1116" t="str">
            <v xml:space="preserve">A </v>
          </cell>
        </row>
        <row r="1117">
          <cell r="A1117" t="str">
            <v xml:space="preserve">SOLMS-07AWD99H </v>
          </cell>
          <cell r="B1117" t="str">
            <v xml:space="preserve">SOLARIS 7 10/98 KOREAN DT </v>
          </cell>
          <cell r="C1117">
            <v>325</v>
          </cell>
          <cell r="D1117" t="str">
            <v xml:space="preserve">A </v>
          </cell>
        </row>
        <row r="1118">
          <cell r="A1118" t="str">
            <v xml:space="preserve">SOLMS-07BW999H </v>
          </cell>
          <cell r="B1118" t="str">
            <v xml:space="preserve">Solaris 7 3/99 Korean Srvr </v>
          </cell>
          <cell r="C1118">
            <v>397</v>
          </cell>
          <cell r="D1118" t="str">
            <v xml:space="preserve">A </v>
          </cell>
        </row>
        <row r="1119">
          <cell r="A1119" t="str">
            <v xml:space="preserve">SOLMS-07BWD99H </v>
          </cell>
          <cell r="B1119" t="str">
            <v xml:space="preserve">Solaris 7 3/99 Korean DT </v>
          </cell>
          <cell r="C1119">
            <v>325</v>
          </cell>
          <cell r="D1119" t="str">
            <v xml:space="preserve">A </v>
          </cell>
        </row>
        <row r="1120">
          <cell r="A1120" t="str">
            <v xml:space="preserve">SOLMS-07CW999H </v>
          </cell>
          <cell r="B1120" t="str">
            <v xml:space="preserve">Solaris 7 5/99 Korean Srvr </v>
          </cell>
          <cell r="C1120">
            <v>397</v>
          </cell>
          <cell r="D1120" t="str">
            <v xml:space="preserve">A </v>
          </cell>
        </row>
        <row r="1121">
          <cell r="A1121" t="str">
            <v xml:space="preserve">SOLMS-07DW999H </v>
          </cell>
          <cell r="B1121" t="str">
            <v xml:space="preserve">Solaris 7 8/99 Korean Srvr </v>
          </cell>
          <cell r="C1121">
            <v>397</v>
          </cell>
          <cell r="D1121" t="str">
            <v xml:space="preserve">A </v>
          </cell>
        </row>
        <row r="1122">
          <cell r="A1122" t="str">
            <v xml:space="preserve">SOLMS-07CWD99H </v>
          </cell>
          <cell r="B1122" t="str">
            <v xml:space="preserve">Solaris 7 5/99 Korean DT </v>
          </cell>
          <cell r="C1122">
            <v>325</v>
          </cell>
          <cell r="D1122" t="str">
            <v xml:space="preserve">A </v>
          </cell>
        </row>
        <row r="1123">
          <cell r="A1123" t="str">
            <v xml:space="preserve">SOLMS-251W999H </v>
          </cell>
          <cell r="B1123" t="str">
            <v xml:space="preserve">KOREAN SOLARIS 2.5.1 STD SV </v>
          </cell>
          <cell r="C1123">
            <v>390</v>
          </cell>
          <cell r="D1123" t="str">
            <v xml:space="preserve">A </v>
          </cell>
        </row>
        <row r="1124">
          <cell r="A1124" t="str">
            <v xml:space="preserve">SOLMS-251WD99H </v>
          </cell>
          <cell r="B1124" t="str">
            <v xml:space="preserve">KOREAN SOLARIS 2.5.1 STD DT </v>
          </cell>
          <cell r="C1124">
            <v>325</v>
          </cell>
          <cell r="D1124" t="str">
            <v xml:space="preserve">A </v>
          </cell>
        </row>
        <row r="1125">
          <cell r="A1125" t="str">
            <v xml:space="preserve">SOLMS-260W999H </v>
          </cell>
          <cell r="B1125" t="str">
            <v xml:space="preserve">SOLARIS 2.6 STD KOREAN SRVR </v>
          </cell>
          <cell r="C1125">
            <v>397</v>
          </cell>
          <cell r="D1125" t="str">
            <v xml:space="preserve">A </v>
          </cell>
        </row>
        <row r="1126">
          <cell r="A1126" t="str">
            <v xml:space="preserve">SOLMS-260WD99H </v>
          </cell>
          <cell r="B1126" t="str">
            <v xml:space="preserve">SOLARIS 2.6 STANDARD KOREAN DT </v>
          </cell>
          <cell r="C1126">
            <v>325</v>
          </cell>
          <cell r="D1126" t="str">
            <v xml:space="preserve">A </v>
          </cell>
        </row>
        <row r="1127">
          <cell r="A1127" t="str">
            <v xml:space="preserve">SOLMS-26EW999H </v>
          </cell>
          <cell r="B1127" t="str">
            <v xml:space="preserve">SOLARIS 2.6 5/98 KOREAN SRVR </v>
          </cell>
          <cell r="C1127">
            <v>397</v>
          </cell>
          <cell r="D1127" t="str">
            <v xml:space="preserve">A </v>
          </cell>
        </row>
        <row r="1128">
          <cell r="A1128" t="str">
            <v xml:space="preserve">SOLMS-26EWD99H </v>
          </cell>
          <cell r="B1128" t="str">
            <v xml:space="preserve">SOLARIS 2.6 5/98 KOREAN DT </v>
          </cell>
          <cell r="C1128">
            <v>325</v>
          </cell>
          <cell r="D1128" t="str">
            <v xml:space="preserve">A </v>
          </cell>
        </row>
        <row r="1129">
          <cell r="A1129" t="str">
            <v xml:space="preserve">SOLMS-26ZW999H </v>
          </cell>
          <cell r="B1129" t="str">
            <v xml:space="preserve">SOL 2.6 BASE 08/97 KOREAN SVR </v>
          </cell>
          <cell r="C1129">
            <v>397</v>
          </cell>
          <cell r="D1129" t="str">
            <v xml:space="preserve">A </v>
          </cell>
        </row>
        <row r="1130">
          <cell r="A1130" t="str">
            <v>SOLZS-08BB9AYH</v>
          </cell>
          <cell r="B1130" t="str">
            <v>SOLARIS 8 6/00 KOREA MEDIA</v>
          </cell>
          <cell r="C1130">
            <v>397</v>
          </cell>
          <cell r="D1130" t="str">
            <v xml:space="preserve">A </v>
          </cell>
        </row>
        <row r="1131">
          <cell r="A1131" t="str">
            <v>SOLZS-080B9AYH</v>
          </cell>
          <cell r="B1131" t="str">
            <v>SOLARIS 8 6/00 KOREA MEDIA</v>
          </cell>
          <cell r="C1131">
            <v>397</v>
          </cell>
          <cell r="D1131" t="str">
            <v xml:space="preserve">A </v>
          </cell>
        </row>
        <row r="1132">
          <cell r="A1132" t="str">
            <v>SOL99-080-MAD9</v>
          </cell>
          <cell r="B1132" t="str">
            <v>SOLARIS 8 EN FULL Manul Set</v>
          </cell>
          <cell r="C1132">
            <v>1944</v>
          </cell>
          <cell r="D1132" t="str">
            <v xml:space="preserve">B </v>
          </cell>
        </row>
        <row r="1133">
          <cell r="A1133" t="str">
            <v xml:space="preserve">SOLMS-26ZWD99H </v>
          </cell>
          <cell r="B1133" t="str">
            <v xml:space="preserve">SOL 2.6 BASE 08/97 KOREAN DT </v>
          </cell>
          <cell r="C1133">
            <v>325</v>
          </cell>
          <cell r="D1133" t="str">
            <v xml:space="preserve">A </v>
          </cell>
        </row>
        <row r="1134">
          <cell r="A1134" t="str">
            <v xml:space="preserve">SOLS-2.5.1APR97-45 </v>
          </cell>
          <cell r="B1134" t="str">
            <v xml:space="preserve">KOREAN SOLARIS 2.5.1 HW4/97 SV </v>
          </cell>
          <cell r="C1134">
            <v>390</v>
          </cell>
          <cell r="D1134" t="str">
            <v xml:space="preserve">A </v>
          </cell>
        </row>
        <row r="1135">
          <cell r="A1135" t="str">
            <v xml:space="preserve">SOLS-2.5.1AUG97-45 </v>
          </cell>
          <cell r="B1135" t="str">
            <v xml:space="preserve">KOREAN SOLARIS 2.5.1 HW8/97 SV </v>
          </cell>
          <cell r="C1135">
            <v>390</v>
          </cell>
          <cell r="D1135" t="str">
            <v xml:space="preserve">A </v>
          </cell>
        </row>
        <row r="1136">
          <cell r="A1136" t="str">
            <v xml:space="preserve">SOLS-2.5.1NOV97-45 </v>
          </cell>
          <cell r="B1136" t="str">
            <v xml:space="preserve">KOREAN SOLARIS 2.5.1 11/97 SV </v>
          </cell>
          <cell r="C1136">
            <v>390</v>
          </cell>
          <cell r="D1136" t="str">
            <v xml:space="preserve">A </v>
          </cell>
        </row>
        <row r="1137">
          <cell r="A1137" t="str">
            <v xml:space="preserve">SOLS-2.5MAY96-45 </v>
          </cell>
          <cell r="B1137" t="str">
            <v xml:space="preserve">CD ASSY,KO S2.5.1 HW5/96 WGS </v>
          </cell>
          <cell r="C1137">
            <v>390</v>
          </cell>
          <cell r="D1137" t="str">
            <v xml:space="preserve">A </v>
          </cell>
        </row>
        <row r="1138">
          <cell r="A1138" t="str">
            <v xml:space="preserve">SOLS-2.6MAR98 </v>
          </cell>
          <cell r="B1138" t="str">
            <v xml:space="preserve">SOL 2.6 HW 3/98 ENG SVR </v>
          </cell>
          <cell r="C1138">
            <v>130</v>
          </cell>
          <cell r="D1138" t="str">
            <v xml:space="preserve">A </v>
          </cell>
        </row>
        <row r="1139">
          <cell r="A1139" t="str">
            <v xml:space="preserve">SOLS-2.6MAR98-45 </v>
          </cell>
          <cell r="B1139" t="str">
            <v xml:space="preserve">SOL 2.6 HW 3/98 KOREAN SVR </v>
          </cell>
          <cell r="C1139">
            <v>397</v>
          </cell>
          <cell r="D1139" t="str">
            <v xml:space="preserve">A </v>
          </cell>
        </row>
        <row r="1140">
          <cell r="A1140" t="str">
            <v xml:space="preserve">SOLSA-2.5.1-P </v>
          </cell>
          <cell r="B1140" t="str">
            <v xml:space="preserve">SW,S2.5.1,SPARC/X86,SYS AB,US </v>
          </cell>
          <cell r="C1140">
            <v>293</v>
          </cell>
          <cell r="D1140" t="str">
            <v xml:space="preserve">A </v>
          </cell>
        </row>
        <row r="1141">
          <cell r="A1141" t="str">
            <v xml:space="preserve">SOLSA-2.6-P </v>
          </cell>
          <cell r="B1141" t="str">
            <v xml:space="preserve">SOLARIS 2.6 US ADMINDOCS </v>
          </cell>
          <cell r="C1141">
            <v>293</v>
          </cell>
          <cell r="D1141" t="str">
            <v xml:space="preserve">A </v>
          </cell>
        </row>
        <row r="1142">
          <cell r="A1142" t="str">
            <v xml:space="preserve">SOLSIE-1.0-D </v>
          </cell>
          <cell r="B1142" t="str">
            <v xml:space="preserve">SOLARIS SV INTRANET EXT US DOC </v>
          </cell>
          <cell r="C1142">
            <v>390</v>
          </cell>
          <cell r="D1142" t="str">
            <v xml:space="preserve">B </v>
          </cell>
        </row>
        <row r="1143">
          <cell r="A1143" t="str">
            <v xml:space="preserve">SOLSIE-1.0-LE </v>
          </cell>
          <cell r="B1143" t="str">
            <v xml:space="preserve">SOLARIS SV INTRANET EXT LE EXP </v>
          </cell>
          <cell r="C1143">
            <v>774</v>
          </cell>
          <cell r="D1143" t="str">
            <v xml:space="preserve">A </v>
          </cell>
        </row>
        <row r="1144">
          <cell r="A1144" t="str">
            <v xml:space="preserve">SOLSIE-1.0-P </v>
          </cell>
          <cell r="B1144" t="str">
            <v xml:space="preserve">SOLARIS SV INTRANET EXT US </v>
          </cell>
          <cell r="C1144">
            <v>774</v>
          </cell>
          <cell r="D1144" t="str">
            <v xml:space="preserve">A </v>
          </cell>
        </row>
        <row r="1145">
          <cell r="A1145" t="str">
            <v xml:space="preserve">SOLSUB-DH </v>
          </cell>
          <cell r="B1145" t="str">
            <v xml:space="preserve">SOLARIS 1YR. SUBS DT HIGH </v>
          </cell>
          <cell r="C1145">
            <v>693</v>
          </cell>
          <cell r="D1145" t="str">
            <v xml:space="preserve">B </v>
          </cell>
        </row>
        <row r="1146">
          <cell r="A1146" t="str">
            <v xml:space="preserve">SOLSUB-DHU </v>
          </cell>
          <cell r="B1146" t="str">
            <v xml:space="preserve">SOLARIS 2YR SUBSW/UPG, DT HIGH </v>
          </cell>
          <cell r="C1146">
            <v>1155</v>
          </cell>
          <cell r="D1146" t="str">
            <v xml:space="preserve">B </v>
          </cell>
        </row>
        <row r="1147">
          <cell r="A1147" t="str">
            <v xml:space="preserve">SOLSUB-DHU-R10 </v>
          </cell>
          <cell r="B1147" t="str">
            <v xml:space="preserve">10RTU SOLARIS SUBSW/UPG, DT HG </v>
          </cell>
          <cell r="C1147">
            <v>10150</v>
          </cell>
          <cell r="D1147" t="str">
            <v xml:space="preserve">B </v>
          </cell>
        </row>
        <row r="1148">
          <cell r="A1148" t="str">
            <v xml:space="preserve">SOLSUB-DHU-R100 </v>
          </cell>
          <cell r="B1148" t="str">
            <v xml:space="preserve">100RTU SOLARIS SUBSW/UPG, DTHG </v>
          </cell>
          <cell r="C1148">
            <v>64400</v>
          </cell>
          <cell r="D1148" t="str">
            <v xml:space="preserve">B </v>
          </cell>
        </row>
        <row r="1149">
          <cell r="A1149" t="str">
            <v xml:space="preserve">SOLSUB-DHU-R50 </v>
          </cell>
          <cell r="B1149" t="str">
            <v xml:space="preserve">50RTU SOLARIS SUBSW/UPG, DT HG </v>
          </cell>
          <cell r="C1149">
            <v>42000</v>
          </cell>
          <cell r="D1149" t="str">
            <v xml:space="preserve">B </v>
          </cell>
        </row>
        <row r="1150">
          <cell r="A1150" t="str">
            <v xml:space="preserve">SOLSUB-DT </v>
          </cell>
          <cell r="B1150" t="str">
            <v xml:space="preserve">SOLARIS 1YR. SUBS DT LOW </v>
          </cell>
          <cell r="C1150">
            <v>511</v>
          </cell>
          <cell r="D1150" t="str">
            <v xml:space="preserve">B </v>
          </cell>
        </row>
        <row r="1151">
          <cell r="A1151" t="str">
            <v xml:space="preserve">SOLSUB-DTU </v>
          </cell>
          <cell r="B1151" t="str">
            <v xml:space="preserve">SOLARIS 2YR SUBS W/UPG, DT LOW </v>
          </cell>
          <cell r="C1151">
            <v>693</v>
          </cell>
          <cell r="D1151" t="str">
            <v xml:space="preserve">B </v>
          </cell>
        </row>
        <row r="1152">
          <cell r="A1152" t="str">
            <v xml:space="preserve">SOLSUB-DTU-R10 </v>
          </cell>
          <cell r="B1152" t="str">
            <v xml:space="preserve">10RTU SOLARIS SUBSW/UPG, DT LW </v>
          </cell>
          <cell r="C1152">
            <v>3150</v>
          </cell>
          <cell r="D1152" t="str">
            <v xml:space="preserve">B </v>
          </cell>
        </row>
        <row r="1153">
          <cell r="A1153" t="str">
            <v xml:space="preserve">SOLSUB-DTU-R100 </v>
          </cell>
          <cell r="B1153" t="str">
            <v xml:space="preserve">100RTU SOLARIS SUBSW/UPG, DTLW </v>
          </cell>
          <cell r="C1153">
            <v>18060</v>
          </cell>
          <cell r="D1153" t="str">
            <v xml:space="preserve">B </v>
          </cell>
        </row>
        <row r="1154">
          <cell r="A1154" t="str">
            <v xml:space="preserve">SOLSUB-DTU-R50 </v>
          </cell>
          <cell r="B1154" t="str">
            <v xml:space="preserve">50RTU SOLARIS SUBSW/UPG, DT LW </v>
          </cell>
          <cell r="C1154">
            <v>12250</v>
          </cell>
          <cell r="D1154" t="str">
            <v xml:space="preserve">B </v>
          </cell>
        </row>
        <row r="1155">
          <cell r="A1155" t="str">
            <v xml:space="preserve">SOLSUB-S8U-R10 </v>
          </cell>
          <cell r="B1155" t="str">
            <v xml:space="preserve">10RTU SOLARIS 8WSV SUBS W/UPGD </v>
          </cell>
          <cell r="C1155">
            <v>33530</v>
          </cell>
          <cell r="D1155" t="str">
            <v xml:space="preserve">B </v>
          </cell>
        </row>
        <row r="1156">
          <cell r="A1156" t="str">
            <v xml:space="preserve">SOLSUB-SV-16 </v>
          </cell>
          <cell r="B1156" t="str">
            <v xml:space="preserve">SOLARIS 1YR SUBS, 16CPU SERVER </v>
          </cell>
          <cell r="C1156">
            <v>14280</v>
          </cell>
          <cell r="D1156" t="str">
            <v xml:space="preserve">B </v>
          </cell>
        </row>
        <row r="1157">
          <cell r="A1157" t="str">
            <v xml:space="preserve">SOLSUB-SV-32 </v>
          </cell>
          <cell r="B1157" t="str">
            <v xml:space="preserve">SOLARIS 1YR SUBS, 32CPU SERVER </v>
          </cell>
          <cell r="C1157">
            <v>29260</v>
          </cell>
          <cell r="D1157" t="str">
            <v xml:space="preserve">B </v>
          </cell>
        </row>
        <row r="1158">
          <cell r="A1158" t="str">
            <v xml:space="preserve">SOLSUB-SV-4 </v>
          </cell>
          <cell r="B1158" t="str">
            <v xml:space="preserve">SOLARIS 1YR SUBS, 4CPU SERVER </v>
          </cell>
          <cell r="C1158">
            <v>2303</v>
          </cell>
          <cell r="D1158" t="str">
            <v xml:space="preserve">B </v>
          </cell>
        </row>
        <row r="1159">
          <cell r="A1159" t="str">
            <v xml:space="preserve">SOLSUB-SV-8 </v>
          </cell>
          <cell r="B1159" t="str">
            <v xml:space="preserve">SOLARIS 1YR SUBS, 8CPU SERVER </v>
          </cell>
          <cell r="C1159">
            <v>5593</v>
          </cell>
          <cell r="D1159" t="str">
            <v xml:space="preserve">B </v>
          </cell>
        </row>
        <row r="1160">
          <cell r="A1160" t="str">
            <v xml:space="preserve">SOLSUB-SVU-16 </v>
          </cell>
          <cell r="B1160" t="str">
            <v xml:space="preserve">SOLARIS 2YR SUBSW/UPG ENTSV 16 </v>
          </cell>
          <cell r="C1160">
            <v>25200</v>
          </cell>
          <cell r="D1160" t="str">
            <v xml:space="preserve">B </v>
          </cell>
        </row>
        <row r="1161">
          <cell r="A1161" t="str">
            <v xml:space="preserve">SOLSUB-SVU-32 </v>
          </cell>
          <cell r="B1161" t="str">
            <v xml:space="preserve">SOLARIS 2YR SUBSW/UPG ENTSV 32 </v>
          </cell>
          <cell r="C1161">
            <v>51415</v>
          </cell>
          <cell r="D1161" t="str">
            <v xml:space="preserve">B </v>
          </cell>
        </row>
        <row r="1162">
          <cell r="A1162" t="str">
            <v xml:space="preserve">SOLSUB-SVU-8 </v>
          </cell>
          <cell r="B1162" t="str">
            <v xml:space="preserve">SOLARIS 2YR SUBSW/UPG ENTSV 8 </v>
          </cell>
          <cell r="C1162">
            <v>9793</v>
          </cell>
          <cell r="D1162" t="str">
            <v xml:space="preserve">B </v>
          </cell>
        </row>
        <row r="1163">
          <cell r="A1163" t="str">
            <v xml:space="preserve">SOLX9-999-D99M </v>
          </cell>
          <cell r="B1163" t="str">
            <v xml:space="preserve">SOLARIS DESKTOP 10RTU's </v>
          </cell>
          <cell r="C1163">
            <v>2210</v>
          </cell>
          <cell r="D1163" t="str">
            <v xml:space="preserve">A </v>
          </cell>
        </row>
        <row r="1164">
          <cell r="A1164" t="str">
            <v xml:space="preserve">SOLXS-92D-W9UM </v>
          </cell>
          <cell r="B1164" t="str">
            <v xml:space="preserve">10RTU SOLARIS WGSV SUBS W/UPGD </v>
          </cell>
          <cell r="C1164">
            <v>12935</v>
          </cell>
          <cell r="D1164" t="str">
            <v xml:space="preserve">B </v>
          </cell>
        </row>
        <row r="1165">
          <cell r="A1165" t="str">
            <v xml:space="preserve">SP40-ACR-QIC </v>
          </cell>
          <cell r="B1165" t="str">
            <v xml:space="preserve">A7000 SP40 CRC SW, TAPE DOC LI </v>
          </cell>
          <cell r="C1165">
            <v>144000</v>
          </cell>
          <cell r="D1165" t="str">
            <v xml:space="preserve">B </v>
          </cell>
        </row>
        <row r="1166">
          <cell r="A1166" t="str">
            <v xml:space="preserve">SP40-OS-QIC </v>
          </cell>
          <cell r="B1166" t="str">
            <v xml:space="preserve">A7000 OS SW, TAPE DOC LI </v>
          </cell>
          <cell r="C1166">
            <v>0</v>
          </cell>
          <cell r="D1166" t="str">
            <v xml:space="preserve">D </v>
          </cell>
        </row>
        <row r="1167">
          <cell r="A1167" t="str">
            <v xml:space="preserve">SPF-1.0G-P </v>
          </cell>
          <cell r="B1167" t="str">
            <v xml:space="preserve">SPF-200 UNLI NODE GLOB </v>
          </cell>
          <cell r="C1167">
            <v>34993</v>
          </cell>
          <cell r="D1167" t="str">
            <v xml:space="preserve">B </v>
          </cell>
        </row>
        <row r="1168">
          <cell r="A1168" t="str">
            <v xml:space="preserve">SPF-1.0G-PU </v>
          </cell>
          <cell r="B1168" t="str">
            <v xml:space="preserve">UPG SPF-100 TO SPF-200 GLBL </v>
          </cell>
          <cell r="C1168">
            <v>8400</v>
          </cell>
          <cell r="D1168" t="str">
            <v xml:space="preserve">B </v>
          </cell>
        </row>
        <row r="1169">
          <cell r="A1169" t="str">
            <v xml:space="preserve">SPFMS-100W9999 </v>
          </cell>
          <cell r="B1169" t="str">
            <v xml:space="preserve">SunScreen SPF-200 Global </v>
          </cell>
          <cell r="C1169">
            <v>27993</v>
          </cell>
          <cell r="D1169" t="str">
            <v xml:space="preserve">B </v>
          </cell>
        </row>
        <row r="1170">
          <cell r="A1170" t="str">
            <v xml:space="preserve">SPFMS-100W99U9 </v>
          </cell>
          <cell r="B1170" t="str">
            <v xml:space="preserve">SunScreen SPF-200 Gl. Upgrade </v>
          </cell>
          <cell r="C1170">
            <v>350</v>
          </cell>
          <cell r="D1170" t="str">
            <v xml:space="preserve">B </v>
          </cell>
        </row>
        <row r="1171">
          <cell r="A1171" t="str">
            <v xml:space="preserve">SPFMS-100W9D99 </v>
          </cell>
          <cell r="B1171" t="str">
            <v xml:space="preserve">SunScreen SPF-200 Global Eval </v>
          </cell>
          <cell r="C1171">
            <v>350</v>
          </cell>
          <cell r="D1171" t="str">
            <v xml:space="preserve">B </v>
          </cell>
        </row>
        <row r="1172">
          <cell r="A1172" t="str">
            <v xml:space="preserve">SPTI9-999-T999 </v>
          </cell>
          <cell r="B1172" t="str">
            <v xml:space="preserve">SUNTEST JAVA TOOL TRNG - 1 PUB </v>
          </cell>
          <cell r="C1172">
            <v>2100</v>
          </cell>
          <cell r="D1172" t="str">
            <v xml:space="preserve">D </v>
          </cell>
        </row>
        <row r="1173">
          <cell r="A1173" t="str">
            <v xml:space="preserve">SQA-RT-1.0-D </v>
          </cell>
          <cell r="B1173" t="str">
            <v xml:space="preserve">TMN/SNMP Q-A 1.0 RT, DOC </v>
          </cell>
          <cell r="C1173">
            <v>195</v>
          </cell>
          <cell r="D1173" t="str">
            <v xml:space="preserve">D </v>
          </cell>
        </row>
        <row r="1174">
          <cell r="A1174" t="str">
            <v xml:space="preserve">SQA-RT-1.0-S </v>
          </cell>
          <cell r="B1174" t="str">
            <v xml:space="preserve">TMN/SNMP Q-A 1.0 RT, CD LIC </v>
          </cell>
          <cell r="C1174">
            <v>7794</v>
          </cell>
          <cell r="D1174" t="str">
            <v xml:space="preserve">B </v>
          </cell>
        </row>
        <row r="1175">
          <cell r="A1175" t="str">
            <v xml:space="preserve">SQA-TK-1.0-D </v>
          </cell>
          <cell r="B1175" t="str">
            <v xml:space="preserve">TMN/SNMP Q-A 1.0 TK, DOC </v>
          </cell>
          <cell r="C1175">
            <v>195</v>
          </cell>
          <cell r="D1175" t="str">
            <v xml:space="preserve">D </v>
          </cell>
        </row>
        <row r="1176">
          <cell r="A1176" t="str">
            <v xml:space="preserve">SQA-TK-1.0-S </v>
          </cell>
          <cell r="B1176" t="str">
            <v xml:space="preserve">TMN/SNMP Q-A 1.0 TK, CD LIC </v>
          </cell>
          <cell r="C1176">
            <v>18850</v>
          </cell>
          <cell r="D1176" t="str">
            <v xml:space="preserve">B </v>
          </cell>
        </row>
        <row r="1177">
          <cell r="A1177" t="str">
            <v xml:space="preserve">SRM9S-011-999 </v>
          </cell>
          <cell r="B1177" t="str">
            <v xml:space="preserve">SRM 1.1 Sol 2.6,7,8 SP, Media Kit </v>
          </cell>
          <cell r="C1177">
            <v>70</v>
          </cell>
          <cell r="D1177" t="str">
            <v xml:space="preserve">B </v>
          </cell>
        </row>
        <row r="1178">
          <cell r="A1178" t="str">
            <v xml:space="preserve">SRMMS-011-C999 </v>
          </cell>
          <cell r="B1178" t="str">
            <v xml:space="preserve">SRM 1.1 : E10000 ENGLISH </v>
          </cell>
          <cell r="C1178">
            <v>56000</v>
          </cell>
          <cell r="D1178" t="str">
            <v xml:space="preserve">B </v>
          </cell>
        </row>
        <row r="1179">
          <cell r="A1179" t="str">
            <v xml:space="preserve">SRM9S-010-999 </v>
          </cell>
          <cell r="B1179" t="str">
            <v xml:space="preserve">SRM 1.0 Sol 2.6,7 SP, Media Kit </v>
          </cell>
          <cell r="C1179">
            <v>70</v>
          </cell>
          <cell r="D1179" t="str">
            <v xml:space="preserve">B </v>
          </cell>
        </row>
        <row r="1180">
          <cell r="A1180" t="str">
            <v xml:space="preserve">SRMMS-010-C999 </v>
          </cell>
          <cell r="B1180" t="str">
            <v xml:space="preserve">SRM 1.0 : E10000 ENGLISH </v>
          </cell>
          <cell r="C1180">
            <v>56000</v>
          </cell>
          <cell r="D1180" t="str">
            <v xml:space="preserve">B </v>
          </cell>
        </row>
        <row r="1181">
          <cell r="A1181" t="str">
            <v xml:space="preserve">SRMMS-010-I999 </v>
          </cell>
          <cell r="B1181" t="str">
            <v xml:space="preserve">SRM 1.0 FOR WORKGROUP- ENGLISH </v>
          </cell>
          <cell r="C1181">
            <v>5600</v>
          </cell>
          <cell r="D1181" t="str">
            <v xml:space="preserve">B </v>
          </cell>
        </row>
        <row r="1182">
          <cell r="A1182" t="str">
            <v xml:space="preserve">SRMMS-010-L999 </v>
          </cell>
          <cell r="B1182" t="str">
            <v xml:space="preserve">SRM 1.0 : E6X00 ENGLISH </v>
          </cell>
          <cell r="C1182">
            <v>21000</v>
          </cell>
          <cell r="D1182" t="str">
            <v xml:space="preserve">B </v>
          </cell>
        </row>
        <row r="1183">
          <cell r="A1183" t="str">
            <v xml:space="preserve">SRMMS-010-X999 </v>
          </cell>
          <cell r="B1183" t="str">
            <v xml:space="preserve">SRM 1.0 FOR E3X000 - ENGLISH </v>
          </cell>
          <cell r="C1183">
            <v>9800</v>
          </cell>
          <cell r="D1183" t="str">
            <v xml:space="preserve">B </v>
          </cell>
        </row>
        <row r="1184">
          <cell r="A1184" t="str">
            <v xml:space="preserve">SRMMS-010-Y999 </v>
          </cell>
          <cell r="B1184" t="str">
            <v xml:space="preserve">SRM 1.0 : E4X00/E5X00 ENGLISH </v>
          </cell>
          <cell r="C1184">
            <v>16800</v>
          </cell>
          <cell r="D1184" t="str">
            <v xml:space="preserve">B </v>
          </cell>
        </row>
        <row r="1185">
          <cell r="A1185" t="str">
            <v xml:space="preserve">SRMMS-011-X999 </v>
          </cell>
          <cell r="B1185" t="str">
            <v xml:space="preserve">SRM 1.1 FOR E3X000 - ENGLISH </v>
          </cell>
          <cell r="C1185">
            <v>9800</v>
          </cell>
          <cell r="D1185" t="str">
            <v xml:space="preserve">B </v>
          </cell>
        </row>
        <row r="1186">
          <cell r="A1186" t="str">
            <v xml:space="preserve">SRMMS-011-Y999 </v>
          </cell>
          <cell r="B1186" t="str">
            <v xml:space="preserve">SRM 1.1 : E4X00/E5X00 ENGLISH </v>
          </cell>
          <cell r="C1186">
            <v>16800</v>
          </cell>
          <cell r="D1186" t="str">
            <v xml:space="preserve">B </v>
          </cell>
        </row>
        <row r="1187">
          <cell r="A1187" t="str">
            <v xml:space="preserve">SS4MS-201W9999 </v>
          </cell>
          <cell r="B1187" t="str">
            <v xml:space="preserve">SunScreen SecureNet 4Pack Prom </v>
          </cell>
          <cell r="C1187">
            <v>27993</v>
          </cell>
          <cell r="D1187" t="str">
            <v xml:space="preserve">B </v>
          </cell>
        </row>
        <row r="1188">
          <cell r="A1188" t="str">
            <v xml:space="preserve">SSHMS-200W9999 </v>
          </cell>
          <cell r="B1188" t="str">
            <v xml:space="preserve">SEC. NET HA, CD, DOCS, LIC </v>
          </cell>
          <cell r="C1188">
            <v>20993</v>
          </cell>
          <cell r="D1188" t="str">
            <v xml:space="preserve">B </v>
          </cell>
        </row>
        <row r="1189">
          <cell r="A1189" t="str">
            <v xml:space="preserve">SSHMS-200WW999 </v>
          </cell>
          <cell r="B1189" t="str">
            <v xml:space="preserve">SEC. NET HA W/G CD, DOCS, LIC </v>
          </cell>
          <cell r="C1189">
            <v>6293</v>
          </cell>
          <cell r="D1189" t="str">
            <v xml:space="preserve">B </v>
          </cell>
        </row>
        <row r="1190">
          <cell r="A1190" t="str">
            <v xml:space="preserve">SSNMS-200E99U9 </v>
          </cell>
          <cell r="B1190" t="str">
            <v xml:space="preserve">SEC. NET EXPORT CTL UPGRADE </v>
          </cell>
          <cell r="C1190">
            <v>210</v>
          </cell>
          <cell r="D1190" t="str">
            <v xml:space="preserve">B </v>
          </cell>
        </row>
        <row r="1191">
          <cell r="A1191" t="str">
            <v xml:space="preserve">SSNMS-200N99U9 </v>
          </cell>
          <cell r="B1191" t="str">
            <v xml:space="preserve">SEC. NET US/CANADA UPGRADE </v>
          </cell>
          <cell r="C1191">
            <v>210</v>
          </cell>
          <cell r="D1191" t="str">
            <v xml:space="preserve">B </v>
          </cell>
        </row>
        <row r="1192">
          <cell r="A1192" t="str">
            <v xml:space="preserve">SSNMS-200W9999 </v>
          </cell>
          <cell r="B1192" t="str">
            <v xml:space="preserve">SEC. NET CD, DOCS, LIC </v>
          </cell>
          <cell r="C1192">
            <v>13993</v>
          </cell>
          <cell r="D1192" t="str">
            <v xml:space="preserve">B </v>
          </cell>
        </row>
        <row r="1193">
          <cell r="A1193" t="str">
            <v xml:space="preserve">SSNMS-200W99U9 </v>
          </cell>
          <cell r="B1193" t="str">
            <v xml:space="preserve">SEC. NET UPGRADE FROM EFS </v>
          </cell>
          <cell r="C1193">
            <v>350</v>
          </cell>
          <cell r="D1193" t="str">
            <v xml:space="preserve">B </v>
          </cell>
        </row>
        <row r="1194">
          <cell r="A1194" t="str">
            <v xml:space="preserve">SSNMS-200W9D99 </v>
          </cell>
          <cell r="B1194" t="str">
            <v xml:space="preserve">SEC. NET CD, DOCS, 120 DA LIC </v>
          </cell>
          <cell r="C1194">
            <v>350</v>
          </cell>
          <cell r="D1194" t="str">
            <v xml:space="preserve">B </v>
          </cell>
        </row>
        <row r="1195">
          <cell r="A1195" t="str">
            <v xml:space="preserve">SSNMS-200WW999 </v>
          </cell>
          <cell r="B1195" t="str">
            <v xml:space="preserve">SEC. NET W/G CD, DOCS, LIC </v>
          </cell>
          <cell r="C1195">
            <v>4193</v>
          </cell>
          <cell r="D1195" t="str">
            <v xml:space="preserve">B </v>
          </cell>
        </row>
        <row r="1196">
          <cell r="A1196" t="str">
            <v xml:space="preserve">SSNMS-200WW9U9 </v>
          </cell>
          <cell r="B1196" t="str">
            <v xml:space="preserve">SEC. NET UPGRD EFS25/100 - W/G </v>
          </cell>
          <cell r="C1196">
            <v>350</v>
          </cell>
          <cell r="D1196" t="str">
            <v xml:space="preserve">B </v>
          </cell>
        </row>
        <row r="1197">
          <cell r="A1197" t="str">
            <v xml:space="preserve">SSNSS-200W9999 </v>
          </cell>
          <cell r="B1197" t="str">
            <v xml:space="preserve">SEC. NET CD, DOCS, SITE LIC </v>
          </cell>
          <cell r="C1197">
            <v>490000</v>
          </cell>
          <cell r="D1197" t="str">
            <v xml:space="preserve">B </v>
          </cell>
        </row>
        <row r="1198">
          <cell r="A1198" t="str">
            <v xml:space="preserve">SSNXS-200W9999 </v>
          </cell>
          <cell r="B1198" t="str">
            <v xml:space="preserve">SEC. NET CD, DOCS, 10 SVR LIC </v>
          </cell>
          <cell r="C1198">
            <v>98000</v>
          </cell>
          <cell r="D1198" t="str">
            <v xml:space="preserve">B </v>
          </cell>
        </row>
        <row r="1199">
          <cell r="A1199" t="str">
            <v xml:space="preserve">SSTI9-999-T999 </v>
          </cell>
          <cell r="B1199" t="str">
            <v xml:space="preserve">SUNTEST JAVA TOOL TRNG-1ONSITE </v>
          </cell>
          <cell r="C1199">
            <v>10500</v>
          </cell>
          <cell r="D1199" t="str">
            <v xml:space="preserve">D </v>
          </cell>
        </row>
        <row r="1200">
          <cell r="A1200" t="str">
            <v xml:space="preserve">STMM9-400-9999 </v>
          </cell>
          <cell r="B1200" t="str">
            <v xml:space="preserve">STMN 4.0PRODUCT SET CD ONLY </v>
          </cell>
          <cell r="C1200">
            <v>130</v>
          </cell>
          <cell r="D1200" t="str">
            <v xml:space="preserve">D </v>
          </cell>
        </row>
        <row r="1201">
          <cell r="A1201" t="str">
            <v xml:space="preserve">STMN-1.0-D </v>
          </cell>
          <cell r="B1201" t="str">
            <v xml:space="preserve">SOLSTICE TMN AGENT 1.0 DOCS </v>
          </cell>
          <cell r="C1201">
            <v>195</v>
          </cell>
          <cell r="D1201" t="str">
            <v xml:space="preserve">D </v>
          </cell>
        </row>
        <row r="1202">
          <cell r="A1202" t="str">
            <v xml:space="preserve">STMN-1.0-P </v>
          </cell>
          <cell r="B1202" t="str">
            <v xml:space="preserve">SOLS. TMN AGENT 1.0, CD DOC LI </v>
          </cell>
          <cell r="C1202">
            <v>36335</v>
          </cell>
          <cell r="D1202" t="str">
            <v xml:space="preserve">B </v>
          </cell>
        </row>
        <row r="1203">
          <cell r="A1203" t="str">
            <v xml:space="preserve">STMN-PSET-CD </v>
          </cell>
          <cell r="B1203" t="str">
            <v xml:space="preserve">TMN PRODUCT SET CD ONLY </v>
          </cell>
          <cell r="C1203">
            <v>130</v>
          </cell>
          <cell r="D1203" t="str">
            <v xml:space="preserve">D </v>
          </cell>
        </row>
        <row r="1204">
          <cell r="A1204" t="str">
            <v xml:space="preserve">STVM9-121-9999 </v>
          </cell>
          <cell r="B1204" t="str">
            <v xml:space="preserve">SHOWME TV 1.2.1, CD LI </v>
          </cell>
          <cell r="C1204">
            <v>35</v>
          </cell>
          <cell r="D1204" t="str">
            <v xml:space="preserve">B </v>
          </cell>
        </row>
        <row r="1205">
          <cell r="A1205" t="str">
            <v xml:space="preserve">STVM9-130-9999 </v>
          </cell>
          <cell r="B1205" t="str">
            <v xml:space="preserve">ShowMe TV 1.3, CD LI </v>
          </cell>
          <cell r="C1205">
            <v>35</v>
          </cell>
          <cell r="D1205" t="str">
            <v xml:space="preserve">B </v>
          </cell>
        </row>
        <row r="1206">
          <cell r="A1206" t="str">
            <v xml:space="preserve">SUNXTL-1.1-L1 </v>
          </cell>
          <cell r="B1206" t="str">
            <v xml:space="preserve">SUNXTL 1.1, LIC </v>
          </cell>
          <cell r="C1206">
            <v>413</v>
          </cell>
          <cell r="D1206" t="str">
            <v xml:space="preserve">A </v>
          </cell>
        </row>
        <row r="1207">
          <cell r="A1207" t="str">
            <v xml:space="preserve">SUNXTL-1.1-P </v>
          </cell>
          <cell r="B1207" t="str">
            <v xml:space="preserve">SUNXTL 1.1, CD DOC LI </v>
          </cell>
          <cell r="C1207">
            <v>2093</v>
          </cell>
          <cell r="D1207" t="str">
            <v xml:space="preserve">A </v>
          </cell>
        </row>
        <row r="1208">
          <cell r="A1208" t="str">
            <v xml:space="preserve">SWITCH-1.0-B </v>
          </cell>
          <cell r="B1208" t="str">
            <v xml:space="preserve">SUNSWITCH MANAGER SOFTWARE </v>
          </cell>
          <cell r="C1208">
            <v>0</v>
          </cell>
          <cell r="D1208" t="str">
            <v xml:space="preserve">D </v>
          </cell>
        </row>
        <row r="1209">
          <cell r="A1209" t="str">
            <v xml:space="preserve">SWN95-4.0-P </v>
          </cell>
          <cell r="B1209" t="str">
            <v xml:space="preserve">SW SOFTWINDOWS 95, CD DOC LI </v>
          </cell>
          <cell r="C1209">
            <v>304</v>
          </cell>
          <cell r="D1209" t="str">
            <v xml:space="preserve">H </v>
          </cell>
        </row>
        <row r="1210">
          <cell r="A1210" t="str">
            <v xml:space="preserve">SWT-1.0.3-D </v>
          </cell>
          <cell r="B1210" t="str">
            <v xml:space="preserve">SPARCWORKS/TW 1.0.3 DOCS </v>
          </cell>
          <cell r="C1210">
            <v>195</v>
          </cell>
          <cell r="D1210" t="str">
            <v xml:space="preserve">B </v>
          </cell>
        </row>
        <row r="1211">
          <cell r="A1211" t="str">
            <v xml:space="preserve">SYMC9-200-D999 </v>
          </cell>
          <cell r="B1211" t="str">
            <v xml:space="preserve">SYMON 2.0 FOR 100 DESKTOP PACK </v>
          </cell>
          <cell r="C1211">
            <v>12600</v>
          </cell>
          <cell r="D1211" t="str">
            <v xml:space="preserve">B </v>
          </cell>
        </row>
        <row r="1212">
          <cell r="A1212" t="str">
            <v xml:space="preserve">SYMC9-200-E999 </v>
          </cell>
          <cell r="B1212" t="str">
            <v xml:space="preserve">SYMON 2.0 FOR 100 SERVERS </v>
          </cell>
          <cell r="C1212">
            <v>70000</v>
          </cell>
          <cell r="D1212" t="str">
            <v xml:space="preserve">B </v>
          </cell>
        </row>
        <row r="1213">
          <cell r="A1213" t="str">
            <v xml:space="preserve">SYME9-200-D999 </v>
          </cell>
          <cell r="B1213" t="str">
            <v xml:space="preserve">SYMON 2.0 FOR 250 DESKTOP PACK </v>
          </cell>
          <cell r="C1213">
            <v>28000</v>
          </cell>
          <cell r="D1213" t="str">
            <v xml:space="preserve">B </v>
          </cell>
        </row>
        <row r="1214">
          <cell r="A1214" t="str">
            <v xml:space="preserve">SYMM9-201-999M </v>
          </cell>
          <cell r="B1214" t="str">
            <v xml:space="preserve">SYMON 2.0 Media Kit </v>
          </cell>
          <cell r="C1214">
            <v>70</v>
          </cell>
          <cell r="D1214" t="str">
            <v xml:space="preserve">B </v>
          </cell>
        </row>
        <row r="1215">
          <cell r="A1215" t="str">
            <v xml:space="preserve">SYMV9-200-E999 </v>
          </cell>
          <cell r="B1215" t="str">
            <v xml:space="preserve">SYMON 2.0 FOR 5 SERVERS </v>
          </cell>
          <cell r="C1215">
            <v>8750</v>
          </cell>
          <cell r="D1215" t="str">
            <v xml:space="preserve">B </v>
          </cell>
        </row>
        <row r="1216">
          <cell r="A1216" t="str">
            <v xml:space="preserve">SYMX9-200-D999 </v>
          </cell>
          <cell r="B1216" t="str">
            <v xml:space="preserve">SYMON 2.0 FOR 10 DESKTOP PACK </v>
          </cell>
          <cell r="C1216">
            <v>1400</v>
          </cell>
          <cell r="D1216" t="str">
            <v xml:space="preserve">B </v>
          </cell>
        </row>
        <row r="1217">
          <cell r="A1217" t="str">
            <v xml:space="preserve">SYMX9-200-E999 </v>
          </cell>
          <cell r="B1217" t="str">
            <v xml:space="preserve">SYMON 2.0 FOR 10 SERVERS </v>
          </cell>
          <cell r="C1217">
            <v>14000</v>
          </cell>
          <cell r="D1217" t="str">
            <v xml:space="preserve">B </v>
          </cell>
        </row>
        <row r="1218">
          <cell r="A1218" t="str">
            <v xml:space="preserve">SYMY9-200-E999 </v>
          </cell>
          <cell r="B1218" t="str">
            <v xml:space="preserve">SYMON 2.0 FOR 25 SERVERS </v>
          </cell>
          <cell r="C1218">
            <v>26250</v>
          </cell>
          <cell r="D1218" t="str">
            <v xml:space="preserve">B </v>
          </cell>
        </row>
        <row r="1219">
          <cell r="A1219" t="str">
            <v xml:space="preserve">TAGD9-200-9999 </v>
          </cell>
          <cell r="B1219" t="str">
            <v xml:space="preserve">TMN AGENT 2.0, DOC </v>
          </cell>
          <cell r="C1219">
            <v>195</v>
          </cell>
          <cell r="D1219" t="str">
            <v xml:space="preserve">D </v>
          </cell>
        </row>
        <row r="1220">
          <cell r="A1220" t="str">
            <v xml:space="preserve">TAGII-200-R999 </v>
          </cell>
          <cell r="B1220" t="str">
            <v xml:space="preserve">TMN AGENT 2.0 INTEL RT, LIC </v>
          </cell>
          <cell r="C1220">
            <v>0</v>
          </cell>
          <cell r="D1220" t="str">
            <v xml:space="preserve">D </v>
          </cell>
        </row>
        <row r="1221">
          <cell r="A1221" t="str">
            <v xml:space="preserve">TAGIN-200-R999 </v>
          </cell>
          <cell r="B1221" t="str">
            <v xml:space="preserve">TMN AGENT 2.0 NT RT, LIC </v>
          </cell>
          <cell r="C1221">
            <v>0</v>
          </cell>
          <cell r="D1221" t="str">
            <v xml:space="preserve">D </v>
          </cell>
        </row>
        <row r="1222">
          <cell r="A1222" t="str">
            <v xml:space="preserve">TAGIS-200-R999 </v>
          </cell>
          <cell r="B1222" t="str">
            <v xml:space="preserve">TMN AGENT 2.0 SPARC RT 1 LIC </v>
          </cell>
          <cell r="C1222">
            <v>0</v>
          </cell>
          <cell r="D1222" t="str">
            <v xml:space="preserve">D </v>
          </cell>
        </row>
        <row r="1223">
          <cell r="A1223" t="str">
            <v xml:space="preserve">TAGIS-200-T999 </v>
          </cell>
          <cell r="B1223" t="str">
            <v xml:space="preserve">TMN AGENT 2.0, LIC </v>
          </cell>
          <cell r="C1223">
            <v>54593</v>
          </cell>
          <cell r="D1223" t="str">
            <v xml:space="preserve">B </v>
          </cell>
        </row>
        <row r="1224">
          <cell r="A1224" t="str">
            <v xml:space="preserve">TAGIS-200-T9U9 </v>
          </cell>
          <cell r="B1224" t="str">
            <v xml:space="preserve">UG TMN AGENT 2.0, LIC </v>
          </cell>
          <cell r="C1224">
            <v>20280</v>
          </cell>
          <cell r="D1224" t="str">
            <v xml:space="preserve">D </v>
          </cell>
        </row>
        <row r="1225">
          <cell r="A1225" t="str">
            <v xml:space="preserve">TAGVS-200-T999 </v>
          </cell>
          <cell r="B1225" t="str">
            <v xml:space="preserve">TMN AGENT 2.0, 5 LIC </v>
          </cell>
          <cell r="C1225">
            <v>246085</v>
          </cell>
          <cell r="D1225" t="str">
            <v xml:space="preserve">B </v>
          </cell>
        </row>
        <row r="1226">
          <cell r="A1226" t="str">
            <v xml:space="preserve">TAGVS-200-T9U9 </v>
          </cell>
          <cell r="B1226" t="str">
            <v xml:space="preserve">UG TMN AGENT 2.0, 5LIC </v>
          </cell>
          <cell r="C1226">
            <v>91403</v>
          </cell>
          <cell r="D1226" t="str">
            <v xml:space="preserve">D </v>
          </cell>
        </row>
        <row r="1227">
          <cell r="A1227" t="str">
            <v xml:space="preserve">TASC9-200-E999 </v>
          </cell>
          <cell r="B1227" t="str">
            <v xml:space="preserve">SUNLINK PC(TAS 5.2) 100 ENT PK </v>
          </cell>
          <cell r="C1227">
            <v>11899</v>
          </cell>
          <cell r="D1227" t="str">
            <v xml:space="preserve">B </v>
          </cell>
        </row>
        <row r="1228">
          <cell r="A1228" t="str">
            <v xml:space="preserve">TASC9-200-E9U9 </v>
          </cell>
          <cell r="B1228" t="str">
            <v xml:space="preserve">SUNLINK PC(TAS 5.2) 100 ENT UG </v>
          </cell>
          <cell r="C1228">
            <v>3570</v>
          </cell>
          <cell r="D1228" t="str">
            <v xml:space="preserve">B </v>
          </cell>
        </row>
        <row r="1229">
          <cell r="A1229" t="str">
            <v xml:space="preserve">TASD9-100-9999 </v>
          </cell>
          <cell r="B1229" t="str">
            <v xml:space="preserve">TMN/SNMP Q-A 1.0 DOCS ONLY </v>
          </cell>
          <cell r="C1229">
            <v>195</v>
          </cell>
          <cell r="D1229" t="str">
            <v xml:space="preserve">D </v>
          </cell>
        </row>
        <row r="1230">
          <cell r="A1230" t="str">
            <v xml:space="preserve">TASF9-200-E999 </v>
          </cell>
          <cell r="B1230" t="str">
            <v xml:space="preserve">SUNLINK PC(TAS 5.2) 500 ENT PK </v>
          </cell>
          <cell r="C1230">
            <v>39199</v>
          </cell>
          <cell r="D1230" t="str">
            <v xml:space="preserve">B </v>
          </cell>
        </row>
        <row r="1231">
          <cell r="A1231" t="str">
            <v xml:space="preserve">TASIS-100-R999 </v>
          </cell>
          <cell r="B1231" t="str">
            <v xml:space="preserve">TMN/SNMP Q-A 1.0 1 LIC ONLY </v>
          </cell>
          <cell r="C1231">
            <v>8393</v>
          </cell>
          <cell r="D1231" t="str">
            <v xml:space="preserve">B </v>
          </cell>
        </row>
        <row r="1232">
          <cell r="A1232" t="str">
            <v xml:space="preserve">TASIS-100-T999 </v>
          </cell>
          <cell r="B1232" t="str">
            <v xml:space="preserve">TMN/SNMP Q-A 1.0 TK, 1 LIC </v>
          </cell>
          <cell r="C1232">
            <v>20300</v>
          </cell>
          <cell r="D1232" t="str">
            <v xml:space="preserve">B </v>
          </cell>
        </row>
        <row r="1233">
          <cell r="A1233" t="str">
            <v xml:space="preserve">TASX9-200-E9U9 </v>
          </cell>
          <cell r="B1233" t="str">
            <v xml:space="preserve">SUNLINK PC(TAS 5.2) 10 ENT UG </v>
          </cell>
          <cell r="C1233">
            <v>420</v>
          </cell>
          <cell r="D1233" t="str">
            <v xml:space="preserve">B </v>
          </cell>
        </row>
        <row r="1234">
          <cell r="A1234" t="str">
            <v xml:space="preserve">TASY9-200-E999 </v>
          </cell>
          <cell r="B1234" t="str">
            <v xml:space="preserve">SUNLINK PC(TAS 5.2) 25 ENT PK </v>
          </cell>
          <cell r="C1234">
            <v>3359</v>
          </cell>
          <cell r="D1234" t="str">
            <v xml:space="preserve">B </v>
          </cell>
        </row>
        <row r="1235">
          <cell r="A1235" t="str">
            <v xml:space="preserve">TASY9-200-E9U9 </v>
          </cell>
          <cell r="B1235" t="str">
            <v xml:space="preserve">SUNLINK PC(TAS 5.2) 25 ENT UG </v>
          </cell>
          <cell r="C1235">
            <v>1008</v>
          </cell>
          <cell r="D1235" t="str">
            <v xml:space="preserve">B </v>
          </cell>
        </row>
        <row r="1236">
          <cell r="A1236" t="str">
            <v xml:space="preserve">TASY9-200-W999 </v>
          </cell>
          <cell r="B1236" t="str">
            <v xml:space="preserve">SUNLINK PC(TAS 5.2)WKGRP 25 PK </v>
          </cell>
          <cell r="C1236">
            <v>1400</v>
          </cell>
          <cell r="D1236" t="str">
            <v xml:space="preserve">B </v>
          </cell>
        </row>
        <row r="1237">
          <cell r="A1237" t="str">
            <v xml:space="preserve">TASY9-200-W9U9 </v>
          </cell>
          <cell r="B1237" t="str">
            <v xml:space="preserve">SUNLINK PC(TAS 5.2)WKGRP 25 UG </v>
          </cell>
          <cell r="C1237">
            <v>420</v>
          </cell>
          <cell r="D1237" t="str">
            <v xml:space="preserve">B </v>
          </cell>
        </row>
        <row r="1238">
          <cell r="A1238" t="str">
            <v xml:space="preserve">TATD9-110-9999 </v>
          </cell>
          <cell r="B1238" t="str">
            <v xml:space="preserve">TMN AGENT TESTER 1.1 DOC SET </v>
          </cell>
          <cell r="C1238">
            <v>195</v>
          </cell>
          <cell r="D1238" t="str">
            <v xml:space="preserve">D </v>
          </cell>
        </row>
        <row r="1239">
          <cell r="A1239" t="str">
            <v xml:space="preserve">TATIS-110-9999 </v>
          </cell>
          <cell r="B1239" t="str">
            <v xml:space="preserve">TMN AGENT TESTER 1.1, LIC </v>
          </cell>
          <cell r="C1239">
            <v>20300</v>
          </cell>
          <cell r="D1239" t="str">
            <v xml:space="preserve">B </v>
          </cell>
        </row>
        <row r="1240">
          <cell r="A1240" t="str">
            <v xml:space="preserve">TATIS-110-99U9 </v>
          </cell>
          <cell r="B1240" t="str">
            <v xml:space="preserve">UG TMN AGENT TESTER 1.1, LIC </v>
          </cell>
          <cell r="C1240">
            <v>7540</v>
          </cell>
          <cell r="D1240" t="str">
            <v xml:space="preserve">D </v>
          </cell>
        </row>
        <row r="1241">
          <cell r="A1241" t="str">
            <v xml:space="preserve">TE3-L </v>
          </cell>
          <cell r="B1241" t="str">
            <v xml:space="preserve">SUNLINK TE320 8.0 SINGLE USER </v>
          </cell>
          <cell r="C1241">
            <v>345</v>
          </cell>
          <cell r="D1241" t="str">
            <v xml:space="preserve">B </v>
          </cell>
        </row>
        <row r="1242">
          <cell r="A1242" t="str">
            <v xml:space="preserve">TE3-P </v>
          </cell>
          <cell r="B1242" t="str">
            <v xml:space="preserve">SUNLINK TE320 8.0 </v>
          </cell>
          <cell r="C1242">
            <v>553</v>
          </cell>
          <cell r="D1242" t="str">
            <v xml:space="preserve">B </v>
          </cell>
        </row>
        <row r="1243">
          <cell r="A1243" t="str">
            <v xml:space="preserve">TMN-KIT-2.0-D </v>
          </cell>
          <cell r="B1243" t="str">
            <v xml:space="preserve">TMN AGENT 2.0, DOC </v>
          </cell>
          <cell r="C1243">
            <v>195</v>
          </cell>
          <cell r="D1243" t="str">
            <v xml:space="preserve">D </v>
          </cell>
        </row>
        <row r="1244">
          <cell r="A1244" t="str">
            <v xml:space="preserve">TMN-KIT-2.0-S </v>
          </cell>
          <cell r="B1244" t="str">
            <v xml:space="preserve">TMN AGENT 2.0, CD LIC </v>
          </cell>
          <cell r="C1244">
            <v>50694</v>
          </cell>
          <cell r="D1244" t="str">
            <v xml:space="preserve">B </v>
          </cell>
        </row>
        <row r="1245">
          <cell r="A1245" t="str">
            <v xml:space="preserve">TMN-KIT-2.0-S5 </v>
          </cell>
          <cell r="B1245" t="str">
            <v xml:space="preserve">TMN AGENT 2.0, CD 5LIC </v>
          </cell>
          <cell r="C1245">
            <v>228508</v>
          </cell>
          <cell r="D1245" t="str">
            <v xml:space="preserve">B </v>
          </cell>
        </row>
        <row r="1246">
          <cell r="A1246" t="str">
            <v xml:space="preserve">TMN-KIT-2.0-S5U </v>
          </cell>
          <cell r="B1246" t="str">
            <v xml:space="preserve">UG TMN AGENT 2.0, CD 5LIC </v>
          </cell>
          <cell r="C1246">
            <v>91403</v>
          </cell>
          <cell r="D1246" t="str">
            <v xml:space="preserve">B </v>
          </cell>
        </row>
        <row r="1247">
          <cell r="A1247" t="str">
            <v xml:space="preserve">TMN-KIT-2.0-SU </v>
          </cell>
          <cell r="B1247" t="str">
            <v xml:space="preserve">UG TMN AGENT 2.0, CD LIC </v>
          </cell>
          <cell r="C1247">
            <v>20280</v>
          </cell>
          <cell r="D1247" t="str">
            <v xml:space="preserve">B </v>
          </cell>
        </row>
        <row r="1248">
          <cell r="A1248" t="str">
            <v xml:space="preserve">TMSD9-110-9999 </v>
          </cell>
          <cell r="B1248" t="str">
            <v xml:space="preserve">TMN SCRIPT 1.1 DOC ONLY </v>
          </cell>
          <cell r="C1248">
            <v>195</v>
          </cell>
          <cell r="D1248" t="str">
            <v xml:space="preserve">D </v>
          </cell>
        </row>
        <row r="1249">
          <cell r="A1249" t="str">
            <v xml:space="preserve">TMSII-110-R999 </v>
          </cell>
          <cell r="B1249" t="str">
            <v xml:space="preserve">TMN SCRIPT 1.1 INTEL RT, LIC </v>
          </cell>
          <cell r="C1249">
            <v>2793</v>
          </cell>
          <cell r="D1249" t="str">
            <v xml:space="preserve">B </v>
          </cell>
        </row>
        <row r="1250">
          <cell r="A1250" t="str">
            <v xml:space="preserve">TMSII-110-R9U9 </v>
          </cell>
          <cell r="B1250" t="str">
            <v xml:space="preserve">TMN SCRIPT 1.1 INTEL RT UPG </v>
          </cell>
          <cell r="C1250">
            <v>1037</v>
          </cell>
          <cell r="D1250" t="str">
            <v xml:space="preserve">D </v>
          </cell>
        </row>
        <row r="1251">
          <cell r="A1251" t="str">
            <v xml:space="preserve">TMSIN-110-R999 </v>
          </cell>
          <cell r="B1251" t="str">
            <v xml:space="preserve">TMN SCRIPT 1.1 NT RT, LIC </v>
          </cell>
          <cell r="C1251">
            <v>2793</v>
          </cell>
          <cell r="D1251" t="str">
            <v xml:space="preserve">B </v>
          </cell>
        </row>
        <row r="1252">
          <cell r="A1252" t="str">
            <v xml:space="preserve">TMSIS-110-R999 </v>
          </cell>
          <cell r="B1252" t="str">
            <v xml:space="preserve">TMN SCRIPT 1.1 SPARC RT, LIC </v>
          </cell>
          <cell r="C1252">
            <v>2793</v>
          </cell>
          <cell r="D1252" t="str">
            <v xml:space="preserve">B </v>
          </cell>
        </row>
        <row r="1253">
          <cell r="A1253" t="str">
            <v xml:space="preserve">TMSIS-110-R9U9 </v>
          </cell>
          <cell r="B1253" t="str">
            <v xml:space="preserve">UG TMN SCRIPT 1.1 SPARC RT </v>
          </cell>
          <cell r="C1253">
            <v>1037</v>
          </cell>
          <cell r="D1253" t="str">
            <v xml:space="preserve">D </v>
          </cell>
        </row>
        <row r="1254">
          <cell r="A1254" t="str">
            <v xml:space="preserve">TMSIS-110-T999 </v>
          </cell>
          <cell r="B1254" t="str">
            <v xml:space="preserve">TMN SCRIPT TOOLKIT 1.1, LIC </v>
          </cell>
          <cell r="C1254">
            <v>20993</v>
          </cell>
          <cell r="D1254" t="str">
            <v xml:space="preserve">B </v>
          </cell>
        </row>
        <row r="1255">
          <cell r="A1255" t="str">
            <v xml:space="preserve">TMSIS-110-T9U9 </v>
          </cell>
          <cell r="B1255" t="str">
            <v xml:space="preserve">UG TMN SCRIPT 1.1 TOOLKIT </v>
          </cell>
          <cell r="C1255">
            <v>7797</v>
          </cell>
          <cell r="D1255" t="str">
            <v xml:space="preserve">D </v>
          </cell>
        </row>
        <row r="1256">
          <cell r="A1256" t="str">
            <v xml:space="preserve">TOTNET-L10 </v>
          </cell>
          <cell r="B1256" t="str">
            <v xml:space="preserve">TOTALNET 5.0, 10LIC </v>
          </cell>
          <cell r="C1256">
            <v>3348</v>
          </cell>
          <cell r="D1256" t="str">
            <v xml:space="preserve">B </v>
          </cell>
        </row>
        <row r="1257">
          <cell r="A1257" t="str">
            <v xml:space="preserve">TOTNET-L100 </v>
          </cell>
          <cell r="B1257" t="str">
            <v xml:space="preserve">TOTALNET 5.0, 100LIC </v>
          </cell>
          <cell r="C1257">
            <v>11700</v>
          </cell>
          <cell r="D1257" t="str">
            <v xml:space="preserve">B </v>
          </cell>
        </row>
        <row r="1258">
          <cell r="A1258" t="str">
            <v xml:space="preserve">TOTNET-L25 </v>
          </cell>
          <cell r="B1258" t="str">
            <v xml:space="preserve">TOTALNET 5.0, 25LIC </v>
          </cell>
          <cell r="C1258">
            <v>3250</v>
          </cell>
          <cell r="D1258" t="str">
            <v xml:space="preserve">B </v>
          </cell>
        </row>
        <row r="1259">
          <cell r="A1259" t="str">
            <v xml:space="preserve">TOTNET-WG-L25 </v>
          </cell>
          <cell r="B1259" t="str">
            <v xml:space="preserve">TOTALNET 5.0, 25LIC </v>
          </cell>
          <cell r="C1259">
            <v>1300</v>
          </cell>
          <cell r="D1259" t="str">
            <v xml:space="preserve">A </v>
          </cell>
        </row>
        <row r="1260">
          <cell r="A1260" t="str">
            <v xml:space="preserve">TRUNK-1.0.1-P </v>
          </cell>
          <cell r="B1260" t="str">
            <v xml:space="preserve">SUN TRUNKING SOFTWARE V. 1.0.1 </v>
          </cell>
          <cell r="C1260">
            <v>1393</v>
          </cell>
          <cell r="D1260" t="str">
            <v xml:space="preserve">A </v>
          </cell>
        </row>
        <row r="1261">
          <cell r="A1261" t="str">
            <v xml:space="preserve">TS2BS-251-D999 </v>
          </cell>
          <cell r="B1261" t="str">
            <v xml:space="preserve">TRUSTED SOLARIS 2.5.1 DESKTOP </v>
          </cell>
          <cell r="C1261">
            <v>1164</v>
          </cell>
          <cell r="D1261" t="str">
            <v xml:space="preserve">A </v>
          </cell>
        </row>
        <row r="1262">
          <cell r="A1262" t="str">
            <v xml:space="preserve">TS2BS-251-E999 </v>
          </cell>
          <cell r="B1262" t="str">
            <v xml:space="preserve">TRUSTED SOLARIS 2.5.1 SERVER </v>
          </cell>
          <cell r="C1262">
            <v>6494</v>
          </cell>
          <cell r="D1262" t="str">
            <v xml:space="preserve">A </v>
          </cell>
        </row>
        <row r="1263">
          <cell r="A1263" t="str">
            <v xml:space="preserve">TS2DS-251-9999 </v>
          </cell>
          <cell r="B1263" t="str">
            <v xml:space="preserve">TRUSTED SOLARIS 2.5.1 MANUALS </v>
          </cell>
          <cell r="C1263">
            <v>455</v>
          </cell>
          <cell r="D1263" t="str">
            <v xml:space="preserve">D </v>
          </cell>
        </row>
        <row r="1264">
          <cell r="A1264" t="str">
            <v xml:space="preserve">U21-UGE1Z9S-C256CR </v>
          </cell>
          <cell r="B1264" t="str">
            <v xml:space="preserve">UG U5S 360MHz,256MB,8GB,32xCD </v>
          </cell>
          <cell r="C1264">
            <v>4212</v>
          </cell>
          <cell r="D1264" t="str">
            <v xml:space="preserve">H </v>
          </cell>
        </row>
        <row r="1265">
          <cell r="A1265" t="str">
            <v xml:space="preserve">U21-UHC1Z9S-B256CP </v>
          </cell>
          <cell r="B1265" t="str">
            <v xml:space="preserve">UG U5S 333MHz,256MB,9GB,32xCD </v>
          </cell>
          <cell r="C1265">
            <v>5596</v>
          </cell>
          <cell r="D1265" t="str">
            <v xml:space="preserve">H </v>
          </cell>
        </row>
        <row r="1266">
          <cell r="A1266" t="str">
            <v xml:space="preserve">U22-UHC1Z9S-B128CP </v>
          </cell>
          <cell r="B1266" t="str">
            <v xml:space="preserve">UG U10S,333MZ/2,128MB/9GB,32XC </v>
          </cell>
          <cell r="C1266">
            <v>5663</v>
          </cell>
          <cell r="D1266" t="str">
            <v xml:space="preserve">H </v>
          </cell>
        </row>
        <row r="1267">
          <cell r="A1267" t="str">
            <v xml:space="preserve">U22-UHC1Z9S-B512CP </v>
          </cell>
          <cell r="B1267" t="str">
            <v xml:space="preserve">UG U10S,333MZ/2,512MB,9GB,32XC </v>
          </cell>
          <cell r="C1267">
            <v>7216</v>
          </cell>
          <cell r="D1267" t="str">
            <v xml:space="preserve">H </v>
          </cell>
        </row>
        <row r="1268">
          <cell r="A1268" t="str">
            <v xml:space="preserve">U2220UHC1Z9PB128CP </v>
          </cell>
          <cell r="B1268" t="str">
            <v xml:space="preserve">UG WS U10/333,PGX24,128/9GB/CD </v>
          </cell>
          <cell r="C1268">
            <v>4448</v>
          </cell>
          <cell r="D1268" t="str">
            <v xml:space="preserve">H </v>
          </cell>
        </row>
        <row r="1269">
          <cell r="A1269" t="str">
            <v xml:space="preserve">U2220UHC1Z9PB256CP </v>
          </cell>
          <cell r="B1269" t="str">
            <v xml:space="preserve">UG WS U10/333,PGX24,256/9GB/CD </v>
          </cell>
          <cell r="C1269">
            <v>4921</v>
          </cell>
          <cell r="D1269" t="str">
            <v xml:space="preserve">H </v>
          </cell>
        </row>
        <row r="1270">
          <cell r="A1270" t="str">
            <v xml:space="preserve">U22S2UHC1A9PB128CP </v>
          </cell>
          <cell r="B1270" t="str">
            <v xml:space="preserve">UG WS U10/333,PGX24,128/9GB/CD </v>
          </cell>
          <cell r="C1270">
            <v>4921</v>
          </cell>
          <cell r="D1270" t="str">
            <v xml:space="preserve">H </v>
          </cell>
        </row>
        <row r="1271">
          <cell r="A1271" t="str">
            <v xml:space="preserve">U22S2UHC1A9PB256CP </v>
          </cell>
          <cell r="B1271" t="str">
            <v xml:space="preserve">UG WS U10/333,PGX24,256/9GB/CD </v>
          </cell>
          <cell r="C1271">
            <v>5393</v>
          </cell>
          <cell r="D1271" t="str">
            <v xml:space="preserve">H </v>
          </cell>
        </row>
        <row r="1272">
          <cell r="A1272" t="str">
            <v xml:space="preserve">U22S5UHC1Z9PB128CP </v>
          </cell>
          <cell r="B1272" t="str">
            <v xml:space="preserve">UG WS U10/333,PGX24,128/9GB/CD </v>
          </cell>
          <cell r="C1272">
            <v>4786</v>
          </cell>
          <cell r="D1272" t="str">
            <v xml:space="preserve">H </v>
          </cell>
        </row>
        <row r="1273">
          <cell r="A1273" t="str">
            <v xml:space="preserve">U22S5UHC1Z9PB256CP </v>
          </cell>
          <cell r="B1273" t="str">
            <v xml:space="preserve">UG WS U10/333,PGX24,256/9GB/CD </v>
          </cell>
          <cell r="C1273">
            <v>5258</v>
          </cell>
          <cell r="D1273" t="str">
            <v xml:space="preserve">H </v>
          </cell>
        </row>
        <row r="1274">
          <cell r="A1274" t="str">
            <v xml:space="preserve">UA11-UEC1-9M-000NN </v>
          </cell>
          <cell r="B1274" t="str">
            <v xml:space="preserve">UG S1 TO U2/300, AFB </v>
          </cell>
          <cell r="C1274">
            <v>11941</v>
          </cell>
          <cell r="D1274" t="str">
            <v xml:space="preserve">H </v>
          </cell>
        </row>
        <row r="1275">
          <cell r="A1275" t="str">
            <v xml:space="preserve">UA11-UEC2-9M-000NN </v>
          </cell>
          <cell r="B1275" t="str">
            <v xml:space="preserve">UG S1 TO U2/2300, AFB </v>
          </cell>
          <cell r="C1275">
            <v>17813</v>
          </cell>
          <cell r="D1275" t="str">
            <v xml:space="preserve">H </v>
          </cell>
        </row>
        <row r="1276">
          <cell r="A1276" t="str">
            <v xml:space="preserve">UA11-UJC1-9L-000NN </v>
          </cell>
          <cell r="B1276" t="str">
            <v xml:space="preserve">UG S1 TO U2/400, AFB+ </v>
          </cell>
          <cell r="C1276">
            <v>11441</v>
          </cell>
          <cell r="D1276" t="str">
            <v xml:space="preserve">H </v>
          </cell>
        </row>
        <row r="1277">
          <cell r="A1277" t="str">
            <v xml:space="preserve">UA11-UJC1-9M-000NN </v>
          </cell>
          <cell r="B1277" t="str">
            <v xml:space="preserve">UG S1 TO U2/400, AFBm6 </v>
          </cell>
          <cell r="C1277">
            <v>14810</v>
          </cell>
          <cell r="D1277" t="str">
            <v xml:space="preserve">H </v>
          </cell>
        </row>
        <row r="1278">
          <cell r="A1278" t="str">
            <v xml:space="preserve">UA11UEC1-9M-000NNK </v>
          </cell>
          <cell r="B1278" t="str">
            <v xml:space="preserve">UG S1 TO U2/300, AFB </v>
          </cell>
          <cell r="C1278">
            <v>36907</v>
          </cell>
          <cell r="D1278" t="str">
            <v xml:space="preserve">H </v>
          </cell>
        </row>
        <row r="1279">
          <cell r="A1279" t="str">
            <v xml:space="preserve">UA12-UEC1-9N-000NN </v>
          </cell>
          <cell r="B1279" t="str">
            <v xml:space="preserve">UG TO U2/300 </v>
          </cell>
          <cell r="C1279">
            <v>6953</v>
          </cell>
          <cell r="D1279" t="str">
            <v xml:space="preserve">H </v>
          </cell>
        </row>
        <row r="1280">
          <cell r="A1280" t="str">
            <v xml:space="preserve">UA12-UEC2-9N-000NN </v>
          </cell>
          <cell r="B1280" t="str">
            <v xml:space="preserve">UG U1 TO U2 &amp; UE2/2300 </v>
          </cell>
          <cell r="C1280">
            <v>13028</v>
          </cell>
          <cell r="D1280" t="str">
            <v xml:space="preserve">H </v>
          </cell>
        </row>
        <row r="1281">
          <cell r="A1281" t="str">
            <v xml:space="preserve">UA12-UJC1-9N-000NN </v>
          </cell>
          <cell r="B1281" t="str">
            <v xml:space="preserve">UG TO U2/400 </v>
          </cell>
          <cell r="C1281">
            <v>9281</v>
          </cell>
          <cell r="D1281" t="str">
            <v xml:space="preserve">H </v>
          </cell>
        </row>
        <row r="1282">
          <cell r="A1282" t="str">
            <v xml:space="preserve">UES-1UGE1Z9P-C64AR </v>
          </cell>
          <cell r="B1282" t="str">
            <v xml:space="preserve">UG WS U5/360,PGX24, 64MB/8GB </v>
          </cell>
          <cell r="C1282">
            <v>3031</v>
          </cell>
          <cell r="D1282" t="str">
            <v xml:space="preserve">H </v>
          </cell>
        </row>
        <row r="1283">
          <cell r="A1283" t="str">
            <v xml:space="preserve">UES-1UGE1Z9PC128CR </v>
          </cell>
          <cell r="B1283" t="str">
            <v xml:space="preserve">UG WS U5/360,PGX24,128MB/8GB </v>
          </cell>
          <cell r="C1283">
            <v>3335</v>
          </cell>
          <cell r="D1283" t="str">
            <v xml:space="preserve">H </v>
          </cell>
        </row>
        <row r="1284">
          <cell r="A1284" t="str">
            <v xml:space="preserve">UES-2UKC1Z9MC256CP </v>
          </cell>
          <cell r="B1284" t="str">
            <v xml:space="preserve">UG WS U10/440,AFBM6,256MB/9G </v>
          </cell>
          <cell r="C1284">
            <v>9713</v>
          </cell>
          <cell r="D1284" t="str">
            <v xml:space="preserve">H </v>
          </cell>
        </row>
        <row r="1285">
          <cell r="A1285" t="str">
            <v xml:space="preserve">UES-2UKC1Z9QC256CP </v>
          </cell>
          <cell r="B1285" t="str">
            <v xml:space="preserve">UG WS U10/440,AFBM3,256MB/9G </v>
          </cell>
          <cell r="C1285">
            <v>8431</v>
          </cell>
          <cell r="D1285" t="str">
            <v xml:space="preserve">H </v>
          </cell>
        </row>
        <row r="1286">
          <cell r="A1286" t="str">
            <v xml:space="preserve">UG-1044A-1141A </v>
          </cell>
          <cell r="B1286" t="str">
            <v xml:space="preserve">UG SUN GIGABITETHERNET/P 2.0 </v>
          </cell>
          <cell r="C1286">
            <v>1294</v>
          </cell>
          <cell r="D1286" t="str">
            <v xml:space="preserve">A </v>
          </cell>
        </row>
        <row r="1287">
          <cell r="A1287" t="str">
            <v xml:space="preserve">UG-1045A-1140A </v>
          </cell>
          <cell r="B1287" t="str">
            <v xml:space="preserve">UG SUN GIGABITETHERNET/S 2.0 </v>
          </cell>
          <cell r="C1287">
            <v>1294</v>
          </cell>
          <cell r="D1287" t="str">
            <v xml:space="preserve">A </v>
          </cell>
        </row>
        <row r="1288">
          <cell r="A1288" t="str">
            <v xml:space="preserve">UG-260X-2761-SB1 </v>
          </cell>
          <cell r="B1288" t="str">
            <v xml:space="preserve">UG (1) 260X TO A 2761A SYS BD </v>
          </cell>
          <cell r="C1288">
            <v>88000</v>
          </cell>
          <cell r="D1288" t="str">
            <v xml:space="preserve">A </v>
          </cell>
        </row>
        <row r="1289">
          <cell r="A1289" t="str">
            <v xml:space="preserve">UG-260X-2761-SB2 </v>
          </cell>
          <cell r="B1289" t="str">
            <v xml:space="preserve">UG(2) 260X TO A 2761A SYS BD </v>
          </cell>
          <cell r="C1289">
            <v>80000</v>
          </cell>
          <cell r="D1289" t="str">
            <v xml:space="preserve">A </v>
          </cell>
        </row>
        <row r="1290">
          <cell r="A1290" t="str">
            <v xml:space="preserve">UG-2760A-C2761A </v>
          </cell>
          <cell r="B1290" t="str">
            <v xml:space="preserve">2760A TO 2761A CTO BOARD UPGR </v>
          </cell>
          <cell r="C1290">
            <v>52000</v>
          </cell>
          <cell r="D1290" t="str">
            <v xml:space="preserve">A </v>
          </cell>
        </row>
        <row r="1291">
          <cell r="A1291" t="str">
            <v xml:space="preserve">UG-2DLT7-L11000 </v>
          </cell>
          <cell r="B1291" t="str">
            <v xml:space="preserve">UPGRADE, DLT7000 TAPE DRS (2) </v>
          </cell>
          <cell r="C1291">
            <v>21000</v>
          </cell>
          <cell r="D1291" t="str">
            <v xml:space="preserve">A </v>
          </cell>
        </row>
        <row r="1292">
          <cell r="A1292" t="str">
            <v xml:space="preserve">UG-2DSK-RSM-9FST </v>
          </cell>
          <cell r="B1292" t="str">
            <v xml:space="preserve">UG 9GB RSM DISK, 2 DISK X 9GB </v>
          </cell>
          <cell r="C1292">
            <v>5530</v>
          </cell>
          <cell r="D1292" t="str">
            <v xml:space="preserve">A </v>
          </cell>
        </row>
        <row r="1293">
          <cell r="A1293" t="str">
            <v xml:space="preserve">UG-3DSK-RSM-9FST </v>
          </cell>
          <cell r="B1293" t="str">
            <v xml:space="preserve">UG RSM TRAY 3*9.1GB/7200 </v>
          </cell>
          <cell r="C1293">
            <v>14980</v>
          </cell>
          <cell r="D1293" t="str">
            <v xml:space="preserve">A </v>
          </cell>
        </row>
        <row r="1294">
          <cell r="A1294" t="str">
            <v xml:space="preserve">UG-4/1000-4DR </v>
          </cell>
          <cell r="B1294" t="str">
            <v xml:space="preserve">UG 4 X DLT4000 - DLT7000 </v>
          </cell>
          <cell r="C1294">
            <v>44800</v>
          </cell>
          <cell r="D1294" t="str">
            <v xml:space="preserve">A </v>
          </cell>
        </row>
        <row r="1295">
          <cell r="A1295" t="str">
            <v xml:space="preserve">UG-5/1-CLOCKBOARD </v>
          </cell>
          <cell r="B1295" t="str">
            <v xml:space="preserve">UG to 5:1 CLOCK BOARD - Field </v>
          </cell>
          <cell r="C1295">
            <v>1600</v>
          </cell>
          <cell r="D1295" t="str">
            <v xml:space="preserve">A </v>
          </cell>
        </row>
        <row r="1296">
          <cell r="A1296" t="str">
            <v xml:space="preserve">UG-8MM-TAPE-20G </v>
          </cell>
          <cell r="B1296" t="str">
            <v xml:space="preserve">UG TO 8MM UNIPACK TAPE, 20-40G </v>
          </cell>
          <cell r="C1296">
            <v>3308</v>
          </cell>
          <cell r="D1296" t="str">
            <v xml:space="preserve">H </v>
          </cell>
        </row>
        <row r="1297">
          <cell r="A1297" t="str">
            <v xml:space="preserve">UG-A1000-109G-10K </v>
          </cell>
          <cell r="B1297" t="str">
            <v xml:space="preserve">UPG, 109GB A1000(10K RPM) </v>
          </cell>
          <cell r="C1297">
            <v>23800</v>
          </cell>
          <cell r="D1297" t="str">
            <v xml:space="preserve">H </v>
          </cell>
        </row>
        <row r="1298">
          <cell r="A1298" t="str">
            <v xml:space="preserve">UG-A1000-36G-10K </v>
          </cell>
          <cell r="B1298" t="str">
            <v xml:space="preserve">UG, 36GB A1000 (10K RPM) </v>
          </cell>
          <cell r="C1298">
            <v>12320</v>
          </cell>
          <cell r="D1298" t="str">
            <v xml:space="preserve">H </v>
          </cell>
        </row>
        <row r="1299">
          <cell r="A1299" t="str">
            <v xml:space="preserve">UG-A1000-36G-RK-2 </v>
          </cell>
          <cell r="B1299" t="str">
            <v xml:space="preserve">UPG, 36GB A1000, RACK(10K RPM) </v>
          </cell>
          <cell r="C1299">
            <v>12320</v>
          </cell>
          <cell r="D1299" t="str">
            <v xml:space="preserve">H </v>
          </cell>
        </row>
        <row r="1300">
          <cell r="A1300" t="str">
            <v xml:space="preserve">UG-A1000-72G-18 </v>
          </cell>
          <cell r="B1300" t="str">
            <v xml:space="preserve">A1000 W/ 72GB(4X18GB DRIVES) </v>
          </cell>
          <cell r="C1300">
            <v>19600</v>
          </cell>
          <cell r="D1300" t="str">
            <v xml:space="preserve">H </v>
          </cell>
        </row>
        <row r="1301">
          <cell r="A1301" t="str">
            <v xml:space="preserve">UG-A1000-72G-RK </v>
          </cell>
          <cell r="B1301" t="str">
            <v xml:space="preserve">UPG, A1000-72GB RACKMOUNT TRAY </v>
          </cell>
          <cell r="C1301">
            <v>19600</v>
          </cell>
          <cell r="D1301" t="str">
            <v xml:space="preserve">H </v>
          </cell>
        </row>
        <row r="1302">
          <cell r="A1302" t="str">
            <v xml:space="preserve">UG-A1000-CONTBD </v>
          </cell>
          <cell r="B1302" t="str">
            <v xml:space="preserve">CONTROLLER BOARD UPG FOR A1000 </v>
          </cell>
          <cell r="C1302">
            <v>5600</v>
          </cell>
          <cell r="D1302" t="str">
            <v xml:space="preserve">H </v>
          </cell>
        </row>
        <row r="1303">
          <cell r="A1303" t="str">
            <v xml:space="preserve">UG-A1000-DISK-18GB </v>
          </cell>
          <cell r="B1303" t="str">
            <v xml:space="preserve">UG TO 18.2GB FOR A1000 </v>
          </cell>
          <cell r="C1303">
            <v>2660</v>
          </cell>
          <cell r="D1303" t="str">
            <v xml:space="preserve">H </v>
          </cell>
        </row>
        <row r="1304">
          <cell r="A1304" t="str">
            <v xml:space="preserve">UG-A1000-DISK-4GB </v>
          </cell>
          <cell r="B1304" t="str">
            <v xml:space="preserve">UG TO 4GB DSK, 10K RPM, A1000 </v>
          </cell>
          <cell r="C1304">
            <v>980</v>
          </cell>
          <cell r="D1304" t="str">
            <v xml:space="preserve">H </v>
          </cell>
        </row>
        <row r="1305">
          <cell r="A1305" t="str">
            <v xml:space="preserve">UG-A1000-DISK-9GB </v>
          </cell>
          <cell r="B1305" t="str">
            <v xml:space="preserve">UG TO 9.1GB FOR A1000 </v>
          </cell>
          <cell r="C1305">
            <v>1540</v>
          </cell>
          <cell r="D1305" t="str">
            <v xml:space="preserve">H </v>
          </cell>
        </row>
        <row r="1306">
          <cell r="A1306" t="str">
            <v xml:space="preserve">UG-A1000-RACK </v>
          </cell>
          <cell r="B1306" t="str">
            <v xml:space="preserve">UPG, STOREDGE EXPANSION RACK </v>
          </cell>
          <cell r="C1306">
            <v>7000</v>
          </cell>
          <cell r="D1306" t="str">
            <v xml:space="preserve">A </v>
          </cell>
        </row>
        <row r="1307">
          <cell r="A1307" t="str">
            <v xml:space="preserve">UG-A3500-1008G-18D </v>
          </cell>
          <cell r="B1307" t="str">
            <v xml:space="preserve">UPG TO A3500, 1008G, 7X18GB DR </v>
          </cell>
          <cell r="C1307">
            <v>259560</v>
          </cell>
          <cell r="D1307" t="str">
            <v xml:space="preserve">A </v>
          </cell>
        </row>
        <row r="1308">
          <cell r="A1308" t="str">
            <v xml:space="preserve">UG-A3500-1635G-10K </v>
          </cell>
          <cell r="B1308" t="str">
            <v xml:space="preserve">UPGRADE, STOREDGE A3500, 1635G </v>
          </cell>
          <cell r="C1308">
            <v>572600</v>
          </cell>
          <cell r="D1308" t="str">
            <v xml:space="preserve">A </v>
          </cell>
        </row>
        <row r="1309">
          <cell r="A1309" t="str">
            <v xml:space="preserve">UG-A3500-180G-10K </v>
          </cell>
          <cell r="B1309" t="str">
            <v xml:space="preserve">UPG, 180G A3500 (10K RPM) </v>
          </cell>
          <cell r="C1309">
            <v>162400</v>
          </cell>
          <cell r="D1309" t="str">
            <v xml:space="preserve">A </v>
          </cell>
        </row>
        <row r="1310">
          <cell r="A1310" t="str">
            <v xml:space="preserve">UG-A3500-360G-18D </v>
          </cell>
          <cell r="B1310" t="str">
            <v>UPG TO A3500,360G,7X18GB</v>
          </cell>
          <cell r="C1310">
            <v>159600</v>
          </cell>
          <cell r="D1310" t="str">
            <v xml:space="preserve">A </v>
          </cell>
        </row>
        <row r="1311">
          <cell r="A1311" t="str">
            <v xml:space="preserve">UG-A3500-545G-10K </v>
          </cell>
          <cell r="B1311" t="str">
            <v xml:space="preserve">UPGRADE, 545G A3500 (10K RPM) </v>
          </cell>
          <cell r="C1311">
            <v>165200</v>
          </cell>
          <cell r="D1311" t="str">
            <v xml:space="preserve">A </v>
          </cell>
        </row>
        <row r="1312">
          <cell r="A1312" t="str">
            <v xml:space="preserve">UG-A3500-763G-10K </v>
          </cell>
          <cell r="B1312" t="str">
            <v xml:space="preserve">UPG, A3500, 763G, 2 X 7 TRAYS </v>
          </cell>
          <cell r="C1312">
            <v>246400</v>
          </cell>
          <cell r="D1312" t="str">
            <v xml:space="preserve">A </v>
          </cell>
        </row>
        <row r="1313">
          <cell r="A1313" t="str">
            <v xml:space="preserve">UG-A3500-90G-10K </v>
          </cell>
          <cell r="B1313" t="str">
            <v xml:space="preserve">UPG, 90G A3500 SYS, 10K RPM </v>
          </cell>
          <cell r="C1313">
            <v>99400</v>
          </cell>
          <cell r="D1313" t="str">
            <v xml:space="preserve">A </v>
          </cell>
        </row>
        <row r="1314">
          <cell r="A1314" t="str">
            <v xml:space="preserve">UG-A3500-CTRL </v>
          </cell>
          <cell r="B1314" t="str">
            <v xml:space="preserve">UPGRADE, A3500 CONTROLLER </v>
          </cell>
          <cell r="C1314">
            <v>26600</v>
          </cell>
          <cell r="D1314" t="str">
            <v xml:space="preserve">A </v>
          </cell>
        </row>
        <row r="1315">
          <cell r="A1315" t="str">
            <v xml:space="preserve">UG-A3500-LITE-72G </v>
          </cell>
          <cell r="B1315" t="str">
            <v xml:space="preserve">UPGRADE, A3500 LITE, 72GB </v>
          </cell>
          <cell r="C1315">
            <v>56000</v>
          </cell>
          <cell r="D1315" t="str">
            <v xml:space="preserve">A </v>
          </cell>
        </row>
        <row r="1316">
          <cell r="A1316" t="str">
            <v xml:space="preserve">UG-A5000-1200G </v>
          </cell>
          <cell r="B1316" t="str">
            <v xml:space="preserve">Upgrade, 1200G StorEdge A5000 </v>
          </cell>
          <cell r="C1316">
            <v>700000</v>
          </cell>
          <cell r="D1316" t="str">
            <v xml:space="preserve">A </v>
          </cell>
        </row>
        <row r="1317">
          <cell r="A1317" t="str">
            <v xml:space="preserve">UG-A5000-1528G-18D </v>
          </cell>
          <cell r="B1317" t="str">
            <v xml:space="preserve">UPGRADE, 1.5TB StorEdge A5100 </v>
          </cell>
          <cell r="C1317">
            <v>420000</v>
          </cell>
          <cell r="D1317" t="str">
            <v xml:space="preserve">A </v>
          </cell>
        </row>
        <row r="1318">
          <cell r="A1318" t="str">
            <v xml:space="preserve">UG-A5000-18G-LP </v>
          </cell>
          <cell r="B1318" t="str">
            <v xml:space="preserve">UPGRADE, FC-AL 18GB, 1.6" DISK </v>
          </cell>
          <cell r="C1318">
            <v>2800</v>
          </cell>
          <cell r="D1318" t="str">
            <v xml:space="preserve">A </v>
          </cell>
        </row>
        <row r="1319">
          <cell r="A1319" t="str">
            <v xml:space="preserve">UG-A5000-200G </v>
          </cell>
          <cell r="B1319" t="str">
            <v xml:space="preserve">Upgrade to 200G StorEdge A5200 </v>
          </cell>
          <cell r="C1319">
            <v>98000</v>
          </cell>
          <cell r="D1319" t="str">
            <v xml:space="preserve">A </v>
          </cell>
        </row>
        <row r="1320">
          <cell r="A1320" t="str">
            <v xml:space="preserve">UG-A5000-200GR5 </v>
          </cell>
          <cell r="B1320" t="str">
            <v xml:space="preserve">UG, 200GB StorEdge A5200 </v>
          </cell>
          <cell r="C1320">
            <v>98000</v>
          </cell>
          <cell r="D1320" t="str">
            <v xml:space="preserve">A </v>
          </cell>
        </row>
        <row r="1321">
          <cell r="A1321" t="str">
            <v xml:space="preserve">UG-A5000-254G-18D </v>
          </cell>
          <cell r="B1321" t="str">
            <v xml:space="preserve">Upgrade, 254GB StorEdge A5000 </v>
          </cell>
          <cell r="C1321">
            <v>58800</v>
          </cell>
          <cell r="D1321" t="str">
            <v xml:space="preserve">A </v>
          </cell>
        </row>
        <row r="1322">
          <cell r="A1322" t="str">
            <v xml:space="preserve">UG-A5000-400G </v>
          </cell>
          <cell r="B1322" t="str">
            <v xml:space="preserve">Upgrade to 400G StorEdge A5200 </v>
          </cell>
          <cell r="C1322">
            <v>224000</v>
          </cell>
          <cell r="D1322" t="str">
            <v xml:space="preserve">A </v>
          </cell>
        </row>
        <row r="1323">
          <cell r="A1323" t="str">
            <v xml:space="preserve">UG-A5000-509G-18D </v>
          </cell>
          <cell r="B1323" t="str">
            <v xml:space="preserve">UPG, 509GB Sun StorEdge A5100 </v>
          </cell>
          <cell r="C1323">
            <v>140000</v>
          </cell>
          <cell r="D1323" t="str">
            <v xml:space="preserve">A </v>
          </cell>
        </row>
        <row r="1324">
          <cell r="A1324" t="str">
            <v xml:space="preserve">UG-A5000-63G </v>
          </cell>
          <cell r="B1324" t="str">
            <v xml:space="preserve">Upgrade to 63G StorEdge A5200 </v>
          </cell>
          <cell r="C1324">
            <v>54600</v>
          </cell>
          <cell r="D1324" t="str">
            <v xml:space="preserve">A </v>
          </cell>
        </row>
        <row r="1325">
          <cell r="A1325" t="str">
            <v xml:space="preserve">UG-A5000-800G </v>
          </cell>
          <cell r="B1325" t="str">
            <v xml:space="preserve">Upgrade, 800G StorEdge A5000 </v>
          </cell>
          <cell r="C1325">
            <v>469000</v>
          </cell>
          <cell r="D1325" t="str">
            <v xml:space="preserve">A </v>
          </cell>
        </row>
        <row r="1326">
          <cell r="A1326" t="str">
            <v xml:space="preserve">UG-A5000-91G-18D </v>
          </cell>
          <cell r="B1326" t="str">
            <v xml:space="preserve">UPG, 91GB Sun StorEdge A5100 </v>
          </cell>
          <cell r="C1326">
            <v>35000</v>
          </cell>
          <cell r="D1326" t="str">
            <v xml:space="preserve">A </v>
          </cell>
        </row>
        <row r="1327">
          <cell r="A1327" t="str">
            <v xml:space="preserve">UG-A5000-9G-LP </v>
          </cell>
          <cell r="B1327" t="str">
            <v xml:space="preserve">UPGRADE TO FC-AL 9GB 1.6" DISK </v>
          </cell>
          <cell r="C1327">
            <v>2800</v>
          </cell>
          <cell r="D1327" t="str">
            <v xml:space="preserve">A </v>
          </cell>
        </row>
        <row r="1328">
          <cell r="A1328" t="str">
            <v xml:space="preserve">UG-A7000-0GB </v>
          </cell>
          <cell r="B1328" t="str">
            <v xml:space="preserve">UPG TO A7000 BASE STORAGE SYS </v>
          </cell>
          <cell r="C1328">
            <v>176400</v>
          </cell>
          <cell r="D1328" t="str">
            <v xml:space="preserve">A </v>
          </cell>
        </row>
        <row r="1329">
          <cell r="A1329" t="str">
            <v xml:space="preserve">UG-A7000-18G </v>
          </cell>
          <cell r="B1329" t="str">
            <v xml:space="preserve">Upgrade, 108-GB SCA Disk Pack </v>
          </cell>
          <cell r="C1329">
            <v>35100</v>
          </cell>
          <cell r="D1329" t="str">
            <v xml:space="preserve">A </v>
          </cell>
        </row>
        <row r="1330">
          <cell r="A1330" t="str">
            <v xml:space="preserve">UG-A7000-18G-CO </v>
          </cell>
          <cell r="B1330" t="str">
            <v xml:space="preserve">Upgrade, 108-GB Disk Pack, SCA </v>
          </cell>
          <cell r="C1330">
            <v>35100</v>
          </cell>
          <cell r="D1330" t="str">
            <v xml:space="preserve">A </v>
          </cell>
        </row>
        <row r="1331">
          <cell r="A1331" t="str">
            <v xml:space="preserve">UG-A7000-9G-CO </v>
          </cell>
          <cell r="B1331" t="str">
            <v xml:space="preserve">Upgrade, Fac Gonfig 54-GB SCA </v>
          </cell>
          <cell r="C1331">
            <v>14400</v>
          </cell>
          <cell r="D1331" t="str">
            <v xml:space="preserve">A </v>
          </cell>
        </row>
        <row r="1332">
          <cell r="A1332" t="str">
            <v xml:space="preserve">UG-A7000-9GB-DSK </v>
          </cell>
          <cell r="B1332" t="str">
            <v xml:space="preserve">54.6GB DSK PCK UPG FOR A7000 </v>
          </cell>
          <cell r="C1332">
            <v>35100</v>
          </cell>
          <cell r="D1332" t="str">
            <v xml:space="preserve">A </v>
          </cell>
        </row>
        <row r="1333">
          <cell r="A1333" t="str">
            <v xml:space="preserve">UG-A7000-MEM-1GB </v>
          </cell>
          <cell r="B1333" t="str">
            <v xml:space="preserve">UPG TO 512MB SAFE CACHE MEMORY </v>
          </cell>
          <cell r="C1333">
            <v>84546</v>
          </cell>
          <cell r="D1333" t="str">
            <v xml:space="preserve">A </v>
          </cell>
        </row>
        <row r="1334">
          <cell r="A1334" t="str">
            <v xml:space="preserve">UG-A7000-USTE-2 </v>
          </cell>
          <cell r="B1334" t="str">
            <v xml:space="preserve">UPGRADE, ULTRA STE,2 CONNECTOR </v>
          </cell>
          <cell r="C1334">
            <v>26676</v>
          </cell>
          <cell r="D1334" t="str">
            <v xml:space="preserve">A </v>
          </cell>
        </row>
        <row r="1335">
          <cell r="A1335" t="str">
            <v xml:space="preserve">UG-A7000-USTE-4 </v>
          </cell>
          <cell r="B1335" t="str">
            <v xml:space="preserve">UPG, ULTRA STE, 4 CONNECTORS </v>
          </cell>
          <cell r="C1335">
            <v>26676</v>
          </cell>
          <cell r="D1335" t="str">
            <v xml:space="preserve">A </v>
          </cell>
        </row>
        <row r="1336">
          <cell r="A1336" t="str">
            <v xml:space="preserve">UG-A7000-USTE-8 </v>
          </cell>
          <cell r="B1336" t="str">
            <v xml:space="preserve">UPG, ULTRA STE, 8 CONNECTORS </v>
          </cell>
          <cell r="C1336">
            <v>26676</v>
          </cell>
          <cell r="D1336" t="str">
            <v xml:space="preserve">A </v>
          </cell>
        </row>
        <row r="1337">
          <cell r="A1337" t="str">
            <v xml:space="preserve">UG-AX000-DISK-9G-2 </v>
          </cell>
          <cell r="B1337" t="str">
            <v xml:space="preserve">UPG, 9GB, 10000RPM, USCSI DR </v>
          </cell>
          <cell r="C1337">
            <v>1365</v>
          </cell>
          <cell r="D1337" t="str">
            <v xml:space="preserve">H </v>
          </cell>
        </row>
        <row r="1338">
          <cell r="A1338" t="str">
            <v xml:space="preserve">UG-D1000-36G-10K </v>
          </cell>
          <cell r="B1338" t="str">
            <v xml:space="preserve">UPG, 36GB D1000 (10K RPM) </v>
          </cell>
          <cell r="C1338">
            <v>9800</v>
          </cell>
          <cell r="D1338" t="str">
            <v xml:space="preserve">H </v>
          </cell>
        </row>
        <row r="1339">
          <cell r="A1339" t="str">
            <v xml:space="preserve">UG-D1000-36G-RK-2 </v>
          </cell>
          <cell r="B1339" t="str">
            <v xml:space="preserve">UPG, 36GB D1000, RACK, 10K RPM </v>
          </cell>
          <cell r="C1339">
            <v>9800</v>
          </cell>
          <cell r="D1339" t="str">
            <v xml:space="preserve">H </v>
          </cell>
        </row>
        <row r="1340">
          <cell r="A1340" t="str">
            <v xml:space="preserve">UG-D1000-72G-18 </v>
          </cell>
          <cell r="B1340" t="str">
            <v xml:space="preserve">UPGRADE TO D1000, 72GB (4X18G) </v>
          </cell>
          <cell r="C1340">
            <v>14700</v>
          </cell>
          <cell r="D1340" t="str">
            <v xml:space="preserve">H </v>
          </cell>
        </row>
        <row r="1341">
          <cell r="A1341" t="str">
            <v xml:space="preserve">UG-D1000-72G-RK </v>
          </cell>
          <cell r="B1341" t="str">
            <v xml:space="preserve">UPG, D1000-72GB RACKMOUNT TRAY </v>
          </cell>
          <cell r="C1341">
            <v>14700</v>
          </cell>
          <cell r="D1341" t="str">
            <v xml:space="preserve">H </v>
          </cell>
        </row>
        <row r="1342">
          <cell r="A1342" t="str">
            <v xml:space="preserve">UG-DLT4700-TO-L280 </v>
          </cell>
          <cell r="B1342" t="str">
            <v xml:space="preserve">UG TO L280 STOREDGE AUTOLOADER </v>
          </cell>
          <cell r="C1342">
            <v>12460</v>
          </cell>
          <cell r="D1342" t="str">
            <v xml:space="preserve">H </v>
          </cell>
        </row>
        <row r="1343">
          <cell r="A1343" t="str">
            <v xml:space="preserve">UG-DLT7000 </v>
          </cell>
          <cell r="B1343" t="str">
            <v xml:space="preserve">UG TO DLT7000 35-70GB FLEXIPAK </v>
          </cell>
          <cell r="C1343">
            <v>8400</v>
          </cell>
          <cell r="D1343" t="str">
            <v xml:space="preserve">H </v>
          </cell>
        </row>
        <row r="1344">
          <cell r="A1344" t="str">
            <v xml:space="preserve">UG-DSK-18GB </v>
          </cell>
          <cell r="B1344" t="str">
            <v xml:space="preserve">UG TO 18.2GB DISK </v>
          </cell>
          <cell r="C1344">
            <v>1960</v>
          </cell>
          <cell r="D1344" t="str">
            <v xml:space="preserve">H </v>
          </cell>
        </row>
        <row r="1345">
          <cell r="A1345" t="str">
            <v xml:space="preserve">UG-DSK-9GB </v>
          </cell>
          <cell r="B1345" t="str">
            <v xml:space="preserve">UPG, DISK 9.1GB/7200 USCSI </v>
          </cell>
          <cell r="C1345">
            <v>1204</v>
          </cell>
          <cell r="D1345" t="str">
            <v xml:space="preserve">H </v>
          </cell>
        </row>
        <row r="1346">
          <cell r="A1346" t="str">
            <v xml:space="preserve">UG-DSK-9GB-2 </v>
          </cell>
          <cell r="B1346" t="str">
            <v xml:space="preserve">UPG, 9GB, 10000RPM, USCSI DR </v>
          </cell>
          <cell r="C1346">
            <v>1295</v>
          </cell>
          <cell r="D1346" t="str">
            <v xml:space="preserve">H </v>
          </cell>
        </row>
        <row r="1347">
          <cell r="A1347" t="str">
            <v xml:space="preserve">UG-E3000-E3500 </v>
          </cell>
          <cell r="B1347" t="str">
            <v xml:space="preserve">UG E3000 TO E3500 </v>
          </cell>
          <cell r="C1347">
            <v>15750</v>
          </cell>
          <cell r="D1347" t="str">
            <v xml:space="preserve">A </v>
          </cell>
        </row>
        <row r="1348">
          <cell r="A1348" t="str">
            <v xml:space="preserve">UG-E3000-E3501 </v>
          </cell>
          <cell r="B1348" t="str">
            <v xml:space="preserve">UG E3000 TO E3501 </v>
          </cell>
          <cell r="C1348">
            <v>15750</v>
          </cell>
          <cell r="D1348" t="str">
            <v xml:space="preserve">A </v>
          </cell>
        </row>
        <row r="1349">
          <cell r="A1349" t="str">
            <v xml:space="preserve">UG-E3000-E4500 </v>
          </cell>
          <cell r="B1349" t="str">
            <v xml:space="preserve">UG E3000 TO E4500 </v>
          </cell>
          <cell r="C1349">
            <v>45000</v>
          </cell>
          <cell r="D1349" t="str">
            <v xml:space="preserve">A </v>
          </cell>
        </row>
        <row r="1350">
          <cell r="A1350" t="str">
            <v xml:space="preserve">UG-E3000-E4501 </v>
          </cell>
          <cell r="B1350" t="str">
            <v xml:space="preserve">UG E3000 TO E4501 </v>
          </cell>
          <cell r="C1350">
            <v>45600</v>
          </cell>
          <cell r="D1350" t="str">
            <v xml:space="preserve">A </v>
          </cell>
        </row>
        <row r="1351">
          <cell r="A1351" t="str">
            <v xml:space="preserve">UG-E3000-E5500 </v>
          </cell>
          <cell r="B1351" t="str">
            <v xml:space="preserve">UG E3000 TO E5500 </v>
          </cell>
          <cell r="C1351">
            <v>61500</v>
          </cell>
          <cell r="D1351" t="str">
            <v xml:space="preserve">A </v>
          </cell>
        </row>
        <row r="1352">
          <cell r="A1352" t="str">
            <v xml:space="preserve">UG-E3000-E5501 </v>
          </cell>
          <cell r="B1352" t="str">
            <v xml:space="preserve">UG E3000 TO E5501 </v>
          </cell>
          <cell r="C1352">
            <v>63200</v>
          </cell>
          <cell r="D1352" t="str">
            <v xml:space="preserve">A </v>
          </cell>
        </row>
        <row r="1353">
          <cell r="A1353" t="str">
            <v xml:space="preserve">UG-E3500-E4500 </v>
          </cell>
          <cell r="B1353" t="str">
            <v xml:space="preserve">UG E3500 TO E4500 </v>
          </cell>
          <cell r="C1353">
            <v>42750</v>
          </cell>
          <cell r="D1353" t="str">
            <v xml:space="preserve">A </v>
          </cell>
        </row>
        <row r="1354">
          <cell r="A1354" t="str">
            <v xml:space="preserve">UG-E3500-E5500 </v>
          </cell>
          <cell r="B1354" t="str">
            <v xml:space="preserve">UG E3500 TO E5500 </v>
          </cell>
          <cell r="C1354">
            <v>59250</v>
          </cell>
          <cell r="D1354" t="str">
            <v xml:space="preserve">A </v>
          </cell>
        </row>
        <row r="1355">
          <cell r="A1355" t="str">
            <v xml:space="preserve">UG-E350X-E4501 </v>
          </cell>
          <cell r="B1355" t="str">
            <v xml:space="preserve">UG E350x TO E4501 </v>
          </cell>
          <cell r="C1355">
            <v>45600</v>
          </cell>
          <cell r="D1355" t="str">
            <v xml:space="preserve">A </v>
          </cell>
        </row>
        <row r="1356">
          <cell r="A1356" t="str">
            <v xml:space="preserve">UG-E350X-E5501 </v>
          </cell>
          <cell r="B1356" t="str">
            <v xml:space="preserve">UG E350X TO E5501 </v>
          </cell>
          <cell r="C1356">
            <v>63200</v>
          </cell>
          <cell r="D1356" t="str">
            <v xml:space="preserve">A </v>
          </cell>
        </row>
        <row r="1357">
          <cell r="A1357" t="str">
            <v xml:space="preserve">UG-E4000-100GIGPLN </v>
          </cell>
          <cell r="B1357" t="str">
            <v xml:space="preserve">UG E4000 TO 100MHZ GIGAPLANE </v>
          </cell>
          <cell r="C1357">
            <v>13300</v>
          </cell>
          <cell r="D1357" t="str">
            <v xml:space="preserve">A </v>
          </cell>
        </row>
        <row r="1358">
          <cell r="A1358" t="str">
            <v xml:space="preserve">UG-E4000-5/1GIGPLN </v>
          </cell>
          <cell r="B1358" t="str">
            <v xml:space="preserve">UG E4000 to 5/1 Gigaplane </v>
          </cell>
          <cell r="C1358">
            <v>15200</v>
          </cell>
          <cell r="D1358" t="str">
            <v xml:space="preserve">A </v>
          </cell>
        </row>
        <row r="1359">
          <cell r="A1359" t="str">
            <v xml:space="preserve">UG-E4000-E6500 </v>
          </cell>
          <cell r="B1359" t="str">
            <v xml:space="preserve">UG E4000 TO E6500 </v>
          </cell>
          <cell r="C1359">
            <v>164250</v>
          </cell>
          <cell r="D1359" t="str">
            <v xml:space="preserve">A </v>
          </cell>
        </row>
        <row r="1360">
          <cell r="A1360" t="str">
            <v xml:space="preserve">UG-E4000-E6501 </v>
          </cell>
          <cell r="B1360" t="str">
            <v xml:space="preserve">UG E4000 TO E6501 </v>
          </cell>
          <cell r="C1360">
            <v>127200</v>
          </cell>
          <cell r="D1360" t="str">
            <v xml:space="preserve">A </v>
          </cell>
        </row>
        <row r="1361">
          <cell r="A1361" t="str">
            <v xml:space="preserve">UG-E4500-E6500 </v>
          </cell>
          <cell r="B1361" t="str">
            <v xml:space="preserve">UG E4500 TO E6500 </v>
          </cell>
          <cell r="C1361">
            <v>162000</v>
          </cell>
          <cell r="D1361" t="str">
            <v xml:space="preserve">A </v>
          </cell>
        </row>
        <row r="1362">
          <cell r="A1362" t="str">
            <v xml:space="preserve">UG-E450X-E6501 </v>
          </cell>
          <cell r="B1362" t="str">
            <v xml:space="preserve">UG E450X TO E6501 </v>
          </cell>
          <cell r="C1362">
            <v>127200</v>
          </cell>
          <cell r="D1362" t="str">
            <v xml:space="preserve">A </v>
          </cell>
        </row>
        <row r="1363">
          <cell r="A1363" t="str">
            <v xml:space="preserve">UG-E5000-100GIGPLN </v>
          </cell>
          <cell r="B1363" t="str">
            <v xml:space="preserve">UG E5000 TO 100MHZ GIGAPLANE </v>
          </cell>
          <cell r="C1363">
            <v>15400</v>
          </cell>
          <cell r="D1363" t="str">
            <v xml:space="preserve">A </v>
          </cell>
        </row>
        <row r="1364">
          <cell r="A1364" t="str">
            <v xml:space="preserve">UG-E5000-5/1GIGPLN </v>
          </cell>
          <cell r="B1364" t="str">
            <v xml:space="preserve">UG E5000 to 5/1 Gigaplane </v>
          </cell>
          <cell r="C1364">
            <v>17600</v>
          </cell>
          <cell r="D1364" t="str">
            <v xml:space="preserve">A </v>
          </cell>
        </row>
        <row r="1365">
          <cell r="A1365" t="str">
            <v xml:space="preserve">UG-E5000-E6500 </v>
          </cell>
          <cell r="B1365" t="str">
            <v xml:space="preserve">UG E5000 TO E6500 </v>
          </cell>
          <cell r="C1365">
            <v>146250</v>
          </cell>
          <cell r="D1365" t="str">
            <v xml:space="preserve">A </v>
          </cell>
        </row>
        <row r="1366">
          <cell r="A1366" t="str">
            <v xml:space="preserve">UG-E5000-E6501 </v>
          </cell>
          <cell r="B1366" t="str">
            <v xml:space="preserve">UG E5000 TO E6501 </v>
          </cell>
          <cell r="C1366">
            <v>108000</v>
          </cell>
          <cell r="D1366" t="str">
            <v xml:space="preserve">A </v>
          </cell>
        </row>
        <row r="1367">
          <cell r="A1367" t="str">
            <v xml:space="preserve">UG-E5500-E6500 </v>
          </cell>
          <cell r="B1367" t="str">
            <v xml:space="preserve">UG E5500 TO E6500 </v>
          </cell>
          <cell r="C1367">
            <v>144000</v>
          </cell>
          <cell r="D1367" t="str">
            <v xml:space="preserve">A </v>
          </cell>
        </row>
        <row r="1368">
          <cell r="A1368" t="str">
            <v xml:space="preserve">UG-E550X-E6501 </v>
          </cell>
          <cell r="B1368" t="str">
            <v xml:space="preserve">UG E550X TO E6501 </v>
          </cell>
          <cell r="C1368">
            <v>108000</v>
          </cell>
          <cell r="D1368" t="str">
            <v xml:space="preserve">A </v>
          </cell>
        </row>
        <row r="1369">
          <cell r="A1369" t="str">
            <v xml:space="preserve">UG-E5X00-E10000-4 </v>
          </cell>
          <cell r="B1369" t="str">
            <v xml:space="preserve">CHASSIS UPGRADE TO E10000-4 </v>
          </cell>
          <cell r="C1369">
            <v>268800</v>
          </cell>
          <cell r="D1369" t="str">
            <v xml:space="preserve">A </v>
          </cell>
        </row>
        <row r="1370">
          <cell r="A1370" t="str">
            <v xml:space="preserve">UG-E6X00-E10000-4 </v>
          </cell>
          <cell r="B1370" t="str">
            <v xml:space="preserve">CHASSIS UPGRADE TO E10000-4 </v>
          </cell>
          <cell r="C1370">
            <v>212800</v>
          </cell>
          <cell r="D1370" t="str">
            <v xml:space="preserve">A </v>
          </cell>
        </row>
        <row r="1371">
          <cell r="A1371" t="str">
            <v xml:space="preserve">UG-ENT-100MHCLOCKB </v>
          </cell>
          <cell r="B1371" t="str">
            <v xml:space="preserve">100MHZ COMPAT ENT CLOCK BOARD </v>
          </cell>
          <cell r="C1371">
            <v>1500</v>
          </cell>
          <cell r="D1371" t="str">
            <v xml:space="preserve">A </v>
          </cell>
        </row>
        <row r="1372">
          <cell r="A1372" t="str">
            <v xml:space="preserve">UG-FFB-AFB-M3-V </v>
          </cell>
          <cell r="B1372" t="str">
            <v xml:space="preserve">GPX UPG TO ELITE3D M3 VERTICAL </v>
          </cell>
          <cell r="C1372">
            <v>2153</v>
          </cell>
          <cell r="D1372" t="str">
            <v xml:space="preserve">H </v>
          </cell>
        </row>
        <row r="1373">
          <cell r="A1373" t="str">
            <v xml:space="preserve">UG-FFB-AFB-M6-H </v>
          </cell>
          <cell r="B1373" t="str">
            <v xml:space="preserve">GPX UPG TO ELITE3D M6 HORIZON </v>
          </cell>
          <cell r="C1373">
            <v>3503</v>
          </cell>
          <cell r="D1373" t="str">
            <v xml:space="preserve">H </v>
          </cell>
        </row>
        <row r="1374">
          <cell r="A1374" t="str">
            <v xml:space="preserve">UG-FFB-AFB-M6-V </v>
          </cell>
          <cell r="B1374" t="str">
            <v xml:space="preserve">GPX UPG TO ELITE3D M6 VERTICAL </v>
          </cell>
          <cell r="C1374">
            <v>3503</v>
          </cell>
          <cell r="D1374" t="str">
            <v xml:space="preserve">H </v>
          </cell>
        </row>
        <row r="1375">
          <cell r="A1375" t="str">
            <v xml:space="preserve">UG-FFB-FFB3-DB-1-H </v>
          </cell>
          <cell r="B1375" t="str">
            <v xml:space="preserve">GPX UPG TO CREATOR3D SER 3 HOR </v>
          </cell>
          <cell r="C1375">
            <v>803</v>
          </cell>
          <cell r="D1375" t="str">
            <v xml:space="preserve">H </v>
          </cell>
        </row>
        <row r="1376">
          <cell r="A1376" t="str">
            <v xml:space="preserve">UG-FFB-FFB3-DB-1-V </v>
          </cell>
          <cell r="B1376" t="str">
            <v xml:space="preserve">GPX UPG TO CREATOR3D SER 3 VER </v>
          </cell>
          <cell r="C1376">
            <v>803</v>
          </cell>
          <cell r="D1376" t="str">
            <v xml:space="preserve">H </v>
          </cell>
        </row>
        <row r="1377">
          <cell r="A1377" t="str">
            <v xml:space="preserve">UG-L11000 </v>
          </cell>
          <cell r="B1377" t="str">
            <v xml:space="preserve">UPGRADE, L11000 TAPE LIBRARY </v>
          </cell>
          <cell r="C1377">
            <v>210000</v>
          </cell>
          <cell r="D1377" t="str">
            <v xml:space="preserve">A </v>
          </cell>
        </row>
        <row r="1378">
          <cell r="A1378" t="str">
            <v xml:space="preserve">UG-L3500-2 </v>
          </cell>
          <cell r="B1378" t="str">
            <v xml:space="preserve">UG TO L3500, TWO DRIVES </v>
          </cell>
          <cell r="C1378">
            <v>75600</v>
          </cell>
          <cell r="D1378" t="str">
            <v xml:space="preserve">A </v>
          </cell>
        </row>
        <row r="1379">
          <cell r="A1379" t="str">
            <v xml:space="preserve">UG-M11XX-M1194 </v>
          </cell>
          <cell r="B1379" t="str">
            <v xml:space="preserve">UG 300 to 400MHz CPU Ent 250 </v>
          </cell>
          <cell r="C1379">
            <v>5940</v>
          </cell>
          <cell r="D1379" t="str">
            <v xml:space="preserve">H </v>
          </cell>
        </row>
        <row r="1380">
          <cell r="A1380" t="str">
            <v xml:space="preserve">UG-M1XXX-M1300 </v>
          </cell>
          <cell r="B1380" t="str">
            <v xml:space="preserve">UG TO U2 300MHZ MODULE </v>
          </cell>
          <cell r="C1380">
            <v>7155</v>
          </cell>
          <cell r="D1380" t="str">
            <v xml:space="preserve">H </v>
          </cell>
        </row>
        <row r="1381">
          <cell r="A1381" t="str">
            <v xml:space="preserve">UG-M1XXX-M1400 </v>
          </cell>
          <cell r="B1381" t="str">
            <v xml:space="preserve">UG TO 400MHZ MODULE </v>
          </cell>
          <cell r="C1381">
            <v>5940</v>
          </cell>
          <cell r="D1381" t="str">
            <v xml:space="preserve">H </v>
          </cell>
        </row>
        <row r="1382">
          <cell r="A1382" t="str">
            <v xml:space="preserve">UG-M22XX-M2244 </v>
          </cell>
          <cell r="B1382" t="str">
            <v xml:space="preserve">UG TO E450 400MHZ CPU MODULE </v>
          </cell>
          <cell r="C1382">
            <v>6885</v>
          </cell>
          <cell r="D1382" t="str">
            <v xml:space="preserve">H </v>
          </cell>
        </row>
        <row r="1383">
          <cell r="A1383" t="str">
            <v xml:space="preserve">UG-M2510-M2550 </v>
          </cell>
          <cell r="B1383" t="str">
            <v xml:space="preserve">UG US 250MHZ/4MB </v>
          </cell>
          <cell r="C1383">
            <v>11250</v>
          </cell>
          <cell r="D1383" t="str">
            <v xml:space="preserve">A </v>
          </cell>
        </row>
        <row r="1384">
          <cell r="A1384" t="str">
            <v xml:space="preserve">UG-M2510-M2550E10K </v>
          </cell>
          <cell r="B1384" t="str">
            <v xml:space="preserve">UG US 250MHZ/4MB E10000 </v>
          </cell>
          <cell r="C1384">
            <v>11250</v>
          </cell>
          <cell r="D1384" t="str">
            <v xml:space="preserve">A </v>
          </cell>
        </row>
        <row r="1385">
          <cell r="A1385" t="str">
            <v xml:space="preserve">UG-M2510-M2560 </v>
          </cell>
          <cell r="B1385" t="str">
            <v xml:space="preserve">UG US 336MHZ/4MB </v>
          </cell>
          <cell r="C1385">
            <v>18750</v>
          </cell>
          <cell r="D1385" t="str">
            <v xml:space="preserve">A </v>
          </cell>
        </row>
        <row r="1386">
          <cell r="A1386" t="str">
            <v xml:space="preserve">UG-M2510-M2570 </v>
          </cell>
          <cell r="B1386" t="str">
            <v xml:space="preserve">UG 167MHZ TO 400MHZ/4MB </v>
          </cell>
          <cell r="C1386">
            <v>16100</v>
          </cell>
          <cell r="D1386" t="str">
            <v xml:space="preserve">A </v>
          </cell>
        </row>
        <row r="1387">
          <cell r="A1387" t="str">
            <v xml:space="preserve">UG-M2510-M2580 </v>
          </cell>
          <cell r="B1387" t="str">
            <v xml:space="preserve">UG 167Mhz to 400MHz/8MB </v>
          </cell>
          <cell r="C1387">
            <v>18000</v>
          </cell>
          <cell r="D1387" t="str">
            <v xml:space="preserve">A </v>
          </cell>
        </row>
        <row r="1388">
          <cell r="A1388" t="str">
            <v xml:space="preserve">UG-M2530-M2560 </v>
          </cell>
          <cell r="B1388" t="str">
            <v xml:space="preserve">UG US 336MHZ/4MB </v>
          </cell>
          <cell r="C1388">
            <v>14250</v>
          </cell>
          <cell r="D1388" t="str">
            <v xml:space="preserve">A </v>
          </cell>
        </row>
        <row r="1389">
          <cell r="A1389" t="str">
            <v xml:space="preserve">UG-M2550 </v>
          </cell>
          <cell r="B1389" t="str">
            <v xml:space="preserve">UG US 250MHZ/4MB </v>
          </cell>
          <cell r="C1389">
            <v>20250</v>
          </cell>
          <cell r="D1389" t="str">
            <v xml:space="preserve">A </v>
          </cell>
        </row>
        <row r="1390">
          <cell r="A1390" t="str">
            <v xml:space="preserve">UG-M2550-M2570 </v>
          </cell>
          <cell r="B1390" t="str">
            <v xml:space="preserve">UG 250MHZ TO 400MHZ/4MB-FIELD </v>
          </cell>
          <cell r="C1390">
            <v>14000</v>
          </cell>
          <cell r="D1390" t="str">
            <v xml:space="preserve">A </v>
          </cell>
        </row>
        <row r="1391">
          <cell r="A1391" t="str">
            <v xml:space="preserve">UG-M2550-M2580 </v>
          </cell>
          <cell r="B1391" t="str">
            <v xml:space="preserve">UG 250Mhz to 400MHz/8MB-Field </v>
          </cell>
          <cell r="C1391">
            <v>15750</v>
          </cell>
          <cell r="D1391" t="str">
            <v xml:space="preserve">A </v>
          </cell>
        </row>
        <row r="1392">
          <cell r="A1392" t="str">
            <v xml:space="preserve">UG-M2560 </v>
          </cell>
          <cell r="B1392" t="str">
            <v xml:space="preserve">UG US 336MHZ/4MB </v>
          </cell>
          <cell r="C1392">
            <v>24750</v>
          </cell>
          <cell r="D1392" t="str">
            <v xml:space="preserve">A </v>
          </cell>
        </row>
        <row r="1393">
          <cell r="A1393" t="str">
            <v xml:space="preserve">UG-M2560-M2570 </v>
          </cell>
          <cell r="B1393" t="str">
            <v xml:space="preserve">UG 336MHZ TO 400MHZ/4MB-FIELD </v>
          </cell>
          <cell r="C1393">
            <v>11900</v>
          </cell>
          <cell r="D1393" t="str">
            <v xml:space="preserve">A </v>
          </cell>
        </row>
        <row r="1394">
          <cell r="A1394" t="str">
            <v xml:space="preserve">UG-M2560-M2580 </v>
          </cell>
          <cell r="B1394" t="str">
            <v xml:space="preserve">UG 336/400 to 400MHz/8MB-Field </v>
          </cell>
          <cell r="C1394">
            <v>13500</v>
          </cell>
          <cell r="D1394" t="str">
            <v xml:space="preserve">A </v>
          </cell>
        </row>
        <row r="1395">
          <cell r="A1395" t="str">
            <v xml:space="preserve">UG-M2570 </v>
          </cell>
          <cell r="B1395" t="str">
            <v xml:space="preserve">UG SUNSPARC TO 400MHZ/4MB </v>
          </cell>
          <cell r="C1395">
            <v>20300</v>
          </cell>
          <cell r="D1395" t="str">
            <v xml:space="preserve">A </v>
          </cell>
        </row>
        <row r="1396">
          <cell r="A1396" t="str">
            <v xml:space="preserve">UG-M2580 </v>
          </cell>
          <cell r="B1396" t="str">
            <v xml:space="preserve">UG SunSPARC to 400MHz/8MB </v>
          </cell>
          <cell r="C1396">
            <v>22500</v>
          </cell>
          <cell r="D1396" t="str">
            <v xml:space="preserve">A </v>
          </cell>
        </row>
        <row r="1397">
          <cell r="A1397" t="str">
            <v xml:space="preserve">UG-M300-M360-U60 </v>
          </cell>
          <cell r="B1397" t="str">
            <v xml:space="preserve">ULTRA 60 MODULE UPG TO 360MHZ </v>
          </cell>
          <cell r="C1397">
            <v>5188</v>
          </cell>
          <cell r="D1397" t="str">
            <v xml:space="preserve">H </v>
          </cell>
        </row>
        <row r="1398">
          <cell r="A1398" t="str">
            <v xml:space="preserve">UG-M300-M400 </v>
          </cell>
          <cell r="B1398" t="str">
            <v xml:space="preserve">Upgr 300 to 400MHz/2Mb - E2/U2 </v>
          </cell>
          <cell r="C1398">
            <v>5265</v>
          </cell>
          <cell r="D1398" t="str">
            <v xml:space="preserve">H </v>
          </cell>
        </row>
        <row r="1399">
          <cell r="A1399" t="str">
            <v xml:space="preserve">UG-MEM128-MEM512 </v>
          </cell>
          <cell r="B1399" t="str">
            <v xml:space="preserve">UG TO 512MB (4X128MB) MEMORY </v>
          </cell>
          <cell r="C1399">
            <v>13130</v>
          </cell>
          <cell r="D1399" t="str">
            <v xml:space="preserve">H </v>
          </cell>
        </row>
        <row r="1400">
          <cell r="A1400" t="str">
            <v xml:space="preserve">UG-MEM256-MEM1GB </v>
          </cell>
          <cell r="B1400" t="str">
            <v xml:space="preserve">7022A TO 7023A MEM UPGRADE-1GB </v>
          </cell>
          <cell r="C1400">
            <v>17990</v>
          </cell>
          <cell r="D1400" t="str">
            <v xml:space="preserve">A </v>
          </cell>
        </row>
        <row r="1401">
          <cell r="A1401" t="str">
            <v xml:space="preserve">UG-MXXX-M300 </v>
          </cell>
          <cell r="B1401" t="str">
            <v xml:space="preserve">UG US-I TO 300MHZ US-II MODULE </v>
          </cell>
          <cell r="C1401">
            <v>6075</v>
          </cell>
          <cell r="D1401" t="str">
            <v xml:space="preserve">H </v>
          </cell>
        </row>
        <row r="1402">
          <cell r="A1402" t="str">
            <v xml:space="preserve">UG-MXXX-M450 </v>
          </cell>
          <cell r="B1402" t="str">
            <v xml:space="preserve">CPU MODULE UPG TO 450MHZ </v>
          </cell>
          <cell r="C1402">
            <v>6210</v>
          </cell>
          <cell r="D1402" t="str">
            <v xml:space="preserve">H </v>
          </cell>
        </row>
        <row r="1403">
          <cell r="A1403" t="str">
            <v xml:space="preserve">UG-MXXXX-M1194 </v>
          </cell>
          <cell r="B1403" t="str">
            <v xml:space="preserve">UG 167/200/250 CPU to 400/2MHz </v>
          </cell>
          <cell r="C1403">
            <v>6757</v>
          </cell>
          <cell r="D1403" t="str">
            <v xml:space="preserve">H </v>
          </cell>
        </row>
        <row r="1404">
          <cell r="A1404" t="str">
            <v xml:space="preserve">UG-MXXXX-M2244 </v>
          </cell>
          <cell r="B1404" t="str">
            <v xml:space="preserve">UG TO E450 400MHZ CPU MODULE </v>
          </cell>
          <cell r="C1404">
            <v>8775</v>
          </cell>
          <cell r="D1404" t="str">
            <v xml:space="preserve">H </v>
          </cell>
        </row>
        <row r="1405">
          <cell r="A1405" t="str">
            <v xml:space="preserve">UG-S-14UEC19S128CJ </v>
          </cell>
          <cell r="B1405" t="str">
            <v xml:space="preserve">UG TO UE2/1300,128MB,9GB,32XCD </v>
          </cell>
          <cell r="C1405">
            <v>17692</v>
          </cell>
          <cell r="D1405" t="str">
            <v xml:space="preserve">H </v>
          </cell>
        </row>
        <row r="1406">
          <cell r="A1406" t="str">
            <v xml:space="preserve">UG-S-14UJC19S128CJ </v>
          </cell>
          <cell r="B1406" t="str">
            <v xml:space="preserve">UG TO E2/1400,128MB,9GB,32xCD </v>
          </cell>
          <cell r="C1406">
            <v>14722</v>
          </cell>
          <cell r="D1406" t="str">
            <v xml:space="preserve">H </v>
          </cell>
        </row>
        <row r="1407">
          <cell r="A1407" t="str">
            <v xml:space="preserve">UG-S-UEC2-9S-256CJ </v>
          </cell>
          <cell r="B1407" t="str">
            <v xml:space="preserve">UG TO UE2/2300,256MB,9GB,32XCD </v>
          </cell>
          <cell r="C1407">
            <v>23645</v>
          </cell>
          <cell r="D1407" t="str">
            <v xml:space="preserve">H </v>
          </cell>
        </row>
        <row r="1408">
          <cell r="A1408" t="str">
            <v xml:space="preserve">UG-S-UJC2-9S-256CJ </v>
          </cell>
          <cell r="B1408" t="str">
            <v xml:space="preserve">UG TO UE2/2400,256MB,9GB,32xCD </v>
          </cell>
          <cell r="C1408">
            <v>21944</v>
          </cell>
          <cell r="D1408" t="str">
            <v xml:space="preserve">H </v>
          </cell>
        </row>
        <row r="1409">
          <cell r="A1409" t="str">
            <v xml:space="preserve">UG-SBIO-DSBIO </v>
          </cell>
          <cell r="B1409" t="str">
            <v xml:space="preserve">UG E10000 I/O BOARD </v>
          </cell>
          <cell r="C1409">
            <v>9600</v>
          </cell>
          <cell r="D1409" t="str">
            <v xml:space="preserve">A </v>
          </cell>
        </row>
        <row r="1410">
          <cell r="A1410" t="str">
            <v xml:space="preserve">UG-SF-BEZEL-KIT </v>
          </cell>
          <cell r="B1410" t="str">
            <v xml:space="preserve">UG E5x00/E6x00 Bezel - Field </v>
          </cell>
          <cell r="C1410">
            <v>800</v>
          </cell>
          <cell r="D1410" t="str">
            <v xml:space="preserve">A </v>
          </cell>
        </row>
        <row r="1411">
          <cell r="A1411" t="str">
            <v xml:space="preserve">UG-SUNSV-E3500-C52 </v>
          </cell>
          <cell r="B1411" t="str">
            <v xml:space="preserve">UG TO E3500 2X250MHZ/4MB </v>
          </cell>
          <cell r="C1411">
            <v>43200</v>
          </cell>
          <cell r="D1411" t="str">
            <v xml:space="preserve">A </v>
          </cell>
        </row>
        <row r="1412">
          <cell r="A1412" t="str">
            <v xml:space="preserve">UG-SUNSV-E3500-C62 </v>
          </cell>
          <cell r="B1412" t="str">
            <v xml:space="preserve">UG TO E3500 2X336MHZ/4MB </v>
          </cell>
          <cell r="C1412">
            <v>50700</v>
          </cell>
          <cell r="D1412" t="str">
            <v xml:space="preserve">A </v>
          </cell>
        </row>
        <row r="1413">
          <cell r="A1413" t="str">
            <v xml:space="preserve">UG-SUNSV-E3500-C72 </v>
          </cell>
          <cell r="B1413" t="str">
            <v xml:space="preserve">UG TO E3500 2X400MHZ/4MB </v>
          </cell>
          <cell r="C1413">
            <v>48720</v>
          </cell>
          <cell r="D1413" t="str">
            <v xml:space="preserve">A </v>
          </cell>
        </row>
        <row r="1414">
          <cell r="A1414" t="str">
            <v xml:space="preserve">UG-SUNSV-E3501-C62 </v>
          </cell>
          <cell r="B1414" t="str">
            <v xml:space="preserve">UG TO E3501 2x336MHZ/4MB </v>
          </cell>
          <cell r="C1414">
            <v>43200</v>
          </cell>
          <cell r="D1414" t="str">
            <v xml:space="preserve">A </v>
          </cell>
        </row>
        <row r="1415">
          <cell r="A1415" t="str">
            <v xml:space="preserve">UG-SUNSV-E3501-C72 </v>
          </cell>
          <cell r="B1415" t="str">
            <v xml:space="preserve">UG TO E3501 2x400MHZ/4MB </v>
          </cell>
          <cell r="C1415">
            <v>52200</v>
          </cell>
          <cell r="D1415" t="str">
            <v xml:space="preserve">A </v>
          </cell>
        </row>
        <row r="1416">
          <cell r="A1416" t="str">
            <v xml:space="preserve">UG-SUNSV-E3501-C82 </v>
          </cell>
          <cell r="B1416" t="str">
            <v xml:space="preserve">UG TO E3501 2x400MHZ/8MB </v>
          </cell>
          <cell r="C1416">
            <v>53700</v>
          </cell>
          <cell r="D1416" t="str">
            <v xml:space="preserve">A </v>
          </cell>
        </row>
        <row r="1417">
          <cell r="A1417" t="str">
            <v xml:space="preserve">UG-SUNSV-E4500 </v>
          </cell>
          <cell r="B1417" t="str">
            <v xml:space="preserve">UG TO E4500 </v>
          </cell>
          <cell r="C1417">
            <v>56250</v>
          </cell>
          <cell r="D1417" t="str">
            <v xml:space="preserve">A </v>
          </cell>
        </row>
        <row r="1418">
          <cell r="A1418" t="str">
            <v xml:space="preserve">UG-SUNSV-E4501 </v>
          </cell>
          <cell r="B1418" t="str">
            <v xml:space="preserve">UG TO E4501 </v>
          </cell>
          <cell r="C1418">
            <v>60000</v>
          </cell>
          <cell r="D1418" t="str">
            <v xml:space="preserve">A </v>
          </cell>
        </row>
        <row r="1419">
          <cell r="A1419" t="str">
            <v xml:space="preserve">UG-SUNSV-E5500 </v>
          </cell>
          <cell r="B1419" t="str">
            <v xml:space="preserve">UG TO E5500 </v>
          </cell>
          <cell r="C1419">
            <v>68250</v>
          </cell>
          <cell r="D1419" t="str">
            <v xml:space="preserve">A </v>
          </cell>
        </row>
        <row r="1420">
          <cell r="A1420" t="str">
            <v xml:space="preserve">UG-SUNSV-E5501 </v>
          </cell>
          <cell r="B1420" t="str">
            <v xml:space="preserve">UG TO E5501 </v>
          </cell>
          <cell r="C1420">
            <v>72800</v>
          </cell>
          <cell r="D1420" t="str">
            <v xml:space="preserve">A </v>
          </cell>
        </row>
        <row r="1421">
          <cell r="A1421" t="str">
            <v xml:space="preserve">UG-TAPE-SLR </v>
          </cell>
          <cell r="B1421" t="str">
            <v xml:space="preserve">UG TO EXT. 4GB SLR TAPE </v>
          </cell>
          <cell r="C1421">
            <v>945</v>
          </cell>
          <cell r="D1421" t="str">
            <v xml:space="preserve">H </v>
          </cell>
        </row>
        <row r="1422">
          <cell r="A1422" t="str">
            <v xml:space="preserve">UG-WRKGP-E3500-C52 </v>
          </cell>
          <cell r="B1422" t="str">
            <v xml:space="preserve">UG WKGRP SV TO E3500 250MHZ/4M </v>
          </cell>
          <cell r="C1422">
            <v>45300</v>
          </cell>
          <cell r="D1422" t="str">
            <v xml:space="preserve">A </v>
          </cell>
        </row>
        <row r="1423">
          <cell r="A1423" t="str">
            <v xml:space="preserve">UG-WRKGP-E3500-C62 </v>
          </cell>
          <cell r="B1423" t="str">
            <v xml:space="preserve">UG WKGRP SV TO E3500 2X336MHZ </v>
          </cell>
          <cell r="C1423">
            <v>54300</v>
          </cell>
          <cell r="D1423" t="str">
            <v xml:space="preserve">A </v>
          </cell>
        </row>
        <row r="1424">
          <cell r="A1424" t="str">
            <v xml:space="preserve">UG-WRKGP-E3500-C72 </v>
          </cell>
          <cell r="B1424" t="str">
            <v xml:space="preserve">UG WKGRP SV TO E3500 2X400MHZ </v>
          </cell>
          <cell r="C1424">
            <v>52080</v>
          </cell>
          <cell r="D1424" t="str">
            <v xml:space="preserve">A </v>
          </cell>
        </row>
        <row r="1425">
          <cell r="A1425" t="str">
            <v xml:space="preserve">UG-WRKGP-E3501-C62 </v>
          </cell>
          <cell r="B1425" t="str">
            <v xml:space="preserve">UG Wkgrp SV TO E3501 2x336MHz </v>
          </cell>
          <cell r="C1425">
            <v>46800</v>
          </cell>
          <cell r="D1425" t="str">
            <v xml:space="preserve">A </v>
          </cell>
        </row>
        <row r="1426">
          <cell r="A1426" t="str">
            <v xml:space="preserve">UG-WRKGP-E3501-C72 </v>
          </cell>
          <cell r="B1426" t="str">
            <v xml:space="preserve">UG Wkgrp SV TO E3501 2x400/4MB </v>
          </cell>
          <cell r="C1426">
            <v>55800</v>
          </cell>
          <cell r="D1426" t="str">
            <v xml:space="preserve">A </v>
          </cell>
        </row>
        <row r="1427">
          <cell r="A1427" t="str">
            <v xml:space="preserve">UG-WRKGP-E3501-C82 </v>
          </cell>
          <cell r="B1427" t="str">
            <v xml:space="preserve">UG Wkgrp SV TO E3501 2x400/8MB </v>
          </cell>
          <cell r="C1427">
            <v>57300</v>
          </cell>
          <cell r="D1427" t="str">
            <v xml:space="preserve">A </v>
          </cell>
        </row>
        <row r="1428">
          <cell r="A1428" t="str">
            <v xml:space="preserve">UG1-2UKC1Z9MC256CP </v>
          </cell>
          <cell r="B1428" t="str">
            <v xml:space="preserve">UG WS U10/440,AFBM6,256MB/9G </v>
          </cell>
          <cell r="C1428">
            <v>8498</v>
          </cell>
          <cell r="D1428" t="str">
            <v xml:space="preserve">H </v>
          </cell>
        </row>
        <row r="1429">
          <cell r="A1429" t="str">
            <v xml:space="preserve">UG1-2UKC1Z9MC512CP </v>
          </cell>
          <cell r="B1429" t="str">
            <v xml:space="preserve">UG WS U10/440,AFBM6,512MB/9G </v>
          </cell>
          <cell r="C1429">
            <v>9578</v>
          </cell>
          <cell r="D1429" t="str">
            <v xml:space="preserve">H </v>
          </cell>
        </row>
        <row r="1430">
          <cell r="A1430" t="str">
            <v xml:space="preserve">UG1-2UKC1Z9QC256CP </v>
          </cell>
          <cell r="B1430" t="str">
            <v xml:space="preserve">UG WS U10/440,AFBM3,256MB/9G </v>
          </cell>
          <cell r="C1430">
            <v>7216</v>
          </cell>
          <cell r="D1430" t="str">
            <v xml:space="preserve">H </v>
          </cell>
        </row>
        <row r="1431">
          <cell r="A1431" t="str">
            <v xml:space="preserve">UG1-2UKC1Z9QC512CP </v>
          </cell>
          <cell r="B1431" t="str">
            <v xml:space="preserve">UG WS U10/440,AFBM3,512MB/9G </v>
          </cell>
          <cell r="C1431">
            <v>8296</v>
          </cell>
          <cell r="D1431" t="str">
            <v xml:space="preserve">H </v>
          </cell>
        </row>
        <row r="1432">
          <cell r="A1432" t="str">
            <v xml:space="preserve">UG10-A25-BA </v>
          </cell>
          <cell r="B1432" t="str">
            <v xml:space="preserve">UG TO E450 400MHZ ENABLED BASE </v>
          </cell>
          <cell r="C1432">
            <v>10861</v>
          </cell>
          <cell r="D1432" t="str">
            <v xml:space="preserve">H </v>
          </cell>
        </row>
        <row r="1433">
          <cell r="A1433" t="str">
            <v xml:space="preserve">UG10-A26-AA </v>
          </cell>
          <cell r="B1433" t="str">
            <v xml:space="preserve">UG S10/SERVR TO E250 ZERO BASE </v>
          </cell>
          <cell r="C1433">
            <v>4158</v>
          </cell>
          <cell r="D1433" t="str">
            <v xml:space="preserve">H </v>
          </cell>
        </row>
        <row r="1434">
          <cell r="A1434" t="str">
            <v xml:space="preserve">UG10-A26-AA-R </v>
          </cell>
          <cell r="B1434" t="str">
            <v xml:space="preserve">UG S10 TO E250 RACK BASE </v>
          </cell>
          <cell r="C1434">
            <v>4158</v>
          </cell>
          <cell r="D1434" t="str">
            <v xml:space="preserve">H </v>
          </cell>
        </row>
        <row r="1435">
          <cell r="A1435" t="str">
            <v xml:space="preserve">UG10-UEC1-9L-128AH </v>
          </cell>
          <cell r="B1435" t="str">
            <v xml:space="preserve">UG S10 TO U2/300, C3D SER 3 </v>
          </cell>
          <cell r="C1435">
            <v>12690</v>
          </cell>
          <cell r="D1435" t="str">
            <v xml:space="preserve">H </v>
          </cell>
        </row>
        <row r="1436">
          <cell r="A1436" t="str">
            <v xml:space="preserve">UG10-UEC1-9M-128AH </v>
          </cell>
          <cell r="B1436" t="str">
            <v xml:space="preserve">UG S10 TO U2/1300,AFB,128MB,9G </v>
          </cell>
          <cell r="C1436">
            <v>15518</v>
          </cell>
          <cell r="D1436" t="str">
            <v xml:space="preserve">H </v>
          </cell>
        </row>
        <row r="1437">
          <cell r="A1437" t="str">
            <v xml:space="preserve">UG10-UEC2-9L-128AH </v>
          </cell>
          <cell r="B1437" t="str">
            <v xml:space="preserve">UG S10 TO U2/2300, C3D SER 3 </v>
          </cell>
          <cell r="C1437">
            <v>18765</v>
          </cell>
          <cell r="D1437" t="str">
            <v xml:space="preserve">H </v>
          </cell>
        </row>
        <row r="1438">
          <cell r="A1438" t="str">
            <v xml:space="preserve">UG10-UEC2-9M-128AH </v>
          </cell>
          <cell r="B1438" t="str">
            <v xml:space="preserve">UG S10 TO U2/2300,AFB,128MB,9G </v>
          </cell>
          <cell r="C1438">
            <v>21256</v>
          </cell>
          <cell r="D1438" t="str">
            <v xml:space="preserve">H </v>
          </cell>
        </row>
        <row r="1439">
          <cell r="A1439" t="str">
            <v xml:space="preserve">UG10-UJC1-9L-256AH </v>
          </cell>
          <cell r="B1439" t="str">
            <v xml:space="preserve">UG S10 TO U2/400, C3D SER 3 </v>
          </cell>
          <cell r="C1439">
            <v>15822</v>
          </cell>
          <cell r="D1439" t="str">
            <v xml:space="preserve">H </v>
          </cell>
        </row>
        <row r="1440">
          <cell r="A1440" t="str">
            <v xml:space="preserve">UG10-UJC1-9M-256AH </v>
          </cell>
          <cell r="B1440" t="str">
            <v xml:space="preserve">UG S10 TO U2/1400,AFB,256MB,9G </v>
          </cell>
          <cell r="C1440">
            <v>19265</v>
          </cell>
          <cell r="D1440" t="str">
            <v xml:space="preserve">H </v>
          </cell>
        </row>
        <row r="1441">
          <cell r="A1441" t="str">
            <v xml:space="preserve">UG14-3UEC19L-000AC </v>
          </cell>
          <cell r="B1441" t="str">
            <v xml:space="preserve">CHASSIS UPG TO ULT 60, 300MHZ </v>
          </cell>
          <cell r="C1441">
            <v>10523</v>
          </cell>
          <cell r="D1441" t="str">
            <v xml:space="preserve">H </v>
          </cell>
        </row>
        <row r="1442">
          <cell r="A1442" t="str">
            <v xml:space="preserve">UG14-3UEC19M-000AC </v>
          </cell>
          <cell r="B1442" t="str">
            <v xml:space="preserve">CHASSIS UPG TO ULT 60, 300MHZ </v>
          </cell>
          <cell r="C1442">
            <v>16470</v>
          </cell>
          <cell r="D1442" t="str">
            <v xml:space="preserve">H </v>
          </cell>
        </row>
        <row r="1443">
          <cell r="A1443" t="str">
            <v xml:space="preserve">UG14-3UEC19Q-000AC </v>
          </cell>
          <cell r="B1443" t="str">
            <v xml:space="preserve">CHASSIS UPG TO ULT 60, 300MHZ </v>
          </cell>
          <cell r="C1443">
            <v>14236</v>
          </cell>
          <cell r="D1443" t="str">
            <v xml:space="preserve">H </v>
          </cell>
        </row>
        <row r="1444">
          <cell r="A1444" t="str">
            <v xml:space="preserve">UG14-3UGD19L-000AH </v>
          </cell>
          <cell r="B1444" t="str">
            <v xml:space="preserve">CHASSIS UPG TO ULT 60, 360MHZ </v>
          </cell>
          <cell r="C1444">
            <v>8431</v>
          </cell>
          <cell r="D1444" t="str">
            <v xml:space="preserve">H </v>
          </cell>
        </row>
        <row r="1445">
          <cell r="A1445" t="str">
            <v xml:space="preserve">UG14-3UGD19M-000AH </v>
          </cell>
          <cell r="B1445" t="str">
            <v xml:space="preserve">CHASSIS UPG TO ULT 60, 360MHZ </v>
          </cell>
          <cell r="C1445">
            <v>13561</v>
          </cell>
          <cell r="D1445" t="str">
            <v xml:space="preserve">H </v>
          </cell>
        </row>
        <row r="1446">
          <cell r="A1446" t="str">
            <v xml:space="preserve">UG14-3UGD19Q-128AH </v>
          </cell>
          <cell r="B1446" t="str">
            <v xml:space="preserve">CHASSIS UPG TO ULT 60, 360MHZ </v>
          </cell>
          <cell r="C1446">
            <v>11873</v>
          </cell>
          <cell r="D1446" t="str">
            <v xml:space="preserve">H </v>
          </cell>
        </row>
        <row r="1447">
          <cell r="A1447" t="str">
            <v xml:space="preserve">UG14-3UGD29M-000AH </v>
          </cell>
          <cell r="B1447" t="str">
            <v xml:space="preserve">CHASSIS UPG TO ULT 60,2X360MHZ </v>
          </cell>
          <cell r="C1447">
            <v>17881</v>
          </cell>
          <cell r="D1447" t="str">
            <v xml:space="preserve">H </v>
          </cell>
        </row>
        <row r="1448">
          <cell r="A1448" t="str">
            <v xml:space="preserve">UG14-5UNC-9S-000NK </v>
          </cell>
          <cell r="B1448" t="str">
            <v xml:space="preserve">UG E2/300MHZ TO E450 </v>
          </cell>
          <cell r="C1448">
            <v>13696</v>
          </cell>
          <cell r="D1448" t="str">
            <v xml:space="preserve">H </v>
          </cell>
        </row>
        <row r="1449">
          <cell r="A1449" t="str">
            <v xml:space="preserve">UG14-6UNC-9S-000NK </v>
          </cell>
          <cell r="B1449" t="str">
            <v xml:space="preserve">UG E2/300MHZ TO E250 BASE </v>
          </cell>
          <cell r="C1449">
            <v>5913</v>
          </cell>
          <cell r="D1449" t="str">
            <v xml:space="preserve">H </v>
          </cell>
        </row>
        <row r="1450">
          <cell r="A1450" t="str">
            <v xml:space="preserve">UG14-A25-9S-000-BA </v>
          </cell>
          <cell r="B1450" t="str">
            <v xml:space="preserve">UG SS20/UE1/UE2 TO E450 CHASSI </v>
          </cell>
          <cell r="C1450">
            <v>11536</v>
          </cell>
          <cell r="D1450" t="str">
            <v xml:space="preserve">H </v>
          </cell>
        </row>
        <row r="1451">
          <cell r="A1451" t="str">
            <v xml:space="preserve">UG14-A25-9S-000NK </v>
          </cell>
          <cell r="B1451" t="str">
            <v xml:space="preserve">UG E2-&gt;E450 400MH ENABLED BASE </v>
          </cell>
          <cell r="C1451">
            <v>12076</v>
          </cell>
          <cell r="D1451" t="str">
            <v xml:space="preserve">H </v>
          </cell>
        </row>
        <row r="1452">
          <cell r="A1452" t="str">
            <v xml:space="preserve">UG14-A26-9S-000-AA </v>
          </cell>
          <cell r="B1452" t="str">
            <v xml:space="preserve">UG E1/SS20-&gt;E250(CPU/DISK RQD) </v>
          </cell>
          <cell r="C1452">
            <v>3213</v>
          </cell>
          <cell r="D1452" t="str">
            <v xml:space="preserve">H </v>
          </cell>
        </row>
        <row r="1453">
          <cell r="A1453" t="str">
            <v xml:space="preserve">UG14-A26-9S-000NK </v>
          </cell>
          <cell r="B1453" t="str">
            <v xml:space="preserve">UG E1 OR E2 TO E250 (CPU REQD) </v>
          </cell>
          <cell r="C1453">
            <v>3888</v>
          </cell>
          <cell r="D1453" t="str">
            <v xml:space="preserve">H </v>
          </cell>
        </row>
        <row r="1454">
          <cell r="A1454" t="str">
            <v xml:space="preserve">UG14-UJC1-9S-000NK </v>
          </cell>
          <cell r="B1454" t="str">
            <v xml:space="preserve">UPGRADE E2 TO E2/1400, 32xCD </v>
          </cell>
          <cell r="C1454">
            <v>9470</v>
          </cell>
          <cell r="D1454" t="str">
            <v xml:space="preserve">H </v>
          </cell>
        </row>
        <row r="1455">
          <cell r="A1455" t="str">
            <v xml:space="preserve">UG16-3ULD19L-000AH </v>
          </cell>
          <cell r="B1455" t="str">
            <v xml:space="preserve">CHASSIS UPG TO ULT 60, 450MHZ </v>
          </cell>
          <cell r="C1455">
            <v>12413</v>
          </cell>
          <cell r="D1455" t="str">
            <v xml:space="preserve">H </v>
          </cell>
        </row>
        <row r="1456">
          <cell r="A1456" t="str">
            <v xml:space="preserve">UG16-3ULD19M-000AH </v>
          </cell>
          <cell r="B1456" t="str">
            <v xml:space="preserve">CHASSIS UPG TO ULT 60, 450MHZ </v>
          </cell>
          <cell r="C1456">
            <v>15383</v>
          </cell>
          <cell r="D1456" t="str">
            <v xml:space="preserve">H </v>
          </cell>
        </row>
        <row r="1457">
          <cell r="A1457" t="str">
            <v xml:space="preserve">UG16-3ULD19Q-000AH </v>
          </cell>
          <cell r="B1457" t="str">
            <v xml:space="preserve">CHASSIS UPG TO ULT 60, 450MHZ </v>
          </cell>
          <cell r="C1457">
            <v>14033</v>
          </cell>
          <cell r="D1457" t="str">
            <v xml:space="preserve">H </v>
          </cell>
        </row>
        <row r="1458">
          <cell r="A1458" t="str">
            <v xml:space="preserve">UG20-3UEC19L-128AC </v>
          </cell>
          <cell r="B1458" t="str">
            <v xml:space="preserve">UPG TO ULT 60, 300MHZ, 128MB </v>
          </cell>
          <cell r="C1458">
            <v>11873</v>
          </cell>
          <cell r="D1458" t="str">
            <v xml:space="preserve">H </v>
          </cell>
        </row>
        <row r="1459">
          <cell r="A1459" t="str">
            <v xml:space="preserve">UG20-3UEC19Q-128AC </v>
          </cell>
          <cell r="B1459" t="str">
            <v xml:space="preserve">UPG TO ULT 60, 300MHZ, 128MB </v>
          </cell>
          <cell r="C1459">
            <v>16126</v>
          </cell>
          <cell r="D1459" t="str">
            <v xml:space="preserve">H </v>
          </cell>
        </row>
        <row r="1460">
          <cell r="A1460" t="str">
            <v xml:space="preserve">UG20-3UGD19L-128AH </v>
          </cell>
          <cell r="B1460" t="str">
            <v xml:space="preserve">UPG TO ULT 60, 360MHZ, 128MB </v>
          </cell>
          <cell r="C1460">
            <v>10118</v>
          </cell>
          <cell r="D1460" t="str">
            <v xml:space="preserve">H </v>
          </cell>
        </row>
        <row r="1461">
          <cell r="A1461" t="str">
            <v xml:space="preserve">UG20-3UGD19M-128AH </v>
          </cell>
          <cell r="B1461" t="str">
            <v xml:space="preserve">UPG TO ULT 60, 1X360MHZ, 128MB </v>
          </cell>
          <cell r="C1461">
            <v>15248</v>
          </cell>
          <cell r="D1461" t="str">
            <v xml:space="preserve">H </v>
          </cell>
        </row>
        <row r="1462">
          <cell r="A1462" t="str">
            <v xml:space="preserve">UG20-3UGD19Q-128AH </v>
          </cell>
          <cell r="B1462" t="str">
            <v xml:space="preserve">UPG TO ULT 60, 360MHZ, 128MB </v>
          </cell>
          <cell r="C1462">
            <v>12548</v>
          </cell>
          <cell r="D1462" t="str">
            <v xml:space="preserve">H </v>
          </cell>
        </row>
        <row r="1463">
          <cell r="A1463" t="str">
            <v xml:space="preserve">UG20-3UGD29L-256AH </v>
          </cell>
          <cell r="B1463" t="str">
            <v xml:space="preserve">UPG TO ULT 60, 2X360MHZ, 256MB </v>
          </cell>
          <cell r="C1463">
            <v>15316</v>
          </cell>
          <cell r="D1463" t="str">
            <v xml:space="preserve">H </v>
          </cell>
        </row>
        <row r="1464">
          <cell r="A1464" t="str">
            <v xml:space="preserve">UG20-3UGD29Q-256AH </v>
          </cell>
          <cell r="B1464" t="str">
            <v xml:space="preserve">UPG TO ULT 60, 2X360MHZ, 256MB </v>
          </cell>
          <cell r="C1464">
            <v>17746</v>
          </cell>
          <cell r="D1464" t="str">
            <v xml:space="preserve">H </v>
          </cell>
        </row>
        <row r="1465">
          <cell r="A1465" t="str">
            <v xml:space="preserve">UG20-3ULD19L-256AH </v>
          </cell>
          <cell r="B1465" t="str">
            <v xml:space="preserve">CHASSIS UPG TO ULT 60, 450MHZ </v>
          </cell>
          <cell r="C1465">
            <v>15518</v>
          </cell>
          <cell r="D1465" t="str">
            <v xml:space="preserve">H </v>
          </cell>
        </row>
        <row r="1466">
          <cell r="A1466" t="str">
            <v xml:space="preserve">UG20-3ULD19M-256AH </v>
          </cell>
          <cell r="B1466" t="str">
            <v xml:space="preserve">CHASSIS UPG TO ULT 60, 450MHZ </v>
          </cell>
          <cell r="C1466">
            <v>18488</v>
          </cell>
          <cell r="D1466" t="str">
            <v xml:space="preserve">H </v>
          </cell>
        </row>
        <row r="1467">
          <cell r="A1467" t="str">
            <v xml:space="preserve">UG20-3ULD19M-512AH </v>
          </cell>
          <cell r="B1467" t="str">
            <v xml:space="preserve">CHASSIS UPG TO ULT 60, 450MHZ </v>
          </cell>
          <cell r="C1467">
            <v>20304</v>
          </cell>
          <cell r="D1467" t="str">
            <v xml:space="preserve">H </v>
          </cell>
        </row>
        <row r="1468">
          <cell r="A1468" t="str">
            <v xml:space="preserve">UG20-3ULD19Q-256AH </v>
          </cell>
          <cell r="B1468" t="str">
            <v xml:space="preserve">CHASSIS UPG TO ULT 60, 450MHZ </v>
          </cell>
          <cell r="C1468">
            <v>17138</v>
          </cell>
          <cell r="D1468" t="str">
            <v xml:space="preserve">H </v>
          </cell>
        </row>
        <row r="1469">
          <cell r="A1469" t="str">
            <v xml:space="preserve">UG20-3ULD19Q1024AH </v>
          </cell>
          <cell r="B1469" t="str">
            <v xml:space="preserve">CHASSIS UPG TO ULT 60, 450MHZ </v>
          </cell>
          <cell r="C1469">
            <v>22329</v>
          </cell>
          <cell r="D1469" t="str">
            <v xml:space="preserve">H </v>
          </cell>
        </row>
        <row r="1470">
          <cell r="A1470" t="str">
            <v xml:space="preserve">UG20-UEC1-9M-000NN </v>
          </cell>
          <cell r="B1470" t="str">
            <v xml:space="preserve">UG S20 TO U2/1300, AFB </v>
          </cell>
          <cell r="C1470">
            <v>21128</v>
          </cell>
          <cell r="D1470" t="str">
            <v xml:space="preserve">H </v>
          </cell>
        </row>
        <row r="1471">
          <cell r="A1471" t="str">
            <v xml:space="preserve">UG20-UJC1-9L-000NN </v>
          </cell>
          <cell r="B1471" t="str">
            <v xml:space="preserve">UG S20 TO U2/400, SER 3 C3D </v>
          </cell>
          <cell r="C1471">
            <v>12116</v>
          </cell>
          <cell r="D1471" t="str">
            <v xml:space="preserve">H </v>
          </cell>
        </row>
        <row r="1472">
          <cell r="A1472" t="str">
            <v xml:space="preserve">UG20-UJC1-9M-000NN </v>
          </cell>
          <cell r="B1472" t="str">
            <v xml:space="preserve">UG S20 TO U2/1400, AFBm6 </v>
          </cell>
          <cell r="C1472">
            <v>15485</v>
          </cell>
          <cell r="D1472" t="str">
            <v xml:space="preserve">H </v>
          </cell>
        </row>
        <row r="1473">
          <cell r="A1473" t="str">
            <v xml:space="preserve">UG20UEC1-9M-000NNK </v>
          </cell>
          <cell r="B1473" t="str">
            <v xml:space="preserve">UG S20 TO U2/1300, AFB </v>
          </cell>
          <cell r="C1473">
            <v>38587</v>
          </cell>
          <cell r="D1473" t="str">
            <v xml:space="preserve">H </v>
          </cell>
        </row>
        <row r="1474">
          <cell r="A1474" t="str">
            <v xml:space="preserve">UG20UGC1Z9QB256CP </v>
          </cell>
          <cell r="B1474" t="str">
            <v xml:space="preserve">UG WS U10/360,AFB-L,256/9GB/CD </v>
          </cell>
          <cell r="C1474">
            <v>8903</v>
          </cell>
          <cell r="D1474" t="str">
            <v xml:space="preserve">H </v>
          </cell>
        </row>
        <row r="1475">
          <cell r="A1475" t="str">
            <v xml:space="preserve">UGFA-M11XX-M1194 </v>
          </cell>
          <cell r="B1475" t="str">
            <v xml:space="preserve">UG 300 to 400MHz CPU E250 FACT </v>
          </cell>
          <cell r="C1475">
            <v>5940</v>
          </cell>
          <cell r="D1475" t="str">
            <v xml:space="preserve">H </v>
          </cell>
        </row>
        <row r="1476">
          <cell r="A1476" t="str">
            <v xml:space="preserve">UGFA-M22XX-M2244 </v>
          </cell>
          <cell r="B1476" t="str">
            <v xml:space="preserve">UG To E450 400Mhz CPU FACTY IN </v>
          </cell>
          <cell r="C1476">
            <v>5940</v>
          </cell>
          <cell r="D1476" t="str">
            <v xml:space="preserve">H </v>
          </cell>
        </row>
        <row r="1477">
          <cell r="A1477" t="str">
            <v xml:space="preserve">UGFA-M2510-M2560 </v>
          </cell>
          <cell r="B1477" t="str">
            <v xml:space="preserve">UG FACTORY INSTALL 336MHZ/4MB </v>
          </cell>
          <cell r="C1477">
            <v>14250</v>
          </cell>
          <cell r="D1477" t="str">
            <v xml:space="preserve">A </v>
          </cell>
        </row>
        <row r="1478">
          <cell r="A1478" t="str">
            <v xml:space="preserve">UGFA-M2510-M2570 </v>
          </cell>
          <cell r="B1478" t="str">
            <v xml:space="preserve">UG 167MHZ TO 400MHZ/4MB-FACTRY </v>
          </cell>
          <cell r="C1478">
            <v>16100</v>
          </cell>
          <cell r="D1478" t="str">
            <v xml:space="preserve">A </v>
          </cell>
        </row>
        <row r="1479">
          <cell r="A1479" t="str">
            <v xml:space="preserve">UGFA-M2510-M2580 </v>
          </cell>
          <cell r="B1479" t="str">
            <v xml:space="preserve">UG 167Mhz to 400MHz/8MB-Factry </v>
          </cell>
          <cell r="C1479">
            <v>18000</v>
          </cell>
          <cell r="D1479" t="str">
            <v xml:space="preserve">A </v>
          </cell>
        </row>
        <row r="1480">
          <cell r="A1480" t="str">
            <v xml:space="preserve">UGFA-M2530-M2560 </v>
          </cell>
          <cell r="B1480" t="str">
            <v xml:space="preserve">UG FACTORY INSTALL 336MHZ/4MB </v>
          </cell>
          <cell r="C1480">
            <v>11250</v>
          </cell>
          <cell r="D1480" t="str">
            <v xml:space="preserve">A </v>
          </cell>
        </row>
        <row r="1481">
          <cell r="A1481" t="str">
            <v xml:space="preserve">UGFA-M2550-M2570 </v>
          </cell>
          <cell r="B1481" t="str">
            <v xml:space="preserve">UG 250MHZ TO 400MHZ/4MB-FACTRY </v>
          </cell>
          <cell r="C1481">
            <v>14000</v>
          </cell>
          <cell r="D1481" t="str">
            <v xml:space="preserve">A </v>
          </cell>
        </row>
        <row r="1482">
          <cell r="A1482" t="str">
            <v xml:space="preserve">UGFA-M2550-M2580 </v>
          </cell>
          <cell r="B1482" t="str">
            <v xml:space="preserve">UG 250Mhz to 400MHz/8MB-FACTY </v>
          </cell>
          <cell r="C1482">
            <v>15750</v>
          </cell>
          <cell r="D1482" t="str">
            <v xml:space="preserve">A </v>
          </cell>
        </row>
        <row r="1483">
          <cell r="A1483" t="str">
            <v xml:space="preserve">UGFA-M2560-M2570 </v>
          </cell>
          <cell r="B1483" t="str">
            <v xml:space="preserve">UG 336MHZ TO 400MHZ/4MB-FACTY </v>
          </cell>
          <cell r="C1483">
            <v>11900</v>
          </cell>
          <cell r="D1483" t="str">
            <v xml:space="preserve">A </v>
          </cell>
        </row>
        <row r="1484">
          <cell r="A1484" t="str">
            <v xml:space="preserve">UGFA-M2560-M2580 </v>
          </cell>
          <cell r="B1484" t="str">
            <v xml:space="preserve">UG 336/400 to 400MHz/8MB-Facty </v>
          </cell>
          <cell r="C1484">
            <v>13500</v>
          </cell>
          <cell r="D1484" t="str">
            <v xml:space="preserve">A </v>
          </cell>
        </row>
        <row r="1485">
          <cell r="A1485" t="str">
            <v xml:space="preserve">UGFA-MEM256-MEM1GB </v>
          </cell>
          <cell r="B1485" t="str">
            <v xml:space="preserve">7022A TO 7023A MEM UPGRADE-1GB </v>
          </cell>
          <cell r="C1485">
            <v>17990</v>
          </cell>
          <cell r="D1485" t="str">
            <v xml:space="preserve">A </v>
          </cell>
        </row>
        <row r="1486">
          <cell r="A1486" t="str">
            <v xml:space="preserve">UGFA-MXXXX-M1194 </v>
          </cell>
          <cell r="B1486" t="str">
            <v xml:space="preserve">UG 167/200/250 CPU to 400/2MHz </v>
          </cell>
          <cell r="C1486">
            <v>6757</v>
          </cell>
          <cell r="D1486" t="str">
            <v xml:space="preserve">H </v>
          </cell>
        </row>
        <row r="1487">
          <cell r="A1487" t="str">
            <v xml:space="preserve">UGFA-MXXXX-M2244 </v>
          </cell>
          <cell r="B1487" t="str">
            <v xml:space="preserve">UG 167/200/250MHz to 400/4 FAC </v>
          </cell>
          <cell r="C1487">
            <v>6757</v>
          </cell>
          <cell r="D1487" t="str">
            <v xml:space="preserve">H </v>
          </cell>
        </row>
        <row r="1488">
          <cell r="A1488" t="str">
            <v xml:space="preserve">UGFA-SB261X-2612 </v>
          </cell>
          <cell r="B1488" t="str">
            <v xml:space="preserve">UG 261X TO 2612 I/O BD W/FC-AL </v>
          </cell>
          <cell r="C1488">
            <v>4900</v>
          </cell>
          <cell r="D1488" t="str">
            <v xml:space="preserve">A </v>
          </cell>
        </row>
        <row r="1489">
          <cell r="A1489" t="str">
            <v xml:space="preserve">UGFA-SB262X-2622 </v>
          </cell>
          <cell r="B1489" t="str">
            <v xml:space="preserve">UG 262X TO 2622 G I/O BD:FC-AL </v>
          </cell>
          <cell r="C1489">
            <v>5600</v>
          </cell>
          <cell r="D1489" t="str">
            <v xml:space="preserve">A </v>
          </cell>
        </row>
        <row r="1490">
          <cell r="A1490" t="str">
            <v xml:space="preserve">UGFA-SB263X-2632 </v>
          </cell>
          <cell r="B1490" t="str">
            <v xml:space="preserve">UG 263X TO 2632 PCI I/O BD </v>
          </cell>
          <cell r="C1490">
            <v>7000</v>
          </cell>
          <cell r="D1490" t="str">
            <v xml:space="preserve">A </v>
          </cell>
        </row>
        <row r="1491">
          <cell r="A1491" t="str">
            <v xml:space="preserve">UGMB-A25AA-A25BA </v>
          </cell>
          <cell r="B1491" t="str">
            <v xml:space="preserve">UG E450 250/300 Board to 400MH </v>
          </cell>
          <cell r="C1491">
            <v>4590</v>
          </cell>
          <cell r="D1491" t="str">
            <v xml:space="preserve">H </v>
          </cell>
        </row>
        <row r="1492">
          <cell r="A1492" t="str">
            <v xml:space="preserve">UGN6XXN-I-3.1-1145 </v>
          </cell>
          <cell r="B1492" t="str">
            <v xml:space="preserve">UPG. TO SUN NETRA ULTRA1,143MH </v>
          </cell>
          <cell r="C1492">
            <v>15253</v>
          </cell>
          <cell r="D1492" t="str">
            <v xml:space="preserve">A </v>
          </cell>
        </row>
        <row r="1493">
          <cell r="A1493" t="str">
            <v xml:space="preserve">UGN6XXN-I-3.1-1170 </v>
          </cell>
          <cell r="B1493" t="str">
            <v xml:space="preserve">UPG. TO SUN NETRA ULTRA1,167MH </v>
          </cell>
          <cell r="C1493">
            <v>25053</v>
          </cell>
          <cell r="D1493" t="str">
            <v xml:space="preserve">A </v>
          </cell>
        </row>
        <row r="1494">
          <cell r="A1494" t="str">
            <v xml:space="preserve">UGS2000-E6501 </v>
          </cell>
          <cell r="B1494" t="str">
            <v xml:space="preserve">UG TO E6501 </v>
          </cell>
          <cell r="C1494">
            <v>125600</v>
          </cell>
          <cell r="D1494" t="str">
            <v xml:space="preserve">A </v>
          </cell>
        </row>
        <row r="1495">
          <cell r="A1495" t="str">
            <v xml:space="preserve">UGS20UHC1Z9KB128CP </v>
          </cell>
          <cell r="B1495" t="str">
            <v xml:space="preserve">UG WS U10/333, C3SB,128/9GB/CD </v>
          </cell>
          <cell r="C1495">
            <v>5393</v>
          </cell>
          <cell r="D1495" t="str">
            <v xml:space="preserve">H </v>
          </cell>
        </row>
        <row r="1496">
          <cell r="A1496" t="str">
            <v xml:space="preserve">UGS5-UFE1Z9P-B64CN </v>
          </cell>
          <cell r="B1496" t="str">
            <v xml:space="preserve">UG WS U5/270,PGX24,64/4GB/CD </v>
          </cell>
          <cell r="C1496">
            <v>2963</v>
          </cell>
          <cell r="D1496" t="str">
            <v xml:space="preserve">H </v>
          </cell>
        </row>
        <row r="1497">
          <cell r="A1497" t="str">
            <v xml:space="preserve">UGS5-UFE1Z9PB128CN </v>
          </cell>
          <cell r="B1497" t="str">
            <v xml:space="preserve">UG WS U5/270,PGX24,128MB/4GB </v>
          </cell>
          <cell r="C1497">
            <v>3200</v>
          </cell>
          <cell r="D1497" t="str">
            <v xml:space="preserve">H </v>
          </cell>
        </row>
        <row r="1498">
          <cell r="A1498" t="str">
            <v xml:space="preserve">UGS5-UHC1Z9KB128CP </v>
          </cell>
          <cell r="B1498" t="str">
            <v xml:space="preserve">UG WS U10/333, C3SB,128/9GB/CD </v>
          </cell>
          <cell r="C1498">
            <v>5731</v>
          </cell>
          <cell r="D1498" t="str">
            <v xml:space="preserve">H </v>
          </cell>
        </row>
        <row r="1499">
          <cell r="A1499" t="str">
            <v xml:space="preserve">UGS5-UHC1Z9KB256CP </v>
          </cell>
          <cell r="B1499" t="str">
            <v xml:space="preserve">UG WS U10/333, C3SB,256/9GB/CD </v>
          </cell>
          <cell r="C1499">
            <v>6136</v>
          </cell>
          <cell r="D1499" t="str">
            <v xml:space="preserve">H </v>
          </cell>
        </row>
        <row r="1500">
          <cell r="A1500" t="str">
            <v xml:space="preserve">UGS5-UHC1Z9LB128CP </v>
          </cell>
          <cell r="B1500" t="str">
            <v xml:space="preserve">UG WS U10/333, C3DB,128/9GB/CD </v>
          </cell>
          <cell r="C1500">
            <v>6068</v>
          </cell>
          <cell r="D1500" t="str">
            <v xml:space="preserve">H </v>
          </cell>
        </row>
        <row r="1501">
          <cell r="A1501" t="str">
            <v xml:space="preserve">UGS5-UHC1Z9LB256CP </v>
          </cell>
          <cell r="B1501" t="str">
            <v xml:space="preserve">UG WS U10/333, C3DB,256/9GB/CD </v>
          </cell>
          <cell r="C1501">
            <v>6541</v>
          </cell>
          <cell r="D1501" t="str">
            <v xml:space="preserve">H </v>
          </cell>
        </row>
        <row r="1502">
          <cell r="A1502" t="str">
            <v xml:space="preserve">UGS5-UHC1Z9PB128CP </v>
          </cell>
          <cell r="B1502" t="str">
            <v xml:space="preserve">UG WS U5/333,PGX24,128MB/9GB </v>
          </cell>
          <cell r="C1502">
            <v>4178</v>
          </cell>
          <cell r="D1502" t="str">
            <v xml:space="preserve">H </v>
          </cell>
        </row>
        <row r="1503">
          <cell r="A1503" t="str">
            <v xml:space="preserve">UGS5-UHC1Z9PB256CP </v>
          </cell>
          <cell r="B1503" t="str">
            <v xml:space="preserve">UG WS U5/333,PGX24,256/9GB/CD </v>
          </cell>
          <cell r="C1503">
            <v>4651</v>
          </cell>
          <cell r="D1503" t="str">
            <v xml:space="preserve">H </v>
          </cell>
        </row>
        <row r="1504">
          <cell r="A1504" t="str">
            <v xml:space="preserve">UGS5UGC1Z9Q-B256CP </v>
          </cell>
          <cell r="B1504" t="str">
            <v xml:space="preserve">UG WS U10/360,AFB-L,256/9GB/CD </v>
          </cell>
          <cell r="C1504">
            <v>9443</v>
          </cell>
          <cell r="D1504" t="str">
            <v xml:space="preserve">H </v>
          </cell>
        </row>
        <row r="1505">
          <cell r="A1505" t="str">
            <v xml:space="preserve">UGSB1000-X-256M-C </v>
          </cell>
          <cell r="B1505" t="str">
            <v xml:space="preserve">UG SS1000 TO 2602CPU/MEM+256MB </v>
          </cell>
          <cell r="C1505">
            <v>14250</v>
          </cell>
          <cell r="D1505" t="str">
            <v xml:space="preserve">A </v>
          </cell>
        </row>
        <row r="1506">
          <cell r="A1506" t="str">
            <v xml:space="preserve">UGSB2000-X-0M-C </v>
          </cell>
          <cell r="B1506" t="str">
            <v xml:space="preserve">UG 1000/2000 BD TO2602 CPU/MEM </v>
          </cell>
          <cell r="C1506">
            <v>9000</v>
          </cell>
          <cell r="D1506" t="str">
            <v xml:space="preserve">A </v>
          </cell>
        </row>
        <row r="1507">
          <cell r="A1507" t="str">
            <v xml:space="preserve">UGSB2000-X-256M-C </v>
          </cell>
          <cell r="B1507" t="str">
            <v xml:space="preserve">UG SC2000 TO 2602CPU/MEM+256MB </v>
          </cell>
          <cell r="C1507">
            <v>13500</v>
          </cell>
          <cell r="D1507" t="str">
            <v xml:space="preserve">A </v>
          </cell>
        </row>
        <row r="1508">
          <cell r="A1508" t="str">
            <v xml:space="preserve">UGSB260X-2602 </v>
          </cell>
          <cell r="B1508" t="str">
            <v xml:space="preserve">UG 260X TO 2602 CPU/MEM BOARD </v>
          </cell>
          <cell r="C1508">
            <v>6750</v>
          </cell>
          <cell r="D1508" t="str">
            <v xml:space="preserve">A </v>
          </cell>
        </row>
        <row r="1509">
          <cell r="A1509" t="str">
            <v xml:space="preserve">UGSB261X-2612 </v>
          </cell>
          <cell r="B1509" t="str">
            <v xml:space="preserve">UG 261X TO 2612 I/O BD W/FC-AL </v>
          </cell>
          <cell r="C1509">
            <v>4900</v>
          </cell>
          <cell r="D1509" t="str">
            <v xml:space="preserve">A </v>
          </cell>
        </row>
        <row r="1510">
          <cell r="A1510" t="str">
            <v xml:space="preserve">UGSB261X-2632 </v>
          </cell>
          <cell r="B1510" t="str">
            <v xml:space="preserve">UG 261X SBus to 2632 PCI I/O B </v>
          </cell>
          <cell r="C1510">
            <v>7700</v>
          </cell>
          <cell r="D1510" t="str">
            <v xml:space="preserve">A </v>
          </cell>
        </row>
        <row r="1511">
          <cell r="A1511" t="str">
            <v xml:space="preserve">UGSB262X-2622 </v>
          </cell>
          <cell r="B1511" t="str">
            <v xml:space="preserve">UG 262X to 2622 G I/O Bd:FC-AL </v>
          </cell>
          <cell r="C1511">
            <v>5600</v>
          </cell>
          <cell r="D1511" t="str">
            <v xml:space="preserve">A </v>
          </cell>
        </row>
        <row r="1512">
          <cell r="A1512" t="str">
            <v xml:space="preserve">UGSB263X-2632 </v>
          </cell>
          <cell r="B1512" t="str">
            <v xml:space="preserve">UG 263X TO 2632 PCI I/O BD </v>
          </cell>
          <cell r="C1512">
            <v>7000</v>
          </cell>
          <cell r="D1512" t="str">
            <v xml:space="preserve">A </v>
          </cell>
        </row>
        <row r="1513">
          <cell r="A1513" t="str">
            <v xml:space="preserve">UGSS2-3UEC19Q128AC </v>
          </cell>
          <cell r="B1513" t="str">
            <v xml:space="preserve">UG TO U60 300 128MB/4GB </v>
          </cell>
          <cell r="C1513">
            <v>16335</v>
          </cell>
          <cell r="D1513" t="str">
            <v xml:space="preserve">H </v>
          </cell>
        </row>
        <row r="1514">
          <cell r="A1514" t="str">
            <v xml:space="preserve">UGSS2-UFE1A9PB64CN </v>
          </cell>
          <cell r="B1514" t="str">
            <v xml:space="preserve">UG WS U5/270, PGX24,64/4GB, CD </v>
          </cell>
          <cell r="C1514">
            <v>3031</v>
          </cell>
          <cell r="D1514" t="str">
            <v xml:space="preserve">H </v>
          </cell>
        </row>
        <row r="1515">
          <cell r="A1515" t="str">
            <v xml:space="preserve">UGSS2UEC1-9L-128AH </v>
          </cell>
          <cell r="B1515" t="str">
            <v xml:space="preserve">UG S20-U2/300, C3D, 128MB/9GB </v>
          </cell>
          <cell r="C1515">
            <v>13095</v>
          </cell>
          <cell r="D1515" t="str">
            <v xml:space="preserve">H </v>
          </cell>
        </row>
        <row r="1516">
          <cell r="A1516" t="str">
            <v xml:space="preserve">UGSS2UEC1-9M-128AH </v>
          </cell>
          <cell r="B1516" t="str">
            <v xml:space="preserve">UG U2/1300, AFB, 128MB, 9GB </v>
          </cell>
          <cell r="C1516">
            <v>15923</v>
          </cell>
          <cell r="D1516" t="str">
            <v xml:space="preserve">H </v>
          </cell>
        </row>
        <row r="1517">
          <cell r="A1517" t="str">
            <v xml:space="preserve">UGSS2UEC2-9L-512AH </v>
          </cell>
          <cell r="B1517" t="str">
            <v xml:space="preserve">UG U2/2300, FDB2+, 512MB, 9GB </v>
          </cell>
          <cell r="C1517">
            <v>20952</v>
          </cell>
          <cell r="D1517" t="str">
            <v xml:space="preserve">H </v>
          </cell>
        </row>
        <row r="1518">
          <cell r="A1518" t="str">
            <v xml:space="preserve">UGSS2UFE1A9PB128CN </v>
          </cell>
          <cell r="B1518" t="str">
            <v xml:space="preserve">UG WS U5/270,PGX24,128/4GB/CD </v>
          </cell>
          <cell r="C1518">
            <v>3267</v>
          </cell>
          <cell r="D1518" t="str">
            <v xml:space="preserve">H </v>
          </cell>
        </row>
        <row r="1519">
          <cell r="A1519" t="str">
            <v xml:space="preserve">UGSS2UHC1A9PB128CP </v>
          </cell>
          <cell r="B1519" t="str">
            <v xml:space="preserve">UG WS U5/333,PGX24,128/9GB/CD </v>
          </cell>
          <cell r="C1519">
            <v>4381</v>
          </cell>
          <cell r="D1519" t="str">
            <v xml:space="preserve">H </v>
          </cell>
        </row>
        <row r="1520">
          <cell r="A1520" t="str">
            <v xml:space="preserve">UGSS2UHC1A9PB256CP </v>
          </cell>
          <cell r="B1520" t="str">
            <v xml:space="preserve">UG WS U5/333,PGX24,256/9GB/CD </v>
          </cell>
          <cell r="C1520">
            <v>4853</v>
          </cell>
          <cell r="D1520" t="str">
            <v xml:space="preserve">H </v>
          </cell>
        </row>
        <row r="1521">
          <cell r="A1521" t="str">
            <v xml:space="preserve">UGSS2UJC1-9L-256AH </v>
          </cell>
          <cell r="B1521" t="str">
            <v xml:space="preserve">UG SS2-U2/400, C3D, 256MB/9GB </v>
          </cell>
          <cell r="C1521">
            <v>16301</v>
          </cell>
          <cell r="D1521" t="str">
            <v xml:space="preserve">H </v>
          </cell>
        </row>
        <row r="1522">
          <cell r="A1522" t="str">
            <v xml:space="preserve">UGSS2UJC1-9M-256AH </v>
          </cell>
          <cell r="B1522" t="str">
            <v xml:space="preserve">UG U2/1400, AFB, 256MB, 9GB </v>
          </cell>
          <cell r="C1522">
            <v>19670</v>
          </cell>
          <cell r="D1522" t="str">
            <v xml:space="preserve">H </v>
          </cell>
        </row>
        <row r="1523">
          <cell r="A1523" t="str">
            <v xml:space="preserve">UGTOTNET-L25 </v>
          </cell>
          <cell r="B1523" t="str">
            <v xml:space="preserve">UG TOTALNET 5.0, 25LIC </v>
          </cell>
          <cell r="C1523">
            <v>975</v>
          </cell>
          <cell r="D1523" t="str">
            <v xml:space="preserve">B </v>
          </cell>
        </row>
        <row r="1524">
          <cell r="A1524" t="str">
            <v xml:space="preserve">UGU1-UHC1Z9KB256CP </v>
          </cell>
          <cell r="B1524" t="str">
            <v xml:space="preserve">UG WS U10/333, C3SB,256/9GB/CD </v>
          </cell>
          <cell r="C1524">
            <v>5596</v>
          </cell>
          <cell r="D1524" t="str">
            <v xml:space="preserve">H </v>
          </cell>
        </row>
        <row r="1525">
          <cell r="A1525" t="str">
            <v xml:space="preserve">UGU1-UHC1Z9LB128CP </v>
          </cell>
          <cell r="B1525" t="str">
            <v xml:space="preserve">UG WS U10/333, C3DB,128/9GB/CD </v>
          </cell>
          <cell r="C1525">
            <v>5663</v>
          </cell>
          <cell r="D1525" t="str">
            <v xml:space="preserve">H </v>
          </cell>
        </row>
        <row r="1526">
          <cell r="A1526" t="str">
            <v xml:space="preserve">UGU1-UHC1Z9LB256CP </v>
          </cell>
          <cell r="B1526" t="str">
            <v xml:space="preserve">UG WS U10/333, C3DB,256/9GB/CD </v>
          </cell>
          <cell r="C1526">
            <v>6136</v>
          </cell>
          <cell r="D1526" t="str">
            <v xml:space="preserve">H </v>
          </cell>
        </row>
        <row r="1527">
          <cell r="A1527" t="str">
            <v xml:space="preserve">UGU1UGC1Z9Q-B256CP </v>
          </cell>
          <cell r="B1527" t="str">
            <v xml:space="preserve">UG WS U10/360,AFB-L,256/9GB/CD </v>
          </cell>
          <cell r="C1527">
            <v>8363</v>
          </cell>
          <cell r="D1527" t="str">
            <v xml:space="preserve">H </v>
          </cell>
        </row>
        <row r="1528">
          <cell r="A1528" t="str">
            <v xml:space="preserve">US20-UHC1Z9KB256CP </v>
          </cell>
          <cell r="B1528" t="str">
            <v xml:space="preserve">UG WS U10/333, C3SB,256/9GB/CD </v>
          </cell>
          <cell r="C1528">
            <v>5866</v>
          </cell>
          <cell r="D1528" t="str">
            <v xml:space="preserve">H </v>
          </cell>
        </row>
        <row r="1529">
          <cell r="A1529" t="str">
            <v xml:space="preserve">US20-UHC1Z9LB128CP </v>
          </cell>
          <cell r="B1529" t="str">
            <v xml:space="preserve">UG WS U10/333, C3DB,128/9GB/CD </v>
          </cell>
          <cell r="C1529">
            <v>5798</v>
          </cell>
          <cell r="D1529" t="str">
            <v xml:space="preserve">H </v>
          </cell>
        </row>
        <row r="1530">
          <cell r="A1530" t="str">
            <v xml:space="preserve">US20UEC1-9S-000NK </v>
          </cell>
          <cell r="B1530" t="str">
            <v xml:space="preserve">UG S20 TO UE2/1300, 32XCD </v>
          </cell>
          <cell r="C1530">
            <v>13439</v>
          </cell>
          <cell r="D1530" t="str">
            <v xml:space="preserve">H </v>
          </cell>
        </row>
        <row r="1531">
          <cell r="A1531" t="str">
            <v xml:space="preserve">US20UEC2-9S-000NK </v>
          </cell>
          <cell r="B1531" t="str">
            <v xml:space="preserve">UG S20 TO UE2/2300,32XCD </v>
          </cell>
          <cell r="C1531">
            <v>20593</v>
          </cell>
          <cell r="D1531" t="str">
            <v xml:space="preserve">H </v>
          </cell>
        </row>
        <row r="1532">
          <cell r="A1532" t="str">
            <v xml:space="preserve">US20UJC1-9S-000NK </v>
          </cell>
          <cell r="B1532" t="str">
            <v xml:space="preserve">UG S20/E1 TO E2/1400, 32xCD </v>
          </cell>
          <cell r="C1532">
            <v>12440</v>
          </cell>
          <cell r="D1532" t="str">
            <v xml:space="preserve">H </v>
          </cell>
        </row>
        <row r="1533">
          <cell r="A1533" t="str">
            <v xml:space="preserve">US20UJC2-9S-000NK </v>
          </cell>
          <cell r="B1533" t="str">
            <v xml:space="preserve">UG S20/E1 toE2/2400, no mem/dr </v>
          </cell>
          <cell r="C1533">
            <v>18650</v>
          </cell>
          <cell r="D1533" t="str">
            <v xml:space="preserve">H </v>
          </cell>
        </row>
        <row r="1534">
          <cell r="A1534" t="str">
            <v xml:space="preserve">US5-1UGE1Z9PC256CR </v>
          </cell>
          <cell r="B1534" t="str">
            <v xml:space="preserve">UG WS U5/360,PGX24,256MB/8GB </v>
          </cell>
          <cell r="C1534">
            <v>3537</v>
          </cell>
          <cell r="D1534" t="str">
            <v xml:space="preserve">H </v>
          </cell>
        </row>
        <row r="1535">
          <cell r="A1535" t="str">
            <v xml:space="preserve">US5-2UKC1Z9MC256CP </v>
          </cell>
          <cell r="B1535" t="str">
            <v xml:space="preserve">UG WS U10/440,AFBM6,256MB/9G </v>
          </cell>
          <cell r="C1535">
            <v>9173</v>
          </cell>
          <cell r="D1535" t="str">
            <v xml:space="preserve">H </v>
          </cell>
        </row>
        <row r="1536">
          <cell r="A1536" t="str">
            <v xml:space="preserve">US5-2UKC1Z9QC128CP </v>
          </cell>
          <cell r="B1536" t="str">
            <v xml:space="preserve">UG WS U10/440,AFBM3,128MB/9G </v>
          </cell>
          <cell r="C1536">
            <v>7418</v>
          </cell>
          <cell r="D1536" t="str">
            <v xml:space="preserve">H </v>
          </cell>
        </row>
        <row r="1537">
          <cell r="A1537" t="str">
            <v xml:space="preserve">US5-2UKC1Z9QC256CP </v>
          </cell>
          <cell r="B1537" t="str">
            <v xml:space="preserve">UG WS U10/440,AFBM3,256MB/9G </v>
          </cell>
          <cell r="C1537">
            <v>7891</v>
          </cell>
          <cell r="D1537" t="str">
            <v xml:space="preserve">H </v>
          </cell>
        </row>
        <row r="1538">
          <cell r="A1538" t="str">
            <v xml:space="preserve">USS-2UKC1Z9MC256CP </v>
          </cell>
          <cell r="B1538" t="str">
            <v xml:space="preserve">UG WS U10/440,AFBM6,256MB/9G </v>
          </cell>
          <cell r="C1538">
            <v>8768</v>
          </cell>
          <cell r="D1538" t="str">
            <v xml:space="preserve">H </v>
          </cell>
        </row>
        <row r="1539">
          <cell r="A1539" t="str">
            <v xml:space="preserve">USS-2UKC1Z9MC512CP </v>
          </cell>
          <cell r="B1539" t="str">
            <v xml:space="preserve">UG WS U10/440,AFBM6,512MB/9G </v>
          </cell>
          <cell r="C1539">
            <v>9848</v>
          </cell>
          <cell r="D1539" t="str">
            <v xml:space="preserve">H </v>
          </cell>
        </row>
        <row r="1540">
          <cell r="A1540" t="str">
            <v xml:space="preserve">USS-2UKC1Z9QC256CP </v>
          </cell>
          <cell r="B1540" t="str">
            <v xml:space="preserve">UG WS U10/440,AFBM3,256MB/9G </v>
          </cell>
          <cell r="C1540">
            <v>7486</v>
          </cell>
          <cell r="D1540" t="str">
            <v xml:space="preserve">H </v>
          </cell>
        </row>
        <row r="1541">
          <cell r="A1541" t="str">
            <v xml:space="preserve">USS-2UKC1Z9QC512CP </v>
          </cell>
          <cell r="B1541" t="str">
            <v xml:space="preserve">UG WS U10/440,AFBM3,512MB/9G </v>
          </cell>
          <cell r="C1541">
            <v>8566</v>
          </cell>
          <cell r="D1541" t="str">
            <v xml:space="preserve">H </v>
          </cell>
        </row>
        <row r="1542">
          <cell r="A1542" t="str">
            <v xml:space="preserve">USS2-3UGD19L-128AH </v>
          </cell>
          <cell r="B1542" t="str">
            <v xml:space="preserve">UG TO U60 360 128MB/9GB </v>
          </cell>
          <cell r="C1542">
            <v>11873</v>
          </cell>
          <cell r="D1542" t="str">
            <v xml:space="preserve">H </v>
          </cell>
        </row>
        <row r="1543">
          <cell r="A1543" t="str">
            <v xml:space="preserve">USS2-3UGD29L-256AH </v>
          </cell>
          <cell r="B1543" t="str">
            <v xml:space="preserve">UPG TO ULT 60, 2X360MHZ, 256MB </v>
          </cell>
          <cell r="C1543">
            <v>17071</v>
          </cell>
          <cell r="D1543" t="str">
            <v xml:space="preserve">H </v>
          </cell>
        </row>
        <row r="1544">
          <cell r="A1544" t="str">
            <v xml:space="preserve">USS2-3ULD19L-256AH </v>
          </cell>
          <cell r="B1544" t="str">
            <v xml:space="preserve">CHASSIS UPG TO ULT 60, 450MHZ </v>
          </cell>
          <cell r="C1544">
            <v>15923</v>
          </cell>
          <cell r="D1544" t="str">
            <v xml:space="preserve">H </v>
          </cell>
        </row>
        <row r="1545">
          <cell r="A1545" t="str">
            <v xml:space="preserve">USS2-3ULD19Q-256AH </v>
          </cell>
          <cell r="B1545" t="str">
            <v xml:space="preserve">CHASSIS UPG TO ULT 60, 450MHZ </v>
          </cell>
          <cell r="C1545">
            <v>17543</v>
          </cell>
          <cell r="D1545" t="str">
            <v xml:space="preserve">H </v>
          </cell>
        </row>
        <row r="1546">
          <cell r="A1546" t="str">
            <v xml:space="preserve">USS2-UEC2-9M-256AH </v>
          </cell>
          <cell r="B1546" t="str">
            <v xml:space="preserve">UG U2/2300, AFB, 256MB, 9GB </v>
          </cell>
          <cell r="C1546">
            <v>22673</v>
          </cell>
          <cell r="D1546" t="str">
            <v xml:space="preserve">H </v>
          </cell>
        </row>
        <row r="1547">
          <cell r="A1547" t="str">
            <v xml:space="preserve">USS2-UHC1A9KB128CP </v>
          </cell>
          <cell r="B1547" t="str">
            <v xml:space="preserve">UG WS U10/333, C3SB,128/9GB/CD </v>
          </cell>
          <cell r="C1547">
            <v>5866</v>
          </cell>
          <cell r="D1547" t="str">
            <v xml:space="preserve">H </v>
          </cell>
        </row>
        <row r="1548">
          <cell r="A1548" t="str">
            <v xml:space="preserve">VENBS-311-9999 </v>
          </cell>
          <cell r="B1548" t="str">
            <v xml:space="preserve">SW VX NFS EDITION MEDIA </v>
          </cell>
          <cell r="C1548">
            <v>195</v>
          </cell>
          <cell r="D1548" t="str">
            <v xml:space="preserve">D </v>
          </cell>
        </row>
        <row r="1549">
          <cell r="A1549" t="str">
            <v xml:space="preserve">VENIS-311-D999 </v>
          </cell>
          <cell r="B1549" t="str">
            <v xml:space="preserve">SW VX NFS EDITION TIER 1 </v>
          </cell>
          <cell r="C1549">
            <v>8673</v>
          </cell>
          <cell r="D1549" t="str">
            <v xml:space="preserve">B </v>
          </cell>
        </row>
        <row r="1550">
          <cell r="A1550" t="str">
            <v xml:space="preserve">VENIS-311-E999 </v>
          </cell>
          <cell r="B1550" t="str">
            <v xml:space="preserve">SW VX NFS EDITION TIER 3 </v>
          </cell>
          <cell r="C1550">
            <v>37233</v>
          </cell>
          <cell r="D1550" t="str">
            <v xml:space="preserve">B </v>
          </cell>
        </row>
        <row r="1551">
          <cell r="A1551" t="str">
            <v xml:space="preserve">VENIS-311-S999 </v>
          </cell>
          <cell r="B1551" t="str">
            <v xml:space="preserve">SW VX NFS EDITION TIER 4 </v>
          </cell>
          <cell r="C1551">
            <v>122913</v>
          </cell>
          <cell r="D1551" t="str">
            <v xml:space="preserve">B </v>
          </cell>
        </row>
        <row r="1552">
          <cell r="A1552" t="str">
            <v xml:space="preserve">VENIS-311-W999 </v>
          </cell>
          <cell r="B1552" t="str">
            <v xml:space="preserve">SW VX NFS EDITION TIER 2 </v>
          </cell>
          <cell r="C1552">
            <v>19733</v>
          </cell>
          <cell r="D1552" t="str">
            <v xml:space="preserve">B </v>
          </cell>
        </row>
        <row r="1553">
          <cell r="A1553" t="str">
            <v xml:space="preserve">VEOBS-311-9999 </v>
          </cell>
          <cell r="B1553" t="str">
            <v xml:space="preserve">SW VX ORACLE EDITION MEDIA </v>
          </cell>
          <cell r="C1553">
            <v>195</v>
          </cell>
          <cell r="D1553" t="str">
            <v xml:space="preserve">D </v>
          </cell>
        </row>
        <row r="1554">
          <cell r="A1554" t="str">
            <v xml:space="preserve">VEOIS-311-D999 </v>
          </cell>
          <cell r="B1554" t="str">
            <v xml:space="preserve">SW VX ORACLE EDITION TIER 1 </v>
          </cell>
          <cell r="C1554">
            <v>11060</v>
          </cell>
          <cell r="D1554" t="str">
            <v xml:space="preserve">B </v>
          </cell>
        </row>
        <row r="1555">
          <cell r="A1555" t="str">
            <v xml:space="preserve">VEOIS-311-E999 </v>
          </cell>
          <cell r="B1555" t="str">
            <v xml:space="preserve">SW VX ORACLE EDITION TIER 3 </v>
          </cell>
          <cell r="C1555">
            <v>49000</v>
          </cell>
          <cell r="D1555" t="str">
            <v xml:space="preserve">B </v>
          </cell>
        </row>
        <row r="1556">
          <cell r="A1556" t="str">
            <v xml:space="preserve">VEOIS-311-S999 </v>
          </cell>
          <cell r="B1556" t="str">
            <v xml:space="preserve">SW VX ORACLE EDITION TIER 4 </v>
          </cell>
          <cell r="C1556">
            <v>162400</v>
          </cell>
          <cell r="D1556" t="str">
            <v xml:space="preserve">B </v>
          </cell>
        </row>
        <row r="1557">
          <cell r="A1557" t="str">
            <v xml:space="preserve">VEOIS-311-W999 </v>
          </cell>
          <cell r="B1557" t="str">
            <v xml:space="preserve">SW VX ORACLE EDITION TIER 2 </v>
          </cell>
          <cell r="C1557">
            <v>26320</v>
          </cell>
          <cell r="D1557" t="str">
            <v xml:space="preserve">B </v>
          </cell>
        </row>
        <row r="1558">
          <cell r="A1558" t="str">
            <v xml:space="preserve">VEWBS-311-9999 </v>
          </cell>
          <cell r="B1558" t="str">
            <v xml:space="preserve">SW VX WEB EDITION MEDIA </v>
          </cell>
          <cell r="C1558">
            <v>195</v>
          </cell>
          <cell r="D1558" t="str">
            <v xml:space="preserve">D </v>
          </cell>
        </row>
        <row r="1559">
          <cell r="A1559" t="str">
            <v xml:space="preserve">VEWIS-311-D999 </v>
          </cell>
          <cell r="B1559" t="str">
            <v xml:space="preserve">SW VX WEB EDITION TIER 1 </v>
          </cell>
          <cell r="C1559">
            <v>7133</v>
          </cell>
          <cell r="D1559" t="str">
            <v xml:space="preserve">B </v>
          </cell>
        </row>
        <row r="1560">
          <cell r="A1560" t="str">
            <v xml:space="preserve">VEWIS-311-E999 </v>
          </cell>
          <cell r="B1560" t="str">
            <v xml:space="preserve">SW VX WEB EDITION TIER 3 </v>
          </cell>
          <cell r="C1560">
            <v>30933</v>
          </cell>
          <cell r="D1560" t="str">
            <v xml:space="preserve">B </v>
          </cell>
        </row>
        <row r="1561">
          <cell r="A1561" t="str">
            <v xml:space="preserve">VEWIS-311-S999 </v>
          </cell>
          <cell r="B1561" t="str">
            <v xml:space="preserve">SW VX WEB EDITION TIER 4 </v>
          </cell>
          <cell r="C1561">
            <v>102333</v>
          </cell>
          <cell r="D1561" t="str">
            <v xml:space="preserve">B </v>
          </cell>
        </row>
        <row r="1562">
          <cell r="A1562" t="str">
            <v xml:space="preserve">VEWIS-311-W999 </v>
          </cell>
          <cell r="B1562" t="str">
            <v xml:space="preserve">SW VX WEB EDITION TIER 2 </v>
          </cell>
          <cell r="C1562">
            <v>16653</v>
          </cell>
          <cell r="D1562" t="str">
            <v xml:space="preserve">B </v>
          </cell>
        </row>
        <row r="1563">
          <cell r="A1563" t="str">
            <v xml:space="preserve">VEYBS-311-9999 </v>
          </cell>
          <cell r="B1563" t="str">
            <v xml:space="preserve">Veritas SYBASE Edition Media </v>
          </cell>
          <cell r="C1563">
            <v>195</v>
          </cell>
          <cell r="D1563" t="str">
            <v xml:space="preserve">D </v>
          </cell>
        </row>
        <row r="1564">
          <cell r="A1564" t="str">
            <v xml:space="preserve">VEYIS-311-D999 </v>
          </cell>
          <cell r="B1564" t="str">
            <v xml:space="preserve">Veritas SYBASE Edition Tier 1 </v>
          </cell>
          <cell r="C1564">
            <v>8953</v>
          </cell>
          <cell r="D1564" t="str">
            <v xml:space="preserve">B </v>
          </cell>
        </row>
        <row r="1565">
          <cell r="A1565" t="str">
            <v xml:space="preserve">VEYIS-311-E999 </v>
          </cell>
          <cell r="B1565" t="str">
            <v>Veritas SYBASE Edition Tier 3</v>
          </cell>
          <cell r="C1565">
            <v>38633</v>
          </cell>
          <cell r="D1565" t="str">
            <v xml:space="preserve">B </v>
          </cell>
        </row>
        <row r="1566">
          <cell r="A1566" t="str">
            <v xml:space="preserve">VEYIS-311-S999 </v>
          </cell>
          <cell r="B1566" t="str">
            <v>Veritas SYBASE Edition Tier 4</v>
          </cell>
          <cell r="C1566">
            <v>128093</v>
          </cell>
          <cell r="D1566" t="str">
            <v xml:space="preserve">B </v>
          </cell>
        </row>
        <row r="1567">
          <cell r="A1567" t="str">
            <v xml:space="preserve">VEYIS 311-W999 </v>
          </cell>
          <cell r="B1567" t="str">
            <v>Veritas SYBASE Edition Tier 2</v>
          </cell>
          <cell r="C1567">
            <v>20853</v>
          </cell>
          <cell r="D1567" t="str">
            <v xml:space="preserve">B </v>
          </cell>
        </row>
        <row r="1568">
          <cell r="A1568" t="str">
            <v xml:space="preserve">VFS9S-330-D999 </v>
          </cell>
          <cell r="B1568" t="str">
            <v>VERITAS FS 3.3 DEP SVR, LIC</v>
          </cell>
          <cell r="C1568">
            <v>9793</v>
          </cell>
          <cell r="D1568" t="str">
            <v xml:space="preserve">B </v>
          </cell>
        </row>
        <row r="1569">
          <cell r="A1569" t="str">
            <v xml:space="preserve">VFS9S-330-D9U9 </v>
          </cell>
          <cell r="B1569" t="str">
            <v>UG VERITAS FS 3.3 DEP SVR, LIC</v>
          </cell>
          <cell r="C1569">
            <v>2422</v>
          </cell>
          <cell r="D1569" t="str">
            <v xml:space="preserve">B </v>
          </cell>
        </row>
        <row r="1570">
          <cell r="A1570" t="str">
            <v xml:space="preserve">VFS9S-330-E999 </v>
          </cell>
          <cell r="B1570" t="str">
            <v>VERITAS FS 3.3 EX000, LIC</v>
          </cell>
          <cell r="C1570">
            <v>18193</v>
          </cell>
          <cell r="D1570" t="str">
            <v xml:space="preserve">B </v>
          </cell>
        </row>
        <row r="1571">
          <cell r="A1571" t="str">
            <v xml:space="preserve">VFS9S-330-E9U9 </v>
          </cell>
          <cell r="B1571" t="str">
            <v>UG VERITAS FS 3.3 EXX00, LIC</v>
          </cell>
          <cell r="C1571">
            <v>4550</v>
          </cell>
          <cell r="D1571" t="str">
            <v xml:space="preserve">B </v>
          </cell>
        </row>
        <row r="1572">
          <cell r="A1572" t="str">
            <v xml:space="preserve">VFS9S-330-R999 </v>
          </cell>
          <cell r="B1572" t="str">
            <v>VERIITAS FS 3.3, CD DOC</v>
          </cell>
          <cell r="C1572">
            <v>140</v>
          </cell>
          <cell r="D1572" t="str">
            <v xml:space="preserve">D </v>
          </cell>
        </row>
        <row r="1573">
          <cell r="A1573" t="str">
            <v xml:space="preserve">VFS9S-330-S999 </v>
          </cell>
          <cell r="B1573" t="str">
            <v>VERITAS FS 3.3 E10000, LIC</v>
          </cell>
          <cell r="C1573">
            <v>60193</v>
          </cell>
          <cell r="D1573" t="str">
            <v xml:space="preserve">B </v>
          </cell>
        </row>
        <row r="1574">
          <cell r="A1574" t="str">
            <v xml:space="preserve">VFS9S-330-S9U9 </v>
          </cell>
          <cell r="B1574" t="str">
            <v xml:space="preserve">UG VERITAS FS 3.3 E10000, LIC </v>
          </cell>
          <cell r="C1574">
            <v>14000</v>
          </cell>
          <cell r="D1574" t="str">
            <v xml:space="preserve">B </v>
          </cell>
        </row>
        <row r="1575">
          <cell r="A1575" t="str">
            <v xml:space="preserve">VFS9S-330-W999 </v>
          </cell>
          <cell r="B1575" t="str">
            <v>VERITAS FS 3.2 WS+WGS, LIC</v>
          </cell>
          <cell r="C1575">
            <v>4193</v>
          </cell>
          <cell r="D1575" t="str">
            <v xml:space="preserve">B </v>
          </cell>
        </row>
        <row r="1576">
          <cell r="A1576" t="str">
            <v xml:space="preserve">VFS9S-330-W9U9 </v>
          </cell>
          <cell r="B1576" t="str">
            <v>UG VERITAS FS 3.3 DWS&amp;WGS, LIC</v>
          </cell>
          <cell r="C1576">
            <v>1050</v>
          </cell>
          <cell r="D1576" t="str">
            <v xml:space="preserve">B </v>
          </cell>
        </row>
        <row r="1577">
          <cell r="A1577" t="str">
            <v xml:space="preserve">VFSTS-311-9999 </v>
          </cell>
          <cell r="B1577" t="str">
            <v xml:space="preserve">VERITAS VM 3.1.1 MEDIA &amp; DOC </v>
          </cell>
          <cell r="C1577">
            <v>210</v>
          </cell>
          <cell r="D1577" t="str">
            <v xml:space="preserve">B </v>
          </cell>
        </row>
        <row r="1578">
          <cell r="A1578" t="str">
            <v xml:space="preserve">VHSM9-311-9999 </v>
          </cell>
          <cell r="B1578" t="str">
            <v xml:space="preserve">SW HSM 3.1.1 UNIX MEDIA &amp; DOC </v>
          </cell>
          <cell r="C1578">
            <v>130</v>
          </cell>
          <cell r="D1578" t="str">
            <v xml:space="preserve">D </v>
          </cell>
        </row>
        <row r="1579">
          <cell r="A1579" t="str">
            <v xml:space="preserve">VMR9S-260-D999 </v>
          </cell>
          <cell r="B1579" t="str">
            <v>SW SVM 2.6 DEPARTMENT SRVR RTU</v>
          </cell>
          <cell r="C1579">
            <v>9793</v>
          </cell>
          <cell r="D1579" t="str">
            <v xml:space="preserve">B </v>
          </cell>
        </row>
        <row r="1580">
          <cell r="A1580" t="str">
            <v xml:space="preserve">VMR9S-260-D9U9 </v>
          </cell>
          <cell r="B1580" t="str">
            <v xml:space="preserve">SW SVM 2.6 DEP SRVR RTU UPG </v>
          </cell>
          <cell r="C1580">
            <v>2422</v>
          </cell>
          <cell r="D1580" t="str">
            <v xml:space="preserve">B </v>
          </cell>
        </row>
        <row r="1581">
          <cell r="A1581" t="str">
            <v xml:space="preserve">VMR9S-260-E999 </v>
          </cell>
          <cell r="B1581" t="str">
            <v xml:space="preserve">SW SVM 2.6 ENTERPRISE SRVR RTU </v>
          </cell>
          <cell r="C1581">
            <v>18193</v>
          </cell>
          <cell r="D1581" t="str">
            <v xml:space="preserve">B </v>
          </cell>
        </row>
        <row r="1582">
          <cell r="A1582" t="str">
            <v xml:space="preserve">VMR9S-260-E9U9 </v>
          </cell>
          <cell r="B1582" t="str">
            <v xml:space="preserve">SW SVM 2.6 ENTRPR SRVR RTU UPG </v>
          </cell>
          <cell r="C1582">
            <v>4550</v>
          </cell>
          <cell r="D1582" t="str">
            <v xml:space="preserve">B </v>
          </cell>
        </row>
        <row r="1583">
          <cell r="A1583" t="str">
            <v xml:space="preserve">VMR9S-260-R999 </v>
          </cell>
          <cell r="B1583" t="str">
            <v xml:space="preserve">SW SVM 2.6 MEDIA DOCUMENTATION </v>
          </cell>
          <cell r="C1583">
            <v>140</v>
          </cell>
          <cell r="D1583" t="str">
            <v xml:space="preserve">D </v>
          </cell>
        </row>
        <row r="1584">
          <cell r="A1584" t="str">
            <v xml:space="preserve">VMR9S-260-R9U9 </v>
          </cell>
          <cell r="B1584" t="str">
            <v xml:space="preserve">SW SVM 2.6 SSA/A5000 UP CD/DOC </v>
          </cell>
          <cell r="C1584">
            <v>560</v>
          </cell>
          <cell r="D1584" t="str">
            <v xml:space="preserve">B </v>
          </cell>
        </row>
        <row r="1585">
          <cell r="A1585" t="str">
            <v xml:space="preserve">VMR9S-260-S999 </v>
          </cell>
          <cell r="B1585" t="str">
            <v xml:space="preserve">SW SVM 2.6 E10000 SRVR RTU </v>
          </cell>
          <cell r="C1585">
            <v>60193</v>
          </cell>
          <cell r="D1585" t="str">
            <v xml:space="preserve">B </v>
          </cell>
        </row>
        <row r="1586">
          <cell r="A1586" t="str">
            <v xml:space="preserve">VMR9S-260-S9U9 </v>
          </cell>
          <cell r="B1586" t="str">
            <v xml:space="preserve">SW SVM 2.6 E10000 SRVR RTU UPG </v>
          </cell>
          <cell r="C1586">
            <v>14000</v>
          </cell>
          <cell r="D1586" t="str">
            <v xml:space="preserve">B </v>
          </cell>
        </row>
        <row r="1587">
          <cell r="A1587" t="str">
            <v xml:space="preserve">VMR9S-260-W999 </v>
          </cell>
          <cell r="B1587" t="str">
            <v xml:space="preserve">SW SVM 2.6 WS AND WG SRVR RTU </v>
          </cell>
          <cell r="C1587">
            <v>4193</v>
          </cell>
          <cell r="D1587" t="str">
            <v xml:space="preserve">B </v>
          </cell>
        </row>
        <row r="1588">
          <cell r="A1588" t="str">
            <v xml:space="preserve">VMR9S-260-W9U9 </v>
          </cell>
          <cell r="B1588" t="str">
            <v xml:space="preserve">SW SVM 2.6 WS &amp; WS SVR RTU UPG </v>
          </cell>
          <cell r="C1588">
            <v>1050</v>
          </cell>
          <cell r="D1588" t="str">
            <v xml:space="preserve">B </v>
          </cell>
        </row>
        <row r="1589">
          <cell r="A1589" t="str">
            <v xml:space="preserve">VMS9S-260-D999 </v>
          </cell>
          <cell r="B1589" t="str">
            <v xml:space="preserve">SW SVM 2.6 DEPRTMT SRV ADD RTU </v>
          </cell>
          <cell r="C1589">
            <v>5782</v>
          </cell>
          <cell r="D1589" t="str">
            <v xml:space="preserve">B </v>
          </cell>
        </row>
        <row r="1590">
          <cell r="A1590" t="str">
            <v xml:space="preserve">VMS9S-260-E999 </v>
          </cell>
          <cell r="B1590" t="str">
            <v xml:space="preserve">SW SVM 2.6 ENTRPRS SRV ADD RTU </v>
          </cell>
          <cell r="C1590">
            <v>10822</v>
          </cell>
          <cell r="D1590" t="str">
            <v xml:space="preserve">B </v>
          </cell>
        </row>
        <row r="1591">
          <cell r="A1591" t="str">
            <v xml:space="preserve">VMS9S-260-R999 </v>
          </cell>
          <cell r="B1591" t="str">
            <v xml:space="preserve">SW SVM 2.6 FOR A5000S </v>
          </cell>
          <cell r="C1591">
            <v>0</v>
          </cell>
          <cell r="D1591" t="str">
            <v xml:space="preserve">D </v>
          </cell>
        </row>
        <row r="1592">
          <cell r="A1592" t="str">
            <v xml:space="preserve">VMS9S-260-S999 </v>
          </cell>
          <cell r="B1592" t="str">
            <v xml:space="preserve">SW SVM 2.6 E10000 SRV ADD RTU </v>
          </cell>
          <cell r="C1592">
            <v>36302</v>
          </cell>
          <cell r="D1592" t="str">
            <v xml:space="preserve">B </v>
          </cell>
        </row>
        <row r="1593">
          <cell r="A1593" t="str">
            <v xml:space="preserve">VMS9S-260-W999 </v>
          </cell>
          <cell r="B1593" t="str">
            <v xml:space="preserve">SW SVM 2.6 WS &amp; WG SRV ADD RTU </v>
          </cell>
          <cell r="C1593">
            <v>2562</v>
          </cell>
          <cell r="D1593" t="str">
            <v xml:space="preserve">B </v>
          </cell>
        </row>
        <row r="1594">
          <cell r="A1594" t="str">
            <v xml:space="preserve">VNB9N-311-9999 </v>
          </cell>
          <cell r="B1594" t="str">
            <v xml:space="preserve">SW NBU 3.1.1 NT SERVER RTU </v>
          </cell>
          <cell r="C1594">
            <v>5593</v>
          </cell>
          <cell r="D1594" t="str">
            <v xml:space="preserve">B </v>
          </cell>
        </row>
        <row r="1595">
          <cell r="A1595" t="str">
            <v xml:space="preserve">VNB9N-311-D999 </v>
          </cell>
          <cell r="B1595" t="str">
            <v xml:space="preserve">SW NBU 3.1.1 DB TIER 0 RTU </v>
          </cell>
          <cell r="C1595">
            <v>1400</v>
          </cell>
          <cell r="D1595" t="str">
            <v xml:space="preserve">B </v>
          </cell>
        </row>
        <row r="1596">
          <cell r="A1596" t="str">
            <v xml:space="preserve">VNB9N-311-W999 </v>
          </cell>
          <cell r="B1596" t="str">
            <v xml:space="preserve">SW NBU 3.1.1 DB TIER 2 RTU </v>
          </cell>
          <cell r="C1596">
            <v>3500</v>
          </cell>
          <cell r="D1596" t="str">
            <v xml:space="preserve">B </v>
          </cell>
        </row>
        <row r="1597">
          <cell r="A1597" t="str">
            <v xml:space="preserve">VNB9S-311-9999 </v>
          </cell>
          <cell r="B1597" t="str">
            <v xml:space="preserve">SW NBU 3.1.1 UNIX MEDIA &amp; DOC </v>
          </cell>
          <cell r="C1597">
            <v>260</v>
          </cell>
          <cell r="D1597" t="str">
            <v xml:space="preserve">D </v>
          </cell>
        </row>
        <row r="1598">
          <cell r="A1598" t="str">
            <v>VNBCS-999-D999</v>
          </cell>
          <cell r="B1598" t="str">
            <v>SW NBU &amp; Storage Migrator(HSM)</v>
          </cell>
          <cell r="C1598">
            <v>980</v>
          </cell>
          <cell r="D1598" t="str">
            <v xml:space="preserve">D </v>
          </cell>
        </row>
        <row r="1599">
          <cell r="A1599" t="str">
            <v xml:space="preserve">VNBI9-311-9999 </v>
          </cell>
          <cell r="B1599" t="str">
            <v xml:space="preserve">SW NBU 3.1.1 VMS Media, Doc </v>
          </cell>
          <cell r="C1599">
            <v>52</v>
          </cell>
          <cell r="D1599" t="str">
            <v xml:space="preserve">D </v>
          </cell>
        </row>
        <row r="1600">
          <cell r="A1600" t="str">
            <v xml:space="preserve">VNBSS-320-9999 </v>
          </cell>
          <cell r="B1600" t="str">
            <v xml:space="preserve">SW NBU 3.2.0 Solaris Media kit,Doc </v>
          </cell>
          <cell r="C1600">
            <v>280</v>
          </cell>
          <cell r="D1600" t="str">
            <v xml:space="preserve">B </v>
          </cell>
        </row>
        <row r="1601">
          <cell r="A1601" t="str">
            <v xml:space="preserve">VNBSS-999-9999 </v>
          </cell>
          <cell r="B1601" t="str">
            <v xml:space="preserve">SW NBU 3.2.0 Lic Solaris,Unix,RTU </v>
          </cell>
          <cell r="C1601">
            <v>11900</v>
          </cell>
          <cell r="D1601" t="str">
            <v xml:space="preserve">B </v>
          </cell>
        </row>
        <row r="1602">
          <cell r="A1602" t="str">
            <v xml:space="preserve">VNARS-999-D999 </v>
          </cell>
          <cell r="B1602" t="str">
            <v>SW NBU 3.2.0 Robotic Support NBU,Tier 2</v>
          </cell>
          <cell r="C1602">
            <v>13300</v>
          </cell>
          <cell r="D1602" t="str">
            <v xml:space="preserve">B </v>
          </cell>
        </row>
        <row r="1603">
          <cell r="A1603" t="str">
            <v xml:space="preserve">VNBDS-320-9999 </v>
          </cell>
          <cell r="B1603" t="str">
            <v xml:space="preserve">SW NBU 3.2.0 UNIX Database </v>
          </cell>
          <cell r="C1603">
            <v>140</v>
          </cell>
          <cell r="D1603" t="str">
            <v xml:space="preserve">D </v>
          </cell>
        </row>
        <row r="1604">
          <cell r="A1604" t="str">
            <v xml:space="preserve">VNBDS-999-E999 </v>
          </cell>
          <cell r="B1604" t="str">
            <v>SW NBU 3.2.0 Extension License</v>
          </cell>
          <cell r="C1604">
            <v>14000</v>
          </cell>
          <cell r="D1604" t="str">
            <v xml:space="preserve">D </v>
          </cell>
        </row>
        <row r="1605">
          <cell r="A1605" t="str">
            <v xml:space="preserve">VNBIN-311-9999 </v>
          </cell>
          <cell r="B1605" t="str">
            <v xml:space="preserve">SW NBU 3.1.1 NT MEDIA &amp; DOC </v>
          </cell>
          <cell r="C1605">
            <v>130</v>
          </cell>
          <cell r="D1605" t="str">
            <v xml:space="preserve">D </v>
          </cell>
        </row>
        <row r="1606">
          <cell r="A1606" t="str">
            <v xml:space="preserve">VNBMN-311-9999 </v>
          </cell>
          <cell r="B1606" t="str">
            <v xml:space="preserve">SW NBU 3.1.1 SQL/EX MEDIA, DOC </v>
          </cell>
          <cell r="C1606">
            <v>59</v>
          </cell>
          <cell r="D1606" t="str">
            <v xml:space="preserve">D </v>
          </cell>
        </row>
        <row r="1607">
          <cell r="A1607" t="str">
            <v xml:space="preserve">VNEIS-320-9999 </v>
          </cell>
          <cell r="B1607" t="str">
            <v xml:space="preserve">SW NBU International client Encryp. </v>
          </cell>
          <cell r="C1607">
            <v>63</v>
          </cell>
          <cell r="D1607" t="str">
            <v xml:space="preserve">D </v>
          </cell>
        </row>
        <row r="1608">
          <cell r="A1608" t="str">
            <v xml:space="preserve">VNM9S-311-9999 </v>
          </cell>
          <cell r="B1608" t="str">
            <v xml:space="preserve">SW NBU 3.1.1 GDM Media Kit </v>
          </cell>
          <cell r="C1608">
            <v>119</v>
          </cell>
          <cell r="D1608" t="str">
            <v xml:space="preserve">D </v>
          </cell>
        </row>
        <row r="1609">
          <cell r="A1609" t="str">
            <v xml:space="preserve">VNMIS-311-9999 </v>
          </cell>
          <cell r="B1609" t="str">
            <v xml:space="preserve">SW NBU 3.1.1 GDM MOM RTU </v>
          </cell>
          <cell r="C1609">
            <v>7000</v>
          </cell>
          <cell r="D1609" t="str">
            <v xml:space="preserve">B </v>
          </cell>
        </row>
        <row r="1610">
          <cell r="A1610" t="str">
            <v xml:space="preserve">VNMIS-311-D999 </v>
          </cell>
          <cell r="B1610" t="str">
            <v xml:space="preserve">SW NBU 3.1.1 GDM Tier 1 </v>
          </cell>
          <cell r="C1610">
            <v>2100</v>
          </cell>
          <cell r="D1610" t="str">
            <v xml:space="preserve">B </v>
          </cell>
        </row>
        <row r="1611">
          <cell r="A1611" t="str">
            <v xml:space="preserve">VNMIS-311-E999 </v>
          </cell>
          <cell r="B1611" t="str">
            <v xml:space="preserve">SW NBU 3.1.1 GDM Tier 3 </v>
          </cell>
          <cell r="C1611">
            <v>3500</v>
          </cell>
          <cell r="D1611" t="str">
            <v xml:space="preserve">B </v>
          </cell>
        </row>
        <row r="1612">
          <cell r="A1612" t="str">
            <v xml:space="preserve">VNMIS-311-S999 </v>
          </cell>
          <cell r="B1612" t="str">
            <v xml:space="preserve">SW NBU 3.1.1 GDM Tier 4 </v>
          </cell>
          <cell r="C1612">
            <v>4200</v>
          </cell>
          <cell r="D1612" t="str">
            <v xml:space="preserve">B </v>
          </cell>
        </row>
        <row r="1613">
          <cell r="A1613" t="str">
            <v xml:space="preserve">VNMIS-311-W999 </v>
          </cell>
          <cell r="B1613" t="str">
            <v xml:space="preserve">SW NBU 3.1.1 GDM Tier 2 </v>
          </cell>
          <cell r="C1613">
            <v>2800</v>
          </cell>
          <cell r="D1613" t="str">
            <v xml:space="preserve">B </v>
          </cell>
        </row>
        <row r="1614">
          <cell r="A1614" t="str">
            <v xml:space="preserve">VNR99-311-D999 </v>
          </cell>
          <cell r="B1614" t="str">
            <v xml:space="preserve">SW NBU Add Robot Tier 2 RTU </v>
          </cell>
          <cell r="C1614">
            <v>5320</v>
          </cell>
          <cell r="D1614" t="str">
            <v xml:space="preserve">B </v>
          </cell>
        </row>
        <row r="1615">
          <cell r="A1615" t="str">
            <v xml:space="preserve">VNR99-311-E999 </v>
          </cell>
          <cell r="B1615" t="str">
            <v xml:space="preserve">SW NBU Add Robot Tier 4 RTU </v>
          </cell>
          <cell r="C1615">
            <v>14000</v>
          </cell>
          <cell r="D1615" t="str">
            <v xml:space="preserve">B </v>
          </cell>
        </row>
        <row r="1616">
          <cell r="A1616" t="str">
            <v xml:space="preserve">VNR99-311-R999 </v>
          </cell>
          <cell r="B1616" t="str">
            <v xml:space="preserve">SW NBU Add Robot Tier 1 RTU </v>
          </cell>
          <cell r="C1616">
            <v>2240</v>
          </cell>
          <cell r="D1616" t="str">
            <v xml:space="preserve">B </v>
          </cell>
        </row>
        <row r="1617">
          <cell r="A1617" t="str">
            <v xml:space="preserve">VNR99-311-W999 </v>
          </cell>
          <cell r="B1617" t="str">
            <v xml:space="preserve">SW NBU Add Robot Tier 3 RTU </v>
          </cell>
          <cell r="C1617">
            <v>9520</v>
          </cell>
          <cell r="D1617" t="str">
            <v xml:space="preserve">B </v>
          </cell>
        </row>
        <row r="1618">
          <cell r="A1618" t="str">
            <v xml:space="preserve">VT-8.0.1-P </v>
          </cell>
          <cell r="B1618" t="str">
            <v xml:space="preserve">SUNLINK VT 8.0.1, CD DOC LI </v>
          </cell>
          <cell r="C1618">
            <v>2793</v>
          </cell>
          <cell r="D1618" t="str">
            <v xml:space="preserve">B </v>
          </cell>
        </row>
        <row r="1619">
          <cell r="A1619" t="str">
            <v>VVMGS-999-S999</v>
          </cell>
          <cell r="B1619" t="str">
            <v>Veritas Volume Manager3.1 for E10K</v>
          </cell>
          <cell r="C1619">
            <v>60193</v>
          </cell>
          <cell r="D1619" t="str">
            <v xml:space="preserve">B </v>
          </cell>
        </row>
        <row r="1620">
          <cell r="A1620" t="str">
            <v xml:space="preserve">VW1II-500-T9T9 </v>
          </cell>
          <cell r="B1620" t="str">
            <v xml:space="preserve">VIS WKSHOP C++ 5.0 TRDUP Intel </v>
          </cell>
          <cell r="C1620">
            <v>3920</v>
          </cell>
          <cell r="D1620" t="str">
            <v xml:space="preserve">B </v>
          </cell>
        </row>
        <row r="1621">
          <cell r="A1621" t="str">
            <v xml:space="preserve">VW1IS-500-T9T9 </v>
          </cell>
          <cell r="B1621" t="str">
            <v xml:space="preserve">VIS WKSHOP C++ 5.0 TRDUP SPARC </v>
          </cell>
          <cell r="C1621">
            <v>3920</v>
          </cell>
          <cell r="D1621" t="str">
            <v xml:space="preserve">B </v>
          </cell>
        </row>
        <row r="1622">
          <cell r="A1622" t="str">
            <v xml:space="preserve">VW2II-500-T9T9 </v>
          </cell>
          <cell r="B1622" t="str">
            <v xml:space="preserve">VIS WKSHOP C++ 5.0 TRDUP Intel </v>
          </cell>
          <cell r="C1622">
            <v>2940</v>
          </cell>
          <cell r="D1622" t="str">
            <v xml:space="preserve">B </v>
          </cell>
        </row>
        <row r="1623">
          <cell r="A1623" t="str">
            <v xml:space="preserve">VW2IS-500-T9T9 </v>
          </cell>
          <cell r="B1623" t="str">
            <v xml:space="preserve">VIS WKSHOP C++ 5.0 TRDUP SPARC </v>
          </cell>
          <cell r="C1623">
            <v>2940</v>
          </cell>
          <cell r="D1623" t="str">
            <v xml:space="preserve">B </v>
          </cell>
        </row>
        <row r="1624">
          <cell r="A1624" t="str">
            <v xml:space="preserve">VWC-3.0-45-P1 </v>
          </cell>
          <cell r="B1624" t="str">
            <v xml:space="preserve">KOREAN VWC C++ 3.0, CD DOC LI </v>
          </cell>
          <cell r="C1624">
            <v>5453</v>
          </cell>
          <cell r="D1624" t="str">
            <v xml:space="preserve">B </v>
          </cell>
        </row>
        <row r="1625">
          <cell r="A1625" t="str">
            <v xml:space="preserve">VWC-3.0-45-P10 </v>
          </cell>
          <cell r="B1625" t="str">
            <v xml:space="preserve">KOREAN VWC C++ 3.0,CD DOC 10LI </v>
          </cell>
          <cell r="C1625">
            <v>42140</v>
          </cell>
          <cell r="D1625" t="str">
            <v xml:space="preserve">B </v>
          </cell>
        </row>
        <row r="1626">
          <cell r="A1626" t="str">
            <v xml:space="preserve">VWC-3.0-D </v>
          </cell>
          <cell r="B1626" t="str">
            <v xml:space="preserve">VISUAL WS C++ 3.0, DOC </v>
          </cell>
          <cell r="C1626">
            <v>560</v>
          </cell>
          <cell r="D1626" t="str">
            <v xml:space="preserve">B </v>
          </cell>
        </row>
        <row r="1627">
          <cell r="A1627" t="str">
            <v xml:space="preserve">VWC-3.0-S </v>
          </cell>
          <cell r="B1627" t="str">
            <v xml:space="preserve">VISUAL WS C++ 3.0, CD DOC LI </v>
          </cell>
          <cell r="C1627">
            <v>4893</v>
          </cell>
          <cell r="D1627" t="str">
            <v xml:space="preserve">B </v>
          </cell>
        </row>
        <row r="1628">
          <cell r="A1628" t="str">
            <v xml:space="preserve">VWC-3.0-S10 </v>
          </cell>
          <cell r="B1628" t="str">
            <v xml:space="preserve">VISUAL WS C++ 3.0,CD DOC 10LIC </v>
          </cell>
          <cell r="C1628">
            <v>41580</v>
          </cell>
          <cell r="D1628" t="str">
            <v xml:space="preserve">B </v>
          </cell>
        </row>
        <row r="1629">
          <cell r="A1629" t="str">
            <v xml:space="preserve">VWC-3.0-SFU </v>
          </cell>
          <cell r="B1629" t="str">
            <v xml:space="preserve">UG TO VWS C++ 3.0 PE FLOAT-LIC </v>
          </cell>
          <cell r="C1629">
            <v>2233</v>
          </cell>
          <cell r="D1629" t="str">
            <v xml:space="preserve">B </v>
          </cell>
        </row>
        <row r="1630">
          <cell r="A1630" t="str">
            <v xml:space="preserve">VWC-3.0-SN </v>
          </cell>
          <cell r="B1630" t="str">
            <v xml:space="preserve">VISUAL WS C++ 3.0, PERSNL ED </v>
          </cell>
          <cell r="C1630">
            <v>2793</v>
          </cell>
          <cell r="D1630" t="str">
            <v xml:space="preserve">B </v>
          </cell>
        </row>
        <row r="1631">
          <cell r="A1631" t="str">
            <v xml:space="preserve">VWC-3.0-SU </v>
          </cell>
          <cell r="B1631" t="str">
            <v xml:space="preserve">UG VIS. WS C++ 3.0, CD DOC LIC </v>
          </cell>
          <cell r="C1631">
            <v>1470</v>
          </cell>
          <cell r="D1631" t="str">
            <v xml:space="preserve">B </v>
          </cell>
        </row>
        <row r="1632">
          <cell r="A1632" t="str">
            <v xml:space="preserve">VWPII-500-T999 </v>
          </cell>
          <cell r="B1632" t="str">
            <v xml:space="preserve">Vis WS C++ 5.0 Per. Ed. Intel </v>
          </cell>
          <cell r="C1632">
            <v>2793</v>
          </cell>
          <cell r="D1632" t="str">
            <v xml:space="preserve">B </v>
          </cell>
        </row>
        <row r="1633">
          <cell r="A1633" t="str">
            <v xml:space="preserve">VWPII-500-T9T9 </v>
          </cell>
          <cell r="B1633" t="str">
            <v xml:space="preserve">VIS WKSHOP C++ 5.0 TRDUP Intel </v>
          </cell>
          <cell r="C1633">
            <v>2240</v>
          </cell>
          <cell r="D1633" t="str">
            <v xml:space="preserve">B </v>
          </cell>
        </row>
        <row r="1634">
          <cell r="A1634" t="str">
            <v xml:space="preserve">VWPIS-500-T999 </v>
          </cell>
          <cell r="B1634" t="str">
            <v xml:space="preserve">Vis WS C++ 5.0 Per. Ed. SPARC </v>
          </cell>
          <cell r="C1634">
            <v>2793</v>
          </cell>
          <cell r="D1634" t="str">
            <v xml:space="preserve">B </v>
          </cell>
        </row>
        <row r="1635">
          <cell r="A1635" t="str">
            <v xml:space="preserve">VWPIS-500-T9T9 </v>
          </cell>
          <cell r="B1635" t="str">
            <v xml:space="preserve">VIS WKSHOP C++ 5.0 TRDUP SPARC </v>
          </cell>
          <cell r="C1635">
            <v>2240</v>
          </cell>
          <cell r="D1635" t="str">
            <v xml:space="preserve">B </v>
          </cell>
        </row>
        <row r="1636">
          <cell r="A1636" t="str">
            <v xml:space="preserve">VWPIS-500-T9U9 </v>
          </cell>
          <cell r="B1636" t="str">
            <v xml:space="preserve">VIS WKSHOP C++ 5.0 UPGDS SPARC </v>
          </cell>
          <cell r="C1636">
            <v>840</v>
          </cell>
          <cell r="D1636" t="str">
            <v xml:space="preserve">B </v>
          </cell>
        </row>
        <row r="1637">
          <cell r="A1637" t="str">
            <v xml:space="preserve">VWSCI-500-TG99 </v>
          </cell>
          <cell r="B1637" t="str">
            <v xml:space="preserve">VIS WKSHOP C++ 5.0 GOLD Intel </v>
          </cell>
          <cell r="C1637">
            <v>293580</v>
          </cell>
          <cell r="D1637" t="str">
            <v xml:space="preserve">B </v>
          </cell>
        </row>
        <row r="1638">
          <cell r="A1638" t="str">
            <v xml:space="preserve">VWSCS-500-TG99 </v>
          </cell>
          <cell r="B1638" t="str">
            <v xml:space="preserve">VIS WKSHOP C++ 5.0 GOLD SPARC </v>
          </cell>
          <cell r="C1638">
            <v>293580</v>
          </cell>
          <cell r="D1638" t="str">
            <v xml:space="preserve">B </v>
          </cell>
        </row>
        <row r="1639">
          <cell r="A1639" t="str">
            <v xml:space="preserve">VWSD9-500-T999 </v>
          </cell>
          <cell r="B1639" t="str">
            <v xml:space="preserve">VWS C++ 5.0 Doc Set </v>
          </cell>
          <cell r="C1639">
            <v>560</v>
          </cell>
          <cell r="D1639" t="str">
            <v xml:space="preserve">B </v>
          </cell>
        </row>
        <row r="1640">
          <cell r="A1640" t="str">
            <v xml:space="preserve">VWSEI-500-TG99 </v>
          </cell>
          <cell r="B1640" t="str">
            <v xml:space="preserve">VIS WKSHOP C++ 5.0 GOLD Intel </v>
          </cell>
          <cell r="C1640">
            <v>646100</v>
          </cell>
          <cell r="D1640" t="str">
            <v xml:space="preserve">B </v>
          </cell>
        </row>
        <row r="1641">
          <cell r="A1641" t="str">
            <v xml:space="preserve">VWSES-500-TG99 </v>
          </cell>
          <cell r="B1641" t="str">
            <v xml:space="preserve">VIS WKSHOP C++ 5.0 GOLD SPARC </v>
          </cell>
          <cell r="C1641">
            <v>646100</v>
          </cell>
          <cell r="D1641" t="str">
            <v xml:space="preserve">B </v>
          </cell>
        </row>
        <row r="1642">
          <cell r="A1642" t="str">
            <v xml:space="preserve">VWSII-500-T999 </v>
          </cell>
          <cell r="B1642" t="str">
            <v xml:space="preserve">Vis WS C++ 5.0 one-user Intel </v>
          </cell>
          <cell r="C1642">
            <v>4893</v>
          </cell>
          <cell r="D1642" t="str">
            <v xml:space="preserve">B </v>
          </cell>
        </row>
        <row r="1643">
          <cell r="A1643" t="str">
            <v xml:space="preserve">VWSII-500-T9U9 </v>
          </cell>
          <cell r="B1643" t="str">
            <v xml:space="preserve">VIS WKSHOP C++ 5.0 UPGDS Intel </v>
          </cell>
          <cell r="C1643">
            <v>1470</v>
          </cell>
          <cell r="D1643" t="str">
            <v xml:space="preserve">B </v>
          </cell>
        </row>
        <row r="1644">
          <cell r="A1644" t="str">
            <v xml:space="preserve">VWSII-500-TG99 </v>
          </cell>
          <cell r="B1644" t="str">
            <v xml:space="preserve">VIS WKSHOP C++ 5.0 GOLD Intel </v>
          </cell>
          <cell r="C1644">
            <v>4893</v>
          </cell>
          <cell r="D1644" t="str">
            <v xml:space="preserve">B </v>
          </cell>
        </row>
        <row r="1645">
          <cell r="A1645" t="str">
            <v xml:space="preserve">VWSIS-500-T999 </v>
          </cell>
          <cell r="B1645" t="str">
            <v xml:space="preserve">Visual WS C++ 5.0 1-user SPARC </v>
          </cell>
          <cell r="C1645">
            <v>4893</v>
          </cell>
          <cell r="D1645" t="str">
            <v xml:space="preserve">B </v>
          </cell>
        </row>
        <row r="1646">
          <cell r="A1646" t="str">
            <v xml:space="preserve">VWSIS-500-T9U9 </v>
          </cell>
          <cell r="B1646" t="str">
            <v xml:space="preserve">VIS WKSHOP C++ 5.0 UPGDS SPARC </v>
          </cell>
          <cell r="C1646">
            <v>1470</v>
          </cell>
          <cell r="D1646" t="str">
            <v xml:space="preserve">B </v>
          </cell>
        </row>
        <row r="1647">
          <cell r="A1647" t="str">
            <v xml:space="preserve">VWSIS-500-TG99 </v>
          </cell>
          <cell r="B1647" t="str">
            <v xml:space="preserve">VIS WKSHOP C++ 5.0 GOLD SPARC </v>
          </cell>
          <cell r="C1647">
            <v>4893</v>
          </cell>
          <cell r="D1647" t="str">
            <v xml:space="preserve">B </v>
          </cell>
        </row>
        <row r="1648">
          <cell r="A1648" t="str">
            <v xml:space="preserve">VWSMI-500-TG99 </v>
          </cell>
          <cell r="B1648" t="str">
            <v xml:space="preserve">VIS WKSHOP C++ 5.0 GOLD Intel </v>
          </cell>
          <cell r="C1648">
            <v>7000</v>
          </cell>
          <cell r="D1648" t="str">
            <v xml:space="preserve">B </v>
          </cell>
        </row>
        <row r="1649">
          <cell r="A1649" t="str">
            <v xml:space="preserve">VWSMS-500-TG99 </v>
          </cell>
          <cell r="B1649" t="str">
            <v xml:space="preserve">VIS WKSHOP C++ 5.0 GOLD SPARC </v>
          </cell>
          <cell r="C1649">
            <v>7000</v>
          </cell>
          <cell r="D1649" t="str">
            <v xml:space="preserve">B </v>
          </cell>
        </row>
        <row r="1650">
          <cell r="A1650" t="str">
            <v xml:space="preserve">VWSXI-500-T999 </v>
          </cell>
          <cell r="B1650" t="str">
            <v xml:space="preserve">Vis WS C++ 5.0 10-user Intel </v>
          </cell>
          <cell r="C1650">
            <v>41580</v>
          </cell>
          <cell r="D1650" t="str">
            <v xml:space="preserve">B </v>
          </cell>
        </row>
        <row r="1651">
          <cell r="A1651" t="str">
            <v xml:space="preserve">VWSXI-500-T9U9 </v>
          </cell>
          <cell r="B1651" t="str">
            <v xml:space="preserve">VIS WKSHOP C++ 5.0 UPGDS Intel </v>
          </cell>
          <cell r="C1651">
            <v>13874</v>
          </cell>
          <cell r="D1651" t="str">
            <v xml:space="preserve">B </v>
          </cell>
        </row>
        <row r="1652">
          <cell r="A1652" t="str">
            <v xml:space="preserve">VWSXI-500-TG99 </v>
          </cell>
          <cell r="B1652" t="str">
            <v xml:space="preserve">VIS WKSHOP C++ 5.0 GOLD Intel </v>
          </cell>
          <cell r="C1652">
            <v>41580</v>
          </cell>
          <cell r="D1652" t="str">
            <v xml:space="preserve">B </v>
          </cell>
        </row>
        <row r="1653">
          <cell r="A1653" t="str">
            <v xml:space="preserve">VWSXS-500-T999 </v>
          </cell>
          <cell r="B1653" t="str">
            <v xml:space="preserve">Vis WS C++ 5.0 10-user SPARC </v>
          </cell>
          <cell r="C1653">
            <v>41580</v>
          </cell>
          <cell r="D1653" t="str">
            <v xml:space="preserve">B </v>
          </cell>
        </row>
        <row r="1654">
          <cell r="A1654" t="str">
            <v xml:space="preserve">VWSXS-500-T9U9 </v>
          </cell>
          <cell r="B1654" t="str">
            <v xml:space="preserve">VIS WKSHOP C++ 5.0 UPGDS SPARC </v>
          </cell>
          <cell r="C1654">
            <v>13874</v>
          </cell>
          <cell r="D1654" t="str">
            <v xml:space="preserve">B </v>
          </cell>
        </row>
        <row r="1655">
          <cell r="A1655" t="str">
            <v xml:space="preserve">VWSXS-500-TG99 </v>
          </cell>
          <cell r="B1655" t="str">
            <v xml:space="preserve">VIS WKSHOP C++ 5.0 GOLD SPARC </v>
          </cell>
          <cell r="C1655">
            <v>41580</v>
          </cell>
          <cell r="D1655" t="str">
            <v xml:space="preserve">B </v>
          </cell>
        </row>
        <row r="1656">
          <cell r="A1656" t="str">
            <v xml:space="preserve">VWSYI-500-TG99 </v>
          </cell>
          <cell r="B1656" t="str">
            <v xml:space="preserve">VIS WKSHOP C++ 5.0 GOLD Intel </v>
          </cell>
          <cell r="C1656">
            <v>97860</v>
          </cell>
          <cell r="D1656" t="str">
            <v xml:space="preserve">B </v>
          </cell>
        </row>
        <row r="1657">
          <cell r="A1657" t="str">
            <v xml:space="preserve">VWSYS-500-T999 </v>
          </cell>
          <cell r="B1657" t="str">
            <v xml:space="preserve">Vis WS C++ 5.0 25-user SPARC </v>
          </cell>
          <cell r="C1657">
            <v>97860</v>
          </cell>
          <cell r="D1657" t="str">
            <v xml:space="preserve">B </v>
          </cell>
        </row>
        <row r="1658">
          <cell r="A1658" t="str">
            <v xml:space="preserve">VWSYS-500-T9U9 </v>
          </cell>
          <cell r="B1658" t="str">
            <v xml:space="preserve">VIS WKSHOP C++ 5.0 UPGDS SPARC </v>
          </cell>
          <cell r="C1658">
            <v>29358</v>
          </cell>
          <cell r="D1658" t="str">
            <v xml:space="preserve">B </v>
          </cell>
        </row>
        <row r="1659">
          <cell r="A1659" t="str">
            <v xml:space="preserve">VWSYS-500-TG99 </v>
          </cell>
          <cell r="B1659" t="str">
            <v xml:space="preserve">VIS WKSHOP C++ 5.0 GOLD SPARC </v>
          </cell>
          <cell r="C1659">
            <v>97860</v>
          </cell>
          <cell r="D1659" t="str">
            <v xml:space="preserve">B </v>
          </cell>
        </row>
        <row r="1660">
          <cell r="A1660" t="str">
            <v>VVMGS-999-S999</v>
          </cell>
          <cell r="B1660" t="str">
            <v>Veritas Volume Manager3.1 for E10K</v>
          </cell>
          <cell r="C1660">
            <v>60193</v>
          </cell>
          <cell r="D1660" t="str">
            <v xml:space="preserve">B </v>
          </cell>
        </row>
        <row r="1661">
          <cell r="A1661" t="str">
            <v>VVMGS-999-ESU9</v>
          </cell>
          <cell r="B1661" t="str">
            <v>Veritas V.M Ent-E10K Upgrd</v>
          </cell>
          <cell r="C1661">
            <v>14000</v>
          </cell>
          <cell r="D1661" t="str">
            <v xml:space="preserve">B </v>
          </cell>
        </row>
        <row r="1662">
          <cell r="A1662" t="str">
            <v xml:space="preserve">WCC-4.2-D </v>
          </cell>
          <cell r="B1662" t="str">
            <v xml:space="preserve">SPARCOMPILER C/C++ 4.2, DOC </v>
          </cell>
          <cell r="C1662">
            <v>350</v>
          </cell>
          <cell r="D1662" t="str">
            <v xml:space="preserve">B </v>
          </cell>
        </row>
        <row r="1663">
          <cell r="A1663" t="str">
            <v xml:space="preserve">WCC-4.2-S </v>
          </cell>
          <cell r="B1663" t="str">
            <v xml:space="preserve">SPARCOMP. C/C++ 4.2,CD DOC LI </v>
          </cell>
          <cell r="C1663">
            <v>1393</v>
          </cell>
          <cell r="D1663" t="str">
            <v xml:space="preserve">B </v>
          </cell>
        </row>
        <row r="1664">
          <cell r="A1664" t="str">
            <v xml:space="preserve">WCC-4.2-SU </v>
          </cell>
          <cell r="B1664" t="str">
            <v xml:space="preserve">UG SC C/C++ 4.2, CD DOC LI </v>
          </cell>
          <cell r="C1664">
            <v>420</v>
          </cell>
          <cell r="D1664" t="str">
            <v xml:space="preserve">B </v>
          </cell>
        </row>
        <row r="1665">
          <cell r="A1665" t="str">
            <v xml:space="preserve">WCCD9-500-T999 </v>
          </cell>
          <cell r="B1665" t="str">
            <v xml:space="preserve">WS Compilers C/C++ 5.0 Doc Set </v>
          </cell>
          <cell r="C1665">
            <v>350</v>
          </cell>
          <cell r="D1665" t="str">
            <v xml:space="preserve">B </v>
          </cell>
        </row>
        <row r="1666">
          <cell r="A1666" t="str">
            <v xml:space="preserve">WCCII-500-T999 </v>
          </cell>
          <cell r="B1666" t="str">
            <v xml:space="preserve">WS Compilers C/C++ 5.0 Sl-1 In </v>
          </cell>
          <cell r="C1666">
            <v>1393</v>
          </cell>
          <cell r="D1666" t="str">
            <v xml:space="preserve">B </v>
          </cell>
        </row>
        <row r="1667">
          <cell r="A1667" t="str">
            <v xml:space="preserve">WCCII-500-T9U9 </v>
          </cell>
          <cell r="B1667" t="str">
            <v xml:space="preserve">WS Comp. C/C++ 5.0 Upg Sl-1 In </v>
          </cell>
          <cell r="C1667">
            <v>420</v>
          </cell>
          <cell r="D1667" t="str">
            <v xml:space="preserve">B </v>
          </cell>
        </row>
        <row r="1668">
          <cell r="A1668" t="str">
            <v xml:space="preserve">WCCIS-500-T999 </v>
          </cell>
          <cell r="B1668" t="str">
            <v xml:space="preserve">WS Compilers C/C++ 5.0 Sl-1 SP </v>
          </cell>
          <cell r="C1668">
            <v>1393</v>
          </cell>
          <cell r="D1668" t="str">
            <v xml:space="preserve">B </v>
          </cell>
        </row>
        <row r="1669">
          <cell r="A1669" t="str">
            <v xml:space="preserve">WCCIS-500-T9U9 </v>
          </cell>
          <cell r="B1669" t="str">
            <v xml:space="preserve">WS Comp. C/C++ 5.0 Upg Sl-1 SP </v>
          </cell>
          <cell r="C1669">
            <v>420</v>
          </cell>
          <cell r="D1669" t="str">
            <v xml:space="preserve">B </v>
          </cell>
        </row>
        <row r="1670">
          <cell r="A1670" t="str">
            <v xml:space="preserve">WCF-4.2-D </v>
          </cell>
          <cell r="B1670" t="str">
            <v xml:space="preserve">SPARCOMPILER FORTRAN 4.2, DOC </v>
          </cell>
          <cell r="C1670">
            <v>350</v>
          </cell>
          <cell r="D1670" t="str">
            <v xml:space="preserve">B </v>
          </cell>
        </row>
        <row r="1671">
          <cell r="A1671" t="str">
            <v xml:space="preserve">WCF-4.2-S </v>
          </cell>
          <cell r="B1671" t="str">
            <v xml:space="preserve">SC FORTRAN 4.2, CD DOC LI </v>
          </cell>
          <cell r="C1671">
            <v>1813</v>
          </cell>
          <cell r="D1671" t="str">
            <v xml:space="preserve">B </v>
          </cell>
        </row>
        <row r="1672">
          <cell r="A1672" t="str">
            <v xml:space="preserve">WCF-4.2-SU </v>
          </cell>
          <cell r="B1672" t="str">
            <v xml:space="preserve">UG SC FORTRAN 4.2, CD DOC LI </v>
          </cell>
          <cell r="C1672">
            <v>476</v>
          </cell>
          <cell r="D1672" t="str">
            <v xml:space="preserve">B </v>
          </cell>
        </row>
        <row r="1673">
          <cell r="A1673" t="str">
            <v xml:space="preserve">WCFD9-500-T999 </v>
          </cell>
          <cell r="B1673" t="str">
            <v xml:space="preserve">WS Compilers Fort 5.0 Doc Set </v>
          </cell>
          <cell r="C1673">
            <v>350</v>
          </cell>
          <cell r="D1673" t="str">
            <v xml:space="preserve">B </v>
          </cell>
        </row>
        <row r="1674">
          <cell r="A1674" t="str">
            <v xml:space="preserve">WCFII-500-T999 </v>
          </cell>
          <cell r="B1674" t="str">
            <v xml:space="preserve">WS Compilers Fort 5.0 Sl-1 In </v>
          </cell>
          <cell r="C1674">
            <v>1813</v>
          </cell>
          <cell r="D1674" t="str">
            <v xml:space="preserve">B </v>
          </cell>
        </row>
        <row r="1675">
          <cell r="A1675" t="str">
            <v xml:space="preserve">WCFII-500-T9U9 </v>
          </cell>
          <cell r="B1675" t="str">
            <v xml:space="preserve">WS Comp. Fort 5.0 Upg Sl-1 In </v>
          </cell>
          <cell r="C1675">
            <v>476</v>
          </cell>
          <cell r="D1675" t="str">
            <v xml:space="preserve">B </v>
          </cell>
        </row>
        <row r="1676">
          <cell r="A1676" t="str">
            <v xml:space="preserve">WCFIS-500-T999 </v>
          </cell>
          <cell r="B1676" t="str">
            <v xml:space="preserve">WS Compilers Fort 5.0 Sl-1 SP </v>
          </cell>
          <cell r="C1676">
            <v>1813</v>
          </cell>
          <cell r="D1676" t="str">
            <v xml:space="preserve">B </v>
          </cell>
        </row>
        <row r="1677">
          <cell r="A1677" t="str">
            <v xml:space="preserve">WCFIS-500-T9U9 </v>
          </cell>
          <cell r="B1677" t="str">
            <v xml:space="preserve">WS Comp. Fort 5.0 Upg Sl-1 SP </v>
          </cell>
          <cell r="C1677">
            <v>476</v>
          </cell>
          <cell r="D1677" t="str">
            <v xml:space="preserve">B </v>
          </cell>
        </row>
        <row r="1678">
          <cell r="A1678" t="str">
            <v xml:space="preserve">WPC-3.0-D </v>
          </cell>
          <cell r="B1678" t="str">
            <v xml:space="preserve">WORKSHOP C 3.0, DOC </v>
          </cell>
          <cell r="C1678">
            <v>280</v>
          </cell>
          <cell r="D1678" t="str">
            <v xml:space="preserve">B </v>
          </cell>
        </row>
        <row r="1679">
          <cell r="A1679" t="str">
            <v xml:space="preserve">WPC-3.0-S </v>
          </cell>
          <cell r="B1679" t="str">
            <v xml:space="preserve">WORKSHOP C 3.0, CD DOC LI </v>
          </cell>
          <cell r="C1679">
            <v>2093</v>
          </cell>
          <cell r="D1679" t="str">
            <v xml:space="preserve">B </v>
          </cell>
        </row>
        <row r="1680">
          <cell r="A1680" t="str">
            <v xml:space="preserve">WPC-3.0-SU </v>
          </cell>
          <cell r="B1680" t="str">
            <v xml:space="preserve">UG WORKSHOP C 3.0, CD DOC LI </v>
          </cell>
          <cell r="C1680">
            <v>630</v>
          </cell>
          <cell r="D1680" t="str">
            <v xml:space="preserve">B </v>
          </cell>
        </row>
        <row r="1681">
          <cell r="A1681" t="str">
            <v xml:space="preserve">WPCCS-500-TG99 </v>
          </cell>
          <cell r="B1681" t="str">
            <v xml:space="preserve">Gold WS Prof C 5.0 100-User SP </v>
          </cell>
          <cell r="C1681">
            <v>139580</v>
          </cell>
          <cell r="D1681" t="str">
            <v xml:space="preserve">B </v>
          </cell>
        </row>
        <row r="1682">
          <cell r="A1682" t="str">
            <v xml:space="preserve">WPCD9-500-T999 </v>
          </cell>
          <cell r="B1682" t="str">
            <v xml:space="preserve">WS Professional C 5.0 Doc Set </v>
          </cell>
          <cell r="C1682">
            <v>280</v>
          </cell>
          <cell r="D1682" t="str">
            <v xml:space="preserve">B </v>
          </cell>
        </row>
        <row r="1683">
          <cell r="A1683" t="str">
            <v xml:space="preserve">WPCES-500-TG99 </v>
          </cell>
          <cell r="B1683" t="str">
            <v xml:space="preserve">Gold WS Prof C 5.0 250-User SP </v>
          </cell>
          <cell r="C1683">
            <v>276500</v>
          </cell>
          <cell r="D1683" t="str">
            <v xml:space="preserve">B </v>
          </cell>
        </row>
        <row r="1684">
          <cell r="A1684" t="str">
            <v xml:space="preserve">WPCII-500-T999 </v>
          </cell>
          <cell r="B1684" t="str">
            <v xml:space="preserve">WS Professional C 5.0 Sl-1 In </v>
          </cell>
          <cell r="C1684">
            <v>2093</v>
          </cell>
          <cell r="D1684" t="str">
            <v xml:space="preserve">B </v>
          </cell>
        </row>
        <row r="1685">
          <cell r="A1685" t="str">
            <v xml:space="preserve">WPCII-500-T9U9 </v>
          </cell>
          <cell r="B1685" t="str">
            <v xml:space="preserve">WS Prof C 5.0 Slim-1 Intel </v>
          </cell>
          <cell r="C1685">
            <v>630</v>
          </cell>
          <cell r="D1685" t="str">
            <v xml:space="preserve">B </v>
          </cell>
        </row>
        <row r="1686">
          <cell r="A1686" t="str">
            <v xml:space="preserve">WPCIS-500-T999 </v>
          </cell>
          <cell r="B1686" t="str">
            <v xml:space="preserve">WS Professional C 5.0 Sl-1 SP </v>
          </cell>
          <cell r="C1686">
            <v>2093</v>
          </cell>
          <cell r="D1686" t="str">
            <v xml:space="preserve">B </v>
          </cell>
        </row>
        <row r="1687">
          <cell r="A1687" t="str">
            <v xml:space="preserve">WPCIS-500-T9U9 </v>
          </cell>
          <cell r="B1687" t="str">
            <v xml:space="preserve">WS Prof C 5.0 Slim-1 SPARC </v>
          </cell>
          <cell r="C1687">
            <v>630</v>
          </cell>
          <cell r="D1687" t="str">
            <v xml:space="preserve">B </v>
          </cell>
        </row>
        <row r="1688">
          <cell r="A1688" t="str">
            <v xml:space="preserve">WPCIS-500-TG99 </v>
          </cell>
          <cell r="B1688" t="str">
            <v xml:space="preserve">Gold WS Prof C 5.0 1-User SP </v>
          </cell>
          <cell r="C1688">
            <v>2093</v>
          </cell>
          <cell r="D1688" t="str">
            <v xml:space="preserve">B </v>
          </cell>
        </row>
        <row r="1689">
          <cell r="A1689" t="str">
            <v xml:space="preserve">WPCMS-500-TG99 </v>
          </cell>
          <cell r="B1689" t="str">
            <v xml:space="preserve">Gold WS Prof C 5.0 Base Pack </v>
          </cell>
          <cell r="C1689">
            <v>7000</v>
          </cell>
          <cell r="D1689" t="str">
            <v xml:space="preserve">B </v>
          </cell>
        </row>
        <row r="1690">
          <cell r="A1690" t="str">
            <v xml:space="preserve">WPCXI-500-T999 </v>
          </cell>
          <cell r="B1690" t="str">
            <v xml:space="preserve">WS Professional C 5.0 Sl-10 In </v>
          </cell>
          <cell r="C1690">
            <v>17780</v>
          </cell>
          <cell r="D1690" t="str">
            <v xml:space="preserve">B </v>
          </cell>
        </row>
        <row r="1691">
          <cell r="A1691" t="str">
            <v xml:space="preserve">WPCXI-500-T9U9 </v>
          </cell>
          <cell r="B1691" t="str">
            <v xml:space="preserve">WS Prof C 5.0 Slim-10 Intel </v>
          </cell>
          <cell r="C1691">
            <v>5474</v>
          </cell>
          <cell r="D1691" t="str">
            <v xml:space="preserve">B </v>
          </cell>
        </row>
        <row r="1692">
          <cell r="A1692" t="str">
            <v xml:space="preserve">WPCXS-500-T999 </v>
          </cell>
          <cell r="B1692" t="str">
            <v xml:space="preserve">WS Professional C 5.0 Sl-10 SP </v>
          </cell>
          <cell r="C1692">
            <v>17780</v>
          </cell>
          <cell r="D1692" t="str">
            <v xml:space="preserve">B </v>
          </cell>
        </row>
        <row r="1693">
          <cell r="A1693" t="str">
            <v xml:space="preserve">WPCXS-500-T9U9 </v>
          </cell>
          <cell r="B1693" t="str">
            <v xml:space="preserve">WS Prof C 5.0 Slim-10 SPARC </v>
          </cell>
          <cell r="C1693">
            <v>5474</v>
          </cell>
          <cell r="D1693" t="str">
            <v xml:space="preserve">B </v>
          </cell>
        </row>
        <row r="1694">
          <cell r="A1694" t="str">
            <v xml:space="preserve">WPCXS-500-TG99 </v>
          </cell>
          <cell r="B1694" t="str">
            <v xml:space="preserve">Gold WS Prof C 5.0 10-User SP </v>
          </cell>
          <cell r="C1694">
            <v>17780</v>
          </cell>
          <cell r="D1694" t="str">
            <v xml:space="preserve">B </v>
          </cell>
        </row>
        <row r="1695">
          <cell r="A1695" t="str">
            <v xml:space="preserve">WPCYS-500-TG99 </v>
          </cell>
          <cell r="B1695" t="str">
            <v xml:space="preserve">Gold WS Prof C 5.0 25-User SP </v>
          </cell>
          <cell r="C1695">
            <v>41860</v>
          </cell>
          <cell r="D1695" t="str">
            <v xml:space="preserve">B </v>
          </cell>
        </row>
        <row r="1696">
          <cell r="A1696" t="str">
            <v xml:space="preserve">WPP-5.0-S </v>
          </cell>
          <cell r="B1696" t="str">
            <v xml:space="preserve">WORKSHOP PASCAL 5.0, CD DOC LI </v>
          </cell>
          <cell r="C1696">
            <v>3073</v>
          </cell>
          <cell r="D1696" t="str">
            <v xml:space="preserve">B </v>
          </cell>
        </row>
        <row r="1697">
          <cell r="A1697" t="str">
            <v xml:space="preserve">WPP-5.0-SU </v>
          </cell>
          <cell r="B1697" t="str">
            <v xml:space="preserve">SW ASSY, WS PAS5.0,SKIT,UPG,1 </v>
          </cell>
          <cell r="C1697">
            <v>910</v>
          </cell>
          <cell r="D1697" t="str">
            <v xml:space="preserve">B </v>
          </cell>
        </row>
        <row r="1698">
          <cell r="A1698" t="str">
            <v xml:space="preserve">WSFTN-1.1-PU </v>
          </cell>
          <cell r="B1698" t="str">
            <v xml:space="preserve">UG WS F77 1.1, CD DOC LI </v>
          </cell>
          <cell r="C1698">
            <v>774</v>
          </cell>
          <cell r="D1698" t="str">
            <v xml:space="preserve">B </v>
          </cell>
        </row>
        <row r="1699">
          <cell r="A1699" t="str">
            <v xml:space="preserve">WTW-2.0-S </v>
          </cell>
          <cell r="B1699" t="str">
            <v xml:space="preserve">WS TEAMWARE 2.0, CD DOC LI </v>
          </cell>
          <cell r="C1699">
            <v>1813</v>
          </cell>
          <cell r="D1699" t="str">
            <v xml:space="preserve">B </v>
          </cell>
        </row>
        <row r="1700">
          <cell r="A1700" t="str">
            <v xml:space="preserve">WTW-2.0-S10 </v>
          </cell>
          <cell r="B1700" t="str">
            <v xml:space="preserve">SW ASSY,WS/TW 2.0,10USR SLIMKT </v>
          </cell>
          <cell r="C1700">
            <v>15400</v>
          </cell>
          <cell r="D1700" t="str">
            <v xml:space="preserve">B </v>
          </cell>
        </row>
        <row r="1701">
          <cell r="A1701" t="str">
            <v xml:space="preserve">WTW-2.0-SU </v>
          </cell>
          <cell r="B1701" t="str">
            <v xml:space="preserve">SW ASSY,WS/TMWR 2.0,SKIT,UPGD </v>
          </cell>
          <cell r="C1701">
            <v>476</v>
          </cell>
          <cell r="D1701" t="str">
            <v xml:space="preserve">B </v>
          </cell>
        </row>
        <row r="1702">
          <cell r="A1702" t="str">
            <v xml:space="preserve">WTWD9-210-T999 </v>
          </cell>
          <cell r="B1702" t="str">
            <v xml:space="preserve">Sun WorkShop TeamWare 2.1 Doc </v>
          </cell>
          <cell r="C1702">
            <v>210</v>
          </cell>
          <cell r="D1702" t="str">
            <v xml:space="preserve">B </v>
          </cell>
        </row>
        <row r="1703">
          <cell r="A1703" t="str">
            <v xml:space="preserve">WTWII-210-T999 </v>
          </cell>
          <cell r="B1703" t="str">
            <v xml:space="preserve">Sun WS TeamWare 2.1 Slim-1 In </v>
          </cell>
          <cell r="C1703">
            <v>1813</v>
          </cell>
          <cell r="D1703" t="str">
            <v xml:space="preserve">B </v>
          </cell>
        </row>
        <row r="1704">
          <cell r="A1704" t="str">
            <v xml:space="preserve">WTWII-210-T9U9 </v>
          </cell>
          <cell r="B1704" t="str">
            <v xml:space="preserve">WS TeamWare 2.1 Upg. Sl-1 In </v>
          </cell>
          <cell r="C1704">
            <v>476</v>
          </cell>
          <cell r="D1704" t="str">
            <v xml:space="preserve">B </v>
          </cell>
        </row>
        <row r="1705">
          <cell r="A1705" t="str">
            <v xml:space="preserve">WTWIS-210-T999 </v>
          </cell>
          <cell r="B1705" t="str">
            <v xml:space="preserve">Sun WS TeamWare 2.1 Slim-1 SP </v>
          </cell>
          <cell r="C1705">
            <v>1813</v>
          </cell>
          <cell r="D1705" t="str">
            <v xml:space="preserve">B </v>
          </cell>
        </row>
        <row r="1706">
          <cell r="A1706" t="str">
            <v xml:space="preserve">WTWIS-210-T9U9 </v>
          </cell>
          <cell r="B1706" t="str">
            <v xml:space="preserve">WS TeamWare 2.1 Upg. Sl-1 SP </v>
          </cell>
          <cell r="C1706">
            <v>476</v>
          </cell>
          <cell r="D1706" t="str">
            <v xml:space="preserve">B </v>
          </cell>
        </row>
        <row r="1707">
          <cell r="A1707" t="str">
            <v xml:space="preserve">X1013A </v>
          </cell>
          <cell r="B1707" t="str">
            <v xml:space="preserve">SUNISDN KIT CD, DOC LI </v>
          </cell>
          <cell r="C1707">
            <v>124</v>
          </cell>
          <cell r="D1707" t="str">
            <v xml:space="preserve">A </v>
          </cell>
        </row>
        <row r="1708">
          <cell r="A1708" t="str">
            <v xml:space="preserve">X1018A </v>
          </cell>
          <cell r="B1708" t="str">
            <v xml:space="preserve">OPT SBUS SFE FWSCSI ADAPTER </v>
          </cell>
          <cell r="C1708">
            <v>1424</v>
          </cell>
          <cell r="D1708" t="str">
            <v xml:space="preserve">A </v>
          </cell>
        </row>
        <row r="1709">
          <cell r="A1709" t="str">
            <v xml:space="preserve">X1030A </v>
          </cell>
          <cell r="B1709" t="str">
            <v xml:space="preserve">OPT SBUS PCMCIA INTERFACE </v>
          </cell>
          <cell r="C1709">
            <v>384</v>
          </cell>
          <cell r="D1709" t="str">
            <v xml:space="preserve">A </v>
          </cell>
        </row>
        <row r="1710">
          <cell r="A1710" t="str">
            <v xml:space="preserve">X1032A </v>
          </cell>
          <cell r="B1710" t="str">
            <v xml:space="preserve">OPT INT PCI 10/100BASET NIC </v>
          </cell>
          <cell r="C1710">
            <v>1294</v>
          </cell>
          <cell r="D1710" t="str">
            <v xml:space="preserve">A </v>
          </cell>
        </row>
        <row r="1711">
          <cell r="A1711" t="str">
            <v xml:space="preserve">X1033A </v>
          </cell>
          <cell r="B1711" t="str">
            <v xml:space="preserve">OPT INT PCI 10/100BASET NIC 2 </v>
          </cell>
          <cell r="C1711">
            <v>904</v>
          </cell>
          <cell r="D1711" t="str">
            <v xml:space="preserve">A </v>
          </cell>
        </row>
        <row r="1712">
          <cell r="A1712" t="str">
            <v xml:space="preserve">X1034A </v>
          </cell>
          <cell r="B1712" t="str">
            <v xml:space="preserve">OPT QFE PCI CARD W/SW </v>
          </cell>
          <cell r="C1712">
            <v>2334</v>
          </cell>
          <cell r="D1712" t="str">
            <v xml:space="preserve">A </v>
          </cell>
        </row>
        <row r="1713">
          <cell r="A1713" t="str">
            <v xml:space="preserve">X1046A </v>
          </cell>
          <cell r="B1713" t="str">
            <v xml:space="preserve">OPT GIGABIT ENET SWITCH </v>
          </cell>
          <cell r="C1713">
            <v>12994</v>
          </cell>
          <cell r="D1713" t="str">
            <v xml:space="preserve">A </v>
          </cell>
        </row>
        <row r="1714">
          <cell r="A1714" t="str">
            <v xml:space="preserve">X1049A </v>
          </cell>
          <cell r="B1714" t="str">
            <v xml:space="preserve">OPT QUAD FASTETHERNET W/SW </v>
          </cell>
          <cell r="C1714">
            <v>2594</v>
          </cell>
          <cell r="D1714" t="str">
            <v xml:space="preserve">A </v>
          </cell>
        </row>
        <row r="1715">
          <cell r="A1715" t="str">
            <v xml:space="preserve">X1052A </v>
          </cell>
          <cell r="B1715" t="str">
            <v xml:space="preserve">SBUS FAST DFF SCSI2/BF ETH CRD </v>
          </cell>
          <cell r="C1715">
            <v>1424</v>
          </cell>
          <cell r="D1715" t="str">
            <v xml:space="preserve">A </v>
          </cell>
        </row>
        <row r="1716">
          <cell r="A1716" t="str">
            <v xml:space="preserve">X1053A </v>
          </cell>
          <cell r="B1716" t="str">
            <v xml:space="preserve">OPT SBUS FSCSI ETHER. (FSBE/S) </v>
          </cell>
          <cell r="C1716">
            <v>1424</v>
          </cell>
          <cell r="D1716" t="str">
            <v xml:space="preserve">A </v>
          </cell>
        </row>
        <row r="1717">
          <cell r="A1717" t="str">
            <v xml:space="preserve">X1055A </v>
          </cell>
          <cell r="B1717" t="str">
            <v xml:space="preserve">OPT SBUS SCSI HOST ADAPTER </v>
          </cell>
          <cell r="C1717">
            <v>644</v>
          </cell>
          <cell r="D1717" t="str">
            <v xml:space="preserve">A </v>
          </cell>
        </row>
        <row r="1718">
          <cell r="A1718" t="str">
            <v xml:space="preserve">X1059A </v>
          </cell>
          <cell r="B1718" t="str">
            <v xml:space="preserve">OPT SBUS FASTETHERNET 2.0/SW </v>
          </cell>
          <cell r="C1718">
            <v>1034</v>
          </cell>
          <cell r="D1718" t="str">
            <v xml:space="preserve">A </v>
          </cell>
        </row>
        <row r="1719">
          <cell r="A1719" t="str">
            <v xml:space="preserve">X1060A </v>
          </cell>
          <cell r="B1719" t="str">
            <v xml:space="preserve">OPT SBUS SUNATM155/MFIBER S/SW </v>
          </cell>
          <cell r="C1719">
            <v>1684</v>
          </cell>
          <cell r="D1719" t="str">
            <v xml:space="preserve">A </v>
          </cell>
        </row>
        <row r="1720">
          <cell r="A1720" t="str">
            <v xml:space="preserve">X1061A </v>
          </cell>
          <cell r="B1720" t="str">
            <v xml:space="preserve">OPT SBUS SUNATM155/UTP5 W/SW </v>
          </cell>
          <cell r="C1720">
            <v>1294</v>
          </cell>
          <cell r="D1720" t="str">
            <v xml:space="preserve">A </v>
          </cell>
        </row>
        <row r="1721">
          <cell r="A1721" t="str">
            <v xml:space="preserve">X1062A </v>
          </cell>
          <cell r="B1721" t="str">
            <v xml:space="preserve">OPT SBUS F/W DWIS/S ADAPTER </v>
          </cell>
          <cell r="C1721">
            <v>1684</v>
          </cell>
          <cell r="D1721" t="str">
            <v xml:space="preserve">A </v>
          </cell>
        </row>
        <row r="1722">
          <cell r="A1722" t="str">
            <v xml:space="preserve">X1063A </v>
          </cell>
          <cell r="B1722" t="str">
            <v xml:space="preserve">OPT SBUS F/W SWIS/S ADAPTER </v>
          </cell>
          <cell r="C1722">
            <v>1554</v>
          </cell>
          <cell r="D1722" t="str">
            <v xml:space="preserve">A </v>
          </cell>
        </row>
        <row r="1723">
          <cell r="A1723" t="str">
            <v xml:space="preserve">X1064A </v>
          </cell>
          <cell r="B1723" t="str">
            <v xml:space="preserve">OPT SBUS SUNATM622/MFIBER W/SW </v>
          </cell>
          <cell r="C1723">
            <v>6494</v>
          </cell>
          <cell r="D1723" t="str">
            <v xml:space="preserve">A </v>
          </cell>
        </row>
        <row r="1724">
          <cell r="A1724" t="str">
            <v xml:space="preserve">X1065A </v>
          </cell>
          <cell r="B1724" t="str">
            <v xml:space="preserve">OPT ULTRA DWIS/S HOST ADAPTER </v>
          </cell>
          <cell r="C1724">
            <v>1684</v>
          </cell>
          <cell r="D1724" t="str">
            <v xml:space="preserve">A </v>
          </cell>
        </row>
        <row r="1725">
          <cell r="A1725" t="str">
            <v xml:space="preserve">X1066A </v>
          </cell>
          <cell r="B1725" t="str">
            <v xml:space="preserve">OPT PCI SUNATM/P-155MMF W/SW </v>
          </cell>
          <cell r="C1725">
            <v>1424</v>
          </cell>
          <cell r="D1725" t="str">
            <v xml:space="preserve">A </v>
          </cell>
        </row>
        <row r="1726">
          <cell r="A1726" t="str">
            <v xml:space="preserve">X1067A </v>
          </cell>
          <cell r="B1726" t="str">
            <v xml:space="preserve">OPT PCI SUNATM/P-155UTP W/SW </v>
          </cell>
          <cell r="C1726">
            <v>1164</v>
          </cell>
          <cell r="D1726" t="str">
            <v xml:space="preserve">A </v>
          </cell>
        </row>
        <row r="1727">
          <cell r="A1727" t="str">
            <v xml:space="preserve">X1068A </v>
          </cell>
          <cell r="B1727" t="str">
            <v xml:space="preserve">OPT PCI SUNATM/P-622MMF W/SW </v>
          </cell>
          <cell r="C1727">
            <v>5194</v>
          </cell>
          <cell r="D1727" t="str">
            <v xml:space="preserve">A </v>
          </cell>
        </row>
        <row r="1728">
          <cell r="A1728" t="str">
            <v xml:space="preserve">X1070A </v>
          </cell>
          <cell r="B1728" t="str">
            <v xml:space="preserve">HIPPI/P 1.0 Interface Board </v>
          </cell>
          <cell r="C1728">
            <v>13000</v>
          </cell>
          <cell r="D1728" t="str">
            <v xml:space="preserve">A </v>
          </cell>
        </row>
        <row r="1729">
          <cell r="A1729" t="str">
            <v xml:space="preserve">X1073A </v>
          </cell>
          <cell r="B1729" t="str">
            <v xml:space="preserve">SC 2.2 SCI/SBUS BOARD </v>
          </cell>
          <cell r="C1729">
            <v>5850</v>
          </cell>
          <cell r="D1729" t="str">
            <v xml:space="preserve">A </v>
          </cell>
        </row>
        <row r="1730">
          <cell r="A1730" t="str">
            <v xml:space="preserve">X1076A </v>
          </cell>
          <cell r="B1730" t="str">
            <v xml:space="preserve">A7000 SCSI ADAPT KIT W/RAID A+ </v>
          </cell>
          <cell r="C1730">
            <v>0</v>
          </cell>
          <cell r="D1730" t="str">
            <v xml:space="preserve">D </v>
          </cell>
        </row>
        <row r="1731">
          <cell r="A1731" t="str">
            <v xml:space="preserve">X1085A </v>
          </cell>
          <cell r="B1731" t="str">
            <v xml:space="preserve">OPT SBUS SUNVIDEO W/DOC'S </v>
          </cell>
          <cell r="C1731">
            <v>1586</v>
          </cell>
          <cell r="D1731" t="str">
            <v xml:space="preserve">H </v>
          </cell>
        </row>
        <row r="1732">
          <cell r="A1732" t="str">
            <v xml:space="preserve">X1087A </v>
          </cell>
          <cell r="B1732" t="str">
            <v xml:space="preserve">SUNVIDEO PCI CARD W/SW </v>
          </cell>
          <cell r="C1732">
            <v>1495</v>
          </cell>
          <cell r="D1732" t="str">
            <v xml:space="preserve">H </v>
          </cell>
        </row>
        <row r="1733">
          <cell r="A1733" t="str">
            <v xml:space="preserve">X1088A </v>
          </cell>
          <cell r="B1733" t="str">
            <v xml:space="preserve">SUNVIDEO PCI CARD W/SW </v>
          </cell>
          <cell r="C1733">
            <v>1495</v>
          </cell>
          <cell r="D1733" t="str">
            <v xml:space="preserve">H </v>
          </cell>
        </row>
        <row r="1734">
          <cell r="A1734" t="str">
            <v xml:space="preserve">X1129A-4.2-P </v>
          </cell>
          <cell r="B1734" t="str">
            <v xml:space="preserve">OPT SBUS SUNPC 133/586 W/SW </v>
          </cell>
          <cell r="C1734">
            <v>553</v>
          </cell>
          <cell r="D1734" t="str">
            <v xml:space="preserve">A </v>
          </cell>
        </row>
        <row r="1735">
          <cell r="A1735" t="str">
            <v xml:space="preserve">X1131A-64.1 </v>
          </cell>
          <cell r="B1735" t="str">
            <v xml:space="preserve">PCI Co-processor 300MHz/64 W/S </v>
          </cell>
          <cell r="C1735">
            <v>693</v>
          </cell>
          <cell r="D1735" t="str">
            <v xml:space="preserve">H </v>
          </cell>
        </row>
        <row r="1736">
          <cell r="A1736" t="str">
            <v xml:space="preserve">X1140A </v>
          </cell>
          <cell r="B1736" t="str">
            <v xml:space="preserve">SUN GIGABITETHERNET/S 2.0 </v>
          </cell>
          <cell r="C1736">
            <v>2984</v>
          </cell>
          <cell r="D1736" t="str">
            <v xml:space="preserve">A </v>
          </cell>
        </row>
        <row r="1737">
          <cell r="A1737" t="str">
            <v xml:space="preserve">X1141A </v>
          </cell>
          <cell r="B1737" t="str">
            <v xml:space="preserve">SUN GIGABITETHERNET/P 2.0 </v>
          </cell>
          <cell r="C1737">
            <v>2724</v>
          </cell>
          <cell r="D1737" t="str">
            <v xml:space="preserve">A </v>
          </cell>
        </row>
        <row r="1738">
          <cell r="A1738" t="str">
            <v xml:space="preserve">X1142A </v>
          </cell>
          <cell r="B1738" t="str">
            <v xml:space="preserve">OPT SBUS SAS FDDI 6.0 W/SW </v>
          </cell>
          <cell r="C1738">
            <v>3250</v>
          </cell>
          <cell r="D1738" t="str">
            <v xml:space="preserve">A </v>
          </cell>
        </row>
        <row r="1739">
          <cell r="A1739" t="str">
            <v xml:space="preserve">X1143A </v>
          </cell>
          <cell r="B1739" t="str">
            <v xml:space="preserve">OPT SBUS DAS FDDI 6.0 W/SW </v>
          </cell>
          <cell r="C1739">
            <v>4908</v>
          </cell>
          <cell r="D1739" t="str">
            <v xml:space="preserve">A </v>
          </cell>
        </row>
        <row r="1740">
          <cell r="A1740" t="str">
            <v xml:space="preserve">X1144A </v>
          </cell>
          <cell r="B1740" t="str">
            <v xml:space="preserve">OPT SBUS CARD TRI/S INCL. SW </v>
          </cell>
          <cell r="C1740">
            <v>1755</v>
          </cell>
          <cell r="D1740" t="str">
            <v xml:space="preserve">A </v>
          </cell>
        </row>
        <row r="1741">
          <cell r="A1741" t="str">
            <v xml:space="preserve">X1145A </v>
          </cell>
          <cell r="B1741" t="str">
            <v xml:space="preserve">OPT SBUS HSI/S INCL. SW </v>
          </cell>
          <cell r="C1741">
            <v>2958</v>
          </cell>
          <cell r="D1741" t="str">
            <v xml:space="preserve">A </v>
          </cell>
        </row>
        <row r="1742">
          <cell r="A1742" t="str">
            <v xml:space="preserve">X1146A </v>
          </cell>
          <cell r="B1742" t="str">
            <v xml:space="preserve">OPT SERIAL PARA CONT. W/SW </v>
          </cell>
          <cell r="C1742">
            <v>1424</v>
          </cell>
          <cell r="D1742" t="str">
            <v xml:space="preserve">A </v>
          </cell>
        </row>
        <row r="1743">
          <cell r="A1743" t="str">
            <v xml:space="preserve">X1152A </v>
          </cell>
          <cell r="B1743" t="str">
            <v xml:space="preserve">OPT INT SUNFDDI/P SAS 2.0 </v>
          </cell>
          <cell r="C1743">
            <v>2984</v>
          </cell>
          <cell r="D1743" t="str">
            <v xml:space="preserve">A </v>
          </cell>
        </row>
        <row r="1744">
          <cell r="A1744" t="str">
            <v xml:space="preserve">X1153A </v>
          </cell>
          <cell r="B1744" t="str">
            <v xml:space="preserve">OPT INT SUNFDDI/P DAS 2.0 </v>
          </cell>
          <cell r="C1744">
            <v>4414</v>
          </cell>
          <cell r="D1744" t="str">
            <v xml:space="preserve">A </v>
          </cell>
        </row>
        <row r="1745">
          <cell r="A1745" t="str">
            <v xml:space="preserve">X1154A </v>
          </cell>
          <cell r="B1745" t="str">
            <v xml:space="preserve">OPT INT SUNTRI/P 2.0 </v>
          </cell>
          <cell r="C1745">
            <v>1554</v>
          </cell>
          <cell r="D1745" t="str">
            <v xml:space="preserve">A </v>
          </cell>
        </row>
        <row r="1746">
          <cell r="A1746" t="str">
            <v xml:space="preserve">X1155A </v>
          </cell>
          <cell r="B1746" t="str">
            <v xml:space="preserve">OPT IN SUNHSI/P 2.0 </v>
          </cell>
          <cell r="C1746">
            <v>2594</v>
          </cell>
          <cell r="D1746" t="str">
            <v xml:space="preserve">A </v>
          </cell>
        </row>
        <row r="1747">
          <cell r="A1747" t="str">
            <v xml:space="preserve">X1156A </v>
          </cell>
          <cell r="B1747" t="str">
            <v xml:space="preserve">OPT INT SUNSAI/P 2.0 </v>
          </cell>
          <cell r="C1747">
            <v>1294</v>
          </cell>
          <cell r="D1747" t="str">
            <v xml:space="preserve">A </v>
          </cell>
        </row>
        <row r="1748">
          <cell r="A1748" t="str">
            <v xml:space="preserve">X1190A </v>
          </cell>
          <cell r="B1748" t="str">
            <v xml:space="preserve">OPT PROCESSOR US 250MHZ/1MB </v>
          </cell>
          <cell r="C1748">
            <v>3497</v>
          </cell>
          <cell r="D1748" t="str">
            <v xml:space="preserve">H </v>
          </cell>
        </row>
        <row r="1749">
          <cell r="A1749" t="str">
            <v xml:space="preserve">X1191A </v>
          </cell>
          <cell r="B1749" t="str">
            <v xml:space="preserve">OPT PROCESSOR US 300MHZ/2MB </v>
          </cell>
          <cell r="C1749">
            <v>8450</v>
          </cell>
          <cell r="D1749" t="str">
            <v xml:space="preserve">H </v>
          </cell>
        </row>
        <row r="1750">
          <cell r="A1750" t="str">
            <v xml:space="preserve">X1192A </v>
          </cell>
          <cell r="B1750" t="str">
            <v xml:space="preserve">OPT PROCESSOR US 360MHZ/4MB </v>
          </cell>
          <cell r="C1750">
            <v>7425</v>
          </cell>
          <cell r="D1750" t="str">
            <v xml:space="preserve">H </v>
          </cell>
        </row>
        <row r="1751">
          <cell r="A1751" t="str">
            <v xml:space="preserve">X1193A </v>
          </cell>
          <cell r="B1751" t="str">
            <v xml:space="preserve">Opt 400MHz/2MB proc for E2 U2 </v>
          </cell>
          <cell r="C1751">
            <v>7280</v>
          </cell>
          <cell r="D1751" t="str">
            <v xml:space="preserve">H </v>
          </cell>
        </row>
        <row r="1752">
          <cell r="A1752" t="str">
            <v xml:space="preserve">X1194A </v>
          </cell>
          <cell r="B1752" t="str">
            <v xml:space="preserve">Opt 400MHz/2MB processor </v>
          </cell>
          <cell r="C1752">
            <v>8775</v>
          </cell>
          <cell r="D1752" t="str">
            <v xml:space="preserve">H </v>
          </cell>
        </row>
        <row r="1753">
          <cell r="A1753" t="str">
            <v xml:space="preserve">X1195A </v>
          </cell>
          <cell r="B1753" t="str">
            <v xml:space="preserve">OPT PROCESSOR US 450MHZ/4MB </v>
          </cell>
          <cell r="C1753">
            <v>8970</v>
          </cell>
          <cell r="D1753" t="str">
            <v xml:space="preserve">H </v>
          </cell>
        </row>
        <row r="1754">
          <cell r="A1754" t="str">
            <v xml:space="preserve">X1259A </v>
          </cell>
          <cell r="B1754" t="str">
            <v xml:space="preserve">HA CFP ENTERPRISE X000 </v>
          </cell>
          <cell r="C1754">
            <v>8610</v>
          </cell>
          <cell r="D1754" t="str">
            <v xml:space="preserve">A </v>
          </cell>
        </row>
        <row r="1755">
          <cell r="A1755" t="str">
            <v xml:space="preserve">X1301A </v>
          </cell>
          <cell r="B1755" t="str">
            <v xml:space="preserve">HA CFP ENTERPRISE 2/MULTIPACK </v>
          </cell>
          <cell r="C1755">
            <v>10122</v>
          </cell>
          <cell r="D1755" t="str">
            <v xml:space="preserve">A </v>
          </cell>
        </row>
        <row r="1756">
          <cell r="A1756" t="str">
            <v xml:space="preserve">X1308A </v>
          </cell>
          <cell r="B1756" t="str">
            <v xml:space="preserve">HA CFP ENTERPRISE 2/SSA </v>
          </cell>
          <cell r="C1756">
            <v>18536</v>
          </cell>
          <cell r="D1756" t="str">
            <v xml:space="preserve">A </v>
          </cell>
        </row>
        <row r="1757">
          <cell r="A1757" t="str">
            <v xml:space="preserve">X1311A </v>
          </cell>
          <cell r="B1757" t="str">
            <v xml:space="preserve">TC MOUNT BRACKET </v>
          </cell>
          <cell r="C1757">
            <v>0</v>
          </cell>
          <cell r="D1757" t="str">
            <v xml:space="preserve">D </v>
          </cell>
        </row>
        <row r="1758">
          <cell r="A1758" t="str">
            <v xml:space="preserve">X1312A </v>
          </cell>
          <cell r="B1758" t="str">
            <v xml:space="preserve">TERMINAL CONCENTRATOR KIT </v>
          </cell>
          <cell r="C1758">
            <v>3250</v>
          </cell>
          <cell r="D1758" t="str">
            <v xml:space="preserve">A </v>
          </cell>
        </row>
        <row r="1759">
          <cell r="A1759" t="str">
            <v xml:space="preserve">X132M </v>
          </cell>
          <cell r="B1759" t="str">
            <v xml:space="preserve">OPT MEMORY 32MB (1X32MB) </v>
          </cell>
          <cell r="C1759">
            <v>630</v>
          </cell>
          <cell r="D1759" t="str">
            <v xml:space="preserve">A </v>
          </cell>
        </row>
        <row r="1760">
          <cell r="A1760" t="str">
            <v xml:space="preserve">X180A </v>
          </cell>
          <cell r="B1760" t="str">
            <v xml:space="preserve">OTP 32-KEY I/O DEVICE </v>
          </cell>
          <cell r="C1760">
            <v>1910</v>
          </cell>
          <cell r="D1760" t="str">
            <v xml:space="preserve">H </v>
          </cell>
        </row>
        <row r="1761">
          <cell r="A1761" t="str">
            <v xml:space="preserve">X180AV4 </v>
          </cell>
          <cell r="B1761" t="str">
            <v xml:space="preserve">OPT 32-KEY I/O DEVICE 240V </v>
          </cell>
          <cell r="C1761">
            <v>1910</v>
          </cell>
          <cell r="D1761" t="str">
            <v xml:space="preserve">H </v>
          </cell>
        </row>
        <row r="1762">
          <cell r="A1762" t="str">
            <v xml:space="preserve">X190A </v>
          </cell>
          <cell r="B1762" t="str">
            <v xml:space="preserve">OPT 8-DIA I/O DEVICE FOR 3D </v>
          </cell>
          <cell r="C1762">
            <v>1917</v>
          </cell>
          <cell r="D1762" t="str">
            <v xml:space="preserve">H </v>
          </cell>
        </row>
        <row r="1763">
          <cell r="A1763" t="str">
            <v xml:space="preserve">X190AV4 </v>
          </cell>
          <cell r="B1763" t="str">
            <v xml:space="preserve">OPT 8-DIAL I/O DEVICE FOR 3D </v>
          </cell>
          <cell r="C1763">
            <v>1917</v>
          </cell>
          <cell r="D1763" t="str">
            <v xml:space="preserve">H </v>
          </cell>
        </row>
        <row r="1764">
          <cell r="A1764" t="str">
            <v xml:space="preserve">X2177A </v>
          </cell>
          <cell r="B1764" t="str">
            <v xml:space="preserve">Metro Remote Dual Copy HW </v>
          </cell>
          <cell r="C1764">
            <v>62316</v>
          </cell>
          <cell r="D1764" t="str">
            <v xml:space="preserve">A </v>
          </cell>
        </row>
        <row r="1765">
          <cell r="A1765" t="str">
            <v xml:space="preserve">X2230A </v>
          </cell>
          <cell r="B1765" t="str">
            <v xml:space="preserve">OPT 250MHZ CPU W/1MB FOR E400 </v>
          </cell>
          <cell r="C1765">
            <v>3632</v>
          </cell>
          <cell r="D1765" t="str">
            <v xml:space="preserve">H </v>
          </cell>
        </row>
        <row r="1766">
          <cell r="A1766" t="str">
            <v xml:space="preserve">X2240A </v>
          </cell>
          <cell r="B1766" t="str">
            <v xml:space="preserve">OPT 300MHZ CPU W/2MB FOR E450 </v>
          </cell>
          <cell r="C1766">
            <v>8450</v>
          </cell>
          <cell r="D1766" t="str">
            <v xml:space="preserve">H </v>
          </cell>
        </row>
        <row r="1767">
          <cell r="A1767" t="str">
            <v xml:space="preserve">X2244A </v>
          </cell>
          <cell r="B1767" t="str">
            <v xml:space="preserve">OPT 400MHZ CPU W/4MB FOR E450 </v>
          </cell>
          <cell r="C1767">
            <v>11050</v>
          </cell>
          <cell r="D1767" t="str">
            <v xml:space="preserve">H </v>
          </cell>
        </row>
        <row r="1768">
          <cell r="A1768" t="str">
            <v xml:space="preserve">X25-9.1-D </v>
          </cell>
          <cell r="B1768" t="str">
            <v xml:space="preserve">X.25 9.1 DOC'S ONLY </v>
          </cell>
          <cell r="C1768">
            <v>195</v>
          </cell>
          <cell r="D1768" t="str">
            <v xml:space="preserve">B </v>
          </cell>
        </row>
        <row r="1769">
          <cell r="A1769" t="str">
            <v xml:space="preserve">X25-9.1-DT-S </v>
          </cell>
          <cell r="B1769" t="str">
            <v xml:space="preserve">X.5 9.1 DESKTOP SLIMKIT </v>
          </cell>
          <cell r="C1769">
            <v>2925</v>
          </cell>
          <cell r="D1769" t="str">
            <v xml:space="preserve">B </v>
          </cell>
        </row>
        <row r="1770">
          <cell r="A1770" t="str">
            <v xml:space="preserve">X25-9.1-LS-S </v>
          </cell>
          <cell r="B1770" t="str">
            <v xml:space="preserve">X.25 9.1 SERVER SLIMKIT </v>
          </cell>
          <cell r="C1770">
            <v>4290</v>
          </cell>
          <cell r="D1770" t="str">
            <v xml:space="preserve">B </v>
          </cell>
        </row>
        <row r="1771">
          <cell r="A1771" t="str">
            <v xml:space="preserve">X25-9.2-LS-S </v>
          </cell>
          <cell r="B1771" t="str">
            <v xml:space="preserve">X.25 9.2 SERVER SLIMKIT </v>
          </cell>
          <cell r="C1771">
            <v>4290</v>
          </cell>
          <cell r="D1771" t="str">
            <v xml:space="preserve">B </v>
          </cell>
        </row>
        <row r="1772">
          <cell r="A1772" t="str">
            <v xml:space="preserve">X2510A </v>
          </cell>
          <cell r="B1772" t="str">
            <v xml:space="preserve">OPT PROCESSOR US 167MHZ/1MB </v>
          </cell>
          <cell r="C1772">
            <v>19500</v>
          </cell>
          <cell r="D1772" t="str">
            <v xml:space="preserve">A </v>
          </cell>
        </row>
        <row r="1773">
          <cell r="A1773" t="str">
            <v xml:space="preserve">X2550A </v>
          </cell>
          <cell r="B1773" t="str">
            <v xml:space="preserve">OPT PROCESSOR US 250MHZ/4MB </v>
          </cell>
          <cell r="C1773">
            <v>24000</v>
          </cell>
          <cell r="D1773" t="str">
            <v xml:space="preserve">A </v>
          </cell>
        </row>
        <row r="1774">
          <cell r="A1774" t="str">
            <v xml:space="preserve">X2560A </v>
          </cell>
          <cell r="B1774" t="str">
            <v xml:space="preserve">OPT PROCESSOR US 336/333MHZ/4M </v>
          </cell>
          <cell r="C1774">
            <v>28500</v>
          </cell>
          <cell r="D1774" t="str">
            <v xml:space="preserve">A </v>
          </cell>
        </row>
        <row r="1775">
          <cell r="A1775" t="str">
            <v xml:space="preserve">X2570A </v>
          </cell>
          <cell r="B1775" t="str">
            <v xml:space="preserve">OPT PROCESSOR US 400-MHZ/4MB </v>
          </cell>
          <cell r="C1775">
            <v>25500</v>
          </cell>
          <cell r="D1775" t="str">
            <v xml:space="preserve">A </v>
          </cell>
        </row>
        <row r="1776">
          <cell r="A1776" t="str">
            <v xml:space="preserve">X2580A </v>
          </cell>
          <cell r="B1776" t="str">
            <v xml:space="preserve">OPT PROCESSOR US 400-MHZ/8MB </v>
          </cell>
          <cell r="C1776">
            <v>26250</v>
          </cell>
          <cell r="D1776" t="str">
            <v xml:space="preserve">A </v>
          </cell>
        </row>
        <row r="1777">
          <cell r="A1777" t="str">
            <v xml:space="preserve">X2602A </v>
          </cell>
          <cell r="B1777" t="str">
            <v xml:space="preserve">OPT INT CPU/MEM BD FOR EXX00 </v>
          </cell>
          <cell r="C1777">
            <v>13500</v>
          </cell>
          <cell r="D1777" t="str">
            <v xml:space="preserve">A </v>
          </cell>
        </row>
        <row r="1778">
          <cell r="A1778" t="str">
            <v xml:space="preserve">X2612A </v>
          </cell>
          <cell r="B1778" t="str">
            <v xml:space="preserve">OPT INT I/O BD EXX00 W/FC-AL </v>
          </cell>
          <cell r="C1778">
            <v>9750</v>
          </cell>
          <cell r="D1778" t="str">
            <v xml:space="preserve">A </v>
          </cell>
        </row>
        <row r="1779">
          <cell r="A1779" t="str">
            <v xml:space="preserve">X2622A </v>
          </cell>
          <cell r="B1779" t="str">
            <v xml:space="preserve">OPT INT GRAPHICS I/O BD EXX00 </v>
          </cell>
          <cell r="C1779">
            <v>10500</v>
          </cell>
          <cell r="D1779" t="str">
            <v xml:space="preserve">A </v>
          </cell>
        </row>
        <row r="1780">
          <cell r="A1780" t="str">
            <v xml:space="preserve">X2632A </v>
          </cell>
          <cell r="B1780" t="str">
            <v xml:space="preserve">OPT INT PCI I/O BD FOR EXX00 </v>
          </cell>
          <cell r="C1780">
            <v>12000</v>
          </cell>
          <cell r="D1780" t="str">
            <v xml:space="preserve">A </v>
          </cell>
        </row>
        <row r="1781">
          <cell r="A1781" t="str">
            <v xml:space="preserve">X2652A </v>
          </cell>
          <cell r="B1781" t="str">
            <v xml:space="preserve">OPTIONAL FC-AL INTERFACE BOARD </v>
          </cell>
          <cell r="C1781">
            <v>2250</v>
          </cell>
          <cell r="D1781" t="str">
            <v xml:space="preserve">A </v>
          </cell>
        </row>
        <row r="1782">
          <cell r="A1782" t="str">
            <v xml:space="preserve">X2720A </v>
          </cell>
          <cell r="B1782" t="str">
            <v xml:space="preserve">E10000 CONTROL BOARD </v>
          </cell>
          <cell r="C1782">
            <v>32000</v>
          </cell>
          <cell r="D1782" t="str">
            <v xml:space="preserve">A </v>
          </cell>
        </row>
        <row r="1783">
          <cell r="A1783" t="str">
            <v xml:space="preserve">X2721A </v>
          </cell>
          <cell r="B1783" t="str">
            <v xml:space="preserve">E10000 CONTROL BOARD, ETH HUB. </v>
          </cell>
          <cell r="C1783">
            <v>32000</v>
          </cell>
          <cell r="D1783" t="str">
            <v xml:space="preserve">A </v>
          </cell>
        </row>
        <row r="1784">
          <cell r="A1784" t="str">
            <v xml:space="preserve">X2730A </v>
          </cell>
          <cell r="B1784" t="str">
            <v xml:space="preserve">E10000 I/O BOARD </v>
          </cell>
          <cell r="C1784">
            <v>12000</v>
          </cell>
          <cell r="D1784" t="str">
            <v xml:space="preserve">A </v>
          </cell>
        </row>
        <row r="1785">
          <cell r="A1785" t="str">
            <v xml:space="preserve">X2753A </v>
          </cell>
          <cell r="B1785" t="str">
            <v xml:space="preserve">E10000 Sys. Service Processor </v>
          </cell>
          <cell r="C1785">
            <v>16800</v>
          </cell>
          <cell r="D1785" t="str">
            <v xml:space="preserve">A </v>
          </cell>
        </row>
        <row r="1786">
          <cell r="A1786" t="str">
            <v xml:space="preserve">X311L </v>
          </cell>
          <cell r="B1786" t="str">
            <v xml:space="preserve">NORTH AMERICAN/ASIA PWR CRD KT </v>
          </cell>
          <cell r="C1786">
            <v>0</v>
          </cell>
          <cell r="D1786" t="str">
            <v xml:space="preserve">D </v>
          </cell>
        </row>
        <row r="1787">
          <cell r="A1787" t="str">
            <v xml:space="preserve">X3518A </v>
          </cell>
          <cell r="B1787" t="str">
            <v xml:space="preserve">KOREAN COUNTRY KIT </v>
          </cell>
          <cell r="C1787">
            <v>0</v>
          </cell>
          <cell r="D1787" t="str">
            <v xml:space="preserve">D </v>
          </cell>
        </row>
        <row r="1788">
          <cell r="A1788" t="str">
            <v xml:space="preserve">X3655A </v>
          </cell>
          <cell r="B1788" t="str">
            <v xml:space="preserve">TURBOGXPLUS CARD W/CABLES, DOC </v>
          </cell>
          <cell r="C1788">
            <v>1162</v>
          </cell>
          <cell r="D1788" t="str">
            <v xml:space="preserve">H </v>
          </cell>
        </row>
        <row r="1789">
          <cell r="A1789" t="str">
            <v xml:space="preserve">X3664A </v>
          </cell>
          <cell r="B1789" t="str">
            <v xml:space="preserve">ELITE3D M3 W/CBL </v>
          </cell>
          <cell r="C1789">
            <v>2594</v>
          </cell>
          <cell r="D1789" t="str">
            <v xml:space="preserve">H </v>
          </cell>
        </row>
        <row r="1790">
          <cell r="A1790" t="str">
            <v xml:space="preserve">X3665A </v>
          </cell>
          <cell r="B1790" t="str">
            <v xml:space="preserve">ELITE3D M6 VERTICAL W/CBL </v>
          </cell>
          <cell r="C1790">
            <v>3894</v>
          </cell>
          <cell r="D1790" t="str">
            <v xml:space="preserve">H </v>
          </cell>
        </row>
        <row r="1791">
          <cell r="A1791" t="str">
            <v xml:space="preserve">X3666A </v>
          </cell>
          <cell r="B1791" t="str">
            <v xml:space="preserve">ELITE3D M6 HORIZ. W/CBL </v>
          </cell>
          <cell r="C1791">
            <v>6993</v>
          </cell>
          <cell r="D1791" t="str">
            <v xml:space="preserve">H </v>
          </cell>
        </row>
        <row r="1792">
          <cell r="A1792" t="str">
            <v xml:space="preserve">X3667A </v>
          </cell>
          <cell r="B1792" t="str">
            <v xml:space="preserve">ELITE3D M6 HORIZ. W/CBL </v>
          </cell>
          <cell r="C1792">
            <v>3894</v>
          </cell>
          <cell r="D1792" t="str">
            <v xml:space="preserve">H </v>
          </cell>
        </row>
        <row r="1793">
          <cell r="A1793" t="str">
            <v xml:space="preserve">X3668A </v>
          </cell>
          <cell r="B1793" t="str">
            <v xml:space="preserve">PGX32 CARD W/VIDEO ADAPTOR </v>
          </cell>
          <cell r="C1793">
            <v>398</v>
          </cell>
          <cell r="D1793" t="str">
            <v xml:space="preserve">H </v>
          </cell>
        </row>
        <row r="1794">
          <cell r="A1794" t="str">
            <v xml:space="preserve">X3669A </v>
          </cell>
          <cell r="B1794" t="str">
            <v xml:space="preserve">CREATOR SERIES 1, HORIZONTAL </v>
          </cell>
          <cell r="C1794">
            <v>1113</v>
          </cell>
          <cell r="D1794" t="str">
            <v xml:space="preserve">H </v>
          </cell>
        </row>
        <row r="1795">
          <cell r="A1795" t="str">
            <v xml:space="preserve">X3670A </v>
          </cell>
          <cell r="B1795" t="str">
            <v xml:space="preserve">Creator3D series 3, vertical </v>
          </cell>
          <cell r="C1795">
            <v>1034</v>
          </cell>
          <cell r="D1795" t="str">
            <v xml:space="preserve">H </v>
          </cell>
        </row>
        <row r="1796">
          <cell r="A1796" t="str">
            <v xml:space="preserve">X3671A </v>
          </cell>
          <cell r="B1796" t="str">
            <v xml:space="preserve">CREATOR3D SERIES 3, HORIZONTAL </v>
          </cell>
          <cell r="C1796">
            <v>1034</v>
          </cell>
          <cell r="D1796" t="str">
            <v xml:space="preserve">H </v>
          </cell>
        </row>
        <row r="1797">
          <cell r="A1797" t="str">
            <v xml:space="preserve">X3672A </v>
          </cell>
          <cell r="B1797" t="str">
            <v xml:space="preserve">CREATOR SERIES 3, VERTICAL </v>
          </cell>
          <cell r="C1797">
            <v>1113</v>
          </cell>
          <cell r="D1797" t="str">
            <v xml:space="preserve">H </v>
          </cell>
        </row>
        <row r="1798">
          <cell r="A1798" t="str">
            <v xml:space="preserve">X3675A </v>
          </cell>
          <cell r="B1798" t="str">
            <v xml:space="preserve">CREATOR3D SERIES 2, HORIZONTAL </v>
          </cell>
          <cell r="C1798">
            <v>1673</v>
          </cell>
          <cell r="D1798" t="str">
            <v xml:space="preserve">H </v>
          </cell>
        </row>
        <row r="1799">
          <cell r="A1799" t="str">
            <v xml:space="preserve">X3810A </v>
          </cell>
          <cell r="B1799" t="str">
            <v xml:space="preserve">OPT CABLE SCSI 4M 68/68PIN </v>
          </cell>
          <cell r="C1799">
            <v>215</v>
          </cell>
          <cell r="D1799" t="str">
            <v xml:space="preserve">A </v>
          </cell>
        </row>
        <row r="1800">
          <cell r="A1800" t="str">
            <v xml:space="preserve">X3825A </v>
          </cell>
          <cell r="B1800" t="str">
            <v xml:space="preserve">SC 2.1 SCI CABLE (10M) </v>
          </cell>
          <cell r="C1800">
            <v>325</v>
          </cell>
          <cell r="D1800" t="str">
            <v xml:space="preserve">D </v>
          </cell>
        </row>
        <row r="1801">
          <cell r="A1801" t="str">
            <v xml:space="preserve">X3826A </v>
          </cell>
          <cell r="B1801" t="str">
            <v xml:space="preserve">SC 2.1 SCI CABLE (2M) </v>
          </cell>
          <cell r="C1801">
            <v>325</v>
          </cell>
          <cell r="D1801" t="str">
            <v xml:space="preserve">D </v>
          </cell>
        </row>
        <row r="1802">
          <cell r="A1802" t="str">
            <v xml:space="preserve">X3828A </v>
          </cell>
          <cell r="B1802" t="str">
            <v xml:space="preserve">SC 2.2 SCI CABLE (5M) </v>
          </cell>
          <cell r="C1802">
            <v>325</v>
          </cell>
          <cell r="D1802" t="str">
            <v xml:space="preserve">D </v>
          </cell>
        </row>
        <row r="1803">
          <cell r="A1803" t="str">
            <v xml:space="preserve">X3829A </v>
          </cell>
          <cell r="B1803" t="str">
            <v xml:space="preserve">SC 2.1 SCI CBL BRACK (E5/6000) </v>
          </cell>
          <cell r="C1803">
            <v>390</v>
          </cell>
          <cell r="D1803" t="str">
            <v xml:space="preserve">D </v>
          </cell>
        </row>
        <row r="1804">
          <cell r="A1804" t="str">
            <v xml:space="preserve">X3830A </v>
          </cell>
          <cell r="B1804" t="str">
            <v xml:space="preserve">4M CABLE, SCSI 68 TO VHDC </v>
          </cell>
          <cell r="C1804">
            <v>231</v>
          </cell>
          <cell r="D1804" t="str">
            <v xml:space="preserve">A </v>
          </cell>
        </row>
        <row r="1805">
          <cell r="A1805" t="str">
            <v xml:space="preserve">X3831A </v>
          </cell>
          <cell r="B1805" t="str">
            <v xml:space="preserve">10M CABLE, SCSI TO VHDC </v>
          </cell>
          <cell r="C1805">
            <v>371</v>
          </cell>
          <cell r="D1805" t="str">
            <v xml:space="preserve">A </v>
          </cell>
        </row>
        <row r="1806">
          <cell r="A1806" t="str">
            <v xml:space="preserve">X3836A </v>
          </cell>
          <cell r="B1806" t="str">
            <v xml:space="preserve">5M SERIAL CABLE </v>
          </cell>
          <cell r="C1806">
            <v>163</v>
          </cell>
          <cell r="D1806" t="str">
            <v xml:space="preserve">D </v>
          </cell>
        </row>
        <row r="1807">
          <cell r="A1807" t="str">
            <v xml:space="preserve">X3837A </v>
          </cell>
          <cell r="B1807" t="str">
            <v xml:space="preserve">OPT 5M NULL ENET CABLE </v>
          </cell>
          <cell r="C1807">
            <v>163</v>
          </cell>
          <cell r="D1807" t="str">
            <v xml:space="preserve">D </v>
          </cell>
        </row>
        <row r="1808">
          <cell r="A1808" t="str">
            <v xml:space="preserve">X3838A </v>
          </cell>
          <cell r="B1808" t="str">
            <v xml:space="preserve">OPT 6M DIFFERENTIAL SCSI CABLE </v>
          </cell>
          <cell r="C1808">
            <v>163</v>
          </cell>
          <cell r="D1808" t="str">
            <v xml:space="preserve">D </v>
          </cell>
        </row>
        <row r="1809">
          <cell r="A1809" t="str">
            <v xml:space="preserve">X3839A </v>
          </cell>
          <cell r="B1809" t="str">
            <v xml:space="preserve">OPT 8M DIFFERENTIAL SCSI CABLE </v>
          </cell>
          <cell r="C1809">
            <v>163</v>
          </cell>
          <cell r="D1809" t="str">
            <v xml:space="preserve">D </v>
          </cell>
        </row>
        <row r="1810">
          <cell r="A1810" t="str">
            <v xml:space="preserve">X3840A </v>
          </cell>
          <cell r="B1810" t="str">
            <v xml:space="preserve">SCSI CABLE,68P-68P,12M </v>
          </cell>
          <cell r="C1810">
            <v>270</v>
          </cell>
          <cell r="D1810" t="str">
            <v xml:space="preserve">A </v>
          </cell>
        </row>
        <row r="1811">
          <cell r="A1811" t="str">
            <v xml:space="preserve">X3841A </v>
          </cell>
          <cell r="B1811" t="str">
            <v xml:space="preserve">SCSI CABLE,IBM RS/6000,68P-68P </v>
          </cell>
          <cell r="C1811">
            <v>270</v>
          </cell>
          <cell r="D1811" t="str">
            <v xml:space="preserve">A </v>
          </cell>
        </row>
        <row r="1812">
          <cell r="A1812" t="str">
            <v xml:space="preserve">X3842A </v>
          </cell>
          <cell r="B1812" t="str">
            <v xml:space="preserve">BMC CABLE PAIR, 0.5M </v>
          </cell>
          <cell r="C1812">
            <v>144</v>
          </cell>
          <cell r="D1812" t="str">
            <v xml:space="preserve">A </v>
          </cell>
        </row>
        <row r="1813">
          <cell r="A1813" t="str">
            <v xml:space="preserve">X3843A </v>
          </cell>
          <cell r="B1813" t="str">
            <v xml:space="preserve">BMC CABLE PAIR, 10M </v>
          </cell>
          <cell r="C1813">
            <v>486</v>
          </cell>
          <cell r="D1813" t="str">
            <v xml:space="preserve">A </v>
          </cell>
        </row>
        <row r="1814">
          <cell r="A1814" t="str">
            <v xml:space="preserve">X3844A </v>
          </cell>
          <cell r="B1814" t="str">
            <v xml:space="preserve">BMC CABLE PAIR, 20M </v>
          </cell>
          <cell r="C1814">
            <v>684</v>
          </cell>
          <cell r="D1814" t="str">
            <v xml:space="preserve">A </v>
          </cell>
        </row>
        <row r="1815">
          <cell r="A1815" t="str">
            <v xml:space="preserve">X3845A </v>
          </cell>
          <cell r="B1815" t="str">
            <v xml:space="preserve">BMC CABLE PAIR, 30M </v>
          </cell>
          <cell r="C1815">
            <v>882</v>
          </cell>
          <cell r="D1815" t="str">
            <v xml:space="preserve">A </v>
          </cell>
        </row>
        <row r="1816">
          <cell r="A1816" t="str">
            <v xml:space="preserve">X3846A </v>
          </cell>
          <cell r="B1816" t="str">
            <v xml:space="preserve">ESCON CABLE, 13M </v>
          </cell>
          <cell r="C1816">
            <v>252</v>
          </cell>
          <cell r="D1816" t="str">
            <v xml:space="preserve">A </v>
          </cell>
        </row>
        <row r="1817">
          <cell r="A1817" t="str">
            <v xml:space="preserve">X3847A </v>
          </cell>
          <cell r="B1817" t="str">
            <v xml:space="preserve">ESCON CABLE, 31M </v>
          </cell>
          <cell r="C1817">
            <v>558</v>
          </cell>
          <cell r="D1817" t="str">
            <v xml:space="preserve">A </v>
          </cell>
        </row>
        <row r="1818">
          <cell r="A1818" t="str">
            <v xml:space="preserve">X3848A </v>
          </cell>
          <cell r="B1818" t="str">
            <v xml:space="preserve">OPT PWR CORD F.ENTERPR.(INT) </v>
          </cell>
          <cell r="C1818">
            <v>0</v>
          </cell>
          <cell r="D1818" t="str">
            <v xml:space="preserve">D </v>
          </cell>
        </row>
        <row r="1819">
          <cell r="A1819" t="str">
            <v xml:space="preserve">X3856A </v>
          </cell>
          <cell r="B1819" t="str">
            <v xml:space="preserve">CABLE-68/68PIN SCSI W/PWR CORD </v>
          </cell>
          <cell r="C1819">
            <v>61</v>
          </cell>
          <cell r="D1819" t="str">
            <v xml:space="preserve">H </v>
          </cell>
        </row>
        <row r="1820">
          <cell r="A1820" t="str">
            <v xml:space="preserve">X3857A </v>
          </cell>
          <cell r="B1820" t="str">
            <v xml:space="preserve">CABLE-50/68PIN SCSI W/PWR CORD </v>
          </cell>
          <cell r="C1820">
            <v>63</v>
          </cell>
          <cell r="D1820" t="str">
            <v xml:space="preserve">H </v>
          </cell>
        </row>
        <row r="1821">
          <cell r="A1821" t="str">
            <v xml:space="preserve">X3858A </v>
          </cell>
          <cell r="B1821" t="str">
            <v xml:space="preserve">U.S. POWER CORD FOR STOREDGE </v>
          </cell>
          <cell r="C1821">
            <v>0</v>
          </cell>
          <cell r="D1821" t="str">
            <v xml:space="preserve">D </v>
          </cell>
        </row>
        <row r="1822">
          <cell r="A1822" t="str">
            <v xml:space="preserve">X3859A </v>
          </cell>
          <cell r="B1822" t="str">
            <v xml:space="preserve">INTL. POWER CORD FOR STOREDGE </v>
          </cell>
          <cell r="C1822">
            <v>0</v>
          </cell>
          <cell r="D1822" t="str">
            <v xml:space="preserve">D </v>
          </cell>
        </row>
        <row r="1823">
          <cell r="A1823" t="str">
            <v xml:space="preserve">X3860A </v>
          </cell>
          <cell r="B1823" t="str">
            <v xml:space="preserve">OPT CABLE SCSI FOR ULTRA 2 </v>
          </cell>
          <cell r="C1823">
            <v>33</v>
          </cell>
          <cell r="D1823" t="str">
            <v xml:space="preserve">A </v>
          </cell>
        </row>
        <row r="1824">
          <cell r="A1824" t="str">
            <v xml:space="preserve">X3865A </v>
          </cell>
          <cell r="B1824" t="str">
            <v xml:space="preserve">E10000 PWR CORD (14FT),FOR N.A </v>
          </cell>
          <cell r="C1824">
            <v>0</v>
          </cell>
          <cell r="D1824" t="str">
            <v xml:space="preserve">D </v>
          </cell>
        </row>
        <row r="1825">
          <cell r="A1825" t="str">
            <v xml:space="preserve">X3872A </v>
          </cell>
          <cell r="B1825" t="str">
            <v xml:space="preserve">VIDEO CONNECTOR ADAPTER HD-15 </v>
          </cell>
          <cell r="C1825">
            <v>47</v>
          </cell>
          <cell r="D1825" t="str">
            <v xml:space="preserve">H </v>
          </cell>
        </row>
        <row r="1826">
          <cell r="A1826" t="str">
            <v xml:space="preserve">X3875A </v>
          </cell>
          <cell r="B1826" t="str">
            <v xml:space="preserve">E10000 AC INPUT MODULE </v>
          </cell>
          <cell r="C1826">
            <v>3900</v>
          </cell>
          <cell r="D1826" t="str">
            <v xml:space="preserve">A </v>
          </cell>
        </row>
        <row r="1827">
          <cell r="A1827" t="str">
            <v xml:space="preserve">X3876A </v>
          </cell>
          <cell r="B1827" t="str">
            <v xml:space="preserve">SC 2.1 SCI SWITCH 4-PORT </v>
          </cell>
          <cell r="C1827">
            <v>22750</v>
          </cell>
          <cell r="D1827" t="str">
            <v xml:space="preserve">A </v>
          </cell>
        </row>
        <row r="1828">
          <cell r="A1828" t="str">
            <v xml:space="preserve">X400-9.0-B </v>
          </cell>
          <cell r="B1828" t="str">
            <v xml:space="preserve">SOLSTICE X.400 9.0, CD DOC </v>
          </cell>
          <cell r="C1828">
            <v>260</v>
          </cell>
          <cell r="D1828" t="str">
            <v xml:space="preserve">B </v>
          </cell>
        </row>
        <row r="1829">
          <cell r="A1829" t="str">
            <v xml:space="preserve">X400-9.0-CSITE </v>
          </cell>
          <cell r="B1829" t="str">
            <v xml:space="preserve">SOLSTICE X.400 9.0 CT. LIC </v>
          </cell>
          <cell r="C1829">
            <v>2594</v>
          </cell>
          <cell r="D1829" t="str">
            <v xml:space="preserve">B </v>
          </cell>
        </row>
        <row r="1830">
          <cell r="A1830" t="str">
            <v xml:space="preserve">X400-9.0-ES-S </v>
          </cell>
          <cell r="B1830" t="str">
            <v xml:space="preserve">SOLSTICE X.400 9.0 T2, CD LIC </v>
          </cell>
          <cell r="C1830">
            <v>16894</v>
          </cell>
          <cell r="D1830" t="str">
            <v xml:space="preserve">B </v>
          </cell>
        </row>
        <row r="1831">
          <cell r="A1831" t="str">
            <v xml:space="preserve">X400-9.0-L10 </v>
          </cell>
          <cell r="B1831" t="str">
            <v xml:space="preserve">SOLSTICE X.400 9.0, LIC </v>
          </cell>
          <cell r="C1831">
            <v>1560</v>
          </cell>
          <cell r="D1831" t="str">
            <v xml:space="preserve">B </v>
          </cell>
        </row>
        <row r="1832">
          <cell r="A1832" t="str">
            <v xml:space="preserve">X400-9.0-MGMT-L </v>
          </cell>
          <cell r="B1832" t="str">
            <v xml:space="preserve">SOLSTICE X.400 9.0 MGMT, LIC </v>
          </cell>
          <cell r="C1832">
            <v>2594</v>
          </cell>
          <cell r="D1832" t="str">
            <v xml:space="preserve">B </v>
          </cell>
        </row>
        <row r="1833">
          <cell r="A1833" t="str">
            <v xml:space="preserve">X400-9.0-MIME-L </v>
          </cell>
          <cell r="B1833" t="str">
            <v xml:space="preserve">SOLSTICE X.400 9.0 MIME. LIC </v>
          </cell>
          <cell r="C1833">
            <v>2594</v>
          </cell>
          <cell r="D1833" t="str">
            <v xml:space="preserve">B </v>
          </cell>
        </row>
        <row r="1834">
          <cell r="A1834" t="str">
            <v xml:space="preserve">X400-9.0-SS-S </v>
          </cell>
          <cell r="B1834" t="str">
            <v xml:space="preserve">SOLSTICE X.400 9.0 T1, CD LIC </v>
          </cell>
          <cell r="C1834">
            <v>7144</v>
          </cell>
          <cell r="D1834" t="str">
            <v xml:space="preserve">B </v>
          </cell>
        </row>
        <row r="1835">
          <cell r="A1835" t="str">
            <v xml:space="preserve">X465A </v>
          </cell>
          <cell r="B1835" t="str">
            <v xml:space="preserve">SUN INTERFACE CONVERTER </v>
          </cell>
          <cell r="C1835">
            <v>98</v>
          </cell>
          <cell r="D1835" t="str">
            <v xml:space="preserve">D </v>
          </cell>
        </row>
        <row r="1836">
          <cell r="A1836" t="str">
            <v xml:space="preserve">X467A </v>
          </cell>
          <cell r="B1836" t="str">
            <v xml:space="preserve">OPT CABLE MII-AUI CONVERTER </v>
          </cell>
          <cell r="C1836">
            <v>384</v>
          </cell>
          <cell r="D1836" t="str">
            <v xml:space="preserve">A </v>
          </cell>
        </row>
        <row r="1837">
          <cell r="A1837" t="str">
            <v xml:space="preserve">X470A </v>
          </cell>
          <cell r="B1837" t="str">
            <v xml:space="preserve">VIDEO CONNECTOR 13W3F/HD15M </v>
          </cell>
          <cell r="C1837">
            <v>61</v>
          </cell>
          <cell r="D1837" t="str">
            <v xml:space="preserve">H </v>
          </cell>
        </row>
        <row r="1838">
          <cell r="A1838" t="str">
            <v xml:space="preserve">X488A </v>
          </cell>
          <cell r="B1838" t="str">
            <v xml:space="preserve">OPT MULTIMEDIA KIT US </v>
          </cell>
          <cell r="C1838">
            <v>2018</v>
          </cell>
          <cell r="D1838" t="str">
            <v xml:space="preserve">H </v>
          </cell>
        </row>
        <row r="1839">
          <cell r="A1839" t="str">
            <v xml:space="preserve">X488A-EU </v>
          </cell>
          <cell r="B1839" t="str">
            <v xml:space="preserve">OPT MULTIMEDIA KIT EUROPE </v>
          </cell>
          <cell r="C1839">
            <v>2018</v>
          </cell>
          <cell r="D1839" t="str">
            <v xml:space="preserve">H </v>
          </cell>
        </row>
        <row r="1840">
          <cell r="A1840" t="str">
            <v xml:space="preserve">X488A-UK </v>
          </cell>
          <cell r="B1840" t="str">
            <v xml:space="preserve">OPT MULTIMEDIA KIT UK </v>
          </cell>
          <cell r="C1840">
            <v>2018</v>
          </cell>
          <cell r="D1840" t="str">
            <v xml:space="preserve">H </v>
          </cell>
        </row>
        <row r="1841">
          <cell r="A1841" t="str">
            <v xml:space="preserve">X490A </v>
          </cell>
          <cell r="B1841" t="str">
            <v xml:space="preserve">PCI MULTIMEDIA KIT US </v>
          </cell>
          <cell r="C1841">
            <v>1993</v>
          </cell>
          <cell r="D1841" t="str">
            <v xml:space="preserve">H </v>
          </cell>
        </row>
        <row r="1842">
          <cell r="A1842" t="str">
            <v xml:space="preserve">X498A </v>
          </cell>
          <cell r="B1842" t="str">
            <v xml:space="preserve">PCI MULTIMEDIA KIT US </v>
          </cell>
          <cell r="C1842">
            <v>1993</v>
          </cell>
          <cell r="D1842" t="str">
            <v xml:space="preserve">H </v>
          </cell>
        </row>
        <row r="1843">
          <cell r="A1843" t="str">
            <v xml:space="preserve">X500-1.0-B </v>
          </cell>
          <cell r="B1843" t="str">
            <v xml:space="preserve">SOLSTICE X.500 1.0, CD DOC </v>
          </cell>
          <cell r="C1843">
            <v>260</v>
          </cell>
          <cell r="D1843" t="str">
            <v xml:space="preserve">B </v>
          </cell>
        </row>
        <row r="1844">
          <cell r="A1844" t="str">
            <v xml:space="preserve">X500-1.0-CSITE </v>
          </cell>
          <cell r="B1844" t="str">
            <v xml:space="preserve">SOLSTICE X.500 1.0 TK, LIC </v>
          </cell>
          <cell r="C1844">
            <v>2594</v>
          </cell>
          <cell r="D1844" t="str">
            <v xml:space="preserve">B </v>
          </cell>
        </row>
        <row r="1845">
          <cell r="A1845" t="str">
            <v xml:space="preserve">X500-1.0-ES-L </v>
          </cell>
          <cell r="B1845" t="str">
            <v xml:space="preserve">SOLSTICE X.500 1.0 T2, LIC </v>
          </cell>
          <cell r="C1845">
            <v>18194</v>
          </cell>
          <cell r="D1845" t="str">
            <v xml:space="preserve">B </v>
          </cell>
        </row>
        <row r="1846">
          <cell r="A1846" t="str">
            <v xml:space="preserve">X500-1.0-SS-L </v>
          </cell>
          <cell r="B1846" t="str">
            <v xml:space="preserve">SOLSTICE X.500 1.0 T1, LIC </v>
          </cell>
          <cell r="C1846">
            <v>7794</v>
          </cell>
          <cell r="D1846" t="str">
            <v xml:space="preserve">B </v>
          </cell>
        </row>
        <row r="1847">
          <cell r="A1847" t="str">
            <v xml:space="preserve">X5162A </v>
          </cell>
          <cell r="B1847" t="str">
            <v xml:space="preserve">OPT INT DISKBD 8GB/7200 USCSI </v>
          </cell>
          <cell r="C1847">
            <v>5550</v>
          </cell>
          <cell r="D1847" t="str">
            <v xml:space="preserve">A </v>
          </cell>
        </row>
        <row r="1848">
          <cell r="A1848" t="str">
            <v xml:space="preserve">X5214A </v>
          </cell>
          <cell r="B1848" t="str">
            <v xml:space="preserve">OPT INT DISK 4.2GB/7200 USCSI </v>
          </cell>
          <cell r="C1848">
            <v>1015</v>
          </cell>
          <cell r="D1848" t="str">
            <v xml:space="preserve">H </v>
          </cell>
        </row>
        <row r="1849">
          <cell r="A1849" t="str">
            <v xml:space="preserve">X5226A </v>
          </cell>
          <cell r="B1849" t="str">
            <v xml:space="preserve">OPT INT 9GB DRIVE FOR U10 </v>
          </cell>
          <cell r="C1849">
            <v>630</v>
          </cell>
          <cell r="D1849" t="str">
            <v xml:space="preserve">H </v>
          </cell>
        </row>
        <row r="1850">
          <cell r="A1850" t="str">
            <v xml:space="preserve">X5228A </v>
          </cell>
          <cell r="B1850" t="str">
            <v xml:space="preserve">OPT INT DISK 4GB/10000 USCSI </v>
          </cell>
          <cell r="C1850">
            <v>1365</v>
          </cell>
          <cell r="D1850" t="str">
            <v xml:space="preserve">H </v>
          </cell>
        </row>
        <row r="1851">
          <cell r="A1851" t="str">
            <v xml:space="preserve">X5229A </v>
          </cell>
          <cell r="B1851" t="str">
            <v xml:space="preserve">OPT INT DISK 9.1GB/7200 USCSI </v>
          </cell>
          <cell r="C1851">
            <v>1484</v>
          </cell>
          <cell r="D1851" t="str">
            <v xml:space="preserve">H </v>
          </cell>
        </row>
        <row r="1852">
          <cell r="A1852" t="str">
            <v xml:space="preserve">X5230A </v>
          </cell>
          <cell r="B1852" t="str">
            <v xml:space="preserve">OPT INT DISK 9.1GB/7200 USCSI </v>
          </cell>
          <cell r="C1852">
            <v>2030</v>
          </cell>
          <cell r="D1852" t="str">
            <v xml:space="preserve">H </v>
          </cell>
        </row>
        <row r="1853">
          <cell r="A1853" t="str">
            <v xml:space="preserve">X5232A </v>
          </cell>
          <cell r="B1853" t="str">
            <v xml:space="preserve">OPT INT DISK 18.2GB/7200 USCSI </v>
          </cell>
          <cell r="C1853">
            <v>2660</v>
          </cell>
          <cell r="D1853" t="str">
            <v xml:space="preserve">H </v>
          </cell>
        </row>
        <row r="1854">
          <cell r="A1854" t="str">
            <v xml:space="preserve">X5233A </v>
          </cell>
          <cell r="B1854" t="str">
            <v xml:space="preserve">OPT INT DISK 18.2GB/7200 USCSI </v>
          </cell>
          <cell r="C1854">
            <v>3640</v>
          </cell>
          <cell r="D1854" t="str">
            <v xml:space="preserve">H </v>
          </cell>
        </row>
        <row r="1855">
          <cell r="A1855" t="str">
            <v xml:space="preserve">X5234A </v>
          </cell>
          <cell r="B1855" t="str">
            <v xml:space="preserve">OPT INT DISK 9.1GB/10K USCSI </v>
          </cell>
          <cell r="C1855">
            <v>1715</v>
          </cell>
          <cell r="D1855" t="str">
            <v xml:space="preserve">H </v>
          </cell>
        </row>
        <row r="1856">
          <cell r="A1856" t="str">
            <v xml:space="preserve">X5235A </v>
          </cell>
          <cell r="B1856" t="str">
            <v xml:space="preserve">OPT INT DISK 9GB/10000 USCSI </v>
          </cell>
          <cell r="C1856">
            <v>1785</v>
          </cell>
          <cell r="D1856" t="str">
            <v xml:space="preserve">H </v>
          </cell>
        </row>
        <row r="1857">
          <cell r="A1857" t="str">
            <v xml:space="preserve">X5236A </v>
          </cell>
          <cell r="B1857" t="str">
            <v xml:space="preserve">OPT INT 9GB DRIVE FOR U5/U10 </v>
          </cell>
          <cell r="C1857">
            <v>630</v>
          </cell>
          <cell r="D1857" t="str">
            <v xml:space="preserve">H </v>
          </cell>
        </row>
        <row r="1858">
          <cell r="A1858" t="str">
            <v xml:space="preserve">X5911A </v>
          </cell>
          <cell r="B1858" t="str">
            <v xml:space="preserve">OPT INT DISK 4.2GB/7200 USCSI </v>
          </cell>
          <cell r="C1858">
            <v>1015</v>
          </cell>
          <cell r="D1858" t="str">
            <v xml:space="preserve">H </v>
          </cell>
        </row>
        <row r="1859">
          <cell r="A1859" t="str">
            <v xml:space="preserve">X595A </v>
          </cell>
          <cell r="B1859" t="str">
            <v xml:space="preserve">OPT FIBRE CHANNEL OPTICAL MOD </v>
          </cell>
          <cell r="C1859">
            <v>780</v>
          </cell>
          <cell r="D1859" t="str">
            <v xml:space="preserve">A </v>
          </cell>
        </row>
        <row r="1860">
          <cell r="A1860" t="str">
            <v xml:space="preserve">X6003A </v>
          </cell>
          <cell r="B1860" t="str">
            <v xml:space="preserve">OPT INT FLOPPY 1.44GB FOR U2 </v>
          </cell>
          <cell r="C1860">
            <v>175</v>
          </cell>
          <cell r="D1860" t="str">
            <v xml:space="preserve">H </v>
          </cell>
        </row>
        <row r="1861">
          <cell r="A1861" t="str">
            <v xml:space="preserve">X6004A </v>
          </cell>
          <cell r="B1861" t="str">
            <v xml:space="preserve">OPT INT FLOPPY DRIVE U30 </v>
          </cell>
          <cell r="C1861">
            <v>175</v>
          </cell>
          <cell r="D1861" t="str">
            <v xml:space="preserve">H </v>
          </cell>
        </row>
        <row r="1862">
          <cell r="A1862" t="str">
            <v xml:space="preserve">X6005A </v>
          </cell>
          <cell r="B1862" t="str">
            <v xml:space="preserve">OPT FLOPPY INT DR TAZMO &amp; E250 </v>
          </cell>
          <cell r="C1862">
            <v>175</v>
          </cell>
          <cell r="D1862" t="str">
            <v xml:space="preserve">H </v>
          </cell>
        </row>
        <row r="1863">
          <cell r="A1863" t="str">
            <v xml:space="preserve">X6062A </v>
          </cell>
          <cell r="B1863" t="str">
            <v xml:space="preserve">OPT INT TAPE 35GB DLT FOR FRST </v>
          </cell>
          <cell r="C1863">
            <v>13860</v>
          </cell>
          <cell r="D1863" t="str">
            <v xml:space="preserve">A </v>
          </cell>
        </row>
        <row r="1864">
          <cell r="A1864" t="str">
            <v xml:space="preserve">X6063A </v>
          </cell>
          <cell r="B1864" t="str">
            <v xml:space="preserve">OPT INT DLT7000 DRIVE </v>
          </cell>
          <cell r="C1864">
            <v>17360</v>
          </cell>
          <cell r="D1864" t="str">
            <v xml:space="preserve">A </v>
          </cell>
        </row>
        <row r="1865">
          <cell r="A1865" t="str">
            <v xml:space="preserve">X6077A </v>
          </cell>
          <cell r="B1865" t="str">
            <v xml:space="preserve">STOREDGE L1800, 2 X DLT7000 </v>
          </cell>
          <cell r="C1865">
            <v>77000</v>
          </cell>
          <cell r="D1865" t="str">
            <v xml:space="preserve">A </v>
          </cell>
        </row>
        <row r="1866">
          <cell r="A1866" t="str">
            <v xml:space="preserve">X6078A </v>
          </cell>
          <cell r="B1866" t="str">
            <v xml:space="preserve">STOREDGE L1800, 4 X DLT7000 </v>
          </cell>
          <cell r="C1866">
            <v>105000</v>
          </cell>
          <cell r="D1866" t="str">
            <v xml:space="preserve">A </v>
          </cell>
        </row>
        <row r="1867">
          <cell r="A1867" t="str">
            <v xml:space="preserve">X6079A </v>
          </cell>
          <cell r="B1867" t="str">
            <v xml:space="preserve">STOREDGE L3500, 2 X DLT7000 </v>
          </cell>
          <cell r="C1867">
            <v>98000</v>
          </cell>
          <cell r="D1867" t="str">
            <v xml:space="preserve">A </v>
          </cell>
        </row>
        <row r="1868">
          <cell r="A1868" t="str">
            <v xml:space="preserve">X6080A </v>
          </cell>
          <cell r="B1868" t="str">
            <v xml:space="preserve">STOREDGE L3500, 7 X DLT7000 </v>
          </cell>
          <cell r="C1868">
            <v>162400</v>
          </cell>
          <cell r="D1868" t="str">
            <v xml:space="preserve">A </v>
          </cell>
        </row>
        <row r="1869">
          <cell r="A1869" t="str">
            <v xml:space="preserve">X6106A </v>
          </cell>
          <cell r="B1869" t="str">
            <v xml:space="preserve">OPT INT 4GB SLR TAPE </v>
          </cell>
          <cell r="C1869">
            <v>1050</v>
          </cell>
          <cell r="D1869" t="str">
            <v xml:space="preserve">H </v>
          </cell>
        </row>
        <row r="1870">
          <cell r="A1870" t="str">
            <v xml:space="preserve">X6107A </v>
          </cell>
          <cell r="B1870" t="str">
            <v xml:space="preserve">OPT INT 4GB SLR TAPE (SERVER) </v>
          </cell>
          <cell r="C1870">
            <v>1235</v>
          </cell>
          <cell r="D1870" t="str">
            <v xml:space="preserve">A </v>
          </cell>
        </row>
        <row r="1871">
          <cell r="A1871" t="str">
            <v xml:space="preserve">X6166A </v>
          </cell>
          <cell r="B1871" t="str">
            <v xml:space="preserve">OPT INT CD 32X FOR U30/U60 </v>
          </cell>
          <cell r="C1871">
            <v>350</v>
          </cell>
          <cell r="D1871" t="str">
            <v xml:space="preserve">H </v>
          </cell>
        </row>
        <row r="1872">
          <cell r="A1872" t="str">
            <v xml:space="preserve">X6167A </v>
          </cell>
          <cell r="B1872" t="str">
            <v xml:space="preserve">OPT INT CD 32X FOR U2/E2 </v>
          </cell>
          <cell r="C1872">
            <v>350</v>
          </cell>
          <cell r="D1872" t="str">
            <v xml:space="preserve">H </v>
          </cell>
        </row>
        <row r="1873">
          <cell r="A1873" t="str">
            <v xml:space="preserve">X6171A </v>
          </cell>
          <cell r="B1873" t="str">
            <v xml:space="preserve">OPT INT 32X CD-ROM FOR U5/U10 </v>
          </cell>
          <cell r="C1873">
            <v>210</v>
          </cell>
          <cell r="D1873" t="str">
            <v xml:space="preserve">H </v>
          </cell>
        </row>
        <row r="1874">
          <cell r="A1874" t="str">
            <v xml:space="preserve">X6206A </v>
          </cell>
          <cell r="B1874" t="str">
            <v xml:space="preserve">OPT INT TAPE 14GB/8MM </v>
          </cell>
          <cell r="C1874">
            <v>3510</v>
          </cell>
          <cell r="D1874" t="str">
            <v xml:space="preserve">A </v>
          </cell>
        </row>
        <row r="1875">
          <cell r="A1875" t="str">
            <v xml:space="preserve">X6212A </v>
          </cell>
          <cell r="B1875" t="str">
            <v xml:space="preserve">OPT INT TAPE 7GB/8MM </v>
          </cell>
          <cell r="C1875">
            <v>2030</v>
          </cell>
          <cell r="D1875" t="str">
            <v xml:space="preserve">H </v>
          </cell>
        </row>
        <row r="1876">
          <cell r="A1876" t="str">
            <v xml:space="preserve">X6213A </v>
          </cell>
          <cell r="B1876" t="str">
            <v xml:space="preserve">OPT INT TAPE 7GB/8MM </v>
          </cell>
          <cell r="C1876">
            <v>2695</v>
          </cell>
          <cell r="D1876" t="str">
            <v xml:space="preserve">A </v>
          </cell>
        </row>
        <row r="1877">
          <cell r="A1877" t="str">
            <v xml:space="preserve">X6226A </v>
          </cell>
          <cell r="B1877" t="str">
            <v xml:space="preserve">TAPE LIB RACK 400GB/8MM W/TAPE </v>
          </cell>
          <cell r="C1877">
            <v>22400</v>
          </cell>
          <cell r="D1877" t="str">
            <v xml:space="preserve">H </v>
          </cell>
        </row>
        <row r="1878">
          <cell r="A1878" t="str">
            <v xml:space="preserve">X6234A </v>
          </cell>
          <cell r="B1878" t="str">
            <v xml:space="preserve">OPT INT TAPE 20/40GB 8MM </v>
          </cell>
          <cell r="C1878">
            <v>6300</v>
          </cell>
          <cell r="D1878" t="str">
            <v xml:space="preserve">A </v>
          </cell>
        </row>
        <row r="1879">
          <cell r="A1879" t="str">
            <v xml:space="preserve">X6235A </v>
          </cell>
          <cell r="B1879" t="str">
            <v xml:space="preserve">OPT INT TAPE 20-40GB 8MM E4000 </v>
          </cell>
          <cell r="C1879">
            <v>6300</v>
          </cell>
          <cell r="D1879" t="str">
            <v xml:space="preserve">A </v>
          </cell>
        </row>
        <row r="1880">
          <cell r="A1880" t="str">
            <v xml:space="preserve">X6236A </v>
          </cell>
          <cell r="B1880" t="str">
            <v xml:space="preserve">OPT INT 40GB/8MM FLEXIPACK </v>
          </cell>
          <cell r="C1880">
            <v>4620</v>
          </cell>
          <cell r="D1880" t="str">
            <v xml:space="preserve">H </v>
          </cell>
        </row>
        <row r="1881">
          <cell r="A1881" t="str">
            <v xml:space="preserve">X6238A </v>
          </cell>
          <cell r="B1881" t="str">
            <v xml:space="preserve">OPT INT TAPE 20/40GB 8MM-EX500 </v>
          </cell>
          <cell r="C1881">
            <v>6750</v>
          </cell>
          <cell r="D1881" t="str">
            <v xml:space="preserve">A </v>
          </cell>
        </row>
        <row r="1882">
          <cell r="A1882" t="str">
            <v xml:space="preserve">X6282A </v>
          </cell>
          <cell r="B1882" t="str">
            <v xml:space="preserve">OPT INT TAPE 12GB 4MM DDS-3 </v>
          </cell>
          <cell r="C1882">
            <v>1610</v>
          </cell>
          <cell r="D1882" t="str">
            <v xml:space="preserve">H </v>
          </cell>
        </row>
        <row r="1883">
          <cell r="A1883" t="str">
            <v xml:space="preserve">X6283A </v>
          </cell>
          <cell r="B1883" t="str">
            <v xml:space="preserve">OPT INT TAPE 12GB 4MM EX000 </v>
          </cell>
          <cell r="C1883">
            <v>1890</v>
          </cell>
          <cell r="D1883" t="str">
            <v xml:space="preserve">A </v>
          </cell>
        </row>
        <row r="1884">
          <cell r="A1884" t="str">
            <v xml:space="preserve">X6286A </v>
          </cell>
          <cell r="B1884" t="str">
            <v xml:space="preserve">OPT INT TAPE 12GB 4MM </v>
          </cell>
          <cell r="C1884">
            <v>1890</v>
          </cell>
          <cell r="D1884" t="str">
            <v xml:space="preserve">A </v>
          </cell>
        </row>
        <row r="1885">
          <cell r="A1885" t="str">
            <v xml:space="preserve">X6287A </v>
          </cell>
          <cell r="B1885" t="str">
            <v xml:space="preserve">A7000 54.3GB STORAGE PACKAGE </v>
          </cell>
          <cell r="C1885">
            <v>43200</v>
          </cell>
          <cell r="D1885" t="str">
            <v xml:space="preserve">A </v>
          </cell>
        </row>
        <row r="1886">
          <cell r="A1886" t="str">
            <v xml:space="preserve">X6288A </v>
          </cell>
          <cell r="B1886" t="str">
            <v xml:space="preserve">54.3GB SCA STORAGE MODULE </v>
          </cell>
          <cell r="C1886">
            <v>26046</v>
          </cell>
          <cell r="D1886" t="str">
            <v xml:space="preserve">A </v>
          </cell>
        </row>
        <row r="1887">
          <cell r="A1887" t="str">
            <v xml:space="preserve">X6289A </v>
          </cell>
          <cell r="B1887" t="str">
            <v xml:space="preserve">108.6GB SCA Storage Package </v>
          </cell>
          <cell r="C1887">
            <v>43200</v>
          </cell>
          <cell r="D1887" t="str">
            <v xml:space="preserve">A </v>
          </cell>
        </row>
        <row r="1888">
          <cell r="A1888" t="str">
            <v xml:space="preserve">X6510A </v>
          </cell>
          <cell r="B1888" t="str">
            <v xml:space="preserve">RSM SCSI ENVIRONMENTAL CARD </v>
          </cell>
          <cell r="C1888">
            <v>910</v>
          </cell>
          <cell r="D1888" t="str">
            <v xml:space="preserve">A </v>
          </cell>
        </row>
        <row r="1889">
          <cell r="A1889" t="str">
            <v xml:space="preserve">X6513A </v>
          </cell>
          <cell r="B1889" t="str">
            <v xml:space="preserve">OPT POWER ENTERPRISE EXP. CAB </v>
          </cell>
          <cell r="C1889">
            <v>1430</v>
          </cell>
          <cell r="D1889" t="str">
            <v xml:space="preserve">A </v>
          </cell>
        </row>
        <row r="1890">
          <cell r="A1890" t="str">
            <v xml:space="preserve">X6516A </v>
          </cell>
          <cell r="B1890" t="str">
            <v xml:space="preserve">RSM 9.1GB/7200 FWSCSI </v>
          </cell>
          <cell r="C1890">
            <v>3211</v>
          </cell>
          <cell r="D1890" t="str">
            <v xml:space="preserve">A </v>
          </cell>
        </row>
        <row r="1891">
          <cell r="A1891" t="str">
            <v xml:space="preserve">X6537A </v>
          </cell>
          <cell r="B1891" t="str">
            <v xml:space="preserve">STOREDGE A3500 CONTROLLER </v>
          </cell>
          <cell r="C1891">
            <v>36610</v>
          </cell>
          <cell r="D1891" t="str">
            <v xml:space="preserve">A </v>
          </cell>
        </row>
        <row r="1892">
          <cell r="A1892" t="str">
            <v xml:space="preserve">X6540A </v>
          </cell>
          <cell r="B1892" t="str">
            <v xml:space="preserve">OPT INT PCI ULTRASCSI SE CARD </v>
          </cell>
          <cell r="C1892">
            <v>975</v>
          </cell>
          <cell r="D1892" t="str">
            <v xml:space="preserve">A </v>
          </cell>
        </row>
        <row r="1893">
          <cell r="A1893" t="str">
            <v xml:space="preserve">X6541A </v>
          </cell>
          <cell r="B1893" t="str">
            <v xml:space="preserve">OPT INT PCI ULTRASCSI DIFF CRD </v>
          </cell>
          <cell r="C1893">
            <v>1872</v>
          </cell>
          <cell r="D1893" t="str">
            <v xml:space="preserve">A </v>
          </cell>
        </row>
        <row r="1894">
          <cell r="A1894" t="str">
            <v xml:space="preserve">X6601A </v>
          </cell>
          <cell r="B1894" t="str">
            <v xml:space="preserve">E450 8BAY STOR EXP KIT, 10K </v>
          </cell>
          <cell r="C1894">
            <v>1476</v>
          </cell>
          <cell r="D1894" t="str">
            <v xml:space="preserve">H </v>
          </cell>
        </row>
        <row r="1895">
          <cell r="A1895" t="str">
            <v xml:space="preserve">X6710A </v>
          </cell>
          <cell r="B1895" t="str">
            <v xml:space="preserve">FC-AL 9.1GB 10000RPM 1" DISK </v>
          </cell>
          <cell r="C1895">
            <v>4060</v>
          </cell>
          <cell r="D1895" t="str">
            <v xml:space="preserve">A </v>
          </cell>
        </row>
        <row r="1896">
          <cell r="A1896" t="str">
            <v xml:space="preserve">X6711A </v>
          </cell>
          <cell r="B1896" t="str">
            <v xml:space="preserve">FC-AL 18.2GB 7200RPM 1.6" DISK </v>
          </cell>
          <cell r="C1896">
            <v>4340</v>
          </cell>
          <cell r="D1896" t="str">
            <v xml:space="preserve">A </v>
          </cell>
        </row>
        <row r="1897">
          <cell r="A1897" t="str">
            <v xml:space="preserve">X6729A </v>
          </cell>
          <cell r="B1897" t="str">
            <v xml:space="preserve">OPT INT PCI FC-AL HOST ADAPTER </v>
          </cell>
          <cell r="C1897">
            <v>2990</v>
          </cell>
          <cell r="D1897" t="str">
            <v xml:space="preserve">A </v>
          </cell>
        </row>
        <row r="1898">
          <cell r="A1898" t="str">
            <v xml:space="preserve">X6730A </v>
          </cell>
          <cell r="B1898" t="str">
            <v xml:space="preserve">FCAL 100MB/S SBUS HOST ADAPTER </v>
          </cell>
          <cell r="C1898">
            <v>3510</v>
          </cell>
          <cell r="D1898" t="str">
            <v xml:space="preserve">A </v>
          </cell>
        </row>
        <row r="1899">
          <cell r="A1899" t="str">
            <v xml:space="preserve">X6731A </v>
          </cell>
          <cell r="B1899" t="str">
            <v xml:space="preserve">FCAL GBIC MODULE 100MB/S </v>
          </cell>
          <cell r="C1899">
            <v>780</v>
          </cell>
          <cell r="D1899" t="str">
            <v xml:space="preserve">A </v>
          </cell>
        </row>
        <row r="1900">
          <cell r="A1900" t="str">
            <v xml:space="preserve">X6732A </v>
          </cell>
          <cell r="B1900" t="str">
            <v xml:space="preserve">FCAL HUB 7 SLOT </v>
          </cell>
          <cell r="C1900">
            <v>2800</v>
          </cell>
          <cell r="D1900" t="str">
            <v xml:space="preserve">A </v>
          </cell>
        </row>
        <row r="1901">
          <cell r="A1901" t="str">
            <v xml:space="preserve">X6734A </v>
          </cell>
          <cell r="B1901" t="str">
            <v xml:space="preserve">A5000 CHASSIS INTERFACE BOARD </v>
          </cell>
          <cell r="C1901">
            <v>3220</v>
          </cell>
          <cell r="D1901" t="str">
            <v xml:space="preserve">A </v>
          </cell>
        </row>
        <row r="1902">
          <cell r="A1902" t="str">
            <v xml:space="preserve">X6735A </v>
          </cell>
          <cell r="B1902" t="str">
            <v xml:space="preserve">DUAL HUB MOUNT KIT </v>
          </cell>
          <cell r="C1902">
            <v>350</v>
          </cell>
          <cell r="D1902" t="str">
            <v xml:space="preserve">A </v>
          </cell>
        </row>
        <row r="1903">
          <cell r="A1903" t="str">
            <v xml:space="preserve">X6773A </v>
          </cell>
          <cell r="B1903" t="str">
            <v xml:space="preserve">A7000 1024MB SAFE CACHE, RMC </v>
          </cell>
          <cell r="C1903">
            <v>91386</v>
          </cell>
          <cell r="D1903" t="str">
            <v xml:space="preserve">A </v>
          </cell>
        </row>
        <row r="1904">
          <cell r="A1904" t="str">
            <v xml:space="preserve">X6778A </v>
          </cell>
          <cell r="B1904" t="str">
            <v xml:space="preserve">A7000 QUAD CH BMC ADAPT KIT </v>
          </cell>
          <cell r="C1904">
            <v>94158</v>
          </cell>
          <cell r="D1904" t="str">
            <v xml:space="preserve">A </v>
          </cell>
        </row>
        <row r="1905">
          <cell r="A1905" t="str">
            <v xml:space="preserve">X6779A </v>
          </cell>
          <cell r="B1905" t="str">
            <v xml:space="preserve">A7000 DUAL ESCON ADP KIT #2 </v>
          </cell>
          <cell r="C1905">
            <v>110772</v>
          </cell>
          <cell r="D1905" t="str">
            <v xml:space="preserve">A </v>
          </cell>
        </row>
        <row r="1906">
          <cell r="A1906" t="str">
            <v xml:space="preserve">X6780A </v>
          </cell>
          <cell r="B1906" t="str">
            <v xml:space="preserve">A7000 DUAL ESCON ADP KIT #1 </v>
          </cell>
          <cell r="C1906">
            <v>110772</v>
          </cell>
          <cell r="D1906" t="str">
            <v xml:space="preserve">A </v>
          </cell>
        </row>
        <row r="1907">
          <cell r="A1907" t="str">
            <v xml:space="preserve">X6796A </v>
          </cell>
          <cell r="B1907" t="str">
            <v xml:space="preserve">8 CH. ULTRA STE, 2 CONNECTOR </v>
          </cell>
          <cell r="C1907">
            <v>37476</v>
          </cell>
          <cell r="D1907" t="str">
            <v xml:space="preserve">A </v>
          </cell>
        </row>
        <row r="1908">
          <cell r="A1908" t="str">
            <v xml:space="preserve">X6797A </v>
          </cell>
          <cell r="B1908" t="str">
            <v xml:space="preserve">4 CH. ULTRA STE, 2 CONNECTOR </v>
          </cell>
          <cell r="C1908">
            <v>37476</v>
          </cell>
          <cell r="D1908" t="str">
            <v xml:space="preserve">A </v>
          </cell>
        </row>
        <row r="1909">
          <cell r="A1909" t="str">
            <v xml:space="preserve">X6798A </v>
          </cell>
          <cell r="B1909" t="str">
            <v xml:space="preserve">8 CH. ULTRA STE, 8 CONNECTOR </v>
          </cell>
          <cell r="C1909">
            <v>37476</v>
          </cell>
          <cell r="D1909" t="str">
            <v xml:space="preserve">A </v>
          </cell>
        </row>
        <row r="1910">
          <cell r="A1910" t="str">
            <v xml:space="preserve">X6900A </v>
          </cell>
          <cell r="B1910" t="str">
            <v xml:space="preserve">NETRA T 1100 ALARMS SW, CD </v>
          </cell>
          <cell r="C1910">
            <v>260</v>
          </cell>
          <cell r="D1910" t="str">
            <v xml:space="preserve">A </v>
          </cell>
        </row>
        <row r="1911">
          <cell r="A1911" t="str">
            <v xml:space="preserve">X6901A </v>
          </cell>
          <cell r="B1911" t="str">
            <v xml:space="preserve">NETRA TELCO 19" RACKMOUNT KIT </v>
          </cell>
          <cell r="C1911">
            <v>325</v>
          </cell>
          <cell r="D1911" t="str">
            <v xml:space="preserve">A </v>
          </cell>
        </row>
        <row r="1912">
          <cell r="A1912" t="str">
            <v xml:space="preserve">X6902A </v>
          </cell>
          <cell r="B1912" t="str">
            <v xml:space="preserve">NETRA TELCO 23" RACKMOUNT KIT </v>
          </cell>
          <cell r="C1912">
            <v>325</v>
          </cell>
          <cell r="D1912" t="str">
            <v xml:space="preserve">A </v>
          </cell>
        </row>
        <row r="1913">
          <cell r="A1913" t="str">
            <v xml:space="preserve">X6903A </v>
          </cell>
          <cell r="B1913" t="str">
            <v xml:space="preserve">NETRA TELCO 24" RACKMOUNT KIT </v>
          </cell>
          <cell r="C1913">
            <v>325</v>
          </cell>
          <cell r="D1913" t="str">
            <v xml:space="preserve">A </v>
          </cell>
        </row>
        <row r="1914">
          <cell r="A1914" t="str">
            <v xml:space="preserve">X6904A </v>
          </cell>
          <cell r="B1914" t="str">
            <v xml:space="preserve">NETRA TELCO 600MM RACKMNT KIT </v>
          </cell>
          <cell r="C1914">
            <v>325</v>
          </cell>
          <cell r="D1914" t="str">
            <v xml:space="preserve">A </v>
          </cell>
        </row>
        <row r="1915">
          <cell r="A1915" t="str">
            <v xml:space="preserve">X6905A </v>
          </cell>
          <cell r="B1915" t="str">
            <v xml:space="preserve">NETRA TELCO ALARMS SW, CD </v>
          </cell>
          <cell r="C1915">
            <v>280</v>
          </cell>
          <cell r="D1915" t="str">
            <v xml:space="preserve">A </v>
          </cell>
        </row>
        <row r="1916">
          <cell r="A1916" t="str">
            <v xml:space="preserve">X6907A </v>
          </cell>
          <cell r="B1916" t="str">
            <v xml:space="preserve">23"/24" rack kit for Netra st </v>
          </cell>
          <cell r="C1916">
            <v>350</v>
          </cell>
          <cell r="D1916" t="str">
            <v xml:space="preserve">A </v>
          </cell>
        </row>
        <row r="1917">
          <cell r="A1917" t="str">
            <v xml:space="preserve">X6909A </v>
          </cell>
          <cell r="B1917" t="str">
            <v xml:space="preserve">600MM RACK KIT FOR NETRA ST </v>
          </cell>
          <cell r="C1917">
            <v>350</v>
          </cell>
          <cell r="D1917" t="str">
            <v xml:space="preserve">A </v>
          </cell>
        </row>
        <row r="1918">
          <cell r="A1918" t="str">
            <v xml:space="preserve">X7002A </v>
          </cell>
          <cell r="B1918" t="str">
            <v xml:space="preserve">OPT MEMORY 64MB (2*32MB) </v>
          </cell>
          <cell r="C1918">
            <v>664</v>
          </cell>
          <cell r="D1918" t="str">
            <v xml:space="preserve">H </v>
          </cell>
        </row>
        <row r="1919">
          <cell r="A1919" t="str">
            <v xml:space="preserve">X7003A </v>
          </cell>
          <cell r="B1919" t="str">
            <v xml:space="preserve">OPT MEMORY 128MB (2*64MB) </v>
          </cell>
          <cell r="C1919">
            <v>1264</v>
          </cell>
          <cell r="D1919" t="str">
            <v xml:space="preserve">H </v>
          </cell>
        </row>
        <row r="1920">
          <cell r="A1920" t="str">
            <v xml:space="preserve">X7004A </v>
          </cell>
          <cell r="B1920" t="str">
            <v xml:space="preserve">OPT MEMORY 256MB (2*128MB) </v>
          </cell>
          <cell r="C1920">
            <v>2400</v>
          </cell>
          <cell r="D1920" t="str">
            <v xml:space="preserve">H </v>
          </cell>
        </row>
        <row r="1921">
          <cell r="A1921" t="str">
            <v xml:space="preserve">X7005A </v>
          </cell>
          <cell r="B1921" t="str">
            <v xml:space="preserve">OPT MEMORY 512MB (2*256MB) </v>
          </cell>
          <cell r="C1921">
            <v>9600</v>
          </cell>
          <cell r="D1921" t="str">
            <v xml:space="preserve">H </v>
          </cell>
        </row>
        <row r="1922">
          <cell r="A1922" t="str">
            <v xml:space="preserve">X7016A </v>
          </cell>
          <cell r="B1922" t="str">
            <v xml:space="preserve">JAVASTATION 8MB FLASH MEMORY </v>
          </cell>
          <cell r="C1922">
            <v>358</v>
          </cell>
          <cell r="D1922" t="str">
            <v xml:space="preserve">A </v>
          </cell>
        </row>
        <row r="1923">
          <cell r="A1923" t="str">
            <v xml:space="preserve">X7020A </v>
          </cell>
          <cell r="B1923" t="str">
            <v xml:space="preserve">OPT A3500 MEMORY 64MB </v>
          </cell>
          <cell r="C1923">
            <v>2600</v>
          </cell>
          <cell r="D1923" t="str">
            <v xml:space="preserve">A </v>
          </cell>
        </row>
        <row r="1924">
          <cell r="A1924" t="str">
            <v xml:space="preserve">X7022A </v>
          </cell>
          <cell r="B1924" t="str">
            <v xml:space="preserve">OPT MEMORY 256MB (8*32MB) </v>
          </cell>
          <cell r="C1924">
            <v>5761</v>
          </cell>
          <cell r="D1924" t="str">
            <v xml:space="preserve">A </v>
          </cell>
        </row>
        <row r="1925">
          <cell r="A1925" t="str">
            <v xml:space="preserve">X7023A </v>
          </cell>
          <cell r="B1925" t="str">
            <v xml:space="preserve">OTP MEMORY 1GB (8*128MB) </v>
          </cell>
          <cell r="C1925">
            <v>18000</v>
          </cell>
          <cell r="D1925" t="str">
            <v xml:space="preserve">A </v>
          </cell>
        </row>
        <row r="1926">
          <cell r="A1926" t="str">
            <v xml:space="preserve">X7025A </v>
          </cell>
          <cell r="B1926" t="str">
            <v xml:space="preserve">E10000 MEM BOARD, UNPOPULATED </v>
          </cell>
          <cell r="C1926">
            <v>16000</v>
          </cell>
          <cell r="D1926" t="str">
            <v xml:space="preserve">A </v>
          </cell>
        </row>
        <row r="1927">
          <cell r="A1927" t="str">
            <v xml:space="preserve">X7030A </v>
          </cell>
          <cell r="B1927" t="str">
            <v xml:space="preserve">OPT 64MB MEMORY FOR U5/10 </v>
          </cell>
          <cell r="C1927">
            <v>553</v>
          </cell>
          <cell r="D1927" t="str">
            <v xml:space="preserve">H </v>
          </cell>
        </row>
        <row r="1928">
          <cell r="A1928" t="str">
            <v xml:space="preserve">X7031A </v>
          </cell>
          <cell r="B1928" t="str">
            <v xml:space="preserve">OPT 128MB MEMORY FOR U5/10 </v>
          </cell>
          <cell r="C1928">
            <v>1050</v>
          </cell>
          <cell r="D1928" t="str">
            <v xml:space="preserve">H </v>
          </cell>
        </row>
        <row r="1929">
          <cell r="A1929" t="str">
            <v xml:space="preserve">X7032A </v>
          </cell>
          <cell r="B1929" t="str">
            <v xml:space="preserve">OPT 256MB MEMORY FOR U5/10 </v>
          </cell>
          <cell r="C1929">
            <v>2030</v>
          </cell>
          <cell r="D1929" t="str">
            <v xml:space="preserve">H </v>
          </cell>
        </row>
        <row r="1930">
          <cell r="A1930" t="str">
            <v xml:space="preserve">X7033A </v>
          </cell>
          <cell r="B1930" t="str">
            <v xml:space="preserve">OPT 512MB MEMORY FOR U10 </v>
          </cell>
          <cell r="C1930">
            <v>4053</v>
          </cell>
          <cell r="D1930" t="str">
            <v xml:space="preserve">H </v>
          </cell>
        </row>
        <row r="1931">
          <cell r="A1931" t="str">
            <v xml:space="preserve">X7035A </v>
          </cell>
          <cell r="B1931" t="str">
            <v xml:space="preserve">OPT 128MB MEMORY FOR SUNPCI </v>
          </cell>
          <cell r="C1931">
            <v>490</v>
          </cell>
          <cell r="D1931" t="str">
            <v xml:space="preserve">H </v>
          </cell>
        </row>
        <row r="1932">
          <cell r="A1932" t="str">
            <v xml:space="preserve">X7036A </v>
          </cell>
          <cell r="B1932" t="str">
            <v xml:space="preserve">OPT 64MB DRAM, 50NS, U5/U10 </v>
          </cell>
          <cell r="C1932">
            <v>553</v>
          </cell>
          <cell r="D1932" t="str">
            <v xml:space="preserve">H </v>
          </cell>
        </row>
        <row r="1933">
          <cell r="A1933" t="str">
            <v xml:space="preserve">X7037A </v>
          </cell>
          <cell r="B1933" t="str">
            <v xml:space="preserve">OPT 128MB DRAM, 50NS, U5/U10 </v>
          </cell>
          <cell r="C1933">
            <v>1050</v>
          </cell>
          <cell r="D1933" t="str">
            <v xml:space="preserve">H </v>
          </cell>
        </row>
        <row r="1934">
          <cell r="A1934" t="str">
            <v xml:space="preserve">X7038A </v>
          </cell>
          <cell r="B1934" t="str">
            <v xml:space="preserve">OPT 256MB DRAM, 50NS, U5/U10 </v>
          </cell>
          <cell r="C1934">
            <v>2030</v>
          </cell>
          <cell r="D1934" t="str">
            <v xml:space="preserve">H </v>
          </cell>
        </row>
        <row r="1935">
          <cell r="A1935" t="str">
            <v xml:space="preserve">X7039A </v>
          </cell>
          <cell r="B1935" t="str">
            <v xml:space="preserve">OPT 512MB DRAM, 50NS, U5/U10 </v>
          </cell>
          <cell r="C1935">
            <v>4053</v>
          </cell>
          <cell r="D1935" t="str">
            <v xml:space="preserve">H </v>
          </cell>
        </row>
        <row r="1936">
          <cell r="A1936" t="str">
            <v xml:space="preserve">X7040A </v>
          </cell>
          <cell r="B1936" t="str">
            <v xml:space="preserve">OPT A1000 MEMORY 64MB </v>
          </cell>
          <cell r="C1936">
            <v>3500</v>
          </cell>
          <cell r="D1936" t="str">
            <v xml:space="preserve">H </v>
          </cell>
        </row>
        <row r="1937">
          <cell r="A1937" t="str">
            <v xml:space="preserve">X7041A </v>
          </cell>
          <cell r="B1937" t="str">
            <v xml:space="preserve">Opt 64MB Memory for SunPCi </v>
          </cell>
          <cell r="C1937">
            <v>273</v>
          </cell>
          <cell r="D1937" t="str">
            <v xml:space="preserve">H </v>
          </cell>
        </row>
        <row r="1938">
          <cell r="A1938" t="str">
            <v xml:space="preserve">X7119A-K </v>
          </cell>
          <cell r="B1938" t="str">
            <v xml:space="preserve">19" COLOR MONITOR W/CABLE </v>
          </cell>
          <cell r="C1938">
            <v>1694</v>
          </cell>
          <cell r="D1938" t="str">
            <v>D</v>
          </cell>
        </row>
        <row r="1939">
          <cell r="A1939" t="str">
            <v xml:space="preserve">X7121A-K </v>
          </cell>
          <cell r="B1939" t="str">
            <v xml:space="preserve">21" COLOR MONITOR W/CABLE </v>
          </cell>
          <cell r="C1939">
            <v>1960</v>
          </cell>
          <cell r="D1939" t="str">
            <v>D</v>
          </cell>
        </row>
        <row r="1940">
          <cell r="A1940" t="str">
            <v xml:space="preserve">X7124A-K </v>
          </cell>
          <cell r="B1940" t="str">
            <v xml:space="preserve">24" WIDE SCREEN - KOREAN VER. </v>
          </cell>
          <cell r="C1940">
            <v>3333</v>
          </cell>
          <cell r="D1940" t="str">
            <v>D</v>
          </cell>
        </row>
        <row r="1941">
          <cell r="A1941" t="str">
            <v xml:space="preserve">X7126A-K </v>
          </cell>
          <cell r="B1941" t="str">
            <v xml:space="preserve">17" ENTRY COLOR MONITOR </v>
          </cell>
          <cell r="C1941">
            <v>800</v>
          </cell>
          <cell r="D1941" t="str">
            <v>D</v>
          </cell>
        </row>
        <row r="1942">
          <cell r="A1942" t="str">
            <v>X7136A</v>
          </cell>
          <cell r="B1942" t="str">
            <v xml:space="preserve">21" ENTRY COLOR MONITOR </v>
          </cell>
          <cell r="C1942">
            <v>1670</v>
          </cell>
          <cell r="D1942" t="str">
            <v>D</v>
          </cell>
        </row>
        <row r="1943">
          <cell r="A1943" t="str">
            <v xml:space="preserve">X901A </v>
          </cell>
          <cell r="B1943" t="str">
            <v xml:space="preserve">OPT CABLE SCSI 0.8M 68PIN </v>
          </cell>
          <cell r="C1943">
            <v>163</v>
          </cell>
          <cell r="D1943" t="str">
            <v xml:space="preserve">D </v>
          </cell>
        </row>
        <row r="1944">
          <cell r="A1944" t="str">
            <v xml:space="preserve">X902A </v>
          </cell>
          <cell r="B1944" t="str">
            <v xml:space="preserve">OPT CABLE SCSI 2M 68PIN </v>
          </cell>
          <cell r="C1944">
            <v>163</v>
          </cell>
          <cell r="D1944" t="str">
            <v xml:space="preserve">D </v>
          </cell>
        </row>
        <row r="1945">
          <cell r="A1945" t="str">
            <v xml:space="preserve">X903A </v>
          </cell>
          <cell r="B1945" t="str">
            <v xml:space="preserve">OPT CABLE SCSI 1.2M 50/68PIN </v>
          </cell>
          <cell r="C1945">
            <v>163</v>
          </cell>
          <cell r="D1945" t="str">
            <v xml:space="preserve">D </v>
          </cell>
        </row>
        <row r="1946">
          <cell r="A1946" t="str">
            <v xml:space="preserve">X904A </v>
          </cell>
          <cell r="B1946" t="str">
            <v xml:space="preserve">OPT CABLE SCSI 2M 50/68PIN </v>
          </cell>
          <cell r="C1946">
            <v>163</v>
          </cell>
          <cell r="D1946" t="str">
            <v xml:space="preserve">D </v>
          </cell>
        </row>
        <row r="1947">
          <cell r="A1947" t="str">
            <v xml:space="preserve">X907A </v>
          </cell>
          <cell r="B1947" t="str">
            <v xml:space="preserve">OPT CABLE SCSI 2M 50/68PIN </v>
          </cell>
          <cell r="C1947">
            <v>163</v>
          </cell>
          <cell r="D1947" t="str">
            <v xml:space="preserve">D </v>
          </cell>
        </row>
        <row r="1948">
          <cell r="A1948" t="str">
            <v xml:space="preserve">X952A </v>
          </cell>
          <cell r="B1948" t="str">
            <v xml:space="preserve">ENTERPRISE 4000 CASTER BASE </v>
          </cell>
          <cell r="C1948">
            <v>1190</v>
          </cell>
          <cell r="D1948" t="str">
            <v xml:space="preserve">A </v>
          </cell>
        </row>
        <row r="1949">
          <cell r="A1949" t="str">
            <v xml:space="preserve">X953A </v>
          </cell>
          <cell r="B1949" t="str">
            <v xml:space="preserve">ENTERPRISE 4000 LOCK MODULE </v>
          </cell>
          <cell r="C1949">
            <v>175</v>
          </cell>
          <cell r="D1949" t="str">
            <v xml:space="preserve">A </v>
          </cell>
        </row>
        <row r="1950">
          <cell r="A1950" t="str">
            <v xml:space="preserve">X954A </v>
          </cell>
          <cell r="B1950" t="str">
            <v xml:space="preserve">OPT INT PS/300W FOR EX000 </v>
          </cell>
          <cell r="C1950">
            <v>2520</v>
          </cell>
          <cell r="D1950" t="str">
            <v xml:space="preserve">A </v>
          </cell>
        </row>
        <row r="1951">
          <cell r="A1951" t="str">
            <v xml:space="preserve">X958A </v>
          </cell>
          <cell r="B1951" t="str">
            <v xml:space="preserve">OPT 2ND PERIPHERAL PS/184W </v>
          </cell>
          <cell r="C1951">
            <v>2100</v>
          </cell>
          <cell r="D1951" t="str">
            <v xml:space="preserve">A </v>
          </cell>
        </row>
        <row r="1952">
          <cell r="A1952" t="str">
            <v xml:space="preserve">X9601A </v>
          </cell>
          <cell r="B1952" t="str">
            <v xml:space="preserve">ENTRSE EXP. CAB. AIR BAFFLE </v>
          </cell>
          <cell r="C1952">
            <v>70</v>
          </cell>
          <cell r="D1952" t="str">
            <v xml:space="preserve">A </v>
          </cell>
        </row>
        <row r="1953">
          <cell r="A1953" t="str">
            <v xml:space="preserve">X9602A </v>
          </cell>
          <cell r="B1953" t="str">
            <v xml:space="preserve">Ex000 Cabinet Floor Brackets </v>
          </cell>
          <cell r="C1953">
            <v>560</v>
          </cell>
          <cell r="D1953" t="str">
            <v xml:space="preserve">A </v>
          </cell>
        </row>
        <row r="1954">
          <cell r="A1954" t="str">
            <v xml:space="preserve">X9604A </v>
          </cell>
          <cell r="B1954" t="str">
            <v xml:space="preserve">SERVER CASTERS OPTION </v>
          </cell>
          <cell r="C1954">
            <v>128</v>
          </cell>
          <cell r="D1954" t="str">
            <v xml:space="preserve">H </v>
          </cell>
        </row>
        <row r="1955">
          <cell r="A1955" t="str">
            <v xml:space="preserve">X9610A </v>
          </cell>
          <cell r="B1955" t="str">
            <v xml:space="preserve">68" ENTERPRISE EXPANSION CAB </v>
          </cell>
          <cell r="C1955">
            <v>12000</v>
          </cell>
          <cell r="D1955" t="str">
            <v xml:space="preserve">A </v>
          </cell>
        </row>
        <row r="1956">
          <cell r="A1956" t="str">
            <v xml:space="preserve">X9620A </v>
          </cell>
          <cell r="B1956" t="str">
            <v xml:space="preserve">OPT 2ND POWER SEQUENCER </v>
          </cell>
          <cell r="C1956">
            <v>1650</v>
          </cell>
          <cell r="D1956" t="str">
            <v xml:space="preserve">A </v>
          </cell>
        </row>
        <row r="1957">
          <cell r="A1957" t="str">
            <v xml:space="preserve">X9621A </v>
          </cell>
          <cell r="B1957" t="str">
            <v xml:space="preserve">RACK-MOUNT RAILS E4X00 </v>
          </cell>
          <cell r="C1957">
            <v>675</v>
          </cell>
          <cell r="D1957" t="str">
            <v xml:space="preserve">A </v>
          </cell>
        </row>
        <row r="1958">
          <cell r="A1958" t="str">
            <v xml:space="preserve">X9622A </v>
          </cell>
          <cell r="B1958" t="str">
            <v xml:space="preserve">9" AIR BAFFLE FOR ENT CABINET </v>
          </cell>
          <cell r="C1958">
            <v>75</v>
          </cell>
          <cell r="D1958" t="str">
            <v xml:space="preserve">A </v>
          </cell>
        </row>
        <row r="1959">
          <cell r="A1959" t="str">
            <v xml:space="preserve">X9623A </v>
          </cell>
          <cell r="B1959" t="str">
            <v xml:space="preserve">A5000 DOOR FOR E5500/E6500 </v>
          </cell>
          <cell r="C1959">
            <v>525</v>
          </cell>
          <cell r="D1959" t="str">
            <v xml:space="preserve">A </v>
          </cell>
        </row>
        <row r="1960">
          <cell r="A1960" t="str">
            <v xml:space="preserve">X9624A </v>
          </cell>
          <cell r="B1960" t="str">
            <v xml:space="preserve">A5000 DOOR 68" EXP CABINET </v>
          </cell>
          <cell r="C1960">
            <v>525</v>
          </cell>
          <cell r="D1960" t="str">
            <v xml:space="preserve">A </v>
          </cell>
        </row>
        <row r="1961">
          <cell r="A1961" t="str">
            <v xml:space="preserve">X9625A </v>
          </cell>
          <cell r="B1961" t="str">
            <v xml:space="preserve">6" AIR BAFFLE FOR ENT CABINET </v>
          </cell>
          <cell r="C1961">
            <v>65</v>
          </cell>
          <cell r="D1961" t="str">
            <v xml:space="preserve">A </v>
          </cell>
        </row>
        <row r="1962">
          <cell r="A1962" t="str">
            <v xml:space="preserve">X9626A </v>
          </cell>
          <cell r="B1962" t="str">
            <v xml:space="preserve">2ND SEQ. MOUNTING FOR E55/6500 </v>
          </cell>
          <cell r="C1962">
            <v>195</v>
          </cell>
          <cell r="D1962" t="str">
            <v xml:space="preserve">A </v>
          </cell>
        </row>
        <row r="1963">
          <cell r="A1963" t="str">
            <v xml:space="preserve">X9640A </v>
          </cell>
          <cell r="B1963" t="str">
            <v xml:space="preserve">OPT FLEXIPACK STORAGE TRAY SYS </v>
          </cell>
          <cell r="C1963">
            <v>520</v>
          </cell>
          <cell r="D1963" t="str">
            <v xml:space="preserve">A </v>
          </cell>
        </row>
        <row r="1964">
          <cell r="A1964" t="str">
            <v xml:space="preserve">X9641A </v>
          </cell>
          <cell r="B1964" t="str">
            <v xml:space="preserve">OPT FLEXIPACK STORAGE TRAY EXP </v>
          </cell>
          <cell r="C1964">
            <v>490</v>
          </cell>
          <cell r="D1964" t="str">
            <v xml:space="preserve">A </v>
          </cell>
        </row>
        <row r="1965">
          <cell r="A1965" t="str">
            <v xml:space="preserve">X9643A </v>
          </cell>
          <cell r="B1965" t="str">
            <v xml:space="preserve">RACKMOUNT KIT FOR L280 AL </v>
          </cell>
          <cell r="C1965">
            <v>560</v>
          </cell>
          <cell r="D1965" t="str">
            <v xml:space="preserve">A </v>
          </cell>
        </row>
        <row r="1966">
          <cell r="A1966" t="str">
            <v xml:space="preserve">X9645A </v>
          </cell>
          <cell r="B1966" t="str">
            <v xml:space="preserve">UNIPACK TRAY, WITH POWER CORDS </v>
          </cell>
          <cell r="C1966">
            <v>1400</v>
          </cell>
          <cell r="D1966" t="str">
            <v xml:space="preserve">A </v>
          </cell>
        </row>
        <row r="1967">
          <cell r="A1967" t="str">
            <v xml:space="preserve">X9652A </v>
          </cell>
          <cell r="B1967" t="str">
            <v xml:space="preserve">A7000 6 PACK ENCLOSURE KIT </v>
          </cell>
          <cell r="C1967">
            <v>0</v>
          </cell>
          <cell r="D1967" t="str">
            <v xml:space="preserve">D </v>
          </cell>
        </row>
        <row r="1968">
          <cell r="A1968" t="str">
            <v xml:space="preserve">X9653A </v>
          </cell>
          <cell r="B1968" t="str">
            <v xml:space="preserve">A1000/D1000 RACKMOUNT KIT </v>
          </cell>
          <cell r="C1968">
            <v>358</v>
          </cell>
          <cell r="D1968" t="str">
            <v xml:space="preserve">H </v>
          </cell>
        </row>
        <row r="1969">
          <cell r="A1969" t="str">
            <v xml:space="preserve">X9654A </v>
          </cell>
          <cell r="B1969" t="str">
            <v xml:space="preserve">A5000 SYS CAB MOUNT KIT </v>
          </cell>
          <cell r="C1969">
            <v>350</v>
          </cell>
          <cell r="D1969" t="str">
            <v xml:space="preserve">A </v>
          </cell>
        </row>
        <row r="1970">
          <cell r="A1970" t="str">
            <v xml:space="preserve">X9655A </v>
          </cell>
          <cell r="B1970" t="str">
            <v xml:space="preserve">A5000 EXP CAB MOUNT KIT </v>
          </cell>
          <cell r="C1970">
            <v>350</v>
          </cell>
          <cell r="D1970" t="str">
            <v xml:space="preserve">A </v>
          </cell>
        </row>
        <row r="1971">
          <cell r="A1971" t="str">
            <v xml:space="preserve">X965A </v>
          </cell>
          <cell r="B1971" t="str">
            <v xml:space="preserve">RACK MOUNT KIT </v>
          </cell>
          <cell r="C1971">
            <v>585</v>
          </cell>
          <cell r="D1971" t="str">
            <v xml:space="preserve">A </v>
          </cell>
        </row>
        <row r="1972">
          <cell r="A1972" t="str">
            <v xml:space="preserve">X9671A </v>
          </cell>
          <cell r="B1972" t="str">
            <v xml:space="preserve">E10000 FAN TRAY </v>
          </cell>
          <cell r="C1972">
            <v>2600</v>
          </cell>
          <cell r="D1972" t="str">
            <v xml:space="preserve">A </v>
          </cell>
        </row>
        <row r="1973">
          <cell r="A1973" t="str">
            <v xml:space="preserve">X9681A </v>
          </cell>
          <cell r="B1973" t="str">
            <v xml:space="preserve">E10000 POWER CONTROL </v>
          </cell>
          <cell r="C1973">
            <v>1600</v>
          </cell>
          <cell r="D1973" t="str">
            <v xml:space="preserve">A </v>
          </cell>
        </row>
        <row r="1974">
          <cell r="A1974" t="str">
            <v xml:space="preserve">X9682A </v>
          </cell>
          <cell r="B1974" t="str">
            <v xml:space="preserve">OPT POWER SUPPLY FOR E450 </v>
          </cell>
          <cell r="C1974">
            <v>1532</v>
          </cell>
          <cell r="D1974" t="str">
            <v xml:space="preserve">H </v>
          </cell>
        </row>
        <row r="1975">
          <cell r="A1975" t="str">
            <v xml:space="preserve">X9683A </v>
          </cell>
          <cell r="B1975" t="str">
            <v xml:space="preserve">POWER SUPPLY OPTION FOR E250 </v>
          </cell>
          <cell r="C1975">
            <v>904</v>
          </cell>
          <cell r="D1975" t="str">
            <v xml:space="preserve">H </v>
          </cell>
        </row>
        <row r="1976">
          <cell r="A1976" t="str">
            <v xml:space="preserve">X9687A </v>
          </cell>
          <cell r="B1976" t="str">
            <v xml:space="preserve">A5000 CHASSIS POWER SUPPLY </v>
          </cell>
          <cell r="C1976">
            <v>1400</v>
          </cell>
          <cell r="D1976" t="str">
            <v xml:space="preserve">A </v>
          </cell>
        </row>
        <row r="1977">
          <cell r="A1977" t="str">
            <v xml:space="preserve">X9688A </v>
          </cell>
          <cell r="B1977" t="str">
            <v xml:space="preserve">A7000 PWR CONDIT UNIT,8 KVA </v>
          </cell>
          <cell r="C1977">
            <v>28377</v>
          </cell>
          <cell r="D1977" t="str">
            <v xml:space="preserve">A </v>
          </cell>
        </row>
        <row r="1978">
          <cell r="A1978" t="str">
            <v xml:space="preserve">X9689A </v>
          </cell>
          <cell r="B1978" t="str">
            <v xml:space="preserve">OPT 2ND PERIPHERAL PS/195W </v>
          </cell>
          <cell r="C1978">
            <v>2250</v>
          </cell>
          <cell r="D1978" t="str">
            <v xml:space="preserve">A </v>
          </cell>
        </row>
        <row r="1979">
          <cell r="A1979" t="str">
            <v xml:space="preserve">X968A </v>
          </cell>
          <cell r="B1979" t="str">
            <v xml:space="preserve">ENTERPRISE 3000 FLR BRACKET </v>
          </cell>
          <cell r="C1979">
            <v>140</v>
          </cell>
          <cell r="D1979" t="str">
            <v xml:space="preserve">A </v>
          </cell>
        </row>
        <row r="1980">
          <cell r="A1980" t="str">
            <v xml:space="preserve">X9690A </v>
          </cell>
          <cell r="B1980" t="str">
            <v xml:space="preserve">E450 RACKMOUNTING KIT </v>
          </cell>
          <cell r="C1980">
            <v>1019</v>
          </cell>
          <cell r="D1980" t="str">
            <v xml:space="preserve">H </v>
          </cell>
        </row>
        <row r="1981">
          <cell r="A1981" t="str">
            <v xml:space="preserve">X9691A </v>
          </cell>
          <cell r="B1981" t="str">
            <v xml:space="preserve">E250 TOWER TO RACK CONVRSN KIT </v>
          </cell>
          <cell r="C1981">
            <v>774</v>
          </cell>
          <cell r="D1981" t="str">
            <v xml:space="preserve">H </v>
          </cell>
        </row>
        <row r="1982">
          <cell r="A1982" t="str">
            <v xml:space="preserve">X9696A </v>
          </cell>
          <cell r="B1982" t="str">
            <v xml:space="preserve">E250 RACK TO TOWER CONVRSN KIT </v>
          </cell>
          <cell r="C1982">
            <v>514</v>
          </cell>
          <cell r="D1982" t="str">
            <v xml:space="preserve">H </v>
          </cell>
        </row>
        <row r="1983">
          <cell r="A1983" t="str">
            <v xml:space="preserve">X973A </v>
          </cell>
          <cell r="B1983" t="str">
            <v xml:space="preserve">2 METER FIBRE CHANNEL CABLE </v>
          </cell>
          <cell r="C1983">
            <v>195</v>
          </cell>
          <cell r="D1983" t="str">
            <v xml:space="preserve">D </v>
          </cell>
        </row>
        <row r="1984">
          <cell r="A1984" t="str">
            <v xml:space="preserve">X978A </v>
          </cell>
          <cell r="B1984" t="str">
            <v xml:space="preserve">15 METER FIBRE CHANNEL CABLE </v>
          </cell>
          <cell r="C1984">
            <v>228</v>
          </cell>
          <cell r="D1984" t="str">
            <v xml:space="preserve">D </v>
          </cell>
        </row>
        <row r="1985">
          <cell r="A1985" t="str">
            <v xml:space="preserve">X979A </v>
          </cell>
          <cell r="B1985" t="str">
            <v xml:space="preserve">OPT CABLE DSCSI 12M </v>
          </cell>
          <cell r="C1985">
            <v>345</v>
          </cell>
          <cell r="D1985" t="str">
            <v xml:space="preserve">D </v>
          </cell>
        </row>
        <row r="1986">
          <cell r="A1986" t="str">
            <v xml:space="preserve">X9818A </v>
          </cell>
          <cell r="B1986" t="str">
            <v xml:space="preserve">OPT DOOR ASSEMBLY 72" CABINET </v>
          </cell>
          <cell r="C1986">
            <v>910</v>
          </cell>
          <cell r="D1986" t="str">
            <v xml:space="preserve">A </v>
          </cell>
        </row>
        <row r="1987">
          <cell r="A1987" t="str">
            <v xml:space="preserve">X9819A </v>
          </cell>
          <cell r="B1987" t="str">
            <v xml:space="preserve">OPT FAN ASSEMBLY 72" CABINET </v>
          </cell>
          <cell r="C1987">
            <v>1820</v>
          </cell>
          <cell r="D1987" t="str">
            <v xml:space="preserve">A </v>
          </cell>
        </row>
        <row r="1988">
          <cell r="A1988" t="str">
            <v xml:space="preserve">X985A </v>
          </cell>
          <cell r="B1988" t="str">
            <v xml:space="preserve">OPT CABLE SERIAL PORT SPLITTER </v>
          </cell>
          <cell r="C1988">
            <v>65</v>
          </cell>
          <cell r="D1988" t="str">
            <v xml:space="preserve">D </v>
          </cell>
        </row>
        <row r="1989">
          <cell r="A1989" t="str">
            <v xml:space="preserve">X991A </v>
          </cell>
          <cell r="B1989" t="str">
            <v xml:space="preserve">0.16m R/A SCSI cable/Netra st </v>
          </cell>
          <cell r="C1989">
            <v>175</v>
          </cell>
          <cell r="D1989" t="str">
            <v xml:space="preserve">A </v>
          </cell>
        </row>
        <row r="1990">
          <cell r="A1990" t="str">
            <v xml:space="preserve">X992A </v>
          </cell>
          <cell r="B1990" t="str">
            <v xml:space="preserve">2.0M EXT SCSI CABLE/NETRA ST </v>
          </cell>
          <cell r="C1990">
            <v>175</v>
          </cell>
          <cell r="D1990" t="str">
            <v xml:space="preserve">A </v>
          </cell>
        </row>
        <row r="1991">
          <cell r="A1991" t="str">
            <v xml:space="preserve">X993A </v>
          </cell>
          <cell r="B1991" t="str">
            <v xml:space="preserve">4.0m ext SCSI cable/Netra st </v>
          </cell>
          <cell r="C1991">
            <v>175</v>
          </cell>
          <cell r="D1991" t="str">
            <v xml:space="preserve">A </v>
          </cell>
        </row>
        <row r="1992">
          <cell r="A1992" t="str">
            <v xml:space="preserve">X994A </v>
          </cell>
          <cell r="B1992" t="str">
            <v xml:space="preserve">EMI shield/air filter/Netra st </v>
          </cell>
          <cell r="C1992">
            <v>139</v>
          </cell>
          <cell r="D1992" t="str">
            <v xml:space="preserve">A </v>
          </cell>
        </row>
        <row r="1993">
          <cell r="A1993" t="str">
            <v xml:space="preserve">X995A </v>
          </cell>
          <cell r="B1993" t="str">
            <v xml:space="preserve">DC plug conn./10-pack/Netra st </v>
          </cell>
          <cell r="C1993">
            <v>42</v>
          </cell>
          <cell r="D1993" t="str">
            <v xml:space="preserve">A </v>
          </cell>
        </row>
        <row r="1995">
          <cell r="A1995" t="str">
            <v xml:space="preserve">UNDEV-3.0.1-45-S </v>
          </cell>
          <cell r="B1995" t="str">
            <v>SPAC WSU 301, CD+KOREAN DOC</v>
          </cell>
          <cell r="C1995">
            <v>501</v>
          </cell>
          <cell r="D1995" t="str">
            <v>D</v>
          </cell>
        </row>
        <row r="1996">
          <cell r="A1996" t="str">
            <v xml:space="preserve">UNDEV-3.0.1-SL </v>
          </cell>
          <cell r="B1996" t="str">
            <v>SPAC WSU 301, CD+KOREAN DOC, SITELI</v>
          </cell>
          <cell r="C1996">
            <v>13000</v>
          </cell>
          <cell r="D1996" t="str">
            <v>D</v>
          </cell>
        </row>
        <row r="1997">
          <cell r="A1997" t="str">
            <v xml:space="preserve">UNX25-9.1-S </v>
          </cell>
          <cell r="B1997" t="str">
            <v>SPAC X.25 9.1 SLIMKIT</v>
          </cell>
          <cell r="C1997">
            <v>1190</v>
          </cell>
          <cell r="D1997" t="str">
            <v>D</v>
          </cell>
        </row>
        <row r="1998">
          <cell r="A1998" t="str">
            <v xml:space="preserve">UNSNM-DM-2.3-L </v>
          </cell>
          <cell r="B1998" t="str">
            <v>SPAC DOMAIN MGR 2.3 SOLARIS 2</v>
          </cell>
          <cell r="C1998">
            <v>2028</v>
          </cell>
          <cell r="D1998" t="str">
            <v>D</v>
          </cell>
        </row>
        <row r="1999">
          <cell r="A1999" t="str">
            <v xml:space="preserve">UNSNM-DM-2.3-CD </v>
          </cell>
          <cell r="B1999" t="str">
            <v>SPAC DOMAIN MGR 2.3 MEDIA</v>
          </cell>
          <cell r="C1999">
            <v>338</v>
          </cell>
          <cell r="D1999" t="str">
            <v>D</v>
          </cell>
        </row>
        <row r="2000">
          <cell r="A2000" t="str">
            <v>XT3ES-RH-44-1310</v>
          </cell>
          <cell r="B2000" t="str">
            <v>36GB FCAL 10Krpm Disk × 36EA</v>
          </cell>
          <cell r="C2000">
            <v>477800</v>
          </cell>
          <cell r="D2000" t="str">
            <v>A</v>
          </cell>
        </row>
        <row r="2001">
          <cell r="A2001" t="str">
            <v>XT3ES-RH-88-1310</v>
          </cell>
          <cell r="B2001" t="str">
            <v>18GB FCAL 10Krpm Disk × 72EA</v>
          </cell>
          <cell r="C2001">
            <v>755200</v>
          </cell>
          <cell r="D2001" t="str">
            <v>A</v>
          </cell>
        </row>
        <row r="2002">
          <cell r="A2002" t="str">
            <v>XT3ES-RR-22-327R5</v>
          </cell>
          <cell r="B2002" t="str">
            <v>18GB FCAL 10Krpm Disk × 18EA</v>
          </cell>
          <cell r="C2002">
            <v>189674</v>
          </cell>
          <cell r="D2002" t="str">
            <v>A</v>
          </cell>
        </row>
        <row r="2003">
          <cell r="A2003" t="str">
            <v>XT3ES-RR-22-655</v>
          </cell>
          <cell r="B2003" t="str">
            <v>36GB FCAL 10Krpm Disk × 18EA</v>
          </cell>
          <cell r="C2003">
            <v>227100</v>
          </cell>
          <cell r="D2003" t="str">
            <v>A</v>
          </cell>
        </row>
        <row r="2004">
          <cell r="A2004" t="str">
            <v>XT3ES-RK-44-1310</v>
          </cell>
          <cell r="B2004" t="str">
            <v>36GB FCAL 10Krpm Disk × 36EA</v>
          </cell>
          <cell r="C2004">
            <v>471022</v>
          </cell>
          <cell r="D2004" t="str">
            <v>A</v>
          </cell>
        </row>
        <row r="2005">
          <cell r="A2005" t="str">
            <v>VVMGS-304-9999</v>
          </cell>
          <cell r="B2005" t="str">
            <v>Veritas VM 3.0.4 for A5X00</v>
          </cell>
          <cell r="C2005">
            <v>0</v>
          </cell>
          <cell r="D2005" t="str">
            <v>B</v>
          </cell>
        </row>
        <row r="2006">
          <cell r="A2006" t="str">
            <v>VVMGS-999-DEU9</v>
          </cell>
          <cell r="B2006" t="str">
            <v>Veritas VM DEP-ENT Upgrade Lic</v>
          </cell>
          <cell r="C2006">
            <v>8400</v>
          </cell>
          <cell r="D2006" t="str">
            <v>B</v>
          </cell>
        </row>
        <row r="2007">
          <cell r="A2007" t="str">
            <v>VVMGS-999-ESU9</v>
          </cell>
          <cell r="B2007" t="str">
            <v>Veritas VM ENT-E10K Upgrade Lic</v>
          </cell>
          <cell r="C2007">
            <v>14000</v>
          </cell>
          <cell r="D2007" t="str">
            <v>B</v>
          </cell>
        </row>
        <row r="2008">
          <cell r="A2008" t="str">
            <v>SCMMS-210-9P99</v>
          </cell>
          <cell r="B2008" t="str">
            <v>StorEdge Component Manager</v>
          </cell>
          <cell r="C2008">
            <v>0</v>
          </cell>
          <cell r="D2008" t="str">
            <v>B</v>
          </cell>
        </row>
        <row r="2010">
          <cell r="A2010" t="str">
            <v>VNDCU-340-9999</v>
          </cell>
          <cell r="B2010" t="str">
            <v>NBU DC 3.4 UNIX Media Kit, Doc</v>
          </cell>
          <cell r="C2010">
            <v>280</v>
          </cell>
          <cell r="D2010" t="str">
            <v>D</v>
          </cell>
        </row>
        <row r="2011">
          <cell r="A2011" t="str">
            <v>VNDCU-999-S999</v>
          </cell>
          <cell r="B2011" t="str">
            <v>NBU D-Center LIC. ON UNIX, TIER 4</v>
          </cell>
          <cell r="C2011">
            <v>37800</v>
          </cell>
          <cell r="D2011" t="str">
            <v>B</v>
          </cell>
        </row>
        <row r="2012">
          <cell r="A2012" t="str">
            <v>VDCLS-999-D999</v>
          </cell>
          <cell r="B2012" t="str">
            <v>NBU D-Center CLIENT LIC. ON UNIX, TIER 2</v>
          </cell>
          <cell r="C2012">
            <v>1120</v>
          </cell>
          <cell r="D2012" t="str">
            <v>B</v>
          </cell>
        </row>
        <row r="2013">
          <cell r="A2013" t="str">
            <v>VNDTL-999-9999</v>
          </cell>
          <cell r="B2013" t="str">
            <v>NBU D-Center TAPE DRIVE SUPPORT LIC. PER DRIVE</v>
          </cell>
          <cell r="C2013">
            <v>4200</v>
          </cell>
          <cell r="D2013" t="str">
            <v>B</v>
          </cell>
        </row>
        <row r="2014">
          <cell r="A2014" t="str">
            <v>VDORU-999-S999</v>
          </cell>
          <cell r="B2014" t="str">
            <v>NBU D-Center DB AGENT LIC. FOR ORACLE, TIER 4</v>
          </cell>
          <cell r="C2014">
            <v>21000</v>
          </cell>
          <cell r="D2014" t="str">
            <v>B</v>
          </cell>
        </row>
        <row r="2015">
          <cell r="A2015" t="str">
            <v>VDSYU-999-S999</v>
          </cell>
          <cell r="B2015" t="str">
            <v>NBU D-Center DB AGENT LIC. FOR SYBASE, TIER 4</v>
          </cell>
          <cell r="C2015">
            <v>21000</v>
          </cell>
          <cell r="D2015" t="str">
            <v>B</v>
          </cell>
        </row>
        <row r="2016">
          <cell r="A2016" t="str">
            <v>BAK-DGN-IMP-4-PS   </v>
          </cell>
          <cell r="B2016" t="str">
            <v>NBU/SBU TIER 4 DESIGN/IMPLE.</v>
          </cell>
          <cell r="C2016">
            <v>36200</v>
          </cell>
          <cell r="D2016" t="str">
            <v>D</v>
          </cell>
        </row>
        <row r="2018">
          <cell r="A2018" t="str">
            <v>SG-XLIBL700-BASE</v>
          </cell>
          <cell r="B2018" t="str">
            <v>STOREDGE L700 BASE UNIT (396 SLOTS)</v>
          </cell>
          <cell r="C2018">
            <v>174000</v>
          </cell>
          <cell r="D2018" t="str">
            <v>A</v>
          </cell>
        </row>
        <row r="2019">
          <cell r="A2019" t="str">
            <v>SG-XLIB9840-DRV</v>
          </cell>
          <cell r="B2019" t="str">
            <v>STOREDGE 9840 TAPE DRIVE</v>
          </cell>
          <cell r="C2019">
            <v>50250</v>
          </cell>
          <cell r="D2019" t="str">
            <v>A</v>
          </cell>
        </row>
        <row r="2020">
          <cell r="A2020" t="str">
            <v>SG-XLIBL700-CAP</v>
          </cell>
          <cell r="B2020" t="str">
            <v>20 CARTRIDGE ACCESS PORT</v>
          </cell>
          <cell r="C2020">
            <v>7500</v>
          </cell>
          <cell r="D2020" t="str">
            <v>A</v>
          </cell>
        </row>
        <row r="2021">
          <cell r="A2021" t="str">
            <v>SG-XMEDCART-1MAG</v>
          </cell>
          <cell r="B2021" t="str">
            <v>MEDIA MAGAZINE</v>
          </cell>
          <cell r="C2021">
            <v>225</v>
          </cell>
          <cell r="D2021" t="str">
            <v>H</v>
          </cell>
        </row>
        <row r="2022">
          <cell r="A2022" t="str">
            <v>X1065A</v>
          </cell>
          <cell r="B2022" t="str">
            <v>SBUS ULTRA DIFF SCSI-2 HOST ADAPTER</v>
          </cell>
          <cell r="C2022">
            <v>1684</v>
          </cell>
          <cell r="D2022" t="str">
            <v>A</v>
          </cell>
        </row>
        <row r="2023">
          <cell r="A2023" t="str">
            <v>X979A</v>
          </cell>
          <cell r="B2023" t="str">
            <v>12M DIFF SCSI CABLE</v>
          </cell>
          <cell r="C2023">
            <v>345</v>
          </cell>
          <cell r="D2023" t="str">
            <v>D</v>
          </cell>
        </row>
        <row r="2025">
          <cell r="A2025" t="str">
            <v>SG-XMED9840-STRKIT</v>
          </cell>
          <cell r="B2025" t="str">
            <v>9840 MEDIA STARTER KIT (100 DATA MEDIA &amp; 5 CLEANING MEDIA)</v>
          </cell>
          <cell r="C2025">
            <v>16500</v>
          </cell>
          <cell r="D2025" t="str">
            <v>H</v>
          </cell>
        </row>
        <row r="2027">
          <cell r="A2027" t="str">
            <v>FT1800</v>
          </cell>
          <cell r="B2027" t="str">
            <v>FT1800 4CPU,4GB RAM,18.2GB*12,8 I/O Slot for PARE</v>
          </cell>
          <cell r="C2027">
            <v>1000000</v>
          </cell>
          <cell r="D2027" t="str">
            <v>D</v>
          </cell>
        </row>
        <row r="2028">
          <cell r="A2028" t="str">
            <v>ESCON</v>
          </cell>
          <cell r="B2028" t="str">
            <v>IBM ESCON HOST ADAPTER/SW DRIVE</v>
          </cell>
          <cell r="C2028">
            <v>13200</v>
          </cell>
          <cell r="D2028" t="str">
            <v>D</v>
          </cell>
        </row>
        <row r="2029">
          <cell r="A2029" t="str">
            <v>JNI</v>
          </cell>
          <cell r="B2029" t="str">
            <v>EMC DISK I/F FC-AL CARD</v>
          </cell>
          <cell r="C2029">
            <v>6000</v>
          </cell>
          <cell r="D2029" t="str">
            <v>D</v>
          </cell>
        </row>
        <row r="2030">
          <cell r="A2030" t="str">
            <v xml:space="preserve">ORACLE </v>
          </cell>
          <cell r="B2030" t="str">
            <v>ORACLE(OPS포함)</v>
          </cell>
          <cell r="C2030">
            <v>170000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심사물량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노임단가 (2)"/>
      <sheetName val="환경성검토산출근거"/>
      <sheetName val="심사물량"/>
      <sheetName val="심사계산"/>
      <sheetName val="직노"/>
      <sheetName val="실행내역"/>
      <sheetName val="노임단가"/>
      <sheetName val="Sheet1 (2)"/>
      <sheetName val="200"/>
      <sheetName val="장비집계"/>
      <sheetName val="산근1(인건비)"/>
      <sheetName val="setup"/>
      <sheetName val="노임단가 및 기계경비"/>
      <sheetName val="도로횡단-D300"/>
      <sheetName val="항공측량노임단가"/>
      <sheetName val="데리네이타현황"/>
      <sheetName val="산출근거"/>
      <sheetName val="기초단가"/>
      <sheetName val="2003상반기노임기준"/>
      <sheetName val="차수공개요"/>
      <sheetName val="참조"/>
      <sheetName val="일위대가표"/>
      <sheetName val="Sheet2"/>
      <sheetName val="100만평"/>
      <sheetName val="경산시기준점및좌표변환"/>
      <sheetName val="2.재료비"/>
      <sheetName val="12.보오링"/>
      <sheetName val="18.공내수압탄성자연"/>
      <sheetName val="간지"/>
      <sheetName val="데이타"/>
      <sheetName val="식재인부"/>
      <sheetName val="자재단가"/>
      <sheetName val="조명시설"/>
      <sheetName val="용역단가"/>
      <sheetName val="입력란"/>
      <sheetName val="97노임단가"/>
      <sheetName val="기계경비"/>
      <sheetName val="단가"/>
      <sheetName val="수량산출"/>
      <sheetName val="설계명세서"/>
      <sheetName val="I一般比"/>
      <sheetName val="지급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8">
          <cell r="F8">
            <v>121420</v>
          </cell>
        </row>
        <row r="9">
          <cell r="F9">
            <v>93309</v>
          </cell>
        </row>
        <row r="10">
          <cell r="F10">
            <v>77131</v>
          </cell>
        </row>
        <row r="11">
          <cell r="F11">
            <v>59569</v>
          </cell>
        </row>
        <row r="14">
          <cell r="F14">
            <v>44587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변수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000 DB구축 부표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"/>
      <sheetName val="재정비내역"/>
      <sheetName val="지적고시내역"/>
      <sheetName val="재정비직인"/>
      <sheetName val="지적고시직인"/>
      <sheetName val="Sheet2"/>
      <sheetName val="Sheet3"/>
      <sheetName val="1000 DB구축 부표"/>
      <sheetName val="DB구축"/>
      <sheetName val="일위"/>
      <sheetName val="2.어플리케이션보정계수"/>
      <sheetName val="생활지리"/>
      <sheetName val="데리네이타현황"/>
      <sheetName val="Baby일위대가"/>
      <sheetName val="data"/>
      <sheetName val="J直材4"/>
      <sheetName val="암거날개벽재료집계"/>
      <sheetName val="2.재료비"/>
      <sheetName val="재정비2"/>
      <sheetName val="9GNG운반"/>
      <sheetName val="기성고"/>
      <sheetName val="산출근거"/>
      <sheetName val="교각토공"/>
      <sheetName val="상수구조화편집부표"/>
      <sheetName val="을지"/>
      <sheetName val="설직재-1"/>
      <sheetName val="표지 (2)"/>
    </sheetNames>
    <sheetDataSet>
      <sheetData sheetId="0"/>
      <sheetData sheetId="1" refreshError="1">
        <row r="20">
          <cell r="F20">
            <v>295000000</v>
          </cell>
        </row>
      </sheetData>
      <sheetData sheetId="2" refreshError="1">
        <row r="16">
          <cell r="F16">
            <v>613000000</v>
          </cell>
        </row>
      </sheetData>
      <sheetData sheetId="3" refreshError="1">
        <row r="43">
          <cell r="J43">
            <v>33338598.799999997</v>
          </cell>
        </row>
        <row r="51">
          <cell r="J51">
            <v>5805011.8999999994</v>
          </cell>
        </row>
        <row r="59">
          <cell r="J59">
            <v>10294049.199999999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표지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수량산출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시스템개발"/>
      <sheetName val="DB구축"/>
      <sheetName val="SW"/>
      <sheetName val="프로그램 내역"/>
      <sheetName val="SW노임단가"/>
      <sheetName val="상수구조화편집부표"/>
      <sheetName val="입력변수"/>
      <sheetName val="목록"/>
      <sheetName val="생활지리"/>
      <sheetName val="노임단가 (2)"/>
      <sheetName val="부대공"/>
      <sheetName val="운반공"/>
      <sheetName val="1000 DB구축 부표"/>
      <sheetName val="표준단가산출양식"/>
      <sheetName val="TOTAL3"/>
      <sheetName val="노임단가"/>
      <sheetName val="수량산출"/>
      <sheetName val="도면출력"/>
      <sheetName val="#REF"/>
      <sheetName val="기본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발비산정_총괄표"/>
      <sheetName val="세부산출내역서"/>
      <sheetName val="개발원가 산정내역"/>
      <sheetName val="1~2.기능점수및규모"/>
      <sheetName val="2.어플리케이션보정계수"/>
      <sheetName val="3.품질특성보정계수"/>
      <sheetName val="4.언어보정계수"/>
      <sheetName val="DB구축"/>
      <sheetName val="인건비"/>
      <sheetName val="토지매수관리시스템_개발금액산출"/>
      <sheetName val="일람표"/>
      <sheetName val="일위대가표지"/>
      <sheetName val="직재"/>
    </sheetNames>
    <sheetDataSet>
      <sheetData sheetId="0"/>
      <sheetData sheetId="1"/>
      <sheetData sheetId="2"/>
      <sheetData sheetId="3"/>
      <sheetData sheetId="4">
        <row r="4">
          <cell r="C4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설계표지"/>
      <sheetName val="총괄표"/>
      <sheetName val="조사도면제작"/>
      <sheetName val="조사도면제작부표"/>
      <sheetName val="현지조사"/>
      <sheetName val="현지조사부표1"/>
      <sheetName val="조사자료입력"/>
      <sheetName val="조사자료입력부표1"/>
      <sheetName val="구조화편집"/>
      <sheetName val="구조화편집부표"/>
      <sheetName val="노임단가"/>
      <sheetName val="지목별현황"/>
      <sheetName val="지형비율"/>
      <sheetName val="인쇄불필요-증감계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범용수정개발비"/>
      <sheetName val="범용추가기능개발비"/>
      <sheetName val="범용개발순소요비용"/>
      <sheetName val="도로범용개발비"/>
      <sheetName val="HW및SW도입"/>
      <sheetName val="노임단가 (2)"/>
      <sheetName val="재정비직인"/>
      <sheetName val="재정비내역"/>
      <sheetName val="지적고시내역"/>
      <sheetName val="20관리비율"/>
      <sheetName val="수량산출"/>
      <sheetName val="원가계산서구조조정"/>
      <sheetName val="고시단가"/>
      <sheetName val="개발비산출"/>
      <sheetName val="노임단가"/>
      <sheetName val="2.어플리케이션보정계수"/>
      <sheetName val="직노"/>
      <sheetName val="실행내역"/>
      <sheetName val="손익분석"/>
      <sheetName val="공사설계서"/>
      <sheetName val="기계경비"/>
      <sheetName val="날개벽(시점좌측)"/>
      <sheetName val="심사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고시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112"/>
  <sheetViews>
    <sheetView zoomScaleNormal="100" workbookViewId="0">
      <selection activeCell="A5" sqref="A5:J5"/>
    </sheetView>
  </sheetViews>
  <sheetFormatPr defaultColWidth="8.88671875" defaultRowHeight="20.25"/>
  <cols>
    <col min="1" max="1" width="7.77734375" style="2" customWidth="1"/>
    <col min="2" max="2" width="20" style="2" customWidth="1"/>
    <col min="3" max="3" width="7.77734375" style="2" customWidth="1"/>
    <col min="4" max="4" width="19.77734375" style="2" customWidth="1"/>
    <col min="5" max="5" width="7.77734375" style="2" customWidth="1"/>
    <col min="6" max="6" width="19.77734375" style="2" customWidth="1"/>
    <col min="7" max="7" width="7.77734375" style="2" customWidth="1"/>
    <col min="8" max="8" width="19.77734375" style="2" customWidth="1"/>
    <col min="9" max="9" width="7.77734375" style="2" customWidth="1"/>
    <col min="10" max="10" width="19.77734375" style="2" customWidth="1"/>
    <col min="11" max="257" width="8.88671875" style="2"/>
  </cols>
  <sheetData>
    <row r="1" spans="1:10">
      <c r="A1" s="3"/>
      <c r="B1" s="4"/>
      <c r="C1" s="4"/>
      <c r="D1" s="4"/>
      <c r="E1" s="4"/>
      <c r="F1" s="4"/>
      <c r="G1" s="4"/>
      <c r="H1" s="4"/>
      <c r="I1" s="4"/>
      <c r="J1" s="5"/>
    </row>
    <row r="2" spans="1:10" ht="60" customHeight="1">
      <c r="A2" s="137"/>
      <c r="B2" s="137"/>
      <c r="C2" s="6"/>
      <c r="D2" s="7"/>
      <c r="E2" s="6"/>
      <c r="F2" s="7"/>
      <c r="G2" s="6"/>
      <c r="H2" s="8"/>
      <c r="I2" s="6"/>
      <c r="J2" s="9"/>
    </row>
    <row r="3" spans="1:10" ht="15" customHeight="1">
      <c r="A3" s="10"/>
      <c r="B3" s="11"/>
      <c r="C3" s="11"/>
      <c r="D3" s="12"/>
      <c r="E3" s="11"/>
      <c r="F3" s="11"/>
      <c r="G3" s="13"/>
      <c r="H3" s="14"/>
      <c r="I3" s="14"/>
      <c r="J3" s="15"/>
    </row>
    <row r="4" spans="1:10" ht="30" customHeight="1">
      <c r="A4" s="10"/>
      <c r="B4" s="138" t="s">
        <v>46</v>
      </c>
      <c r="C4" s="138"/>
      <c r="D4" s="138"/>
      <c r="J4" s="15"/>
    </row>
    <row r="5" spans="1:10" ht="50.1" customHeight="1">
      <c r="A5" s="164" t="s">
        <v>50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0" ht="45" customHeight="1">
      <c r="A6" s="16"/>
      <c r="B6" s="13"/>
      <c r="C6" s="139" t="s">
        <v>0</v>
      </c>
      <c r="D6" s="139"/>
      <c r="E6" s="139"/>
      <c r="F6" s="139"/>
      <c r="G6" s="139"/>
      <c r="H6" s="139"/>
      <c r="I6" s="13"/>
      <c r="J6" s="17"/>
    </row>
    <row r="7" spans="1:10" ht="89.25" customHeight="1">
      <c r="A7" s="18"/>
      <c r="B7" s="140"/>
      <c r="C7" s="140"/>
      <c r="D7" s="19"/>
      <c r="E7" s="20"/>
      <c r="F7" s="20"/>
      <c r="G7" s="20"/>
      <c r="H7" s="20"/>
      <c r="I7" s="20"/>
      <c r="J7" s="21"/>
    </row>
    <row r="8" spans="1:10" ht="30" customHeight="1">
      <c r="A8" s="22"/>
      <c r="B8" s="13"/>
      <c r="C8" s="142"/>
      <c r="D8" s="142"/>
      <c r="E8" s="142"/>
      <c r="F8" s="142"/>
      <c r="G8" s="142"/>
      <c r="H8" s="142"/>
      <c r="I8" s="142"/>
      <c r="J8" s="23"/>
    </row>
    <row r="9" spans="1:10" ht="30" customHeight="1">
      <c r="A9" s="22"/>
      <c r="B9" s="24"/>
      <c r="C9" s="142"/>
      <c r="D9" s="142"/>
      <c r="E9" s="142"/>
      <c r="F9" s="142"/>
      <c r="G9" s="142"/>
      <c r="H9" s="142"/>
      <c r="I9" s="142"/>
      <c r="J9" s="25"/>
    </row>
    <row r="10" spans="1:10" ht="30.75" customHeight="1">
      <c r="A10" s="22"/>
      <c r="B10" s="26"/>
      <c r="C10" s="27"/>
      <c r="D10" s="27"/>
      <c r="E10" s="143"/>
      <c r="F10" s="143"/>
      <c r="G10" s="144"/>
      <c r="H10" s="144"/>
      <c r="I10" s="26"/>
      <c r="J10" s="25"/>
    </row>
    <row r="11" spans="1:10" ht="30" customHeight="1">
      <c r="A11" s="22"/>
      <c r="B11" s="11"/>
      <c r="C11" s="26"/>
      <c r="D11" s="145"/>
      <c r="E11" s="145"/>
      <c r="F11" s="145"/>
      <c r="G11" s="146"/>
      <c r="H11" s="146"/>
      <c r="I11" s="146"/>
      <c r="J11" s="25"/>
    </row>
    <row r="12" spans="1:10" ht="78" customHeight="1">
      <c r="A12" s="141" t="s">
        <v>48</v>
      </c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30" customHeight="1">
      <c r="A13" s="22"/>
      <c r="B13" s="24"/>
      <c r="C13" s="24"/>
      <c r="D13" s="28"/>
      <c r="E13" s="29"/>
      <c r="F13" s="30"/>
      <c r="G13" s="30"/>
      <c r="H13" s="26"/>
      <c r="I13" s="30"/>
      <c r="J13" s="31"/>
    </row>
    <row r="14" spans="1:10" ht="30" customHeight="1">
      <c r="A14" s="32"/>
      <c r="B14" s="33"/>
      <c r="C14" s="33"/>
      <c r="D14" s="34"/>
      <c r="E14" s="35"/>
      <c r="F14" s="35"/>
      <c r="G14" s="35"/>
      <c r="H14" s="35"/>
      <c r="I14" s="35"/>
      <c r="J14" s="36"/>
    </row>
    <row r="17" spans="6:6">
      <c r="F17" s="37"/>
    </row>
    <row r="108" spans="2:7">
      <c r="B108" s="2">
        <v>0.49852999999999997</v>
      </c>
      <c r="C108" s="2">
        <v>6.6299999999999998E-2</v>
      </c>
      <c r="D108" s="2">
        <v>8.6709999999999995E-2</v>
      </c>
      <c r="E108" s="2">
        <v>0</v>
      </c>
      <c r="F108" s="2">
        <v>0</v>
      </c>
      <c r="G108" s="2">
        <v>6.8974599999999997</v>
      </c>
    </row>
    <row r="112" spans="2:7">
      <c r="C112" s="2">
        <v>65.010999999999996</v>
      </c>
      <c r="D112" s="2">
        <v>0</v>
      </c>
      <c r="E112" s="2">
        <v>0</v>
      </c>
    </row>
  </sheetData>
  <mergeCells count="12">
    <mergeCell ref="A12:J12"/>
    <mergeCell ref="C8:I8"/>
    <mergeCell ref="C9:I9"/>
    <mergeCell ref="E10:F10"/>
    <mergeCell ref="G10:H10"/>
    <mergeCell ref="D11:F11"/>
    <mergeCell ref="G11:I11"/>
    <mergeCell ref="A2:B2"/>
    <mergeCell ref="B4:D4"/>
    <mergeCell ref="A5:J5"/>
    <mergeCell ref="C6:H6"/>
    <mergeCell ref="B7:C7"/>
  </mergeCells>
  <phoneticPr fontId="69" type="noConversion"/>
  <printOptions horizontalCentered="1" verticalCentered="1"/>
  <pageMargins left="0.70833333333333304" right="0.70833333333333304" top="0.74791666666666701" bottom="0.74791666666666701" header="0.511811023622047" footer="0.511811023622047"/>
  <pageSetup paperSize="9" scale="8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4"/>
  <sheetViews>
    <sheetView topLeftCell="A4" zoomScaleNormal="100" workbookViewId="0">
      <selection activeCell="A5" sqref="A5:I5"/>
    </sheetView>
  </sheetViews>
  <sheetFormatPr defaultColWidth="9" defaultRowHeight="13.5"/>
  <cols>
    <col min="1" max="1" width="23.5546875" customWidth="1"/>
    <col min="2" max="2" width="10.33203125" customWidth="1"/>
    <col min="3" max="10" width="10.77734375" customWidth="1"/>
    <col min="11" max="11" width="14.5546875" customWidth="1"/>
    <col min="13" max="13" width="12.6640625" customWidth="1"/>
    <col min="14" max="14" width="30.44140625" customWidth="1"/>
  </cols>
  <sheetData>
    <row r="1" spans="1:13" ht="33.950000000000003" customHeight="1">
      <c r="A1" s="147" t="s">
        <v>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3" ht="24">
      <c r="A2" s="38"/>
      <c r="B2" s="39"/>
      <c r="C2" s="39"/>
      <c r="D2" s="39"/>
      <c r="E2" s="39"/>
      <c r="F2" s="39"/>
      <c r="G2" s="39"/>
      <c r="H2" s="39"/>
      <c r="I2" s="38"/>
      <c r="J2" s="38"/>
    </row>
    <row r="3" spans="1:13" ht="24">
      <c r="A3" s="148" t="s">
        <v>49</v>
      </c>
      <c r="B3" s="148"/>
      <c r="C3" s="148"/>
      <c r="D3" s="148"/>
      <c r="E3" s="148"/>
      <c r="F3" s="148"/>
      <c r="G3" s="148"/>
      <c r="H3" s="148"/>
      <c r="I3" s="148"/>
      <c r="J3" s="38"/>
    </row>
    <row r="4" spans="1:13" ht="24">
      <c r="A4" s="148" t="s">
        <v>53</v>
      </c>
      <c r="B4" s="148"/>
      <c r="C4" s="148"/>
      <c r="D4" s="148"/>
      <c r="E4" s="1"/>
      <c r="F4" s="1"/>
      <c r="G4" s="1"/>
      <c r="H4" s="1"/>
      <c r="I4" s="40"/>
      <c r="J4" s="38"/>
    </row>
    <row r="5" spans="1:13" ht="24">
      <c r="A5" s="148" t="s">
        <v>2</v>
      </c>
      <c r="B5" s="148"/>
      <c r="C5" s="148"/>
      <c r="D5" s="148"/>
      <c r="E5" s="148"/>
      <c r="F5" s="148"/>
      <c r="G5" s="148"/>
      <c r="H5" s="148"/>
      <c r="I5" s="148"/>
      <c r="J5" s="38"/>
    </row>
    <row r="6" spans="1:13" ht="24">
      <c r="A6" s="148" t="s">
        <v>3</v>
      </c>
      <c r="B6" s="148"/>
      <c r="C6" s="148"/>
      <c r="D6" s="148"/>
      <c r="E6" s="148"/>
      <c r="F6" s="148"/>
      <c r="G6" s="148"/>
      <c r="H6" s="148"/>
      <c r="I6" s="148"/>
      <c r="J6" s="38"/>
    </row>
    <row r="7" spans="1:13" ht="24">
      <c r="A7" s="148" t="s">
        <v>4</v>
      </c>
      <c r="B7" s="148"/>
      <c r="C7" s="148"/>
      <c r="D7" s="148"/>
      <c r="E7" s="148"/>
      <c r="F7" s="148"/>
      <c r="G7" s="148"/>
      <c r="H7" s="148"/>
      <c r="I7" s="148"/>
      <c r="J7" s="38"/>
    </row>
    <row r="8" spans="1:13" ht="24">
      <c r="A8" s="148" t="s">
        <v>52</v>
      </c>
      <c r="B8" s="148"/>
      <c r="C8" s="148"/>
      <c r="D8" s="148"/>
      <c r="E8" s="148"/>
      <c r="F8" s="148"/>
      <c r="G8" s="148"/>
      <c r="H8" s="148"/>
      <c r="I8" s="148"/>
      <c r="J8" s="38"/>
    </row>
    <row r="9" spans="1:13" ht="24">
      <c r="A9" s="1" t="s">
        <v>47</v>
      </c>
      <c r="B9" s="1"/>
      <c r="C9" s="1"/>
      <c r="D9" s="1"/>
      <c r="E9" s="1"/>
      <c r="F9" s="1"/>
      <c r="G9" s="1"/>
      <c r="H9" s="1"/>
      <c r="I9" s="1"/>
      <c r="J9" s="38"/>
    </row>
    <row r="10" spans="1:13" ht="24">
      <c r="A10" s="148" t="s">
        <v>5</v>
      </c>
      <c r="B10" s="148"/>
      <c r="C10" s="148"/>
      <c r="D10" s="148"/>
      <c r="E10" s="148"/>
      <c r="F10" s="148"/>
      <c r="G10" s="148"/>
      <c r="H10" s="148"/>
      <c r="I10" s="148"/>
      <c r="J10" s="38"/>
    </row>
    <row r="11" spans="1:13" ht="5.0999999999999996" customHeight="1">
      <c r="A11" s="41"/>
      <c r="B11" s="41"/>
      <c r="C11" s="41"/>
      <c r="D11" s="41"/>
      <c r="E11" s="41"/>
      <c r="F11" s="41"/>
      <c r="G11" s="41"/>
      <c r="H11" s="41"/>
      <c r="I11" s="41"/>
      <c r="J11" s="42"/>
    </row>
    <row r="12" spans="1:13" ht="24" customHeight="1">
      <c r="A12" s="149" t="s">
        <v>6</v>
      </c>
      <c r="B12" s="43" t="s">
        <v>7</v>
      </c>
      <c r="C12" s="150" t="s">
        <v>8</v>
      </c>
      <c r="D12" s="150"/>
      <c r="E12" s="150" t="s">
        <v>9</v>
      </c>
      <c r="F12" s="150"/>
      <c r="G12" s="150" t="s">
        <v>10</v>
      </c>
      <c r="H12" s="150"/>
      <c r="I12" s="151" t="s">
        <v>11</v>
      </c>
      <c r="J12" s="151"/>
    </row>
    <row r="13" spans="1:13" ht="24" customHeight="1">
      <c r="A13" s="149"/>
      <c r="B13" s="44" t="s">
        <v>12</v>
      </c>
      <c r="C13" s="45" t="s">
        <v>12</v>
      </c>
      <c r="D13" s="44" t="s">
        <v>13</v>
      </c>
      <c r="E13" s="45" t="s">
        <v>12</v>
      </c>
      <c r="F13" s="44" t="s">
        <v>13</v>
      </c>
      <c r="G13" s="45" t="s">
        <v>12</v>
      </c>
      <c r="H13" s="44" t="s">
        <v>13</v>
      </c>
      <c r="I13" s="45" t="s">
        <v>12</v>
      </c>
      <c r="J13" s="44" t="s">
        <v>13</v>
      </c>
    </row>
    <row r="14" spans="1:13" ht="24" customHeight="1">
      <c r="A14" s="46" t="s">
        <v>14</v>
      </c>
      <c r="B14" s="47">
        <f>총괄표!H5</f>
        <v>8400000</v>
      </c>
      <c r="C14" s="48">
        <v>0</v>
      </c>
      <c r="D14" s="49">
        <v>0</v>
      </c>
      <c r="E14" s="50">
        <f>총괄표!F5</f>
        <v>4200000</v>
      </c>
      <c r="F14" s="51">
        <v>0.5</v>
      </c>
      <c r="G14" s="52">
        <f>E14</f>
        <v>4200000</v>
      </c>
      <c r="H14" s="51">
        <f>D14+F14</f>
        <v>0.5</v>
      </c>
      <c r="I14" s="48">
        <f>총괄표!G5</f>
        <v>4200000</v>
      </c>
      <c r="J14" s="53">
        <f>100%-H14</f>
        <v>0.5</v>
      </c>
    </row>
    <row r="15" spans="1:13" ht="24" customHeight="1">
      <c r="A15" s="54" t="s">
        <v>15</v>
      </c>
      <c r="B15" s="55">
        <f>B14</f>
        <v>8400000</v>
      </c>
      <c r="C15" s="56">
        <v>0</v>
      </c>
      <c r="D15" s="57"/>
      <c r="E15" s="56">
        <f>E14</f>
        <v>4200000</v>
      </c>
      <c r="F15" s="51"/>
      <c r="G15" s="58">
        <f>G14</f>
        <v>4200000</v>
      </c>
      <c r="H15" s="59"/>
      <c r="I15" s="56">
        <f>I14</f>
        <v>4200000</v>
      </c>
      <c r="J15" s="59"/>
      <c r="M15" s="60"/>
    </row>
    <row r="16" spans="1:13" ht="24" customHeight="1">
      <c r="A16" s="54" t="s">
        <v>16</v>
      </c>
      <c r="B16" s="61">
        <f>B15*0.1</f>
        <v>840000</v>
      </c>
      <c r="C16" s="62">
        <v>0</v>
      </c>
      <c r="D16" s="63"/>
      <c r="E16" s="62">
        <f>E15*0.1</f>
        <v>420000</v>
      </c>
      <c r="F16" s="63"/>
      <c r="G16" s="64">
        <f>G15*0.1</f>
        <v>420000</v>
      </c>
      <c r="H16" s="65"/>
      <c r="I16" s="62">
        <f>I15*0.1</f>
        <v>420000</v>
      </c>
      <c r="J16" s="65"/>
    </row>
    <row r="17" spans="1:13" ht="24" customHeight="1">
      <c r="A17" s="66" t="s">
        <v>17</v>
      </c>
      <c r="B17" s="67">
        <f>B15+B16</f>
        <v>9240000</v>
      </c>
      <c r="C17" s="67"/>
      <c r="D17" s="68"/>
      <c r="E17" s="67">
        <f>E15+E16</f>
        <v>4620000</v>
      </c>
      <c r="F17" s="68"/>
      <c r="G17" s="69">
        <f>G15+G16</f>
        <v>4620000</v>
      </c>
      <c r="H17" s="70"/>
      <c r="I17" s="69">
        <f>I15+I16</f>
        <v>4620000</v>
      </c>
      <c r="J17" s="70"/>
    </row>
    <row r="18" spans="1:13" ht="24" customHeight="1">
      <c r="A18" s="71" t="s">
        <v>18</v>
      </c>
      <c r="B18" s="72">
        <f>B17</f>
        <v>9240000</v>
      </c>
      <c r="C18" s="73" t="s">
        <v>19</v>
      </c>
      <c r="D18" s="73"/>
      <c r="E18" s="72">
        <f>E17</f>
        <v>4620000</v>
      </c>
      <c r="F18" s="73"/>
      <c r="G18" s="72">
        <f>G17</f>
        <v>4620000</v>
      </c>
      <c r="H18" s="74"/>
      <c r="I18" s="72">
        <f>I17</f>
        <v>4620000</v>
      </c>
      <c r="J18" s="74"/>
      <c r="M18" s="75"/>
    </row>
    <row r="19" spans="1:13">
      <c r="M19" s="75"/>
    </row>
    <row r="20" spans="1:13">
      <c r="E20" s="60"/>
    </row>
    <row r="21" spans="1:13">
      <c r="B21" s="76"/>
    </row>
    <row r="22" spans="1:13">
      <c r="B22" s="76"/>
    </row>
    <row r="24" spans="1:13">
      <c r="B24" s="76"/>
    </row>
  </sheetData>
  <mergeCells count="13">
    <mergeCell ref="A7:I7"/>
    <mergeCell ref="A8:I8"/>
    <mergeCell ref="A10:I10"/>
    <mergeCell ref="A12:A13"/>
    <mergeCell ref="C12:D12"/>
    <mergeCell ref="E12:F12"/>
    <mergeCell ref="G12:H12"/>
    <mergeCell ref="I12:J12"/>
    <mergeCell ref="A1:J1"/>
    <mergeCell ref="A3:I3"/>
    <mergeCell ref="A4:D4"/>
    <mergeCell ref="A5:I5"/>
    <mergeCell ref="A6:I6"/>
  </mergeCells>
  <phoneticPr fontId="69" type="noConversion"/>
  <pageMargins left="0.7" right="0.7" top="0.75" bottom="0.7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18"/>
  <sheetViews>
    <sheetView view="pageBreakPreview" topLeftCell="D1" zoomScaleNormal="100" workbookViewId="0">
      <selection activeCell="I8" sqref="I8"/>
    </sheetView>
  </sheetViews>
  <sheetFormatPr defaultColWidth="8.88671875" defaultRowHeight="30" customHeight="1"/>
  <cols>
    <col min="1" max="1" width="1" style="77" customWidth="1"/>
    <col min="2" max="2" width="29.33203125" style="77" customWidth="1"/>
    <col min="3" max="3" width="26.77734375" style="77" customWidth="1"/>
    <col min="4" max="8" width="20.77734375" style="77" customWidth="1"/>
    <col min="9" max="9" width="31" style="77" customWidth="1"/>
    <col min="10" max="10" width="15.33203125" style="78" customWidth="1"/>
    <col min="11" max="11" width="15" style="79" customWidth="1"/>
    <col min="12" max="12" width="21.21875" style="79" customWidth="1"/>
    <col min="13" max="13" width="28.109375" style="80" customWidth="1"/>
    <col min="14" max="14" width="7.109375" style="80" customWidth="1"/>
    <col min="15" max="257" width="8.88671875" style="77"/>
  </cols>
  <sheetData>
    <row r="1" spans="1:257" ht="51.75" customHeight="1">
      <c r="A1" s="153" t="s">
        <v>20</v>
      </c>
      <c r="B1" s="153"/>
      <c r="C1" s="153"/>
      <c r="D1" s="153"/>
      <c r="E1" s="153"/>
      <c r="F1" s="153"/>
      <c r="G1" s="153"/>
      <c r="H1" s="153"/>
      <c r="I1" s="153"/>
      <c r="J1" s="81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/>
      <c r="IO1" s="82"/>
      <c r="IP1" s="82"/>
      <c r="IQ1" s="82"/>
      <c r="IR1" s="82"/>
      <c r="IS1" s="82"/>
      <c r="IT1" s="82"/>
      <c r="IU1" s="82"/>
      <c r="IV1" s="82"/>
      <c r="IW1" s="82"/>
    </row>
    <row r="2" spans="1:257" ht="39.950000000000003" customHeight="1">
      <c r="A2" s="154" t="s">
        <v>21</v>
      </c>
      <c r="B2" s="154"/>
      <c r="C2" s="83" t="s">
        <v>22</v>
      </c>
      <c r="D2" s="84" t="s">
        <v>23</v>
      </c>
      <c r="E2" s="84" t="s">
        <v>24</v>
      </c>
      <c r="F2" s="84" t="s">
        <v>25</v>
      </c>
      <c r="G2" s="84" t="s">
        <v>26</v>
      </c>
      <c r="H2" s="83" t="s">
        <v>15</v>
      </c>
      <c r="I2" s="85" t="s">
        <v>27</v>
      </c>
      <c r="J2" s="86"/>
      <c r="K2" s="87"/>
      <c r="L2" s="88"/>
      <c r="M2" s="88"/>
      <c r="N2" s="87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</row>
    <row r="3" spans="1:257" ht="39.950000000000003" customHeight="1">
      <c r="A3" s="90"/>
      <c r="B3" s="91" t="s">
        <v>28</v>
      </c>
      <c r="C3" s="91"/>
      <c r="D3" s="92"/>
      <c r="E3" s="92"/>
      <c r="F3" s="93"/>
      <c r="G3" s="93"/>
      <c r="H3" s="92"/>
      <c r="I3" s="94"/>
      <c r="J3" s="95"/>
      <c r="K3" s="96"/>
      <c r="L3" s="97"/>
      <c r="M3" s="88"/>
      <c r="N3" s="87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</row>
    <row r="4" spans="1:257" ht="39.950000000000003" customHeight="1">
      <c r="A4" s="99" t="s">
        <v>29</v>
      </c>
      <c r="B4" s="100" t="s">
        <v>30</v>
      </c>
      <c r="C4" s="101"/>
      <c r="D4" s="102">
        <f>'GeoNURIS for KRAS 1.0 유지관리'!H4</f>
        <v>8400000</v>
      </c>
      <c r="E4" s="102"/>
      <c r="F4" s="103">
        <f>'GeoNURIS for KRAS 1.0 유지관리'!J4</f>
        <v>4200000</v>
      </c>
      <c r="G4" s="102">
        <f>'GeoNURIS for KRAS 1.0 유지관리'!L4</f>
        <v>4200000</v>
      </c>
      <c r="H4" s="102">
        <f>F4+G4</f>
        <v>8400000</v>
      </c>
      <c r="I4" s="104"/>
      <c r="J4" s="95"/>
      <c r="K4" s="96"/>
      <c r="L4" s="96"/>
      <c r="M4" s="88"/>
      <c r="N4" s="87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</row>
    <row r="5" spans="1:257" ht="39.950000000000003" customHeight="1">
      <c r="A5" s="155" t="s">
        <v>31</v>
      </c>
      <c r="B5" s="155"/>
      <c r="C5" s="105"/>
      <c r="D5" s="92"/>
      <c r="E5" s="92"/>
      <c r="F5" s="106">
        <f>F4</f>
        <v>4200000</v>
      </c>
      <c r="G5" s="106">
        <f>G4</f>
        <v>4200000</v>
      </c>
      <c r="H5" s="92">
        <f>H4</f>
        <v>8400000</v>
      </c>
      <c r="I5" s="107"/>
    </row>
    <row r="6" spans="1:257" ht="39.950000000000003" customHeight="1">
      <c r="A6" s="156" t="s">
        <v>32</v>
      </c>
      <c r="B6" s="156"/>
      <c r="C6" s="108"/>
      <c r="D6" s="109"/>
      <c r="E6" s="109"/>
      <c r="F6" s="109">
        <f>F5*0.1</f>
        <v>420000</v>
      </c>
      <c r="G6" s="110">
        <f>G5*0.1</f>
        <v>420000</v>
      </c>
      <c r="H6" s="109">
        <f>H5*0.1</f>
        <v>840000</v>
      </c>
      <c r="I6" s="111"/>
    </row>
    <row r="7" spans="1:257" ht="39.950000000000003" customHeight="1">
      <c r="A7" s="155" t="s">
        <v>17</v>
      </c>
      <c r="B7" s="155"/>
      <c r="C7" s="105"/>
      <c r="D7" s="92"/>
      <c r="E7" s="92"/>
      <c r="F7" s="106">
        <f>SUM(F5:F6)</f>
        <v>4620000</v>
      </c>
      <c r="G7" s="106">
        <f>SUM(G5:G6)</f>
        <v>4620000</v>
      </c>
      <c r="H7" s="92">
        <f>H5+H6</f>
        <v>9240000</v>
      </c>
      <c r="I7" s="112"/>
      <c r="J7" s="95"/>
      <c r="K7" s="96"/>
      <c r="L7" s="96"/>
      <c r="M7" s="87"/>
      <c r="N7" s="87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</row>
    <row r="8" spans="1:257" ht="39.950000000000003" customHeight="1">
      <c r="A8" s="152" t="s">
        <v>33</v>
      </c>
      <c r="B8" s="152"/>
      <c r="C8" s="113"/>
      <c r="D8" s="114"/>
      <c r="E8" s="115"/>
      <c r="F8" s="116">
        <f>F7</f>
        <v>4620000</v>
      </c>
      <c r="G8" s="116">
        <f>G7</f>
        <v>4620000</v>
      </c>
      <c r="H8" s="117">
        <f>F8+G8</f>
        <v>9240000</v>
      </c>
      <c r="I8" s="118"/>
      <c r="J8" s="95"/>
      <c r="K8" s="96"/>
      <c r="L8" s="96"/>
      <c r="M8" s="87"/>
      <c r="N8" s="8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</row>
    <row r="10" spans="1:257" ht="30" customHeight="1">
      <c r="D10" s="119"/>
    </row>
    <row r="11" spans="1:257" ht="30" customHeight="1">
      <c r="H11" s="120"/>
    </row>
    <row r="17" spans="5:9" ht="30" customHeight="1">
      <c r="E17" s="121"/>
      <c r="F17" s="121"/>
      <c r="G17" s="121"/>
      <c r="I17" s="122"/>
    </row>
    <row r="18" spans="5:9" ht="30" customHeight="1">
      <c r="E18" s="121"/>
      <c r="F18" s="121"/>
      <c r="G18" s="121"/>
      <c r="I18" s="122"/>
    </row>
  </sheetData>
  <mergeCells count="6">
    <mergeCell ref="A8:B8"/>
    <mergeCell ref="A1:I1"/>
    <mergeCell ref="A2:B2"/>
    <mergeCell ref="A5:B5"/>
    <mergeCell ref="A6:B6"/>
    <mergeCell ref="A7:B7"/>
  </mergeCells>
  <phoneticPr fontId="69" type="noConversion"/>
  <printOptions horizontalCentered="1"/>
  <pageMargins left="0.70833333333333304" right="0.70833333333333304" top="0.74791666666666701" bottom="0.74791666666666701" header="0.511811023622047" footer="0.511811023622047"/>
  <pageSetup paperSize="9" scale="59" orientation="landscape" horizontalDpi="300" verticalDpi="300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10"/>
  <sheetViews>
    <sheetView tabSelected="1" view="pageBreakPreview" topLeftCell="B1" zoomScaleNormal="100" workbookViewId="0">
      <selection activeCell="H17" sqref="H17"/>
    </sheetView>
  </sheetViews>
  <sheetFormatPr defaultColWidth="8" defaultRowHeight="13.5"/>
  <cols>
    <col min="1" max="1" width="29.88671875" style="123" customWidth="1"/>
    <col min="2" max="2" width="6.33203125" style="123" customWidth="1"/>
    <col min="3" max="3" width="8.6640625" style="123" customWidth="1"/>
    <col min="4" max="4" width="15.44140625" style="123" customWidth="1"/>
    <col min="5" max="5" width="13.5546875" style="123" customWidth="1"/>
    <col min="6" max="6" width="11.77734375" style="123" customWidth="1"/>
    <col min="7" max="14" width="10.77734375" style="123" customWidth="1"/>
    <col min="15" max="15" width="12.77734375" style="124" customWidth="1"/>
    <col min="16" max="17" width="13.109375" style="123" customWidth="1"/>
    <col min="18" max="257" width="8" style="123"/>
  </cols>
  <sheetData>
    <row r="1" spans="1:257" ht="57" customHeight="1">
      <c r="A1" s="159" t="s">
        <v>34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25"/>
      <c r="FA1" s="125"/>
      <c r="FB1" s="125"/>
      <c r="FC1" s="125"/>
      <c r="FD1" s="125"/>
      <c r="FE1" s="125"/>
      <c r="FF1" s="125"/>
      <c r="FG1" s="125"/>
      <c r="FH1" s="125"/>
      <c r="FI1" s="125"/>
      <c r="FJ1" s="125"/>
      <c r="FK1" s="125"/>
      <c r="FL1" s="125"/>
      <c r="FM1" s="125"/>
      <c r="FN1" s="125"/>
      <c r="FO1" s="125"/>
      <c r="FP1" s="125"/>
      <c r="FQ1" s="125"/>
      <c r="FR1" s="125"/>
      <c r="FS1" s="125"/>
      <c r="FT1" s="125"/>
      <c r="FU1" s="125"/>
      <c r="FV1" s="125"/>
      <c r="FW1" s="125"/>
      <c r="FX1" s="125"/>
      <c r="FY1" s="125"/>
      <c r="FZ1" s="125"/>
      <c r="GA1" s="125"/>
      <c r="GB1" s="125"/>
      <c r="GC1" s="125"/>
      <c r="GD1" s="125"/>
      <c r="GE1" s="125"/>
      <c r="GF1" s="125"/>
      <c r="GG1" s="125"/>
      <c r="GH1" s="125"/>
      <c r="GI1" s="125"/>
      <c r="GJ1" s="125"/>
      <c r="GK1" s="125"/>
      <c r="GL1" s="125"/>
      <c r="GM1" s="125"/>
      <c r="GN1" s="125"/>
      <c r="GO1" s="125"/>
      <c r="GP1" s="125"/>
      <c r="GQ1" s="125"/>
      <c r="GR1" s="125"/>
      <c r="GS1" s="125"/>
      <c r="GT1" s="125"/>
      <c r="GU1" s="125"/>
      <c r="GV1" s="125"/>
      <c r="GW1" s="125"/>
      <c r="GX1" s="125"/>
      <c r="GY1" s="125"/>
      <c r="GZ1" s="125"/>
      <c r="HA1" s="125"/>
      <c r="HB1" s="125"/>
      <c r="HC1" s="125"/>
      <c r="HD1" s="125"/>
      <c r="HE1" s="125"/>
      <c r="HF1" s="125"/>
      <c r="HG1" s="125"/>
      <c r="HH1" s="125"/>
      <c r="HI1" s="125"/>
      <c r="HJ1" s="125"/>
      <c r="HK1" s="125"/>
      <c r="HL1" s="125"/>
      <c r="HM1" s="125"/>
      <c r="HN1" s="125"/>
      <c r="HO1" s="125"/>
      <c r="HP1" s="125"/>
      <c r="HQ1" s="125"/>
      <c r="HR1" s="125"/>
      <c r="HS1" s="125"/>
      <c r="HT1" s="125"/>
      <c r="HU1" s="125"/>
      <c r="HV1" s="125"/>
      <c r="HW1" s="125"/>
      <c r="HX1" s="125"/>
      <c r="HY1" s="125"/>
      <c r="HZ1" s="125"/>
      <c r="IA1" s="125"/>
      <c r="IB1" s="125"/>
      <c r="IC1" s="125"/>
      <c r="ID1" s="125"/>
      <c r="IE1" s="125"/>
      <c r="IF1" s="125"/>
      <c r="IG1" s="125"/>
      <c r="IH1" s="125"/>
      <c r="II1" s="125"/>
      <c r="IJ1" s="125"/>
      <c r="IK1" s="125"/>
      <c r="IL1" s="125"/>
      <c r="IM1" s="125"/>
      <c r="IN1" s="125"/>
      <c r="IO1" s="125"/>
      <c r="IP1" s="125"/>
      <c r="IQ1" s="125"/>
      <c r="IR1" s="125"/>
      <c r="IS1" s="125"/>
      <c r="IT1" s="125"/>
      <c r="IU1" s="125"/>
      <c r="IV1" s="125"/>
      <c r="IW1" s="125"/>
    </row>
    <row r="2" spans="1:257" ht="39.950000000000003" customHeight="1">
      <c r="A2" s="160" t="s">
        <v>35</v>
      </c>
      <c r="B2" s="160" t="s">
        <v>36</v>
      </c>
      <c r="C2" s="160"/>
      <c r="D2" s="161" t="s">
        <v>37</v>
      </c>
      <c r="E2" s="161" t="s">
        <v>38</v>
      </c>
      <c r="F2" s="160" t="s">
        <v>39</v>
      </c>
      <c r="G2" s="162" t="s">
        <v>51</v>
      </c>
      <c r="H2" s="162"/>
      <c r="I2" s="163" t="s">
        <v>40</v>
      </c>
      <c r="J2" s="163"/>
      <c r="K2" s="163" t="s">
        <v>11</v>
      </c>
      <c r="L2" s="163"/>
      <c r="M2" s="163" t="s">
        <v>41</v>
      </c>
      <c r="N2" s="163"/>
      <c r="O2" s="160" t="s">
        <v>27</v>
      </c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  <c r="FC2" s="125"/>
      <c r="FD2" s="125"/>
      <c r="FE2" s="125"/>
      <c r="FF2" s="125"/>
      <c r="FG2" s="125"/>
      <c r="FH2" s="125"/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5"/>
      <c r="FW2" s="125"/>
      <c r="FX2" s="125"/>
      <c r="FY2" s="125"/>
      <c r="FZ2" s="125"/>
      <c r="GA2" s="125"/>
      <c r="GB2" s="125"/>
      <c r="GC2" s="125"/>
      <c r="GD2" s="125"/>
      <c r="GE2" s="125"/>
      <c r="GF2" s="125"/>
      <c r="GG2" s="125"/>
      <c r="GH2" s="125"/>
      <c r="GI2" s="125"/>
      <c r="GJ2" s="125"/>
      <c r="GK2" s="125"/>
      <c r="GL2" s="125"/>
      <c r="GM2" s="125"/>
      <c r="GN2" s="125"/>
      <c r="GO2" s="125"/>
      <c r="GP2" s="125"/>
      <c r="GQ2" s="125"/>
      <c r="GR2" s="125"/>
      <c r="GS2" s="125"/>
      <c r="GT2" s="125"/>
      <c r="GU2" s="125"/>
      <c r="GV2" s="125"/>
      <c r="GW2" s="125"/>
      <c r="GX2" s="125"/>
      <c r="GY2" s="125"/>
      <c r="GZ2" s="125"/>
      <c r="HA2" s="125"/>
      <c r="HB2" s="125"/>
      <c r="HC2" s="125"/>
      <c r="HD2" s="125"/>
      <c r="HE2" s="125"/>
      <c r="HF2" s="125"/>
      <c r="HG2" s="125"/>
      <c r="HH2" s="125"/>
      <c r="HI2" s="125"/>
      <c r="HJ2" s="125"/>
      <c r="HK2" s="125"/>
      <c r="HL2" s="125"/>
      <c r="HM2" s="125"/>
      <c r="HN2" s="125"/>
      <c r="HO2" s="125"/>
      <c r="HP2" s="125"/>
      <c r="HQ2" s="125"/>
      <c r="HR2" s="125"/>
      <c r="HS2" s="125"/>
      <c r="HT2" s="125"/>
      <c r="HU2" s="125"/>
      <c r="HV2" s="125"/>
      <c r="HW2" s="125"/>
      <c r="HX2" s="125"/>
      <c r="HY2" s="125"/>
      <c r="HZ2" s="125"/>
      <c r="IA2" s="125"/>
      <c r="IB2" s="125"/>
      <c r="IC2" s="125"/>
      <c r="ID2" s="125"/>
      <c r="IE2" s="125"/>
      <c r="IF2" s="125"/>
      <c r="IG2" s="125"/>
      <c r="IH2" s="125"/>
      <c r="II2" s="125"/>
      <c r="IJ2" s="125"/>
      <c r="IK2" s="125"/>
      <c r="IL2" s="125"/>
      <c r="IM2" s="125"/>
      <c r="IN2" s="125"/>
      <c r="IO2" s="125"/>
      <c r="IP2" s="125"/>
      <c r="IQ2" s="125"/>
      <c r="IR2" s="125"/>
      <c r="IS2" s="125"/>
      <c r="IT2" s="125"/>
      <c r="IU2" s="125"/>
      <c r="IV2" s="125"/>
      <c r="IW2" s="125"/>
    </row>
    <row r="3" spans="1:257" ht="39.950000000000003" customHeight="1">
      <c r="A3" s="160"/>
      <c r="B3" s="160"/>
      <c r="C3" s="160"/>
      <c r="D3" s="161"/>
      <c r="E3" s="161"/>
      <c r="F3" s="161"/>
      <c r="G3" s="127" t="s">
        <v>42</v>
      </c>
      <c r="H3" s="126" t="s">
        <v>43</v>
      </c>
      <c r="I3" s="127" t="s">
        <v>42</v>
      </c>
      <c r="J3" s="126" t="s">
        <v>43</v>
      </c>
      <c r="K3" s="127" t="s">
        <v>42</v>
      </c>
      <c r="L3" s="126" t="s">
        <v>43</v>
      </c>
      <c r="M3" s="163"/>
      <c r="N3" s="163"/>
      <c r="O3" s="160"/>
      <c r="P3" s="128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  <c r="DG3" s="125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5"/>
      <c r="FQ3" s="125"/>
      <c r="FR3" s="125"/>
      <c r="FS3" s="125"/>
      <c r="FT3" s="125"/>
      <c r="FU3" s="125"/>
      <c r="FV3" s="125"/>
      <c r="FW3" s="125"/>
      <c r="FX3" s="125"/>
      <c r="FY3" s="125"/>
      <c r="FZ3" s="125"/>
      <c r="GA3" s="125"/>
      <c r="GB3" s="125"/>
      <c r="GC3" s="125"/>
      <c r="GD3" s="125"/>
      <c r="GE3" s="125"/>
      <c r="GF3" s="125"/>
      <c r="GG3" s="125"/>
      <c r="GH3" s="125"/>
      <c r="GI3" s="125"/>
      <c r="GJ3" s="125"/>
      <c r="GK3" s="125"/>
      <c r="GL3" s="125"/>
      <c r="GM3" s="125"/>
      <c r="GN3" s="125"/>
      <c r="GO3" s="125"/>
      <c r="GP3" s="125"/>
      <c r="GQ3" s="125"/>
      <c r="GR3" s="125"/>
      <c r="GS3" s="125"/>
      <c r="GT3" s="125"/>
      <c r="GU3" s="125"/>
      <c r="GV3" s="125"/>
      <c r="GW3" s="125"/>
      <c r="GX3" s="125"/>
      <c r="GY3" s="125"/>
      <c r="GZ3" s="125"/>
      <c r="HA3" s="125"/>
      <c r="HB3" s="125"/>
      <c r="HC3" s="125"/>
      <c r="HD3" s="125"/>
      <c r="HE3" s="125"/>
      <c r="HF3" s="125"/>
      <c r="HG3" s="125"/>
      <c r="HH3" s="125"/>
      <c r="HI3" s="125"/>
      <c r="HJ3" s="125"/>
      <c r="HK3" s="125"/>
      <c r="HL3" s="125"/>
      <c r="HM3" s="125"/>
      <c r="HN3" s="125"/>
      <c r="HO3" s="125"/>
      <c r="HP3" s="125"/>
      <c r="HQ3" s="125"/>
      <c r="HR3" s="125"/>
      <c r="HS3" s="125"/>
      <c r="HT3" s="125"/>
      <c r="HU3" s="125"/>
      <c r="HV3" s="125"/>
      <c r="HW3" s="125"/>
      <c r="HX3" s="125"/>
      <c r="HY3" s="125"/>
      <c r="HZ3" s="125"/>
      <c r="IA3" s="125"/>
      <c r="IB3" s="125"/>
      <c r="IC3" s="125"/>
      <c r="ID3" s="125"/>
      <c r="IE3" s="125"/>
      <c r="IF3" s="125"/>
      <c r="IG3" s="125"/>
      <c r="IH3" s="125"/>
      <c r="II3" s="125"/>
      <c r="IJ3" s="125"/>
      <c r="IK3" s="125"/>
      <c r="IL3" s="125"/>
      <c r="IM3" s="125"/>
      <c r="IN3" s="125"/>
      <c r="IO3" s="125"/>
      <c r="IP3" s="125"/>
      <c r="IQ3" s="125"/>
      <c r="IR3" s="125"/>
      <c r="IS3" s="125"/>
      <c r="IT3" s="125"/>
      <c r="IU3" s="125"/>
      <c r="IV3" s="125"/>
      <c r="IW3" s="125"/>
    </row>
    <row r="4" spans="1:257" ht="50.1" customHeight="1">
      <c r="A4" s="129" t="s">
        <v>30</v>
      </c>
      <c r="B4" s="157" t="s">
        <v>44</v>
      </c>
      <c r="C4" s="157"/>
      <c r="D4" s="131">
        <v>77000000</v>
      </c>
      <c r="E4" s="129">
        <v>70000000</v>
      </c>
      <c r="F4" s="132">
        <v>0.12</v>
      </c>
      <c r="G4" s="133">
        <v>12</v>
      </c>
      <c r="H4" s="131">
        <f>E4*F4</f>
        <v>8400000</v>
      </c>
      <c r="I4" s="136">
        <v>6</v>
      </c>
      <c r="J4" s="131">
        <f>H4/(G4/I4)</f>
        <v>4200000</v>
      </c>
      <c r="K4" s="136">
        <v>6</v>
      </c>
      <c r="L4" s="131">
        <f>H4-J4</f>
        <v>4200000</v>
      </c>
      <c r="M4" s="157"/>
      <c r="N4" s="157"/>
      <c r="O4" s="130"/>
      <c r="P4" s="134"/>
      <c r="Q4" s="135"/>
    </row>
    <row r="5" spans="1:257" ht="39.950000000000003" customHeight="1">
      <c r="A5" s="158" t="s">
        <v>45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</row>
    <row r="10" spans="1:257">
      <c r="I10" s="135"/>
    </row>
  </sheetData>
  <mergeCells count="14">
    <mergeCell ref="B4:C4"/>
    <mergeCell ref="M4:N4"/>
    <mergeCell ref="A5:O5"/>
    <mergeCell ref="A1:O1"/>
    <mergeCell ref="A2:A3"/>
    <mergeCell ref="B2:C3"/>
    <mergeCell ref="D2:D3"/>
    <mergeCell ref="E2:E3"/>
    <mergeCell ref="F2:F3"/>
    <mergeCell ref="G2:H2"/>
    <mergeCell ref="I2:J2"/>
    <mergeCell ref="K2:L2"/>
    <mergeCell ref="M2:N3"/>
    <mergeCell ref="O2:O3"/>
  </mergeCells>
  <phoneticPr fontId="69" type="noConversion"/>
  <printOptions horizontalCentered="1"/>
  <pageMargins left="0.70833333333333304" right="0.70833333333333304" top="0.74791666666666701" bottom="0.74791666666666701" header="0.511811023622047" footer="0.511811023622047"/>
  <pageSetup paperSize="9" scale="6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</vt:lpstr>
      <vt:lpstr>기성 내역서</vt:lpstr>
      <vt:lpstr>총괄표</vt:lpstr>
      <vt:lpstr>GeoNURIS for KRAS 1.0 유지관리</vt:lpstr>
      <vt:lpstr>'GeoNURIS for KRAS 1.0 유지관리'!Print_Area</vt:lpstr>
      <vt:lpstr>총괄표!Print_Area</vt:lpstr>
      <vt:lpstr>표지!Print_Area</vt:lpstr>
      <vt:lpstr>총괄표!Print_Titles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ct21</dc:creator>
  <cp:lastModifiedBy>욱진 박</cp:lastModifiedBy>
  <cp:revision>2</cp:revision>
  <cp:lastPrinted>2026-05-14T13:02:30Z</cp:lastPrinted>
  <dcterms:created xsi:type="dcterms:W3CDTF">2001-08-23T13:46:54Z</dcterms:created>
  <dcterms:modified xsi:type="dcterms:W3CDTF">2026-05-14T13:10:26Z</dcterms:modified>
  <dc:language>ko-KR</dc:language>
</cp:coreProperties>
</file>