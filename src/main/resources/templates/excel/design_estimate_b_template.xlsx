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-DymkXV8Ye6_5XgX7NT3-afKvnhFNd5Q\문서업무\3. 프로젝트\1.착수\2026\박욱진\UPIS\충청북도\단양군\"/>
    </mc:Choice>
  </mc:AlternateContent>
  <bookViews>
    <workbookView xWindow="-120" yWindow="-120" windowWidth="29040" windowHeight="15720" tabRatio="836" firstSheet="1" activeTab="4"/>
  </bookViews>
  <sheets>
    <sheet name="표지 (2)" sheetId="207" r:id="rId1"/>
    <sheet name="설계설명" sheetId="208" r:id="rId2"/>
    <sheet name="표지" sheetId="202" r:id="rId3"/>
    <sheet name="설계갑지" sheetId="205" r:id="rId4"/>
    <sheet name="총괄표" sheetId="189" r:id="rId5"/>
    <sheet name="유지보수등급측정표(전산장비)" sheetId="210" r:id="rId6"/>
    <sheet name="참고.운영장비도입내역" sheetId="2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IntlFixup" hidden="1">TRUE</definedName>
    <definedName name="__KHM111" localSheetId="5" hidden="1">{#N/A,#N/A,FALSE,"제목"}</definedName>
    <definedName name="__KHM111" hidden="1">{#N/A,#N/A,FALSE,"제목"}</definedName>
    <definedName name="__KHM888" localSheetId="5" hidden="1">{#N/A,#N/A,FALSE,"제목"}</definedName>
    <definedName name="__KHM888" hidden="1">{#N/A,#N/A,FALSE,"제목"}</definedName>
    <definedName name="_1_0_S" localSheetId="5" hidden="1">'[1]6PILE  (돌출)'!#REF!</definedName>
    <definedName name="_1_0_S" hidden="1">'[1]6PILE  (돌출)'!#REF!</definedName>
    <definedName name="_10P4_" localSheetId="5" hidden="1">{#N/A,#N/A,FALSE,"혼합골재"}</definedName>
    <definedName name="_10P4_" hidden="1">{#N/A,#N/A,FALSE,"혼합골재"}</definedName>
    <definedName name="_12_0_0_F" hidden="1">'[2]#REF'!#REF!</definedName>
    <definedName name="_12P5_" localSheetId="5" hidden="1">{#N/A,#N/A,FALSE,"배수1"}</definedName>
    <definedName name="_12P5_" hidden="1">{#N/A,#N/A,FALSE,"배수1"}</definedName>
    <definedName name="_14P6_" localSheetId="5" hidden="1">{#N/A,#N/A,FALSE,"2~8번"}</definedName>
    <definedName name="_14P6_" hidden="1">{#N/A,#N/A,FALSE,"2~8번"}</definedName>
    <definedName name="_16S3_" localSheetId="5" hidden="1">{#N/A,#N/A,FALSE,"포장2"}</definedName>
    <definedName name="_16S3_" hidden="1">{#N/A,#N/A,FALSE,"포장2"}</definedName>
    <definedName name="_1S" localSheetId="5" hidden="1">'[3]6PILE  (돌출)'!#REF!</definedName>
    <definedName name="_1S" hidden="1">'[3]6PILE  (돌출)'!#REF!</definedName>
    <definedName name="_2_0_S" localSheetId="5" hidden="1">'[3]6PILE  (돌출)'!#REF!</definedName>
    <definedName name="_2_0_S" hidden="1">'[3]6PILE  (돌출)'!#REF!</definedName>
    <definedName name="_2F" hidden="1">'[4]본선 토공 분배표'!#REF!</definedName>
    <definedName name="_3S" hidden="1">'[3]6PILE  (돌출)'!#REF!</definedName>
    <definedName name="_55P3_" localSheetId="5" hidden="1">{#N/A,#N/A,FALSE,"배수1"}</definedName>
    <definedName name="_55P3_" hidden="1">{#N/A,#N/A,FALSE,"배수1"}</definedName>
    <definedName name="_56P4_" localSheetId="5" hidden="1">{#N/A,#N/A,FALSE,"혼합골재"}</definedName>
    <definedName name="_56P4_" hidden="1">{#N/A,#N/A,FALSE,"혼합골재"}</definedName>
    <definedName name="_57P5_" localSheetId="5" hidden="1">{#N/A,#N/A,FALSE,"배수1"}</definedName>
    <definedName name="_57P5_" hidden="1">{#N/A,#N/A,FALSE,"배수1"}</definedName>
    <definedName name="_58P6_" localSheetId="5" hidden="1">{#N/A,#N/A,FALSE,"2~8번"}</definedName>
    <definedName name="_58P6_" hidden="1">{#N/A,#N/A,FALSE,"2~8번"}</definedName>
    <definedName name="_59S3_" localSheetId="5" hidden="1">{#N/A,#N/A,FALSE,"포장2"}</definedName>
    <definedName name="_59S3_" hidden="1">{#N/A,#N/A,FALSE,"포장2"}</definedName>
    <definedName name="_8_0_S" hidden="1">'[3]6PILE  (돌출)'!#REF!</definedName>
    <definedName name="_8P3_" localSheetId="5" hidden="1">{#N/A,#N/A,FALSE,"배수1"}</definedName>
    <definedName name="_8P3_" hidden="1">{#N/A,#N/A,FALSE,"배수1"}</definedName>
    <definedName name="_Dist_Bin" localSheetId="5" hidden="1">[5]조명시설!#REF!</definedName>
    <definedName name="_Dist_Bin" hidden="1">[5]조명시설!#REF!</definedName>
    <definedName name="_Dist_Values" localSheetId="5" hidden="1">[5]조명시설!#REF!</definedName>
    <definedName name="_Dist_Values" hidden="1">[5]조명시설!#REF!</definedName>
    <definedName name="_Fill" localSheetId="3" hidden="1">#REF!</definedName>
    <definedName name="_Fill" localSheetId="5" hidden="1">#REF!</definedName>
    <definedName name="_Fill" hidden="1">#REF!</definedName>
    <definedName name="_xlnm._FilterDatabase" localSheetId="5" hidden="1">#REF!</definedName>
    <definedName name="_xlnm._FilterDatabase" hidden="1">#REF!</definedName>
    <definedName name="_Key1" localSheetId="3" hidden="1">#REF!</definedName>
    <definedName name="_Key1" localSheetId="5" hidden="1">#REF!</definedName>
    <definedName name="_Key1" hidden="1">#REF!</definedName>
    <definedName name="_Key2" localSheetId="3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hidden="1">#REF!</definedName>
    <definedName name="_kfkf" localSheetId="5" hidden="1">#REF!</definedName>
    <definedName name="_kfkf" hidden="1">#REF!</definedName>
    <definedName name="_KHM111" localSheetId="5" hidden="1">{#N/A,#N/A,FALSE,"제목"}</definedName>
    <definedName name="_KHM111" hidden="1">{#N/A,#N/A,FALSE,"제목"}</definedName>
    <definedName name="_KHM888" localSheetId="5" hidden="1">{#N/A,#N/A,FALSE,"제목"}</definedName>
    <definedName name="_KHM888" hidden="1">{#N/A,#N/A,FALSE,"제목"}</definedName>
    <definedName name="_Order1" hidden="1">255</definedName>
    <definedName name="_Order2" hidden="1">255</definedName>
    <definedName name="_P3" hidden="1">{#N/A,#N/A,FALSE,"배수1"}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3" hidden="1">{#N/A,#N/A,FALSE,"포장2"}</definedName>
    <definedName name="_Sort" localSheetId="3" hidden="1">#REF!</definedName>
    <definedName name="_Sort" localSheetId="5" hidden="1">#REF!</definedName>
    <definedName name="_Sort" hidden="1">#REF!</definedName>
    <definedName name="_Sort11" localSheetId="5" hidden="1">#REF!</definedName>
    <definedName name="_Sort11" hidden="1">#REF!</definedName>
    <definedName name="_Sortt" localSheetId="5" hidden="1">#REF!</definedName>
    <definedName name="_Sortt" hidden="1">#REF!</definedName>
    <definedName name="_Table1_In1" localSheetId="5" hidden="1">[6]시행후면적!$O$59:$O$59</definedName>
    <definedName name="_Table1_In1" hidden="1">[6]시행후면적!$O$59:$O$59</definedName>
    <definedName name="_Table1_Out" localSheetId="5" hidden="1">[6]시행후면적!$O$6006:$O$6006</definedName>
    <definedName name="_Table1_Out" hidden="1">[6]시행후면적!$O$6006:$O$6006</definedName>
    <definedName name="_woogi" localSheetId="5" hidden="1">#REF!</definedName>
    <definedName name="_woogi" hidden="1">#REF!</definedName>
    <definedName name="_woogi2" localSheetId="5" hidden="1">#REF!</definedName>
    <definedName name="_woogi2" hidden="1">#REF!</definedName>
    <definedName name="_woogi24" localSheetId="5" hidden="1">#REF!</definedName>
    <definedName name="_woogi24" hidden="1">#REF!</definedName>
    <definedName name="_woogi3" localSheetId="5" hidden="1">#REF!</definedName>
    <definedName name="_woogi3" hidden="1">#REF!</definedName>
    <definedName name="_재ㅐ햐" localSheetId="5" hidden="1">#REF!</definedName>
    <definedName name="_재ㅐ햐" hidden="1">#REF!</definedName>
    <definedName name="aaaa_1" localSheetId="5" hidden="1">{#N/A,#N/A,FALSE,"조골재"}</definedName>
    <definedName name="aaaa_1" hidden="1">{#N/A,#N/A,FALSE,"조골재"}</definedName>
    <definedName name="aaaaa_1" localSheetId="5" hidden="1">{#N/A,#N/A,FALSE,"조골재"}</definedName>
    <definedName name="aaaaa_1" hidden="1">{#N/A,#N/A,FALSE,"조골재"}</definedName>
    <definedName name="aaaaaaaaaa" hidden="1">{#N/A,#N/A,FALSE,"운반시간"}</definedName>
    <definedName name="aaaaaaaaaa_1" localSheetId="5" hidden="1">{#N/A,#N/A,FALSE,"운반시간"}</definedName>
    <definedName name="aaaaaaaaaa_1" hidden="1">{#N/A,#N/A,FALSE,"운반시간"}</definedName>
    <definedName name="aaas" localSheetId="5" hidden="1">#REF!</definedName>
    <definedName name="aaas" hidden="1">#REF!</definedName>
    <definedName name="abd" localSheetId="5" hidden="1">{#N/A,#N/A,FALSE,"골재소요량";#N/A,#N/A,FALSE,"골재소요량"}</definedName>
    <definedName name="abd" hidden="1">{#N/A,#N/A,FALSE,"골재소요량";#N/A,#N/A,FALSE,"골재소요량"}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localSheetId="5" hidden="1">"C:\My Documents\북부수도사업소\전원차단장치\전원차~1\전원차단장치 내역서 03월06일.mdb"</definedName>
    <definedName name="AccessDatabase" hidden="1">"C:\My Documents\북부수도사업소\전원차단장치\전원차~1\전원차단장치 내역서 03월06일.mdb"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fdge" localSheetId="5" hidden="1">{#N/A,#N/A,FALSE,"2~8번"}</definedName>
    <definedName name="adfdge" hidden="1">{#N/A,#N/A,FALSE,"2~8번"}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5" hidden="1">#REF!</definedName>
    <definedName name="aq" hidden="1">#REF!</definedName>
    <definedName name="asdas" localSheetId="5" hidden="1">{#N/A,#N/A,FALSE,"조골재"}</definedName>
    <definedName name="asdas" hidden="1">{#N/A,#N/A,FALSE,"조골재"}</definedName>
    <definedName name="asdffhjhklllyt" localSheetId="5" hidden="1">{#N/A,#N/A,FALSE,"현장 NCR 분석";#N/A,#N/A,FALSE,"현장품질감사";#N/A,#N/A,FALSE,"현장품질감사"}</definedName>
    <definedName name="asdffhjhklllyt" hidden="1">{#N/A,#N/A,FALSE,"현장 NCR 분석";#N/A,#N/A,FALSE,"현장품질감사";#N/A,#N/A,FALSE,"현장품질감사"}</definedName>
    <definedName name="ASF" localSheetId="5" hidden="1">{#N/A,#N/A,FALSE,"2~8번"}</definedName>
    <definedName name="ASF" hidden="1">{#N/A,#N/A,FALSE,"2~8번"}</definedName>
    <definedName name="asss" localSheetId="5" hidden="1">#REF!</definedName>
    <definedName name="asss" hidden="1">#REF!</definedName>
    <definedName name="bnn" localSheetId="5" hidden="1">{#N/A,#N/A,FALSE,"조골재"}</definedName>
    <definedName name="bnn" hidden="1">{#N/A,#N/A,FALSE,"조골재"}</definedName>
    <definedName name="cdcd" localSheetId="5" hidden="1">#REF!</definedName>
    <definedName name="cdcd" hidden="1">#REF!</definedName>
    <definedName name="consulgin" hidden="1">{"'Price List '!$A$1:$R$156"}</definedName>
    <definedName name="dataww" localSheetId="5" hidden="1">#REF!</definedName>
    <definedName name="dataww" hidden="1">#REF!</definedName>
    <definedName name="ddddd" localSheetId="5" hidden="1">#REF!</definedName>
    <definedName name="ddddd" hidden="1">#REF!</definedName>
    <definedName name="dddddd" localSheetId="5" hidden="1">{#N/A,#N/A,FALSE,"이정표"}</definedName>
    <definedName name="dddddd" hidden="1">{#N/A,#N/A,FALSE,"이정표"}</definedName>
    <definedName name="ddddsasfgh" localSheetId="5" hidden="1">{#N/A,#N/A,FALSE,"현장 NCR 분석";#N/A,#N/A,FALSE,"현장품질감사";#N/A,#N/A,FALSE,"현장품질감사"}</definedName>
    <definedName name="ddddsasfgh" hidden="1">{#N/A,#N/A,FALSE,"현장 NCR 분석";#N/A,#N/A,FALSE,"현장품질감사";#N/A,#N/A,FALSE,"현장품질감사"}</definedName>
    <definedName name="ddddwwwwdddd" localSheetId="5" hidden="1">#REF!</definedName>
    <definedName name="ddddwwwwdddd" hidden="1">#REF!</definedName>
    <definedName name="ddfr" localSheetId="5" hidden="1">#REF!</definedName>
    <definedName name="ddfr" hidden="1">#REF!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d" localSheetId="5" hidden="1">#REF!</definedName>
    <definedName name="ded" hidden="1">#REF!</definedName>
    <definedName name="DEDED" localSheetId="5" hidden="1">#REF!</definedName>
    <definedName name="DEDED" hidden="1">#REF!</definedName>
    <definedName name="DFASFD" localSheetId="5" hidden="1">{#N/A,#N/A,FALSE,"골재소요량";#N/A,#N/A,FALSE,"골재소요량"}</definedName>
    <definedName name="DFASFD" hidden="1">{#N/A,#N/A,FALSE,"골재소요량";#N/A,#N/A,FALSE,"골재소요량"}</definedName>
    <definedName name="DFDASFGDASG" localSheetId="5" hidden="1">{#N/A,#N/A,FALSE,"단가표지"}</definedName>
    <definedName name="DFDASFGDASG" hidden="1">{#N/A,#N/A,FALSE,"단가표지"}</definedName>
    <definedName name="DFDF" localSheetId="5" hidden="1">{#N/A,#N/A,FALSE,"조골재"}</definedName>
    <definedName name="DFDF" hidden="1">{#N/A,#N/A,FALSE,"조골재"}</definedName>
    <definedName name="DFDFDF" localSheetId="5" hidden="1">{#N/A,#N/A,FALSE,"단가표지"}</definedName>
    <definedName name="DFDFDF" hidden="1">{#N/A,#N/A,FALSE,"단가표지"}</definedName>
    <definedName name="DFDSADFADSF" localSheetId="5" hidden="1">{#N/A,#N/A,FALSE,"2~8번"}</definedName>
    <definedName name="DFDSADFADSF" hidden="1">{#N/A,#N/A,FALSE,"2~8번"}</definedName>
    <definedName name="DFDSAFDFD" localSheetId="5" hidden="1">{#N/A,#N/A,FALSE,"부대1"}</definedName>
    <definedName name="DFDSAFDFD" hidden="1">{#N/A,#N/A,FALSE,"부대1"}</definedName>
    <definedName name="DFDSAFSFG" localSheetId="5" hidden="1">{#N/A,#N/A,FALSE,"구조2"}</definedName>
    <definedName name="DFDSAFSFG" hidden="1">{#N/A,#N/A,FALSE,"구조2"}</definedName>
    <definedName name="DFDSAGFDSAG" localSheetId="5" hidden="1">{#N/A,#N/A,FALSE,"혼합골재"}</definedName>
    <definedName name="DFDSAGFDSAG" hidden="1">{#N/A,#N/A,FALSE,"혼합골재"}</definedName>
    <definedName name="DFDSFD" localSheetId="5" hidden="1">{#N/A,#N/A,FALSE,"속도"}</definedName>
    <definedName name="DFDSFD" hidden="1">{#N/A,#N/A,FALSE,"속도"}</definedName>
    <definedName name="DFDSFDFDFD" localSheetId="5" hidden="1">{#N/A,#N/A,FALSE,"구조1"}</definedName>
    <definedName name="DFDSFDFDFD" hidden="1">{#N/A,#N/A,FALSE,"구조1"}</definedName>
    <definedName name="DFDSFDS" localSheetId="5" hidden="1">{#N/A,#N/A,FALSE,"부대2"}</definedName>
    <definedName name="DFDSFDS" hidden="1">{#N/A,#N/A,FALSE,"부대2"}</definedName>
    <definedName name="DFDSSF" localSheetId="5" hidden="1">{#N/A,#N/A,FALSE,"이정표"}</definedName>
    <definedName name="DFDSSF" hidden="1">{#N/A,#N/A,FALSE,"이정표"}</definedName>
    <definedName name="DFGADSGAFDG" localSheetId="5" hidden="1">{#N/A,#N/A,FALSE,"운반시간"}</definedName>
    <definedName name="DFGADSGAFDG" hidden="1">{#N/A,#N/A,FALSE,"운반시간"}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asg" localSheetId="5" hidden="1">{#N/A,#N/A,FALSE,"조골재"}</definedName>
    <definedName name="dgasg" hidden="1">{#N/A,#N/A,FALSE,"조골재"}</definedName>
    <definedName name="DGDFGFGDG" localSheetId="5" hidden="1">{#N/A,#N/A,FALSE,"배수1"}</definedName>
    <definedName name="DGDFGFGDG" hidden="1">{#N/A,#N/A,FALSE,"배수1"}</definedName>
    <definedName name="dgfgf" localSheetId="5" hidden="1">{#N/A,#N/A,FALSE,"2~8번"}</definedName>
    <definedName name="dgfgf" hidden="1">{#N/A,#N/A,FALSE,"2~8번"}</definedName>
    <definedName name="dldldldll" localSheetId="5" hidden="1">[7]조명시설!#REF!</definedName>
    <definedName name="dldldldll" hidden="1">[7]조명시설!#REF!</definedName>
    <definedName name="dns" hidden="1">{#N/A,#N/A,FALSE,"운반시간"}</definedName>
    <definedName name="DRFE" localSheetId="5" hidden="1">{#N/A,#N/A,FALSE,"현장 NCR 분석";#N/A,#N/A,FALSE,"현장품질감사";#N/A,#N/A,FALSE,"현장품질감사"}</definedName>
    <definedName name="DRFE" hidden="1">{#N/A,#N/A,FALSE,"현장 NCR 분석";#N/A,#N/A,FALSE,"현장품질감사";#N/A,#N/A,FALSE,"현장품질감사"}</definedName>
    <definedName name="DSA" localSheetId="5" hidden="1">{#N/A,#N/A,FALSE,"제목"}</definedName>
    <definedName name="DSA" hidden="1">{#N/A,#N/A,FALSE,"제목"}</definedName>
    <definedName name="dsaf" localSheetId="5" hidden="1">{#N/A,#N/A,FALSE,"조골재"}</definedName>
    <definedName name="dsaf" hidden="1">{#N/A,#N/A,FALSE,"조골재"}</definedName>
    <definedName name="dsaf_1" localSheetId="5" hidden="1">{#N/A,#N/A,FALSE,"조골재"}</definedName>
    <definedName name="dsaf_1" hidden="1">{#N/A,#N/A,FALSE,"조골재"}</definedName>
    <definedName name="DSF" localSheetId="5" hidden="1">{#N/A,#N/A,FALSE,"골재소요량";#N/A,#N/A,FALSE,"골재소요량"}</definedName>
    <definedName name="DSF" hidden="1">{#N/A,#N/A,FALSE,"골재소요량";#N/A,#N/A,FALSE,"골재소요량"}</definedName>
    <definedName name="DSF_1" localSheetId="5" hidden="1">{#N/A,#N/A,FALSE,"골재소요량";#N/A,#N/A,FALSE,"골재소요량"}</definedName>
    <definedName name="DSF_1" hidden="1">{#N/A,#N/A,FALSE,"골재소요량";#N/A,#N/A,FALSE,"골재소요량"}</definedName>
    <definedName name="dtrhgnb" localSheetId="5" hidden="1">{#N/A,#N/A,FALSE,"2~8번"}</definedName>
    <definedName name="dtrhgnb" hidden="1">{#N/A,#N/A,FALSE,"2~8번"}</definedName>
    <definedName name="DW" localSheetId="5" hidden="1">{#N/A,#N/A,FALSE,"배수2"}</definedName>
    <definedName name="DW" hidden="1">{#N/A,#N/A,FALSE,"배수2"}</definedName>
    <definedName name="eded" localSheetId="5" hidden="1">#REF!</definedName>
    <definedName name="eded" hidden="1">#REF!</definedName>
    <definedName name="eee_1" localSheetId="5" hidden="1">{#N/A,#N/A,FALSE,"2~8번"}</definedName>
    <definedName name="eee_1" hidden="1">{#N/A,#N/A,FALSE,"2~8번"}</definedName>
    <definedName name="eeefr" localSheetId="5" hidden="1">#REF!</definedName>
    <definedName name="eeefr" hidden="1">#REF!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er" localSheetId="5" hidden="1">#REF!</definedName>
    <definedName name="erer" hidden="1">#REF!</definedName>
    <definedName name="errer" localSheetId="5" hidden="1">#REF!</definedName>
    <definedName name="errer" hidden="1">#REF!</definedName>
    <definedName name="ERYETY" localSheetId="5" hidden="1">'[8]N賃率-職'!$I$5:$I$30</definedName>
    <definedName name="ERYETY" hidden="1">'[8]N賃率-職'!$I$5:$I$30</definedName>
    <definedName name="ETGFVBNJ" localSheetId="5" hidden="1">{#N/A,#N/A,FALSE,"현장 NCR 분석";#N/A,#N/A,FALSE,"현장품질감사";#N/A,#N/A,FALSE,"현장품질감사"}</definedName>
    <definedName name="ETGFVBNJ" hidden="1">{#N/A,#N/A,FALSE,"현장 NCR 분석";#N/A,#N/A,FALSE,"현장품질감사";#N/A,#N/A,FALSE,"현장품질감사"}</definedName>
    <definedName name="ewew" localSheetId="5" hidden="1">#REF!</definedName>
    <definedName name="ewew" hidden="1">#REF!</definedName>
    <definedName name="FDG" localSheetId="5" hidden="1">{#N/A,#N/A,FALSE,"제목"}</definedName>
    <definedName name="FDG" hidden="1">{#N/A,#N/A,FALSE,"제목"}</definedName>
    <definedName name="FDGDFAGFD" localSheetId="5" hidden="1">{#N/A,#N/A,FALSE,"포장1";#N/A,#N/A,FALSE,"포장1"}</definedName>
    <definedName name="FDGDFAGFD" hidden="1">{#N/A,#N/A,FALSE,"포장1";#N/A,#N/A,FALSE,"포장1"}</definedName>
    <definedName name="fdgfdg" localSheetId="5" hidden="1">{#N/A,#N/A,FALSE,"2~8번"}</definedName>
    <definedName name="fdgfdg" hidden="1">{#N/A,#N/A,FALSE,"2~8번"}</definedName>
    <definedName name="fdgfgf" localSheetId="5" hidden="1">{#N/A,#N/A,FALSE,"운반시간"}</definedName>
    <definedName name="fdgfgf" hidden="1">{#N/A,#N/A,FALSE,"운반시간"}</definedName>
    <definedName name="FDS" localSheetId="5" hidden="1">{#N/A,#N/A,FALSE,"제목"}</definedName>
    <definedName name="FDS" hidden="1">{#N/A,#N/A,FALSE,"제목"}</definedName>
    <definedName name="ffffff" localSheetId="5" hidden="1">{#N/A,#N/A,FALSE,"조골재"}</definedName>
    <definedName name="ffffff" hidden="1">{#N/A,#N/A,FALSE,"조골재"}</definedName>
    <definedName name="ffffffffff" localSheetId="5" hidden="1">{#N/A,#N/A,FALSE,"현장 NCR 분석";#N/A,#N/A,FALSE,"현장품질감사";#N/A,#N/A,FALSE,"현장품질감사"}</definedName>
    <definedName name="ffffffffff" hidden="1">{#N/A,#N/A,FALSE,"현장 NCR 분석";#N/A,#N/A,FALSE,"현장품질감사";#N/A,#N/A,FALSE,"현장품질감사"}</definedName>
    <definedName name="FGDAG" localSheetId="5" hidden="1">{#N/A,#N/A,FALSE,"포장2"}</definedName>
    <definedName name="FGDAG" hidden="1">{#N/A,#N/A,FALSE,"포장2"}</definedName>
    <definedName name="FGDAGFG" localSheetId="5" hidden="1">{#N/A,#N/A,FALSE,"혼합골재"}</definedName>
    <definedName name="FGDAGFG" hidden="1">{#N/A,#N/A,FALSE,"혼합골재"}</definedName>
    <definedName name="fgfadgf" localSheetId="5" hidden="1">{#N/A,#N/A,FALSE,"혼합골재"}</definedName>
    <definedName name="fgfadgf" hidden="1">{#N/A,#N/A,FALSE,"혼합골재"}</definedName>
    <definedName name="FGFDG" localSheetId="5" hidden="1">{#N/A,#N/A,FALSE,"표지목차"}</definedName>
    <definedName name="FGFDG" hidden="1">{#N/A,#N/A,FALSE,"표지목차"}</definedName>
    <definedName name="fgfdgffff" localSheetId="5" hidden="1">{#N/A,#N/A,FALSE,"부대2"}</definedName>
    <definedName name="fgfdgffff" hidden="1">{#N/A,#N/A,FALSE,"부대2"}</definedName>
    <definedName name="fgfdsgdfg" localSheetId="5" hidden="1">{#N/A,#N/A,FALSE,"혼합골재"}</definedName>
    <definedName name="fgfdsgdfg" hidden="1">{#N/A,#N/A,FALSE,"혼합골재"}</definedName>
    <definedName name="fgfg" localSheetId="5" hidden="1">{#N/A,#N/A,FALSE,"2~8번"}</definedName>
    <definedName name="fgfg" hidden="1">{#N/A,#N/A,FALSE,"2~8번"}</definedName>
    <definedName name="fgfgfg" localSheetId="5" hidden="1">{#N/A,#N/A,FALSE,"골재소요량";#N/A,#N/A,FALSE,"골재소요량"}</definedName>
    <definedName name="fgfgfg" hidden="1">{#N/A,#N/A,FALSE,"골재소요량";#N/A,#N/A,FALSE,"골재소요량"}</definedName>
    <definedName name="fghfdagfd" localSheetId="5" hidden="1">{#N/A,#N/A,FALSE,"표지목차"}</definedName>
    <definedName name="fghfdagfd" hidden="1">{#N/A,#N/A,FALSE,"표지목차"}</definedName>
    <definedName name="fhddg" localSheetId="5" hidden="1">{#N/A,#N/A,FALSE,"부대1"}</definedName>
    <definedName name="fhddg" hidden="1">{#N/A,#N/A,FALSE,"부대1"}</definedName>
    <definedName name="FHFH" localSheetId="5" hidden="1">[9]수량산출!$A$1:$A$8561</definedName>
    <definedName name="FHFH" hidden="1">[9]수량산출!$A$1:$A$8561</definedName>
    <definedName name="FHFK" localSheetId="5" hidden="1">[9]수량산출!#REF!</definedName>
    <definedName name="FHFK" hidden="1">[9]수량산출!#REF!</definedName>
    <definedName name="fhgdretyjiklp" localSheetId="5" hidden="1">{#N/A,#N/A,FALSE,"현장 NCR 분석";#N/A,#N/A,FALSE,"현장품질감사";#N/A,#N/A,FALSE,"현장품질감사"}</definedName>
    <definedName name="fhgdretyjiklp" hidden="1">{#N/A,#N/A,FALSE,"현장 NCR 분석";#N/A,#N/A,FALSE,"현장품질감사";#N/A,#N/A,FALSE,"현장품질감사"}</definedName>
    <definedName name="fkf" localSheetId="5" hidden="1">#REF!</definedName>
    <definedName name="fkf" hidden="1">#REF!</definedName>
    <definedName name="frfr" localSheetId="5" hidden="1">#REF!</definedName>
    <definedName name="frfr" hidden="1">#REF!</definedName>
    <definedName name="frfrefed" localSheetId="5" hidden="1">#REF!</definedName>
    <definedName name="frfrefed" hidden="1">#REF!</definedName>
    <definedName name="frfrff" localSheetId="5" hidden="1">#REF!</definedName>
    <definedName name="frfrff" hidden="1">#REF!</definedName>
    <definedName name="FSD" localSheetId="5" hidden="1">{#N/A,#N/A,FALSE,"제목"}</definedName>
    <definedName name="FSD" hidden="1">{#N/A,#N/A,FALSE,"제목"}</definedName>
    <definedName name="FSDAF" localSheetId="5" hidden="1">{#N/A,#N/A,FALSE,"제목"}</definedName>
    <definedName name="FSDAF" hidden="1">{#N/A,#N/A,FALSE,"제목"}</definedName>
    <definedName name="FULL" hidden="1">[10]경비2내역!#REF!</definedName>
    <definedName name="fx" hidden="1">{#N/A,#N/A,FALSE,"조골재"}</definedName>
    <definedName name="GDG" localSheetId="5" hidden="1">{#N/A,#N/A,FALSE,"포장2"}</definedName>
    <definedName name="GDG" hidden="1">{#N/A,#N/A,FALSE,"포장2"}</definedName>
    <definedName name="GDGFD" localSheetId="5" hidden="1">{#N/A,#N/A,FALSE,"배수1"}</definedName>
    <definedName name="GDGFD" hidden="1">{#N/A,#N/A,FALSE,"배수1"}</definedName>
    <definedName name="gdjhsy" localSheetId="5" hidden="1">#REF!</definedName>
    <definedName name="gdjhsy" hidden="1">#REF!</definedName>
    <definedName name="GEMCO" localSheetId="5" hidden="1">#REF!</definedName>
    <definedName name="GEMCO" hidden="1">#REF!</definedName>
    <definedName name="GFDG" localSheetId="5" hidden="1">{#N/A,#N/A,FALSE,"2~8번"}</definedName>
    <definedName name="GFDG" hidden="1">{#N/A,#N/A,FALSE,"2~8번"}</definedName>
    <definedName name="GFDGDFGFG" localSheetId="5" hidden="1">{#N/A,#N/A,FALSE,"혼합골재"}</definedName>
    <definedName name="GFDGDFGFG" hidden="1">{#N/A,#N/A,FALSE,"혼합골재"}</definedName>
    <definedName name="gfdsajl" localSheetId="5" hidden="1">{#N/A,#N/A,FALSE,"현장 NCR 분석";#N/A,#N/A,FALSE,"현장품질감사";#N/A,#N/A,FALSE,"현장품질감사"}</definedName>
    <definedName name="gfdsajl" hidden="1">{#N/A,#N/A,FALSE,"현장 NCR 분석";#N/A,#N/A,FALSE,"현장품질감사";#N/A,#N/A,FALSE,"현장품질감사"}</definedName>
    <definedName name="gfgfg" localSheetId="5" hidden="1">{#N/A,#N/A,FALSE,"골재소요량";#N/A,#N/A,FALSE,"골재소요량"}</definedName>
    <definedName name="gfgfg" hidden="1">{#N/A,#N/A,FALSE,"골재소요량";#N/A,#N/A,FALSE,"골재소요량"}</definedName>
    <definedName name="GFGFHGFHF" localSheetId="5" hidden="1">{#N/A,#N/A,FALSE,"토공2"}</definedName>
    <definedName name="GFGFHGFHF" hidden="1">{#N/A,#N/A,FALSE,"토공2"}</definedName>
    <definedName name="gfhgh" localSheetId="5" hidden="1">{#N/A,#N/A,FALSE,"배수2"}</definedName>
    <definedName name="gfhgh" hidden="1">{#N/A,#N/A,FALSE,"배수2"}</definedName>
    <definedName name="gfjdjkyt" localSheetId="5" hidden="1">'[8]N賃率-職'!$I$5:$I$30</definedName>
    <definedName name="gfjdjkyt" hidden="1">'[8]N賃率-職'!$I$5:$I$30</definedName>
    <definedName name="ggfhgfshgh" localSheetId="5" hidden="1">{#N/A,#N/A,FALSE,"포장2"}</definedName>
    <definedName name="ggfhgfshgh" hidden="1">{#N/A,#N/A,FALSE,"포장2"}</definedName>
    <definedName name="ggggg" localSheetId="5" hidden="1">{#N/A,#N/A,FALSE,"구조1"}</definedName>
    <definedName name="ggggg" hidden="1">{#N/A,#N/A,FALSE,"구조1"}</definedName>
    <definedName name="ggggggggggggg" localSheetId="5" hidden="1">{#N/A,#N/A,FALSE,"현장 NCR 분석";#N/A,#N/A,FALSE,"현장품질감사";#N/A,#N/A,FALSE,"현장품질감사"}</definedName>
    <definedName name="ggggggggggggg" hidden="1">{#N/A,#N/A,FALSE,"현장 NCR 분석";#N/A,#N/A,FALSE,"현장품질감사";#N/A,#N/A,FALSE,"현장품질감사"}</definedName>
    <definedName name="gggggggggggggggggg" localSheetId="5" hidden="1">{#N/A,#N/A,FALSE,"현장 NCR 분석";#N/A,#N/A,FALSE,"현장품질감사";#N/A,#N/A,FALSE,"현장품질감사"}</definedName>
    <definedName name="gggggggggggggggggg" hidden="1">{#N/A,#N/A,FALSE,"현장 NCR 분석";#N/A,#N/A,FALSE,"현장품질감사";#N/A,#N/A,FALSE,"현장품질감사"}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{#N/A,#N/A,FALSE,"표지목차"}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dsg" localSheetId="5" hidden="1">'[11]N賃率-職'!$I$5:$I$30</definedName>
    <definedName name="ghdsg" hidden="1">'[11]N賃率-職'!$I$5:$I$30</definedName>
    <definedName name="ghgfh" localSheetId="5" hidden="1">{#N/A,#N/A,FALSE,"포장2"}</definedName>
    <definedName name="ghgfh" hidden="1">{#N/A,#N/A,FALSE,"포장2"}</definedName>
    <definedName name="GJH" localSheetId="5" hidden="1">{#N/A,#N/A,FALSE,"제목"}</definedName>
    <definedName name="GJH" hidden="1">{#N/A,#N/A,FALSE,"제목"}</definedName>
    <definedName name="GJHGLI" localSheetId="5" hidden="1">{#N/A,#N/A,FALSE,"포장1";#N/A,#N/A,FALSE,"포장1"}</definedName>
    <definedName name="GJHGLI" hidden="1">{#N/A,#N/A,FALSE,"포장1";#N/A,#N/A,FALSE,"포장1"}</definedName>
    <definedName name="gtgt" localSheetId="5" hidden="1">#REF!</definedName>
    <definedName name="gtgt" hidden="1">#REF!</definedName>
    <definedName name="gthyhy" localSheetId="5" hidden="1">#REF!</definedName>
    <definedName name="gthyhy" hidden="1">#REF!</definedName>
    <definedName name="han" hidden="1">#REF!</definedName>
    <definedName name="hardwar" localSheetId="5" hidden="1">[12]Sheet3!#REF!</definedName>
    <definedName name="hardwar" hidden="1">[12]Sheet3!#REF!</definedName>
    <definedName name="hdehd" localSheetId="5" hidden="1">#REF!</definedName>
    <definedName name="hdehd" hidden="1">#REF!</definedName>
    <definedName name="hgd" localSheetId="5" hidden="1">{#N/A,#N/A,FALSE,"배수2"}</definedName>
    <definedName name="hgd" hidden="1">{#N/A,#N/A,FALSE,"배수2"}</definedName>
    <definedName name="HGGGH" localSheetId="5" hidden="1">{#N/A,#N/A,FALSE,"제목"}</definedName>
    <definedName name="HGGGH" hidden="1">{#N/A,#N/A,FALSE,"제목"}</definedName>
    <definedName name="hgkjgfd" localSheetId="5" hidden="1">'[13]N賃率-職'!$I$5:$I$30</definedName>
    <definedName name="hgkjgfd" hidden="1">'[13]N賃率-職'!$I$5:$I$30</definedName>
    <definedName name="HH" localSheetId="5" hidden="1">#REF!</definedName>
    <definedName name="HH" hidden="1">#REF!</definedName>
    <definedName name="HHH" localSheetId="5" hidden="1">#REF!</definedName>
    <definedName name="HHH" hidden="1">#REF!</definedName>
    <definedName name="HHHH" localSheetId="5" hidden="1">#REF!</definedName>
    <definedName name="HHHH" hidden="1">#REF!</definedName>
    <definedName name="hhhhhh" localSheetId="5" hidden="1">{#N/A,#N/A,FALSE,"골재소요량";#N/A,#N/A,FALSE,"골재소요량"}</definedName>
    <definedName name="hhhhhh" hidden="1">#REF!</definedName>
    <definedName name="hhj" hidden="1">{#N/A,#N/A,FALSE,"혼합골재"}</definedName>
    <definedName name="HHR" localSheetId="5" hidden="1">{#N/A,#N/A,FALSE,"포장2"}</definedName>
    <definedName name="HHR" hidden="1">{#N/A,#N/A,FALSE,"포장2"}</definedName>
    <definedName name="hjhj" localSheetId="5" hidden="1">#REF!</definedName>
    <definedName name="hjhj" hidden="1">#REF!</definedName>
    <definedName name="hkj" localSheetId="5" hidden="1">{#N/A,#N/A,FALSE,"혼합골재"}</definedName>
    <definedName name="hkj" hidden="1">{#N/A,#N/A,FALSE,"혼합골재"}</definedName>
    <definedName name="HTML_CodePage" hidden="1">949</definedName>
    <definedName name="HTML_Control" localSheetId="5" hidden="1">{"'공사부문'!$A$6:$A$32"}</definedName>
    <definedName name="HTML_Control" hidden="1">{"'공사부문'!$A$6:$A$32"}</definedName>
    <definedName name="HTML_Description" hidden="1">""</definedName>
    <definedName name="HTML_Email" hidden="1">""</definedName>
    <definedName name="HTML_Header" localSheetId="5" hidden="1">"공사부문"</definedName>
    <definedName name="HTML_Header" hidden="1">"공사부문"</definedName>
    <definedName name="HTML_LastUpdate" localSheetId="5" hidden="1">"98-04-27"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5" hidden="1">"김준곤"</definedName>
    <definedName name="HTML_Name" hidden="1">"김준곤"</definedName>
    <definedName name="HTML_OBDlg2" hidden="1">TRUE</definedName>
    <definedName name="HTML_OBDlg4" hidden="1">TRUE</definedName>
    <definedName name="HTML_OS" hidden="1">0</definedName>
    <definedName name="HTML_PathFile" localSheetId="5" hidden="1">"C:\WINNT\Profiles\Administrator\Personal\MyHTML.htm"</definedName>
    <definedName name="HTML_PathFile" hidden="1">"C:\WINNT\Profiles\Administrator\Personal\MyHTML.htm"</definedName>
    <definedName name="HTML_Title" localSheetId="5" hidden="1">"시중노임단가"</definedName>
    <definedName name="HTML_Title" hidden="1">"시중노임단가"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ytrewsd" localSheetId="5" hidden="1">{#N/A,#N/A,FALSE,"현장 NCR 분석";#N/A,#N/A,FALSE,"현장품질감사";#N/A,#N/A,FALSE,"현장품질감사"}</definedName>
    <definedName name="hytrewsd" hidden="1">{#N/A,#N/A,FALSE,"현장 NCR 분석";#N/A,#N/A,FALSE,"현장품질감사";#N/A,#N/A,FALSE,"현장품질감사"}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OIOIOIO" localSheetId="5" hidden="1">{#N/A,#N/A,FALSE,"표지목차"}</definedName>
    <definedName name="IOIOIOIO" hidden="1">{#N/A,#N/A,FALSE,"표지목차"}</definedName>
    <definedName name="IOKJLMNY" localSheetId="5" hidden="1">{#N/A,#N/A,FALSE,"현장 NCR 분석";#N/A,#N/A,FALSE,"현장품질감사";#N/A,#N/A,FALSE,"현장품질감사"}</definedName>
    <definedName name="IOKJLMNY" hidden="1">{#N/A,#N/A,FALSE,"현장 NCR 분석";#N/A,#N/A,FALSE,"현장품질감사";#N/A,#N/A,FALSE,"현장품질감사"}</definedName>
    <definedName name="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BG" hidden="1">#REF!</definedName>
    <definedName name="jhjg" localSheetId="5" hidden="1">{#N/A,#N/A,FALSE,"조골재"}</definedName>
    <definedName name="jhjg" hidden="1">{#N/A,#N/A,FALSE,"조골재"}</definedName>
    <definedName name="jhjh" localSheetId="5" hidden="1">{#N/A,#N/A,FALSE,"표지목차"}</definedName>
    <definedName name="jhjh" hidden="1">{#N/A,#N/A,FALSE,"표지목차"}</definedName>
    <definedName name="jhjhjh" localSheetId="5" hidden="1">#REF!</definedName>
    <definedName name="jhjhjh" hidden="1">#REF!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5" hidden="1">#REF!</definedName>
    <definedName name="JJJ" hidden="1">#REF!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" localSheetId="5" hidden="1">{#N/A,#N/A,FALSE,"단면 제원"}</definedName>
    <definedName name="JJJJJJJ" hidden="1">{#N/A,#N/A,FALSE,"단면 제원"}</definedName>
    <definedName name="jjjjjjjjjjjjjjjjjjjjjjjjjjjjjjjjjjjjjjjjjjjjjjjjjj" localSheetId="5" hidden="1">{#N/A,#N/A,FALSE,"현장 NCR 분석";#N/A,#N/A,FALSE,"현장품질감사";#N/A,#N/A,FALSE,"현장품질감사"}</definedName>
    <definedName name="jjjjjjjjjjjjjjjjjjjjjjjjjjjjjjjjjjjjjjjjjjjjjjjjjj" hidden="1">{#N/A,#N/A,FALSE,"현장 NCR 분석";#N/A,#N/A,FALSE,"현장품질감사";#N/A,#N/A,FALSE,"현장품질감사"}</definedName>
    <definedName name="jjk" hidden="1">{#N/A,#N/A,FALSE,"조골재"}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ghjgk" localSheetId="5" hidden="1">#REF!</definedName>
    <definedName name="jkghjgk" hidden="1">#REF!</definedName>
    <definedName name="JKJKJKJK" localSheetId="5" hidden="1">{#N/A,#N/A,FALSE,"포장1";#N/A,#N/A,FALSE,"포장1"}</definedName>
    <definedName name="JKJKJKJK" hidden="1">{#N/A,#N/A,FALSE,"포장1";#N/A,#N/A,FALSE,"포장1"}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ju" localSheetId="5" hidden="1">#REF!</definedName>
    <definedName name="juju" hidden="1">#REF!</definedName>
    <definedName name="khl" localSheetId="5" hidden="1">{#N/A,#N/A,FALSE,"2~8번"}</definedName>
    <definedName name="khl" hidden="1">{#N/A,#N/A,FALSE,"2~8번"}</definedName>
    <definedName name="kj" hidden="1">{#N/A,#N/A,FALSE,"운반시간"}</definedName>
    <definedName name="KJURBGF" localSheetId="5" hidden="1">{#N/A,#N/A,FALSE,"현장 NCR 분석";#N/A,#N/A,FALSE,"현장품질감사";#N/A,#N/A,FALSE,"현장품질감사"}</definedName>
    <definedName name="KJURBGF" hidden="1">{#N/A,#N/A,FALSE,"현장 NCR 분석";#N/A,#N/A,FALSE,"현장품질감사";#N/A,#N/A,FALSE,"현장품질감사"}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5" hidden="1">#REF!</definedName>
    <definedName name="KKK" hidden="1">#REF!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KKKK" localSheetId="5" hidden="1">{#N/A,#N/A,FALSE,"현장 NCR 분석";#N/A,#N/A,FALSE,"현장품질감사";#N/A,#N/A,FALSE,"현장품질감사"}</definedName>
    <definedName name="KKKKKKKK" hidden="1">{#N/A,#N/A,FALSE,"현장 NCR 분석";#N/A,#N/A,FALSE,"현장품질감사";#N/A,#N/A,FALSE,"현장품질감사"}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hgfdsrtu" localSheetId="5" hidden="1">{#N/A,#N/A,FALSE,"현장 NCR 분석";#N/A,#N/A,FALSE,"현장품질감사";#N/A,#N/A,FALSE,"현장품질감사"}</definedName>
    <definedName name="kljhgfdsrtu" hidden="1">{#N/A,#N/A,FALSE,"현장 NCR 분석";#N/A,#N/A,FALSE,"현장품질감사";#N/A,#N/A,FALSE,"현장품질감사"}</definedName>
    <definedName name="KLLKLKLK" localSheetId="5" hidden="1">{#N/A,#N/A,FALSE,"포장2"}</definedName>
    <definedName name="KLLKLKLK" hidden="1">{#N/A,#N/A,FALSE,"포장2"}</definedName>
    <definedName name="ktf" localSheetId="5" hidden="1">#REF!</definedName>
    <definedName name="ktf" hidden="1">#REF!</definedName>
    <definedName name="KTINFHSVRMWLOFJTUUGJLDJF" localSheetId="5" hidden="1">{#N/A,#N/A,FALSE,"현장 NCR 분석";#N/A,#N/A,FALSE,"현장품질감사";#N/A,#N/A,FALSE,"현장품질감사"}</definedName>
    <definedName name="KTINFHSVRMWLOFJTUUGJLDJF" hidden="1">{#N/A,#N/A,FALSE,"현장 NCR 분석";#N/A,#N/A,FALSE,"현장품질감사";#N/A,#N/A,FALSE,"현장품질감사"}</definedName>
    <definedName name="kty" localSheetId="5" hidden="1">#REF!</definedName>
    <definedName name="kty" hidden="1">#REF!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imcount" hidden="1">1</definedName>
    <definedName name="lkjhgf" localSheetId="5" hidden="1">{#N/A,#N/A,FALSE,"현장 NCR 분석";#N/A,#N/A,FALSE,"현장품질감사";#N/A,#N/A,FALSE,"현장품질감사"}</definedName>
    <definedName name="lkjhgf" hidden="1">{#N/A,#N/A,FALSE,"현장 NCR 분석";#N/A,#N/A,FALSE,"현장품질감사";#N/A,#N/A,FALSE,"현장품질감사"}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5" hidden="1">#REF!</definedName>
    <definedName name="LLL" hidden="1">#REF!</definedName>
    <definedName name="lllllllllllllllllllllllllllllllllllllllllllll" localSheetId="5" hidden="1">{#N/A,#N/A,FALSE,"현장 NCR 분석";#N/A,#N/A,FALSE,"현장품질감사";#N/A,#N/A,FALSE,"현장품질감사"}</definedName>
    <definedName name="lllllllllllllllllllllllllllllllllllllllllllll" hidden="1">{#N/A,#N/A,FALSE,"현장 NCR 분석";#N/A,#N/A,FALSE,"현장품질감사";#N/A,#N/A,FALSE,"현장품질감사"}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" localSheetId="5" hidden="1">#REF!</definedName>
    <definedName name="m" hidden="1">#REF!</definedName>
    <definedName name="mjmj" localSheetId="5" hidden="1">#REF!</definedName>
    <definedName name="mjmj" hidden="1">#REF!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hnhd" localSheetId="5" hidden="1">#REF!</definedName>
    <definedName name="nnhnhd" hidden="1">#REF!</definedName>
    <definedName name="nnnnn" hidden="1">{"'Price List '!$A$1:$R$156"}</definedName>
    <definedName name="OOO" localSheetId="5" hidden="1">#REF!</definedName>
    <definedName name="OOO" hidden="1">#REF!</definedName>
    <definedName name="ooooo" localSheetId="5" hidden="1">#REF!</definedName>
    <definedName name="ooooo" hidden="1">#REF!</definedName>
    <definedName name="OPOP" localSheetId="5" hidden="1">[14]수량산출!#REF!</definedName>
    <definedName name="OPOP" hidden="1">[14]수량산출!#REF!</definedName>
    <definedName name="OPP" localSheetId="5" hidden="1">#REF!</definedName>
    <definedName name="OPP" hidden="1">#REF!</definedName>
    <definedName name="OPPP" localSheetId="5" hidden="1">[15]수량산출!$A$3:$H$8539</definedName>
    <definedName name="OPPP" hidden="1">[15]수량산출!$A$3:$H$8539</definedName>
    <definedName name="poopiiuuuuyyttthgf" localSheetId="5" hidden="1">{#N/A,#N/A,FALSE,"현장 NCR 분석";#N/A,#N/A,FALSE,"현장품질감사";#N/A,#N/A,FALSE,"현장품질감사"}</definedName>
    <definedName name="poopiiuuuuyyttthgf" hidden="1">{#N/A,#N/A,FALSE,"현장 NCR 분석";#N/A,#N/A,FALSE,"현장품질감사";#N/A,#N/A,FALSE,"현장품질감사"}</definedName>
    <definedName name="popo" localSheetId="5" hidden="1">#REF!</definedName>
    <definedName name="popo" hidden="1">#REF!</definedName>
    <definedName name="PPP" localSheetId="5" hidden="1">#REF!</definedName>
    <definedName name="PPP" hidden="1">#REF!</definedName>
    <definedName name="ppppoi" localSheetId="5" hidden="1">#REF!</definedName>
    <definedName name="ppppoi" hidden="1">#REF!</definedName>
    <definedName name="pppppo" localSheetId="5" hidden="1">#REF!</definedName>
    <definedName name="pppppo" hidden="1">#REF!</definedName>
    <definedName name="ppppppp" localSheetId="5" hidden="1">#REF!</definedName>
    <definedName name="ppppppp" hidden="1">#REF!</definedName>
    <definedName name="_xlnm.Print_Area" localSheetId="3">설계갑지!$A$1:$K$15</definedName>
    <definedName name="_xlnm.Print_Area" localSheetId="5">'유지보수등급측정표(전산장비)'!$A$1:$H$62</definedName>
    <definedName name="Q" localSheetId="5" hidden="1">#REF!</definedName>
    <definedName name="Q" hidden="1">#REF!</definedName>
    <definedName name="q00" localSheetId="5" hidden="1">{#N/A,#N/A,FALSE,"운반시간"}</definedName>
    <definedName name="q00" hidden="1">{#N/A,#N/A,FALSE,"운반시간"}</definedName>
    <definedName name="Q3WEE" localSheetId="5" hidden="1">{#N/A,#N/A,FALSE,"조골재"}</definedName>
    <definedName name="Q3WEE" hidden="1">{#N/A,#N/A,FALSE,"조골재"}</definedName>
    <definedName name="Q3WEE_1" localSheetId="5" hidden="1">{#N/A,#N/A,FALSE,"조골재"}</definedName>
    <definedName name="Q3WEE_1" hidden="1">{#N/A,#N/A,FALSE,"조골재"}</definedName>
    <definedName name="qe" hidden="1">#REF!</definedName>
    <definedName name="qqqqqq" localSheetId="5" hidden="1">{#N/A,#N/A,FALSE,"현장 NCR 분석";#N/A,#N/A,FALSE,"현장품질감사";#N/A,#N/A,FALSE,"현장품질감사"}</definedName>
    <definedName name="qqqqqq" hidden="1">{#N/A,#N/A,FALSE,"현장 NCR 분석";#N/A,#N/A,FALSE,"현장품질감사";#N/A,#N/A,FALSE,"현장품질감사"}</definedName>
    <definedName name="QW" localSheetId="5" hidden="1">{#N/A,#N/A,FALSE,"배수2"}</definedName>
    <definedName name="QW" hidden="1">{#N/A,#N/A,FALSE,"배수2"}</definedName>
    <definedName name="qwerqerwr" localSheetId="5" hidden="1">#REF!</definedName>
    <definedName name="qwerqerwr" hidden="1">#REF!</definedName>
    <definedName name="QWQ" localSheetId="5" hidden="1">{#N/A,#N/A,FALSE,"배수2"}</definedName>
    <definedName name="QWQ" hidden="1">{#N/A,#N/A,FALSE,"배수2"}</definedName>
    <definedName name="qwreq" localSheetId="5" hidden="1">#REF!</definedName>
    <definedName name="qwreq" hidden="1">#REF!</definedName>
    <definedName name="QWS" localSheetId="5" hidden="1">#REF!</definedName>
    <definedName name="QWS" hidden="1">#REF!</definedName>
    <definedName name="RERE" localSheetId="5" hidden="1">#REF!</definedName>
    <definedName name="RERE" hidden="1">#REF!</definedName>
    <definedName name="rererere" localSheetId="5" hidden="1">#REF!</definedName>
    <definedName name="rererere" hidden="1">#REF!</definedName>
    <definedName name="RFGBVCDW" localSheetId="5" hidden="1">{#N/A,#N/A,FALSE,"현장 NCR 분석";#N/A,#N/A,FALSE,"현장품질감사";#N/A,#N/A,FALSE,"현장품질감사"}</definedName>
    <definedName name="RFGBVCDW" hidden="1">{#N/A,#N/A,FALSE,"현장 NCR 분석";#N/A,#N/A,FALSE,"현장품질감사";#N/A,#N/A,FALSE,"현장품질감사"}</definedName>
    <definedName name="RFVGBNH" localSheetId="5" hidden="1">{#N/A,#N/A,FALSE,"현장 NCR 분석";#N/A,#N/A,FALSE,"현장품질감사";#N/A,#N/A,FALSE,"현장품질감사"}</definedName>
    <definedName name="RFVGBNH" hidden="1">{#N/A,#N/A,FALSE,"현장 NCR 분석";#N/A,#N/A,FALSE,"현장품질감사";#N/A,#N/A,FALSE,"현장품질감사"}</definedName>
    <definedName name="rhf" localSheetId="5" hidden="1">#REF!</definedName>
    <definedName name="rhf" hidden="1">#REF!</definedName>
    <definedName name="RK" localSheetId="5" hidden="1">[9]수량산출!#REF!</definedName>
    <definedName name="RK" hidden="1">[9]수량산출!#REF!</definedName>
    <definedName name="RRR" localSheetId="5" hidden="1">{#N/A,#N/A,FALSE,"포장2"}</definedName>
    <definedName name="rth" localSheetId="5" hidden="1">#REF!</definedName>
    <definedName name="rth" hidden="1">#REF!</definedName>
    <definedName name="rtrtr" localSheetId="5" hidden="1">#REF!</definedName>
    <definedName name="rtrtr" hidden="1">#REF!</definedName>
    <definedName name="RWER" localSheetId="5" hidden="1">{#N/A,#N/A,FALSE,"제목"}</definedName>
    <definedName name="RWER" hidden="1">{#N/A,#N/A,FALSE,"제목"}</definedName>
    <definedName name="sasasassas" localSheetId="5" hidden="1">{#N/A,#N/A,FALSE,"현장 NCR 분석";#N/A,#N/A,FALSE,"현장품질감사";#N/A,#N/A,FALSE,"현장품질감사"}</definedName>
    <definedName name="sasasassas" hidden="1">{#N/A,#N/A,FALSE,"현장 NCR 분석";#N/A,#N/A,FALSE,"현장품질감사";#N/A,#N/A,FALSE,"현장품질감사"}</definedName>
    <definedName name="SCANNER" hidden="1">{"'Price List '!$A$1:$R$156"}</definedName>
    <definedName name="SDCFG\" localSheetId="5" hidden="1">{#N/A,#N/A,FALSE,"운반시간"}</definedName>
    <definedName name="SDCFG\" hidden="1">{#N/A,#N/A,FALSE,"운반시간"}</definedName>
    <definedName name="SDDFD" localSheetId="5" hidden="1">{#N/A,#N/A,FALSE,"배수1"}</definedName>
    <definedName name="SDDFD" hidden="1">{#N/A,#N/A,FALSE,"배수1"}</definedName>
    <definedName name="SDF" localSheetId="5" hidden="1">{#N/A,#N/A,FALSE,"혼합골재"}</definedName>
    <definedName name="SDF" hidden="1">{#N/A,#N/A,FALSE,"혼합골재"}</definedName>
    <definedName name="SDFDFD" localSheetId="5" hidden="1">{#N/A,#N/A,FALSE,"운반시간"}</definedName>
    <definedName name="SDFDFD" hidden="1">{#N/A,#N/A,FALSE,"운반시간"}</definedName>
    <definedName name="SDS" localSheetId="5" hidden="1">{#N/A,#N/A,FALSE,"2~8번"}</definedName>
    <definedName name="SDS" hidden="1">{#N/A,#N/A,FALSE,"2~8번"}</definedName>
    <definedName name="SDS_1" localSheetId="5" hidden="1">{#N/A,#N/A,FALSE,"2~8번"}</definedName>
    <definedName name="SDS_1" hidden="1">{#N/A,#N/A,FALSE,"2~8번"}</definedName>
    <definedName name="sdsdddd" localSheetId="5" hidden="1">{#N/A,#N/A,FALSE,"토공2"}</definedName>
    <definedName name="sdsdddd" hidden="1">{#N/A,#N/A,FALSE,"토공2"}</definedName>
    <definedName name="sdsdsds" localSheetId="5" hidden="1">#REF!</definedName>
    <definedName name="sdsdsds" hidden="1">#REF!</definedName>
    <definedName name="sencount" hidden="1">1</definedName>
    <definedName name="SFA" localSheetId="5" hidden="1">{#N/A,#N/A,FALSE,"포장1";#N/A,#N/A,FALSE,"포장1"}</definedName>
    <definedName name="SFA" hidden="1">{#N/A,#N/A,FALSE,"포장1";#N/A,#N/A,FALSE,"포장1"}</definedName>
    <definedName name="sfdgsd" localSheetId="5" hidden="1">#REF!</definedName>
    <definedName name="sfdgsd" hidden="1">#REF!</definedName>
    <definedName name="sfggf" localSheetId="5" hidden="1">{#N/A,#N/A,FALSE,"배수1"}</definedName>
    <definedName name="sfggf" hidden="1">{#N/A,#N/A,FALSE,"배수1"}</definedName>
    <definedName name="sfgsdfd" localSheetId="5" hidden="1">#REF!</definedName>
    <definedName name="sfgsdfd" hidden="1">#REF!</definedName>
    <definedName name="SFSDFDSF" localSheetId="5" hidden="1">{#N/A,#N/A,FALSE,"운반시간"}</definedName>
    <definedName name="SFSDFDSF" hidden="1">{#N/A,#N/A,FALSE,"운반시간"}</definedName>
    <definedName name="SGARETER" localSheetId="5" hidden="1">#REF!</definedName>
    <definedName name="SGARETER" hidden="1">#REF!</definedName>
    <definedName name="SH" hidden="1">{#N/A,#N/A,FALSE,"제목"}</definedName>
    <definedName name="sheet" localSheetId="5" hidden="1">{#N/A,#N/A,FALSE,"골재소요량";#N/A,#N/A,FALSE,"골재소요량"}</definedName>
    <definedName name="sheet" hidden="1">{#N/A,#N/A,FALSE,"골재소요량";#N/A,#N/A,FALSE,"골재소요량"}</definedName>
    <definedName name="solver_lin" hidden="1">0</definedName>
    <definedName name="solver_num" hidden="1">1</definedName>
    <definedName name="solver_rel1" hidden="1">1</definedName>
    <definedName name="solver_rhs1" hidden="1">500000000</definedName>
    <definedName name="solver_tmp" hidden="1">500000000</definedName>
    <definedName name="solver_typ" hidden="1">1</definedName>
    <definedName name="solver_val" hidden="1">0</definedName>
    <definedName name="sss" localSheetId="5" hidden="1">#REF!</definedName>
    <definedName name="sss" hidden="1">#REF!</definedName>
    <definedName name="SSS_1" localSheetId="5" hidden="1">{#N/A,#N/A,FALSE,"2~8번"}</definedName>
    <definedName name="SSS_1" hidden="1">{#N/A,#N/A,FALSE,"2~8번"}</definedName>
    <definedName name="sssss" localSheetId="5" hidden="1">{#N/A,#N/A,FALSE,"운반시간"}</definedName>
    <definedName name="sssss" hidden="1">{#N/A,#N/A,FALSE,"운반시간"}</definedName>
    <definedName name="swasqqq" localSheetId="5" hidden="1">#REF!</definedName>
    <definedName name="swasqqq" hidden="1">#REF!</definedName>
    <definedName name="swsw" localSheetId="5" hidden="1">#REF!</definedName>
    <definedName name="swsw" hidden="1">#REF!</definedName>
    <definedName name="TGFR" localSheetId="5" hidden="1">{#N/A,#N/A,FALSE,"현장 NCR 분석";#N/A,#N/A,FALSE,"현장품질감사";#N/A,#N/A,FALSE,"현장품질감사"}</definedName>
    <definedName name="TGFR" hidden="1">{#N/A,#N/A,FALSE,"현장 NCR 분석";#N/A,#N/A,FALSE,"현장품질감사";#N/A,#N/A,FALSE,"현장품질감사"}</definedName>
    <definedName name="treuipo" localSheetId="5" hidden="1">{#N/A,#N/A,FALSE,"현장 NCR 분석";#N/A,#N/A,FALSE,"현장품질감사";#N/A,#N/A,FALSE,"현장품질감사"}</definedName>
    <definedName name="treuipo" hidden="1">{#N/A,#N/A,FALSE,"현장 NCR 분석";#N/A,#N/A,FALSE,"현장품질감사";#N/A,#N/A,FALSE,"현장품질감사"}</definedName>
    <definedName name="trtrtrtrtr" localSheetId="5" hidden="1">#REF!</definedName>
    <definedName name="trtrtrtrtr" hidden="1">#REF!</definedName>
    <definedName name="tt" hidden="1">#REF!</definedName>
    <definedName name="tttq" localSheetId="5" hidden="1">#REF!</definedName>
    <definedName name="tttq" hidden="1">#REF!</definedName>
    <definedName name="TTTT" localSheetId="5" hidden="1">#REF!</definedName>
    <definedName name="TTTT" hidden="1">#REF!</definedName>
    <definedName name="tye" localSheetId="5" hidden="1">#REF!</definedName>
    <definedName name="tye" hidden="1">#REF!</definedName>
    <definedName name="tyettyuierghjkk" localSheetId="5" hidden="1">{#N/A,#N/A,FALSE,"현장 NCR 분석";#N/A,#N/A,FALSE,"현장품질감사";#N/A,#N/A,FALSE,"현장품질감사"}</definedName>
    <definedName name="tyettyuierghjkk" hidden="1">{#N/A,#N/A,FALSE,"현장 NCR 분석";#N/A,#N/A,FALSE,"현장품질감사";#N/A,#N/A,FALSE,"현장품질감사"}</definedName>
    <definedName name="TYHFDGFD" localSheetId="5" hidden="1">{#N/A,#N/A,FALSE,"배수2"}</definedName>
    <definedName name="TYHFDGFD" hidden="1">{#N/A,#N/A,FALSE,"배수2"}</definedName>
    <definedName name="TYREWQ" localSheetId="5" hidden="1">{#N/A,#N/A,FALSE,"현장 NCR 분석";#N/A,#N/A,FALSE,"현장품질감사";#N/A,#N/A,FALSE,"현장품질감사"}</definedName>
    <definedName name="TYREWQ" hidden="1">{#N/A,#N/A,FALSE,"현장 NCR 분석";#N/A,#N/A,FALSE,"현장품질감사";#N/A,#N/A,FALSE,"현장품질감사"}</definedName>
    <definedName name="U" localSheetId="5" hidden="1">{"'용역비'!$A$4:$C$8"}</definedName>
    <definedName name="U" hidden="1">{"'용역비'!$A$4:$C$8"}</definedName>
    <definedName name="UJGTE" localSheetId="5" hidden="1">{#N/A,#N/A,FALSE,"현장 NCR 분석";#N/A,#N/A,FALSE,"현장품질감사";#N/A,#N/A,FALSE,"현장품질감사"}</definedName>
    <definedName name="UJGTE" hidden="1">{#N/A,#N/A,FALSE,"현장 NCR 분석";#N/A,#N/A,FALSE,"현장품질감사";#N/A,#N/A,FALSE,"현장품질감사"}</definedName>
    <definedName name="ur" localSheetId="5" hidden="1">#REF!</definedName>
    <definedName name="ur" hidden="1">#REF!</definedName>
    <definedName name="uy89ihbn" localSheetId="5" hidden="1">{#N/A,#N/A,FALSE,"2~8번"}</definedName>
    <definedName name="uy89ihbn" hidden="1">{#N/A,#N/A,FALSE,"2~8번"}</definedName>
    <definedName name="vcnf" localSheetId="5" hidden="1">'[16]N賃率-職'!$I$5:$I$30</definedName>
    <definedName name="vcnf" hidden="1">'[16]N賃率-職'!$I$5:$I$30</definedName>
    <definedName name="vfvfvf" localSheetId="5" hidden="1">#REF!</definedName>
    <definedName name="vfvfvf" hidden="1">#REF!</definedName>
    <definedName name="VV" hidden="1">{#N/A,#N/A,FALSE,"현장 NCR 분석";#N/A,#N/A,FALSE,"현장품질감사";#N/A,#N/A,FALSE,"현장품질감사"}</definedName>
    <definedName name="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DSCVG" localSheetId="5" hidden="1">{#N/A,#N/A,FALSE,"현장 NCR 분석";#N/A,#N/A,FALSE,"현장품질감사";#N/A,#N/A,FALSE,"현장품질감사"}</definedName>
    <definedName name="WEDSCVG" hidden="1">{#N/A,#N/A,FALSE,"현장 NCR 분석";#N/A,#N/A,FALSE,"현장품질감사";#N/A,#N/A,FALSE,"현장품질감사"}</definedName>
    <definedName name="wer" hidden="1">{#N/A,#N/A,FALSE,"골재소요량";#N/A,#N/A,FALSE,"골재소요량"}</definedName>
    <definedName name="wer_1" localSheetId="5" hidden="1">{#N/A,#N/A,FALSE,"골재소요량";#N/A,#N/A,FALSE,"골재소요량"}</definedName>
    <definedName name="wer_1" hidden="1">{#N/A,#N/A,FALSE,"골재소요량";#N/A,#N/A,FALSE,"골재소요량"}</definedName>
    <definedName name="wew" hidden="1">#REF!</definedName>
    <definedName name="wewrrrre" localSheetId="5" hidden="1">{#N/A,#N/A,FALSE,"현장 NCR 분석";#N/A,#N/A,FALSE,"현장품질감사";#N/A,#N/A,FALSE,"현장품질감사"}</definedName>
    <definedName name="wewrrrre" hidden="1">{#N/A,#N/A,FALSE,"현장 NCR 분석";#N/A,#N/A,FALSE,"현장품질감사";#N/A,#N/A,FALSE,"현장품질감사"}</definedName>
    <definedName name="wm.조골재1" localSheetId="5" hidden="1">{#N/A,#N/A,FALSE,"조골재"}</definedName>
    <definedName name="wm.조골재1" hidden="1">{#N/A,#N/A,FALSE,"조골재"}</definedName>
    <definedName name="woogi" localSheetId="5" hidden="1">#REF!</definedName>
    <definedName name="woogi" hidden="1">#REF!</definedName>
    <definedName name="woogi2" localSheetId="5" hidden="1">#REF!</definedName>
    <definedName name="woogi2" hidden="1">#REF!</definedName>
    <definedName name="wrn.111." localSheetId="5" hidden="1">{#N/A,#N/A,FALSE,"제목"}</definedName>
    <definedName name="wrn.111." hidden="1">{#N/A,#N/A,FALSE,"제목"}</definedName>
    <definedName name="wrn.2번." localSheetId="5" hidden="1">{#N/A,#N/A,FALSE,"2~8번"}</definedName>
    <definedName name="wrn.2번." hidden="1">{#N/A,#N/A,FALSE,"2~8번"}</definedName>
    <definedName name="wrn.2번._1" localSheetId="5" hidden="1">{#N/A,#N/A,FALSE,"2~8번"}</definedName>
    <definedName name="wrn.2번._1" hidden="1">{#N/A,#N/A,FALSE,"2~8번"}</definedName>
    <definedName name="wrn.3번." localSheetId="5" hidden="1">{#N/A,#N/A,FALSE,"2~8번"}</definedName>
    <definedName name="wrn.3번." hidden="1">{#N/A,#N/A,FALSE,"2~8번"}</definedName>
    <definedName name="wrn.골재소요량." localSheetId="5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localSheetId="5" hidden="1">{#N/A,#N/A,FALSE,"골재소요량";#N/A,#N/A,FALSE,"골재소요량"}</definedName>
    <definedName name="wrn.골재소요량._1" hidden="1">{#N/A,#N/A,FALSE,"골재소요량";#N/A,#N/A,FALSE,"골재소요량"}</definedName>
    <definedName name="wrn.교대." localSheetId="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5" hidden="1">{#N/A,#N/A,FALSE,"전력간선"}</definedName>
    <definedName name="wrn.교육청." hidden="1">{#N/A,#N/A,FALSE,"전력간선"}</definedName>
    <definedName name="wrn.교육청.1" hidden="1">{#N/A,#N/A,FALSE,"전력간선"}</definedName>
    <definedName name="wrn.구조2." localSheetId="5" hidden="1">{#N/A,#N/A,FALSE,"구조2"}</definedName>
    <definedName name="wrn.구조2." hidden="1">{#N/A,#N/A,FALSE,"구조2"}</definedName>
    <definedName name="wrn.단가표지." localSheetId="5" hidden="1">{#N/A,#N/A,FALSE,"단가표지"}</definedName>
    <definedName name="wrn.단가표지." hidden="1">{#N/A,#N/A,FALSE,"단가표지"}</definedName>
    <definedName name="wrn.단가표지._1" localSheetId="5" hidden="1">{#N/A,#N/A,FALSE,"단가표지"}</definedName>
    <definedName name="wrn.단가표지._1" hidden="1">{#N/A,#N/A,FALSE,"단가표지"}</definedName>
    <definedName name="wrn.배수1." localSheetId="5" hidden="1">{#N/A,#N/A,FALSE,"배수1"}</definedName>
    <definedName name="wrn.배수1." hidden="1">{#N/A,#N/A,FALSE,"배수1"}</definedName>
    <definedName name="wrn.배수2." localSheetId="5" hidden="1">{#N/A,#N/A,FALSE,"배수2"}</definedName>
    <definedName name="wrn.배수2." hidden="1">{#N/A,#N/A,FALSE,"배수2"}</definedName>
    <definedName name="wrn.부대1." localSheetId="5" hidden="1">{#N/A,#N/A,FALSE,"부대1"}</definedName>
    <definedName name="wrn.부대1." hidden="1">{#N/A,#N/A,FALSE,"부대1"}</definedName>
    <definedName name="wrn.부대2." localSheetId="5" hidden="1">{#N/A,#N/A,FALSE,"부대2"}</definedName>
    <definedName name="wrn.부대2." hidden="1">{#N/A,#N/A,FALSE,"부대2"}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5" hidden="1">{#N/A,#N/A,FALSE,"속도"}</definedName>
    <definedName name="wrn.속도." hidden="1">{#N/A,#N/A,FALSE,"속도"}</definedName>
    <definedName name="wrn.송변전공종단가.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localSheetId="5" hidden="1">{#N/A,#N/A,FALSE,"운반시간"}</definedName>
    <definedName name="wrn.운반시간." hidden="1">{#N/A,#N/A,FALSE,"운반시간"}</definedName>
    <definedName name="wrn.운반시간._1" localSheetId="5" hidden="1">{#N/A,#N/A,FALSE,"운반시간"}</definedName>
    <definedName name="wrn.운반시간._1" hidden="1">{#N/A,#N/A,FALSE,"운반시간"}</definedName>
    <definedName name="wrn.월간보고." hidden="1">{#N/A,#N/A,FALSE,"99.11(감독실)";#N/A,#N/A,FALSE,"전체현황(감독실)";#N/A,#N/A,FALSE,"성토및 침하현황(99.11)(사업소)";#N/A,#N/A,FALSE,"방치구간 현황(99.11)(사업소)"}</definedName>
    <definedName name="wrn.이정표." localSheetId="5" hidden="1">{#N/A,#N/A,FALSE,"이정표"}</definedName>
    <definedName name="wrn.이정표." hidden="1">{#N/A,#N/A,FALSE,"이정표"}</definedName>
    <definedName name="wrn.전열선출서." localSheetId="5" hidden="1">{#N/A,#N/A,FALSE,"전열산출서"}</definedName>
    <definedName name="wrn.전열선출서." hidden="1">{#N/A,#N/A,FALSE,"전열산출서"}</definedName>
    <definedName name="wrn.조골재." localSheetId="5" hidden="1">{#N/A,#N/A,FALSE,"조골재"}</definedName>
    <definedName name="wrn.조골재." hidden="1">{#N/A,#N/A,FALSE,"조골재"}</definedName>
    <definedName name="wrn.조골재._1" localSheetId="5" hidden="1">{#N/A,#N/A,FALSE,"조골재"}</definedName>
    <definedName name="wrn.조골재._1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localSheetId="5" hidden="1">{#N/A,#N/A,FALSE,"구조1"}</definedName>
    <definedName name="wrn.토공1." hidden="1">{#N/A,#N/A,FALSE,"구조1"}</definedName>
    <definedName name="wrn.토공2." localSheetId="5" hidden="1">{#N/A,#N/A,FALSE,"토공2"}</definedName>
    <definedName name="wrn.토공2." hidden="1">{#N/A,#N/A,FALSE,"토공2"}</definedName>
    <definedName name="wrn.통신지." hidden="1">{#N/A,#N/A,FALSE,"기안지";#N/A,#N/A,FALSE,"통신지"}</definedName>
    <definedName name="wrn.포장1." localSheetId="5" hidden="1">{#N/A,#N/A,FALSE,"포장1";#N/A,#N/A,FALSE,"포장1"}</definedName>
    <definedName name="wrn.포장1." hidden="1">{#N/A,#N/A,FALSE,"포장1";#N/A,#N/A,FALSE,"포장1"}</definedName>
    <definedName name="wrn.포장2." localSheetId="5" hidden="1">{#N/A,#N/A,FALSE,"포장2"}</definedName>
    <definedName name="wrn.포장2." hidden="1">{#N/A,#N/A,FALSE,"포장2"}</definedName>
    <definedName name="wrn.포장단가." localSheetId="5" hidden="1">{#N/A,#N/A,FALSE,"포장단가"}</definedName>
    <definedName name="wrn.포장단가." hidden="1">{#N/A,#N/A,FALSE,"포장단가"}</definedName>
    <definedName name="wrn.표준공종단가.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5" hidden="1">{#N/A,#N/A,FALSE,"표지목차"}</definedName>
    <definedName name="wrn.표지목차." hidden="1">{#N/A,#N/A,FALSE,"표지목차"}</definedName>
    <definedName name="wrn.표지목차._1" localSheetId="5" hidden="1">{#N/A,#N/A,FALSE,"표지목차"}</definedName>
    <definedName name="wrn.표지목차._1" hidden="1">{#N/A,#N/A,FALSE,"표지목차"}</definedName>
    <definedName name="wrn.현장._.NCR._.분석." localSheetId="5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5" hidden="1">{#N/A,#N/A,FALSE,"혼합골재"}</definedName>
    <definedName name="wrn.혼합골재." hidden="1">{#N/A,#N/A,FALSE,"혼합골재"}</definedName>
    <definedName name="wrn.혼합골재._1" localSheetId="5" hidden="1">{#N/A,#N/A,FALSE,"혼합골재"}</definedName>
    <definedName name="wrn.혼합골재._1" hidden="1">{#N/A,#N/A,FALSE,"혼합골재"}</definedName>
    <definedName name="wrn.황금동." localSheetId="5" hidden="1">{#N/A,#N/A,FALSE,"단면 제원"}</definedName>
    <definedName name="wrn.황금동." hidden="1">{#N/A,#N/A,FALSE,"단면 제원"}</definedName>
    <definedName name="wwww" localSheetId="5" hidden="1">#REF!</definedName>
    <definedName name="wwww" hidden="1">#REF!</definedName>
    <definedName name="x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oghdhg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oghdhg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xxxc" hidden="1">{#N/A,#N/A,FALSE,"조골재"}</definedName>
    <definedName name="XXXXXX" localSheetId="5" hidden="1">{"'공사부문'!$A$6:$A$32"}</definedName>
    <definedName name="XXXXXX" hidden="1">{"'공사부문'!$A$6:$A$32"}</definedName>
    <definedName name="YL" localSheetId="5" hidden="1">{"'용역비'!$A$4:$C$8"}</definedName>
    <definedName name="YL" hidden="1">{"'용역비'!$A$4:$C$8"}</definedName>
    <definedName name="YTYT" localSheetId="5" hidden="1">#REF!</definedName>
    <definedName name="YTYT" hidden="1">#REF!</definedName>
    <definedName name="ytytytyty" localSheetId="5" hidden="1">#REF!</definedName>
    <definedName name="ytytytyty" hidden="1">#REF!</definedName>
    <definedName name="YUYUY" localSheetId="5" hidden="1">{#N/A,#N/A,FALSE,"혼합골재"}</definedName>
    <definedName name="YUYUY" hidden="1">{#N/A,#N/A,FALSE,"혼합골재"}</definedName>
    <definedName name="yy" localSheetId="5" hidden="1">{#N/A,#N/A,FALSE,"단가표지"}</definedName>
    <definedName name="yy" hidden="1">#REF!</definedName>
    <definedName name="yyty" localSheetId="5" hidden="1">#REF!</definedName>
    <definedName name="yyty" hidden="1">#REF!</definedName>
    <definedName name="yyuiyuyy" localSheetId="5" hidden="1">{#N/A,#N/A,FALSE,"현장 NCR 분석";#N/A,#N/A,FALSE,"현장품질감사";#N/A,#N/A,FALSE,"현장품질감사"}</definedName>
    <definedName name="yyuiyuyy" hidden="1">{#N/A,#N/A,FALSE,"현장 NCR 분석";#N/A,#N/A,FALSE,"현장품질감사";#N/A,#N/A,FALSE,"현장품질감사"}</definedName>
    <definedName name="yyy" localSheetId="5" hidden="1">[17]수량산출!$A$1:$A$8561</definedName>
    <definedName name="yyy" hidden="1">[17]수량산출!$A$1:$A$8561</definedName>
    <definedName name="yyyyyh" localSheetId="5" hidden="1">#REF!</definedName>
    <definedName name="yyyyyh" hidden="1">#REF!</definedName>
    <definedName name="yyyyyy" hidden="1">{#N/A,#N/A,FALSE,"조골재"}</definedName>
    <definedName name="z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#REF!</definedName>
    <definedName name="ㄱ" localSheetId="5" hidden="1">[15]수량산출!#REF!</definedName>
    <definedName name="ㄱ" hidden="1">[15]수량산출!#REF!</definedName>
    <definedName name="ㄱㄱ" hidden="1">{#N/A,#N/A,FALSE,"운반시간"}</definedName>
    <definedName name="ㄱㄱㄱㄱㄱ" hidden="1">{#N/A,#N/A,FALSE,"2~8번"}</definedName>
    <definedName name="ㄱㄱㄱㄱㄱㄱ" localSheetId="5" hidden="1">{#N/A,#N/A,FALSE,"2~8번"}</definedName>
    <definedName name="ㄱㄱㄱㄱㄱㄱ" hidden="1">{#N/A,#N/A,FALSE,"2~8번"}</definedName>
    <definedName name="ㄱㄱㄱㄱㄱㄱㄱㄱㄱㄱㄱㄱㄱ" hidden="1">{#N/A,#N/A,FALSE,"단가표지"}</definedName>
    <definedName name="ㄱㄱㄱㄱㄱㄱㄱㄱㄱㄱㄱㄱㄱㄱㄱㄱ" hidden="1">{#N/A,#N/A,FALSE,"골재소요량";#N/A,#N/A,FALSE,"골재소요량"}</definedName>
    <definedName name="ㄱㄱㄱㄱㄱㄱㄱㄱㄱㄱㄱㄱㄱㄱㄱㄱㄱㄱ" hidden="1">{#N/A,#N/A,FALSE,"조골재"}</definedName>
    <definedName name="ㄱㄳㄳ" hidden="1">{#N/A,#N/A,FALSE,"2~8번"}</definedName>
    <definedName name="ㄱㄴ슌ㄱ" hidden="1">{#N/A,#N/A,FALSE,"단가표지"}</definedName>
    <definedName name="ㄱㄷ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ㄱㄷ" localSheetId="5" hidden="1">{#N/A,#N/A,FALSE,"2~8번"}</definedName>
    <definedName name="ㄱㄷㄱㄷ" hidden="1">{#N/A,#N/A,FALSE,"2~8번"}</definedName>
    <definedName name="ㄱㄷㄴ슌ㄱ" hidden="1">{#N/A,#N/A,FALSE,"골재소요량";#N/A,#N/A,FALSE,"골재소요량"}</definedName>
    <definedName name="ㄱㄷㄻ" localSheetId="5" hidden="1">{#N/A,#N/A,FALSE,"포장단가"}</definedName>
    <definedName name="ㄱㄷㄻ" hidden="1">{#N/A,#N/A,FALSE,"포장단가"}</definedName>
    <definedName name="ㄱㄷㅁㅍㅅㅂ" hidden="1">{#N/A,#N/A,FALSE,"골재소요량";#N/A,#N/A,FALSE,"골재소요량"}</definedName>
    <definedName name="ㄱㄷ쇼" localSheetId="5" hidden="1">#REF!</definedName>
    <definedName name="ㄱㄷ쇼" hidden="1">#REF!</definedName>
    <definedName name="ㄱㄷㅈㅄㄷ" localSheetId="5" hidden="1">#REF!</definedName>
    <definedName name="ㄱㄷㅈㅄㄷ" hidden="1">#REF!</definedName>
    <definedName name="ㄱㄷ죠" localSheetId="5" hidden="1">#REF!</definedName>
    <definedName name="ㄱㄷ죠" hidden="1">#REF!</definedName>
    <definedName name="ㄱㄷㅎㅅㄷ4" hidden="1">{#N/A,#N/A,FALSE,"운반시간"}</definedName>
    <definedName name="ㄱ됵ㄷ" localSheetId="5" hidden="1">#REF!</definedName>
    <definedName name="ㄱ됵ㄷ" hidden="1">#REF!</definedName>
    <definedName name="ㄱ둊" localSheetId="5" hidden="1">#REF!</definedName>
    <definedName name="ㄱ둊" hidden="1">#REF!</definedName>
    <definedName name="ㄱ슈" hidden="1">{#N/A,#N/A,FALSE,"혼합골재"}</definedName>
    <definedName name="가가가가가가가가가각가ㅏ" localSheetId="5" hidden="1">{#N/A,#N/A,FALSE,"현장 NCR 분석";#N/A,#N/A,FALSE,"현장품질감사";#N/A,#N/A,FALSE,"현장품질감사"}</definedName>
    <definedName name="가가가가가가가가가각가ㅏ" hidden="1">{#N/A,#N/A,FALSE,"현장 NCR 분석";#N/A,#N/A,FALSE,"현장품질감사";#N/A,#N/A,FALSE,"현장품질감사"}</definedName>
    <definedName name="가도" localSheetId="5" hidden="1">#REF!</definedName>
    <definedName name="가도" hidden="1">#REF!</definedName>
    <definedName name="가도토적" localSheetId="5" hidden="1">#REF!</definedName>
    <definedName name="가도토적" hidden="1">#REF!</definedName>
    <definedName name="가아" localSheetId="5" hidden="1">[18]수량산출!#REF!</definedName>
    <definedName name="가아" hidden="1">[18]수량산출!#REF!</definedName>
    <definedName name="간" localSheetId="5" hidden="1">{#N/A,#N/A,FALSE,"포장단가"}</definedName>
    <definedName name="간" hidden="1">{#N/A,#N/A,FALSE,"포장단가"}</definedName>
    <definedName name="간지8" localSheetId="5" hidden="1">{#N/A,#N/A,FALSE,"조골재"}</definedName>
    <definedName name="간지8" hidden="1">{#N/A,#N/A,FALSE,"조골재"}</definedName>
    <definedName name="감독2" hidden="1">{#N/A,#N/A,FALSE,"단가표지"}</definedName>
    <definedName name="강아지" localSheetId="5" hidden="1">#REF!</definedName>
    <definedName name="강아지" hidden="1">#REF!</definedName>
    <definedName name="강재" localSheetId="5" hidden="1">{#N/A,#N/A,FALSE,"혼합골재"}</definedName>
    <definedName name="강재" hidden="1">{#N/A,#N/A,FALSE,"혼합골재"}</definedName>
    <definedName name="걀" localSheetId="5" hidden="1">{#N/A,#N/A,FALSE,"포장단가"}</definedName>
    <definedName name="걀" hidden="1">{#N/A,#N/A,FALSE,"포장단가"}</definedName>
    <definedName name="거ㅏ" localSheetId="5" hidden="1">[19]수량산출!$A$3:$H$8539</definedName>
    <definedName name="거ㅏ" hidden="1">[19]수량산출!$A$3:$H$8539</definedName>
    <definedName name="견적" localSheetId="5" hidden="1">[20]내역서1999.8최종!$A$1:$A$2438</definedName>
    <definedName name="견적" hidden="1">[20]내역서1999.8최종!$A$1:$A$2438</definedName>
    <definedName name="결재" localSheetId="5" hidden="1">{#N/A,#N/A,FALSE,"포장단가"}</definedName>
    <definedName name="결재" hidden="1">{#N/A,#N/A,FALSE,"포장단가"}</definedName>
    <definedName name="경계블럭연장" localSheetId="5" hidden="1">[21]조명시설!#REF!</definedName>
    <definedName name="경계블럭연장" hidden="1">[21]조명시설!#REF!</definedName>
    <definedName name="경비집계" localSheetId="5" hidden="1">{"'용역비'!$A$4:$C$8"}</definedName>
    <definedName name="경비집계" hidden="1">{"'용역비'!$A$4:$C$8"}</definedName>
    <definedName name="경운기" localSheetId="5" hidden="1">{#N/A,#N/A,FALSE,"포장단가"}</definedName>
    <definedName name="경운기" hidden="1">{#N/A,#N/A,FALSE,"포장단가"}</definedName>
    <definedName name="계단블" localSheetId="5" hidden="1">{#N/A,#N/A,FALSE,"운반시간"}</definedName>
    <definedName name="계단블" hidden="1">{#N/A,#N/A,FALSE,"운반시간"}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경준" hidden="1">{#N/A,#N/A,FALSE,"골재소요량";#N/A,#N/A,FALSE,"골재소요량"}</definedName>
    <definedName name="고고" hidden="1">{#N/A,#N/A,FALSE,"조골재"}</definedName>
    <definedName name="고고.." hidden="1">{#N/A,#N/A,FALSE,"골재소요량";#N/A,#N/A,FALSE,"골재소요량"}</definedName>
    <definedName name="골" localSheetId="5" hidden="1">#REF!</definedName>
    <definedName name="골" hidden="1">#REF!</definedName>
    <definedName name="골재" hidden="1">{#N/A,#N/A,FALSE,"골재소요량";#N/A,#N/A,FALSE,"골재소요량"}</definedName>
    <definedName name="공공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간지" hidden="1">[22]수량집계!#REF!</definedName>
    <definedName name="교" localSheetId="5" hidden="1">{#N/A,#N/A,FALSE,"단면 제원"}</definedName>
    <definedName name="교" hidden="1">{#N/A,#N/A,FALSE,"단면 제원"}</definedName>
    <definedName name="교대" localSheetId="5" hidden="1">{#N/A,#N/A,FALSE,"단면 제원"}</definedName>
    <definedName name="교대" hidden="1">{#N/A,#N/A,FALSE,"단면 제원"}</definedName>
    <definedName name="교대공" localSheetId="5" hidden="1">{#N/A,#N/A,FALSE,"단면 제원"}</definedName>
    <definedName name="교대공" hidden="1">{#N/A,#N/A,FALSE,"단면 제원"}</definedName>
    <definedName name="교대공1" localSheetId="5" hidden="1">{#N/A,#N/A,FALSE,"단면 제원"}</definedName>
    <definedName name="교대공1" hidden="1">{#N/A,#N/A,FALSE,"단면 제원"}</definedName>
    <definedName name="교대공11" localSheetId="5" hidden="1">{#N/A,#N/A,FALSE,"단면 제원"}</definedName>
    <definedName name="교대공11" hidden="1">{#N/A,#N/A,FALSE,"단면 제원"}</definedName>
    <definedName name="교대펄근집계" localSheetId="5" hidden="1">{#N/A,#N/A,FALSE,"배수1"}</definedName>
    <definedName name="교대펄근집계" hidden="1">{#N/A,#N/A,FALSE,"배수1"}</definedName>
    <definedName name="교통" localSheetId="5" hidden="1">#REF!</definedName>
    <definedName name="교통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통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5" hidden="1">{#N/A,#N/A,FALSE,"구조2"}</definedName>
    <definedName name="구" hidden="1">{#N/A,#N/A,FALSE,"구조2"}</definedName>
    <definedName name="구산갑지" hidden="1">#REF!</definedName>
    <definedName name="규" localSheetId="5" hidden="1">{#N/A,#N/A,FALSE,"단면 제원"}</definedName>
    <definedName name="규" hidden="1">{#N/A,#N/A,FALSE,"단면 제원"}</definedName>
    <definedName name="귯ㄳ" hidden="1">{#N/A,#N/A,FALSE,"표지목차"}</definedName>
    <definedName name="귯늇ㄳ" hidden="1">{#N/A,#N/A,FALSE,"단가표지"}</definedName>
    <definedName name="근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의교" localSheetId="5" hidden="1">{#N/A,#N/A,FALSE,"단면 제원"}</definedName>
    <definedName name="금의교" hidden="1">{#N/A,#N/A,FALSE,"단면 제원"}</definedName>
    <definedName name="기기" hidden="1">#REF!</definedName>
    <definedName name="기기기" hidden="1">#REF!</definedName>
    <definedName name="긴급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기백" hidden="1">{"'Price List '!$A$1:$R$156"}</definedName>
    <definedName name="김면수" localSheetId="5" hidden="1">{#N/A,#N/A,FALSE,"2~8번"}</definedName>
    <definedName name="김면수" hidden="1">{#N/A,#N/A,FALSE,"2~8번"}</definedName>
    <definedName name="김준형" hidden="1">{#N/A,#N/A,FALSE,"골재소요량";#N/A,#N/A,FALSE,"골재소요량"}</definedName>
    <definedName name="김진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진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깬잡석" localSheetId="5" hidden="1">{#N/A,#N/A,FALSE,"포장단가"}</definedName>
    <definedName name="깬잡석" hidden="1">{#N/A,#N/A,FALSE,"포장단가"}</definedName>
    <definedName name="께기수량집계표" localSheetId="5" hidden="1">[23]조명시설!#REF!</definedName>
    <definedName name="께기수량집계표" hidden="1">[23]조명시설!#REF!</definedName>
    <definedName name="ㄳㄳㄳㄳ" localSheetId="5" hidden="1">{"'용역비'!$A$4:$C$8"}</definedName>
    <definedName name="ㄳㄳㄳㄳ" hidden="1">{"'용역비'!$A$4:$C$8"}</definedName>
    <definedName name="ㄳㄳㅅ셔ㅛㅅ" hidden="1">{#N/A,#N/A,FALSE,"단가표지"}</definedName>
    <definedName name="ㄳㄳㅎㄱㅎㄱㄷ" hidden="1">{#N/A,#N/A,FALSE,"조골재"}</definedName>
    <definedName name="ㄳㄷ" hidden="1">{#N/A,#N/A,FALSE,"표지목차"}</definedName>
    <definedName name="ㄳㅅ" hidden="1">#REF!</definedName>
    <definedName name="ㄳㅍㅁㅁ규" hidden="1">{#N/A,#N/A,FALSE,"표지목차"}</definedName>
    <definedName name="ㄴㄴ" localSheetId="5" hidden="1">#REF!</definedName>
    <definedName name="ㄴㄴ" hidden="1">#REF!</definedName>
    <definedName name="ㄴㄴㄴ_1" localSheetId="5" hidden="1">{#N/A,#N/A,FALSE,"골재소요량";#N/A,#N/A,FALSE,"골재소요량"}</definedName>
    <definedName name="ㄴㄴㄴ_1" hidden="1">{#N/A,#N/A,FALSE,"골재소요량";#N/A,#N/A,FALSE,"골재소요량"}</definedName>
    <definedName name="ㄴㄹ" localSheetId="5" hidden="1">{#N/A,#N/A,FALSE,"2~8번"}</definedName>
    <definedName name="ㄴㄹ" hidden="1">{#N/A,#N/A,FALSE,"2~8번"}</definedName>
    <definedName name="ㄴㅁㄹㅈㄹ" localSheetId="5" hidden="1">#REF!</definedName>
    <definedName name="ㄴㅁㄹㅈㄹ" hidden="1">#REF!</definedName>
    <definedName name="ㄴㅁㅇㅁㄴ" localSheetId="5" hidden="1">#REF!</definedName>
    <definedName name="ㄴㅁㅇㅁㄴ" hidden="1">#REF!</definedName>
    <definedName name="ㄴㅇㄹㄴㅁㅇㄹ" hidden="1">{#N/A,#N/A,FALSE,"단가표지"}</definedName>
    <definedName name="ㄴㅇ로ㅠㅎ" hidden="1">{#N/A,#N/A,FALSE,"구조2"}</definedName>
    <definedName name="ㄴㅇㄻㄴㅇㄹ" localSheetId="5" hidden="1">{"'용역비'!$A$4:$C$8"}</definedName>
    <definedName name="ㄴㅇㄻㄴㅇㄹ" hidden="1">{"'용역비'!$A$4:$C$8"}</definedName>
    <definedName name="ㄴㅇㄻㅇㄴㄹ" localSheetId="5" hidden="1">{#N/A,#N/A,FALSE,"포장단가"}</definedName>
    <definedName name="ㄴㅇㄻㅇㄴㄹ" hidden="1">{#N/A,#N/A,FALSE,"포장단가"}</definedName>
    <definedName name="ㄴㅇㅀㄴㅇㅁㄹ" localSheetId="5" hidden="1">{#N/A,#N/A,FALSE,"포장단가"}</definedName>
    <definedName name="ㄴㅇㅀㄴㅇㅁㄹ" hidden="1">{#N/A,#N/A,FALSE,"포장단가"}</definedName>
    <definedName name="ㄴㅇㅎㄴㅇ" localSheetId="5" hidden="1">#REF!</definedName>
    <definedName name="ㄴㅇㅎㄴㅇ" hidden="1">#REF!</definedName>
    <definedName name="ㄴ흂" hidden="1">{#N/A,#N/A,FALSE,"단가표지"}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차공" localSheetId="5" hidden="1">{#N/A,#N/A,FALSE,"2~8번"}</definedName>
    <definedName name="낙차공" hidden="1">{#N/A,#N/A,FALSE,"2~8번"}</definedName>
    <definedName name="남남" localSheetId="5" hidden="1">#REF!</definedName>
    <definedName name="남남" hidden="1">#REF!</definedName>
    <definedName name="내부굴착2" localSheetId="5" hidden="1">{#N/A,#N/A,FALSE,"단면 제원"}</definedName>
    <definedName name="내부굴착2" hidden="1">{#N/A,#N/A,FALSE,"단면 제원"}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뉵ㅎㅅㄳㅁ" hidden="1">{#N/A,#N/A,FALSE,"혼합골재"}</definedName>
    <definedName name="니" localSheetId="5" hidden="1">{#N/A,#N/A,FALSE,"단면 제원"}</definedName>
    <definedName name="니" hidden="1">{#N/A,#N/A,FALSE,"단면 제원"}</definedName>
    <definedName name="ㄶㄴㄷ" localSheetId="5" hidden="1">#REF!</definedName>
    <definedName name="ㄶㄴㄷ" hidden="1">#REF!</definedName>
    <definedName name="ㄷ_1" localSheetId="5" hidden="1">{#N/A,#N/A,FALSE,"2~8번"}</definedName>
    <definedName name="ㄷ_1" hidden="1">{#N/A,#N/A,FALSE,"2~8번"}</definedName>
    <definedName name="ㄷ6ㅓ" localSheetId="5" hidden="1">{"'용역비'!$A$4:$C$8"}</definedName>
    <definedName name="ㄷ6ㅓ" hidden="1">{"'용역비'!$A$4:$C$8"}</definedName>
    <definedName name="ㄷㄱㄱㅈㅍㄷ" hidden="1">{#N/A,#N/A,FALSE,"골재소요량";#N/A,#N/A,FALSE,"골재소요량"}</definedName>
    <definedName name="ㄷㄱㄴㄴㅁ" hidden="1">{#N/A,#N/A,FALSE,"단가표지"}</definedName>
    <definedName name="ㄷㄱㅈㅍ" hidden="1">{#N/A,#N/A,FALSE,"표지목차"}</definedName>
    <definedName name="ㄷㄱㅍㄷㄱ뮤" hidden="1">{#N/A,#N/A,FALSE,"2~8번"}</definedName>
    <definedName name="ㄷㄱㅍㅁㄷㄱ" hidden="1">{#N/A,#N/A,FALSE,"골재소요량";#N/A,#N/A,FALSE,"골재소요량"}</definedName>
    <definedName name="ㄷㄴㅁㄱㅇ" hidden="1">{#N/A,#N/A,FALSE,"골재소요량";#N/A,#N/A,FALSE,"골재소요량"}</definedName>
    <definedName name="ㄷㄷㄷㄷㄷㄷ" hidden="1">{#N/A,#N/A,FALSE,"운반시간"}</definedName>
    <definedName name="ㄷㄷㄷㄷㄷㄷㄷㄷ" localSheetId="5" hidden="1">{#N/A,#N/A,FALSE,"현장 NCR 분석";#N/A,#N/A,FALSE,"현장품질감사";#N/A,#N/A,FALSE,"현장품질감사"}</definedName>
    <definedName name="ㄷㄷㄷㄷㄷㄷㄷㄷ" hidden="1">{#N/A,#N/A,FALSE,"현장 NCR 분석";#N/A,#N/A,FALSE,"현장품질감사";#N/A,#N/A,FALSE,"현장품질감사"}</definedName>
    <definedName name="ㄷㄷㅈㅊㅍㅌㅋ" hidden="1">{#N/A,#N/A,FALSE,"조골재"}</definedName>
    <definedName name="ㄷㅅㅈㄷ" localSheetId="5" hidden="1">#REF!</definedName>
    <definedName name="ㄷㅅㅈㄷ" hidden="1">#REF!</definedName>
    <definedName name="ㄷ숃ㄱ" localSheetId="5" hidden="1">#REF!</definedName>
    <definedName name="ㄷ숃ㄱ" hidden="1">#REF!</definedName>
    <definedName name="ㄷㅇㄹ" hidden="1">{#N/A,#N/A,FALSE,"단가표지"}</definedName>
    <definedName name="ㄷㅈㄱㄱ" hidden="1">{#N/A,#N/A,FALSE,"조골재"}</definedName>
    <definedName name="ㄷㅈㄷ" hidden="1">{#N/A,#N/A,FALSE,"속도"}</definedName>
    <definedName name="ㄷㅈㄹㄹㄷㄹㅇㄴㅇㄴㄹ" hidden="1">{#N/A,#N/A,FALSE,"조골재"}</definedName>
    <definedName name="ㄷㅈㅈㄱㄷㄱㄷㅈ" hidden="1">{#N/A,#N/A,FALSE,"운반시간"}</definedName>
    <definedName name="ㄷㅈㅍㄱㄷㅈㄱ" hidden="1">{#N/A,#N/A,FALSE,"2~8번"}</definedName>
    <definedName name="ㄷㅍㅂ" localSheetId="5" hidden="1">{"'용역비'!$A$4:$C$8"}</definedName>
    <definedName name="ㄷㅍㅂ" hidden="1">{"'용역비'!$A$4:$C$8"}</definedName>
    <definedName name="ㄷㅎㄹㅇ" localSheetId="5" hidden="1">#REF!</definedName>
    <definedName name="ㄷㅎㄹㅇ" hidden="1">#REF!</definedName>
    <definedName name="단가산출서2" localSheetId="5" hidden="1">{#N/A,#N/A,FALSE,"포장단가"}</definedName>
    <definedName name="단가산출서2" hidden="1">{#N/A,#N/A,FALSE,"포장단가"}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인상" hidden="1">[24]수지예산!$O$59:$O$59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" localSheetId="5" hidden="1">{#N/A,#N/A,FALSE,"전열산출서"}</definedName>
    <definedName name="대비" hidden="1">{#N/A,#N/A,FALSE,"전열산출서"}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광건설" hidden="1">{#N/A,#N/A,FALSE,"골재소요량";#N/A,#N/A,FALSE,"골재소요량"}</definedName>
    <definedName name="됴ㅠ굑ㅇ" hidden="1">{#N/A,#N/A,FALSE,"운반시간"}</definedName>
    <definedName name="두호" localSheetId="5" hidden="1">{#N/A,#N/A,FALSE,"2~8번"}</definedName>
    <definedName name="두호" hidden="1">{#N/A,#N/A,FALSE,"2~8번"}</definedName>
    <definedName name="등락폭산정표" localSheetId="5" hidden="1">{#N/A,#N/A,FALSE,"포장단가"}</definedName>
    <definedName name="등락폭산정표" hidden="1">{#N/A,#N/A,FALSE,"포장단가"}</definedName>
    <definedName name="등주감시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등주감시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떠" localSheetId="5" hidden="1">{#N/A,#N/A,FALSE,"단면 제원"}</definedName>
    <definedName name="떠" hidden="1">{#N/A,#N/A,FALSE,"단면 제원"}</definedName>
    <definedName name="ㄹㄹ" localSheetId="5" hidden="1">#REF!</definedName>
    <definedName name="ㄹㄹ" hidden="1">#REF!</definedName>
    <definedName name="ㄹㄹㄹㄹ" hidden="1">#REF!</definedName>
    <definedName name="ㄹㄹㄹㅈㄹ" hidden="1">{#N/A,#N/A,FALSE,"혼합골재"}</definedName>
    <definedName name="ㄹㄹ로" hidden="1">{#N/A,#N/A,FALSE,"골재소요량";#N/A,#N/A,FALSE,"골재소요량"}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5" hidden="1">#REF!</definedName>
    <definedName name="ㄹㅇㄶ" hidden="1">#REF!</definedName>
    <definedName name="ㄹㅇㄶ옿" localSheetId="5" hidden="1">'[25]N賃率-職'!$I$5:$I$30</definedName>
    <definedName name="ㄹㅇㄶ옿" hidden="1">'[25]N賃率-職'!$I$5:$I$30</definedName>
    <definedName name="ㄹㅇㄹ" localSheetId="5" hidden="1">{#N/A,#N/A,FALSE,"골재소요량";#N/A,#N/A,FALSE,"골재소요량"}</definedName>
    <definedName name="ㄹㅇㄹ" hidden="1">{#N/A,#N/A,FALSE,"골재소요량";#N/A,#N/A,FALSE,"골재소요량"}</definedName>
    <definedName name="ㄹㅇㄹㄷㅈㅍ" hidden="1">{#N/A,#N/A,FALSE,"혼합골재"}</definedName>
    <definedName name="ㄹㅇㄹㅇ" localSheetId="5" hidden="1">#REF!</definedName>
    <definedName name="ㄹㅇㄹㅇ" hidden="1">#REF!</definedName>
    <definedName name="ㄹㅇㅁㄴㄹ" localSheetId="5" hidden="1">{#N/A,#N/A,FALSE,"혼합골재"}</definedName>
    <definedName name="ㄹㅇㅁㄴㄹ" hidden="1">{#N/A,#N/A,FALSE,"혼합골재"}</definedName>
    <definedName name="ㄹㅇ퓨ㅓㅜㅏㅗㅜㅠㅅ퐇휴ㅗㅎ" localSheetId="5" hidden="1">{#N/A,#N/A,FALSE,"조골재"}</definedName>
    <definedName name="ㄹㅇ퓨ㅓㅜㅏㅗㅜㅠㅅ퐇휴ㅗㅎ" hidden="1">{#N/A,#N/A,FALSE,"조골재"}</definedName>
    <definedName name="ㄹㅇㅎㄹㅇ" localSheetId="5" hidden="1">#REF!</definedName>
    <definedName name="ㄹㅇㅎㄹㅇ" hidden="1">#REF!</definedName>
    <definedName name="ㄹㅇㅎㅁ" localSheetId="5" hidden="1">'[26]N賃率-職'!$I$5:$I$30</definedName>
    <definedName name="ㄹㅇㅎㅁ" hidden="1">'[26]N賃率-職'!$I$5:$I$30</definedName>
    <definedName name="ㄹㅇ홀옹ㅎㄹ" localSheetId="5" hidden="1">#REF!</definedName>
    <definedName name="ㄹㅇ홀옹ㅎㄹ" hidden="1">#REF!</definedName>
    <definedName name="ㄹ헝ㄹ" localSheetId="5" hidden="1">#REF!</definedName>
    <definedName name="ㄹ헝ㄹ" hidden="1">#REF!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" localSheetId="5" hidden="1">{#N/A,#N/A,FALSE,"단면 제원"}</definedName>
    <definedName name="래" hidden="1">{#N/A,#N/A,FALSE,"단면 제원"}</definedName>
    <definedName name="려ㅛ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드" localSheetId="5" hidden="1">{#N/A,#N/A,FALSE,"현장 NCR 분석";#N/A,#N/A,FALSE,"현장품질감사";#N/A,#N/A,FALSE,"현장품질감사"}</definedName>
    <definedName name="로드" hidden="1">{#N/A,#N/A,FALSE,"현장 NCR 분석";#N/A,#N/A,FALSE,"현장품질감사";#N/A,#N/A,FALSE,"현장품질감사"}</definedName>
    <definedName name="로얄계약" localSheetId="5" hidden="1">{#N/A,#N/A,FALSE,"현장 NCR 분석";#N/A,#N/A,FALSE,"현장품질감사";#N/A,#N/A,FALSE,"현장품질감사"}</definedName>
    <definedName name="로얄계약" hidden="1">{#N/A,#N/A,FALSE,"현장 NCR 분석";#N/A,#N/A,FALSE,"현장품질감사";#N/A,#N/A,FALSE,"현장품질감사"}</definedName>
    <definedName name="롬ㄴ" localSheetId="5" hidden="1">#REF!</definedName>
    <definedName name="롬ㄴ" hidden="1">#REF!</definedName>
    <definedName name="료ㅜㅇ교" hidden="1">{#N/A,#N/A,FALSE,"표지목차"}</definedName>
    <definedName name="루" localSheetId="5" hidden="1">{#N/A,#N/A,FALSE,"단면 제원"}</definedName>
    <definedName name="루" hidden="1">{#N/A,#N/A,FALSE,"단면 제원"}</definedName>
    <definedName name="룻우ㅕㄴ" hidden="1">{#N/A,#N/A,FALSE,"골재소요량";#N/A,#N/A,FALSE,"골재소요량"}</definedName>
    <definedName name="률류" hidden="1">{#N/A,#N/A,FALSE,"혼합골재"}</definedName>
    <definedName name="ㅀㅀㄴ" localSheetId="5" hidden="1">{#N/A,#N/A,FALSE,"조골재"}</definedName>
    <definedName name="ㅀㅀㄴ" hidden="1">{#N/A,#N/A,FALSE,"조골재"}</definedName>
    <definedName name="ㅀㅁ" hidden="1">{#N/A,#N/A,FALSE,"조골재"}</definedName>
    <definedName name="ㅁ" localSheetId="5" hidden="1">#REF!</definedName>
    <definedName name="ㅁ" hidden="1">#REF!</definedName>
    <definedName name="ㅁ_1" localSheetId="5" hidden="1">{#N/A,#N/A,FALSE,"조골재"}</definedName>
    <definedName name="ㅁ_1" hidden="1">{#N/A,#N/A,FALSE,"조골재"}</definedName>
    <definedName name="ㅁㄴ_1" localSheetId="5" hidden="1">{#N/A,#N/A,FALSE,"2~8번"}</definedName>
    <definedName name="ㅁㄴ_1" hidden="1">{#N/A,#N/A,FALSE,"2~8번"}</definedName>
    <definedName name="ㅁㄴㄴ" hidden="1">{#N/A,#N/A,FALSE,"골재소요량";#N/A,#N/A,FALSE,"골재소요량"}</definedName>
    <definedName name="ㅁㄴㅁㄴ" localSheetId="5" hidden="1">{#N/A,#N/A,FALSE,"현장 NCR 분석";#N/A,#N/A,FALSE,"현장품질감사";#N/A,#N/A,FALSE,"현장품질감사"}</definedName>
    <definedName name="ㅁㄴㅁㄴ" hidden="1">{#N/A,#N/A,FALSE,"현장 NCR 분석";#N/A,#N/A,FALSE,"현장품질감사";#N/A,#N/A,FALSE,"현장품질감사"}</definedName>
    <definedName name="ㅁㄴㅁㅇㄴㅁㄴㅇ" localSheetId="5" hidden="1">{#N/A,#N/A,FALSE,"조골재"}</definedName>
    <definedName name="ㅁㄴㅁㅇㄴㅁㄴㅇ" hidden="1">{#N/A,#N/A,FALSE,"조골재"}</definedName>
    <definedName name="ㅁㄴㅇ" localSheetId="5" hidden="1">{#N/A,#N/A,FALSE,"배수1"}</definedName>
    <definedName name="ㅁㄴㅇ" hidden="1">{#N/A,#N/A,FALSE,"배수1"}</definedName>
    <definedName name="ㅁㄴㅇ_1" localSheetId="5" hidden="1">{#N/A,#N/A,FALSE,"운반시간"}</definedName>
    <definedName name="ㅁㄴㅇ_1" hidden="1">{#N/A,#N/A,FALSE,"운반시간"}</definedName>
    <definedName name="ㅁㄴㅇㄻㄴㅇㄹㄴㅁㅎㄴㅇㅎ" localSheetId="5" hidden="1">{"'용역비'!$A$4:$C$8"}</definedName>
    <definedName name="ㅁㄴㅇㄻㄴㅇㄹㄴㅁㅎㄴㅇㅎ" hidden="1">{"'용역비'!$A$4:$C$8"}</definedName>
    <definedName name="ㅁㄴㅇㅁㄴㅇ" localSheetId="5" hidden="1">#REF!</definedName>
    <definedName name="ㅁㄴㅇㅁㄴㅇ" hidden="1">#REF!</definedName>
    <definedName name="ㅁㄴㅇㅁㄹ" localSheetId="5" hidden="1">{#N/A,#N/A,FALSE,"운반시간"}</definedName>
    <definedName name="ㅁㄴㅇㅁㄹ" hidden="1">{#N/A,#N/A,FALSE,"운반시간"}</definedName>
    <definedName name="ㅁㄶㅁㄴ" localSheetId="5" hidden="1">#REF!</definedName>
    <definedName name="ㅁㄶㅁㄴ" hidden="1">#REF!</definedName>
    <definedName name="ㅁㄷㄱㅍㄱㅈㅁ" hidden="1">{#N/A,#N/A,FALSE,"골재소요량";#N/A,#N/A,FALSE,"골재소요량"}</definedName>
    <definedName name="ㅁㄷㅎㅁㅎㅁ" hidden="1">{#N/A,#N/A,FALSE,"조골재"}</definedName>
    <definedName name="ㅁㄹ" hidden="1">{#N/A,#N/A,FALSE,"2~8번"}</definedName>
    <definedName name="ㅁㄹㄹ" hidden="1">{#N/A,#N/A,FALSE,"2~8번"}</definedName>
    <definedName name="ㅁㅀㅁㄴ" localSheetId="5" hidden="1">#REF!</definedName>
    <definedName name="ㅁㅀㅁㄴ" hidden="1">#REF!</definedName>
    <definedName name="ㅁㅀㅎ" hidden="1">{#N/A,#N/A,FALSE,"골재소요량";#N/A,#N/A,FALSE,"골재소요량"}</definedName>
    <definedName name="ㅁㅁ" localSheetId="5" hidden="1">#REF!</definedName>
    <definedName name="ㅁㅁ" hidden="1">#REF!</definedName>
    <definedName name="ㅁㅁ_1" localSheetId="5" hidden="1">{#N/A,#N/A,FALSE,"조골재"}</definedName>
    <definedName name="ㅁㅁ_1" hidden="1">{#N/A,#N/A,FALSE,"조골재"}</definedName>
    <definedName name="ㅁㅁㄴ" localSheetId="5" hidden="1">{#N/A,#N/A,FALSE,"2~8번"}</definedName>
    <definedName name="ㅁㅁㄴ" hidden="1">{#N/A,#N/A,FALSE,"2~8번"}</definedName>
    <definedName name="ㅁㅁㅁㅁㅁㅁ" localSheetId="5" hidden="1">{#N/A,#N/A,FALSE,"혼합골재"}</definedName>
    <definedName name="ㅁㅁㅁㅁㅁㅁ" hidden="1">{#N/A,#N/A,FALSE,"조골재"}</definedName>
    <definedName name="ㅁㅁㅁㅁㅁㅁㅁㅁ" hidden="1">{#N/A,#N/A,FALSE,"배수1"}</definedName>
    <definedName name="ㅁㅅ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ㅍㅊ" hidden="1">{#N/A,#N/A,FALSE,"속도"}</definedName>
    <definedName name="만득이" localSheetId="5" hidden="1">{#N/A,#N/A,FALSE,"2~8번"}</definedName>
    <definedName name="만득이" hidden="1">{#N/A,#N/A,FALSE,"2~8번"}</definedName>
    <definedName name="망루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머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머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5" hidden="1">{#N/A,#N/A,FALSE,"단면 제원"}</definedName>
    <definedName name="모" hidden="1">{#N/A,#N/A,FALSE,"단면 제원"}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므" localSheetId="5" hidden="1">{#N/A,#N/A,FALSE,"단면 제원"}</definedName>
    <definedName name="므" hidden="1">{#N/A,#N/A,FALSE,"단면 제원"}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{#N/A,#N/A,FALSE,"포장단가"}</definedName>
    <definedName name="ㅂㄱㄹㄷㅈㅅㄷ4ㅈ" localSheetId="5" hidden="1">#REF!</definedName>
    <definedName name="ㅂㄱㄹㄷㅈㅅㄷ4ㅈ" hidden="1">#REF!</definedName>
    <definedName name="ㅂㄴㅊㅂㄴ" localSheetId="5" hidden="1">'[25]N賃率-職'!$I$5:$I$30</definedName>
    <definedName name="ㅂㄴㅊㅂㄴ" hidden="1">'[25]N賃率-職'!$I$5:$I$30</definedName>
    <definedName name="ㅂㄷㅇ" hidden="1">{#N/A,#N/A,FALSE,"표지목차"}</definedName>
    <definedName name="ㅂㅂ" localSheetId="5" hidden="1">[19]수량산출!#REF!</definedName>
    <definedName name="ㅂㅂ" hidden="1">[19]수량산출!#REF!</definedName>
    <definedName name="ㅂㅂㅂ" localSheetId="5" hidden="1">{"'용역비'!$A$4:$C$8"}</definedName>
    <definedName name="ㅂㅂㅂ" hidden="1">{"'용역비'!$A$4:$C$8"}</definedName>
    <definedName name="ㅂㅂㅂㅂ" localSheetId="5" hidden="1">{#N/A,#N/A,FALSE,"현장 NCR 분석";#N/A,#N/A,FALSE,"현장품질감사";#N/A,#N/A,FALSE,"현장품질감사"}</definedName>
    <definedName name="ㅂㅂㅂㅂ" hidden="1">{#N/A,#N/A,FALSE,"현장 NCR 분석";#N/A,#N/A,FALSE,"현장품질감사";#N/A,#N/A,FALSE,"현장품질감사"}</definedName>
    <definedName name="ㅂㅂㅂㅂㅂㅂㅂㅂㅂ" hidden="1">{#N/A,#N/A,FALSE,"표지목차"}</definedName>
    <definedName name="ㅂㅈ" hidden="1">{#N/A,#N/A,FALSE,"2~8번"}</definedName>
    <definedName name="ㅂㅈ_1" localSheetId="5" hidden="1">{#N/A,#N/A,FALSE,"2~8번"}</definedName>
    <definedName name="ㅂㅈ_1" hidden="1">{#N/A,#N/A,FALSE,"2~8번"}</definedName>
    <definedName name="ㅂㅈㄷㄱㅈㅂ" localSheetId="5" hidden="1">#REF!</definedName>
    <definedName name="ㅂㅈㄷㄱㅈㅂ" hidden="1">#REF!</definedName>
    <definedName name="ㅂㅈㅈ" hidden="1">{#N/A,#N/A,FALSE,"운반시간"}</definedName>
    <definedName name="박어쟈루" localSheetId="5" hidden="1">#REF!</definedName>
    <definedName name="박어쟈루" hidden="1">#REF!</definedName>
    <definedName name="발파1" localSheetId="5" hidden="1">{#N/A,#N/A,FALSE,"포장단가"}</definedName>
    <definedName name="발파1" hidden="1">{#N/A,#N/A,FALSE,"포장단가"}</definedName>
    <definedName name="발파2" localSheetId="5" hidden="1">{#N/A,#N/A,FALSE,"포장단가"}</definedName>
    <definedName name="발파2" hidden="1">{#N/A,#N/A,FALSE,"포장단가"}</definedName>
    <definedName name="발파3" localSheetId="5" hidden="1">{#N/A,#N/A,FALSE,"포장단가"}</definedName>
    <definedName name="발파3" hidden="1">{#N/A,#N/A,FALSE,"포장단가"}</definedName>
    <definedName name="발파4" localSheetId="5" hidden="1">{#N/A,#N/A,FALSE,"포장단가"}</definedName>
    <definedName name="발파4" hidden="1">{#N/A,#N/A,FALSE,"포장단가"}</definedName>
    <definedName name="발파5" localSheetId="5" hidden="1">{#N/A,#N/A,FALSE,"포장단가"}</definedName>
    <definedName name="발파5" hidden="1">{#N/A,#N/A,FALSE,"포장단가"}</definedName>
    <definedName name="발파6" localSheetId="5" hidden="1">{#N/A,#N/A,FALSE,"포장단가"}</definedName>
    <definedName name="발파6" hidden="1">{#N/A,#N/A,FALSE,"포장단가"}</definedName>
    <definedName name="발파7" localSheetId="5" hidden="1">{#N/A,#N/A,FALSE,"포장단가"}</definedName>
    <definedName name="발파7" hidden="1">{#N/A,#N/A,FALSE,"포장단가"}</definedName>
    <definedName name="방음벽" localSheetId="5" hidden="1">{#N/A,#N/A,FALSE,"2~8번"}</definedName>
    <definedName name="방음벽" hidden="1">{#N/A,#N/A,FALSE,"2~8번"}</definedName>
    <definedName name="방음벽1" localSheetId="5" hidden="1">{#N/A,#N/A,FALSE,"운반시간"}</definedName>
    <definedName name="방음벽1" hidden="1">{#N/A,#N/A,FALSE,"운반시간"}</definedName>
    <definedName name="배관공수율" localSheetId="5" hidden="1">'[8]N賃率-職'!$I$5:$I$30</definedName>
    <definedName name="배관공수율" hidden="1">'[8]N賃率-職'!$I$5:$I$30</definedName>
    <definedName name="변경단가" localSheetId="5" hidden="1">{#N/A,#N/A,FALSE,"포장단가"}</definedName>
    <definedName name="변경단가" hidden="1">{#N/A,#N/A,FALSE,"포장단가"}</definedName>
    <definedName name="별첨5" hidden="1">{"'Price List '!$A$1:$R$156"}</definedName>
    <definedName name="보오링그라우딩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" hidden="1">{#N/A,#N/A,FALSE,"전열산출서"}</definedName>
    <definedName name="봉화교" localSheetId="5" hidden="1">{#N/A,#N/A,FALSE,"단면 제원"}</definedName>
    <definedName name="봉화교" hidden="1">{#N/A,#N/A,FALSE,"단면 제원"}</definedName>
    <definedName name="봉화육교" localSheetId="5" hidden="1">{#N/A,#N/A,FALSE,"단면 제원"}</definedName>
    <definedName name="봉화육교" hidden="1">{#N/A,#N/A,FALSE,"단면 제원"}</definedName>
    <definedName name="부대공명세서" hidden="1">#REF!</definedName>
    <definedName name="부대공총괄수량집계" hidden="1">{#N/A,#N/A,FALSE,"2~8번"}</definedName>
    <definedName name="부대원본" hidden="1">{#N/A,#N/A,FALSE,"토공2"}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5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localSheetId="5" hidden="1">#REF!</definedName>
    <definedName name="ㅅ" hidden="1">#REF!</definedName>
    <definedName name="ㅅ.." hidden="1">{#N/A,#N/A,FALSE,"골재소요량";#N/A,#N/A,FALSE,"골재소요량"}</definedName>
    <definedName name="ㅅㄱㅈ" localSheetId="5" hidden="1">#REF!</definedName>
    <definedName name="ㅅㄱㅈ" hidden="1">#REF!</definedName>
    <definedName name="ㅅ곳ㄴ고" hidden="1">{#N/A,#N/A,FALSE,"2~8번"}</definedName>
    <definedName name="ㅅㄳ" hidden="1">{#N/A,#N/A,FALSE,"골재소요량";#N/A,#N/A,FALSE,"골재소요량"}</definedName>
    <definedName name="ㅅㅅ" localSheetId="5" hidden="1">#REF!</definedName>
    <definedName name="ㅅㅅ" hidden="1">#REF!</definedName>
    <definedName name="ㅅㅅㅅ" localSheetId="5" hidden="1">#REF!</definedName>
    <definedName name="ㅅㅅㅅ" hidden="1">#REF!</definedName>
    <definedName name="ㅅㅅㅅㅅㅅㅅㅅ" hidden="1">{#N/A,#N/A,FALSE,"골재소요량";#N/A,#N/A,FALSE,"골재소요량"}</definedName>
    <definedName name="ㅅㅅㅅㅅㅅㅅㅅㅅㅅㅅㅅ" hidden="1">{#N/A,#N/A,FALSE,"골재소요량";#N/A,#N/A,FALSE,"골재소요량"}</definedName>
    <definedName name="ㅅ여ㅛ윣ㄴ" hidden="1">{#N/A,#N/A,FALSE,"조골재"}</definedName>
    <definedName name="ㅅ융ㄴㄳ" hidden="1">{#N/A,#N/A,FALSE,"조골재"}</definedName>
    <definedName name="ㅅㅎ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1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공ㅋ" hidden="1">{#N/A,#N/A,FALSE,"단가표지"}</definedName>
    <definedName name="사석채움면적산출" localSheetId="5" hidden="1">{#N/A,#N/A,FALSE,"2~8번"}</definedName>
    <definedName name="사석채움면적산출" hidden="1">{#N/A,#N/A,FALSE,"2~8번"}</definedName>
    <definedName name="사인원가" localSheetId="5" hidden="1">'[27]#REF'!#REF!</definedName>
    <definedName name="사인원가" hidden="1">'[27]#REF'!#REF!</definedName>
    <definedName name="새이름2" hidden="1">#REF!</definedName>
    <definedName name="설명서" localSheetId="5" hidden="1">#REF!</definedName>
    <definedName name="설명서" hidden="1">#REF!</definedName>
    <definedName name="성토과재" localSheetId="5" hidden="1">{#N/A,#N/A,FALSE,"조골재"}</definedName>
    <definedName name="성토과재" hidden="1">{#N/A,#N/A,FALSE,"조골재"}</definedName>
    <definedName name="세차안전" localSheetId="5" hidden="1">{#N/A,#N/A,FALSE,"현장 NCR 분석";#N/A,#N/A,FALSE,"현장품질감사";#N/A,#N/A,FALSE,"현장품질감사"}</definedName>
    <definedName name="세차안전" hidden="1">{#N/A,#N/A,FALSE,"현장 NCR 분석";#N/A,#N/A,FALSE,"현장품질감사";#N/A,#N/A,FALSE,"현장품질감사"}</definedName>
    <definedName name="셔ㅛ" localSheetId="5" hidden="1">{#N/A,#N/A,FALSE,"운반시간"}</definedName>
    <definedName name="셔ㅛ" hidden="1">{#N/A,#N/A,FALSE,"운반시간"}</definedName>
    <definedName name="소" hidden="1">[28]지수적용공사비내역서!#REF!</definedName>
    <definedName name="소운반" localSheetId="5" hidden="1">{#N/A,#N/A,FALSE,"포장단가"}</definedName>
    <definedName name="소운반" hidden="1">{#N/A,#N/A,FALSE,"포장단가"}</definedName>
    <definedName name="손영주" localSheetId="5" hidden="1">{#N/A,#N/A,FALSE,"조골재"}</definedName>
    <definedName name="손영주" hidden="1">{#N/A,#N/A,FALSE,"조골재"}</definedName>
    <definedName name="수량산출내역" localSheetId="5" hidden="1">{#N/A,#N/A,FALSE,"포장단가"}</definedName>
    <definedName name="수량산출내역" hidden="1">{#N/A,#N/A,FALSE,"포장단가"}</definedName>
    <definedName name="수량산출서2" hidden="1">{#N/A,#N/A,FALSE,"2~8번"}</definedName>
    <definedName name="수량집계" localSheetId="5" hidden="1">{#N/A,#N/A,FALSE,"포장단가"}</definedName>
    <definedName name="수량집계" hidden="1">{#N/A,#N/A,FALSE,"포장단가"}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용교" localSheetId="5" hidden="1">{#N/A,#N/A,FALSE,"2~8번"}</definedName>
    <definedName name="승용교" hidden="1">{#N/A,#N/A,FALSE,"2~8번"}</definedName>
    <definedName name="시멘트운반" localSheetId="5" hidden="1">{#N/A,#N/A,FALSE,"포장단가"}</definedName>
    <definedName name="시멘트운반" hidden="1">{#N/A,#N/A,FALSE,"포장단가"}</definedName>
    <definedName name="시설물토공" localSheetId="5" hidden="1">{#N/A,#N/A,FALSE,"2~8번"}</definedName>
    <definedName name="시설물토공" hidden="1">{#N/A,#N/A,FALSE,"2~8번"}</definedName>
    <definedName name="식재공" localSheetId="5" hidden="1">{#N/A,#N/A,FALSE,"조골재"}</definedName>
    <definedName name="식재공" hidden="1">{#N/A,#N/A,FALSE,"조골재"}</definedName>
    <definedName name="신규포장" localSheetId="5" hidden="1">{#N/A,#N/A,FALSE,"포장단가"}</definedName>
    <definedName name="신규포장" hidden="1">{#N/A,#N/A,FALSE,"포장단가"}</definedName>
    <definedName name="신품" hidden="1">#REF!</definedName>
    <definedName name="ㅆ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ㄱ셔ㅓㅀ" localSheetId="5" hidden="1">#REF!</definedName>
    <definedName name="ㅇㄱ셔ㅓㅀ" hidden="1">#REF!</definedName>
    <definedName name="ㅇㄴㄹㅇㄴㄹㅇㄴ" hidden="1">{#N/A,#N/A,FALSE,"조골재"}</definedName>
    <definedName name="ㅇㄴㅋㅋㅌ" hidden="1">{#N/A,#N/A,FALSE,"혼합골재"}</definedName>
    <definedName name="ㅇㄴㅍㄴㄱ" hidden="1">{#N/A,#N/A,FALSE,"골재소요량";#N/A,#N/A,FALSE,"골재소요량"}</definedName>
    <definedName name="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ㄶㄴㅁ" localSheetId="5" hidden="1">'[29]N賃率-職'!$I$5:$I$30</definedName>
    <definedName name="ㅇㄹㄶㄴㅁ" hidden="1">'[29]N賃率-職'!$I$5:$I$30</definedName>
    <definedName name="ㅇㄹㄹ" localSheetId="5" hidden="1">'[30]N賃率-職'!$I$5:$I$30</definedName>
    <definedName name="ㅇㄹㄹ" hidden="1">'[30]N賃率-職'!$I$5:$I$30</definedName>
    <definedName name="ㅇㄹㄹㄴㅇㄹㅇㄹㄴㅇ" hidden="1">[31]조명시설!#REF!</definedName>
    <definedName name="ㅇㄹㄹㅇ" localSheetId="5" hidden="1">{#N/A,#N/A,FALSE,"2~8번"}</definedName>
    <definedName name="ㅇㄹㄹㅇ" hidden="1">{#N/A,#N/A,FALSE,"2~8번"}</definedName>
    <definedName name="ㅇㄹㅇ" hidden="1">{#N/A,#N/A,FALSE,"운반시간"}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ㄺ" hidden="1">{#N/A,#N/A,FALSE,"혼합골재"}</definedName>
    <definedName name="ㅇㅀㅎ" localSheetId="5" hidden="1">#REF!</definedName>
    <definedName name="ㅇㅀㅎ" hidden="1">#REF!</definedName>
    <definedName name="ㅇㅁㄴㄻㄴㅇㄹㅇㅁㄴ" localSheetId="5" hidden="1">{#N/A,#N/A,FALSE,"단면 제원"}</definedName>
    <definedName name="ㅇㅁㄴㄻㄴㅇㄹㅇㅁㄴ" hidden="1">{#N/A,#N/A,FALSE,"단면 제원"}</definedName>
    <definedName name="ㅇ샤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쇼뉴굔" hidden="1">{#N/A,#N/A,FALSE,"조골재"}</definedName>
    <definedName name="ㅇ수ㅕㅜㅇ" hidden="1">{#N/A,#N/A,FALSE,"단가표지"}</definedName>
    <definedName name="ㅇㅇㅂ" localSheetId="5" hidden="1">{#N/A,#N/A,FALSE,"현장 NCR 분석";#N/A,#N/A,FALSE,"현장품질감사";#N/A,#N/A,FALSE,"현장품질감사"}</definedName>
    <definedName name="ㅇㅇㅂ" hidden="1">{#N/A,#N/A,FALSE,"현장 NCR 분석";#N/A,#N/A,FALSE,"현장품질감사";#N/A,#N/A,FALSE,"현장품질감사"}</definedName>
    <definedName name="ㅇㅊㅍㅍㅊㅌㅍㅊㅌㅍㅌ" hidden="1">[31]조명시설!#REF!</definedName>
    <definedName name="ㅇㅍㄴㅁ3" hidden="1">{#N/A,#N/A,FALSE,"조골재"}</definedName>
    <definedName name="ㅇㅎㅁㄴ" localSheetId="5" hidden="1">#REF!</definedName>
    <definedName name="ㅇㅎㅁㄴ" hidden="1">#REF!</definedName>
    <definedName name="아" hidden="1">#REF!</definedName>
    <definedName name="아냐" localSheetId="5" hidden="1">{#N/A,#N/A,FALSE,"전열산출서"}</definedName>
    <definedName name="아냐" hidden="1">{#N/A,#N/A,FALSE,"전열산출서"}</definedName>
    <definedName name="아니오" hidden="1">{"'Price List '!$A$1:$R$156"}</definedName>
    <definedName name="아니오1" hidden="1">{"'Price List '!$A$1:$R$156"}</definedName>
    <definedName name="아스콘2" localSheetId="5" hidden="1">[32]조명시설!#REF!</definedName>
    <definedName name="아스콘2" hidden="1">[32]조명시설!#REF!</definedName>
    <definedName name="아스콘깨기" localSheetId="5" hidden="1">{#N/A,#N/A,FALSE,"골재소요량";#N/A,#N/A,FALSE,"골재소요량"}</definedName>
    <definedName name="아스콘깨기" hidden="1">{#N/A,#N/A,FALSE,"골재소요량";#N/A,#N/A,FALSE,"골재소요량"}</definedName>
    <definedName name="아ㅏ" hidden="1">{#N/A,#N/A,FALSE,"조골재"}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외무대2" localSheetId="5" hidden="1">{#N/A,#N/A,FALSE,"운반시간"}</definedName>
    <definedName name="야외무대2" hidden="1">{#N/A,#N/A,FALSE,"운반시간"}</definedName>
    <definedName name="양재승2222222" localSheetId="5" hidden="1">[33]차액보증!#REF!</definedName>
    <definedName name="양재승2222222" hidden="1">[33]차액보증!#REF!</definedName>
    <definedName name="어ㅓ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" hidden="1">#REF!</definedName>
    <definedName name="여ㅜㅅㅅㄱㅇ" hidden="1">{#N/A,#N/A,FALSE,"골재소요량";#N/A,#N/A,FALSE,"골재소요량"}</definedName>
    <definedName name="연경1교" localSheetId="5" hidden="1">{#N/A,#N/A,FALSE,"단면 제원"}</definedName>
    <definedName name="연경1교" hidden="1">{#N/A,#N/A,FALSE,"단면 제원"}</definedName>
    <definedName name="연경1교1" localSheetId="5" hidden="1">{#N/A,#N/A,FALSE,"단면 제원"}</definedName>
    <definedName name="연경1교1" hidden="1">{#N/A,#N/A,FALSE,"단면 제원"}</definedName>
    <definedName name="연습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시스템" localSheetId="5" hidden="1">[34]수량산출!#REF!</definedName>
    <definedName name="영시스템" hidden="1">[34]수량산출!#REF!</definedName>
    <definedName name="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벼집계" hidden="1">{#N/A,#N/A,FALSE,"혼합골재"}</definedName>
    <definedName name="옹벽수량집계표총괄" localSheetId="5" hidden="1">{#N/A,#N/A,FALSE,"혼합골재"}</definedName>
    <definedName name="옹벽수량집계표총괄" hidden="1">{#N/A,#N/A,FALSE,"혼합골재"}</definedName>
    <definedName name="옹벽지" hidden="1">{#N/A,#N/A,FALSE,"혼합골재"}</definedName>
    <definedName name="완공3" localSheetId="5" hidden="1">#REF!</definedName>
    <definedName name="완공3" hidden="1">#REF!</definedName>
    <definedName name="우수총괄" localSheetId="5" hidden="1">{#N/A,#N/A,FALSE,"골재소요량";#N/A,#N/A,FALSE,"골재소요량"}</definedName>
    <definedName name="우수총괄" hidden="1">{#N/A,#N/A,FALSE,"골재소요량";#N/A,#N/A,FALSE,"골재소요량"}</definedName>
    <definedName name="웃ㅇ국ㅇ" hidden="1">{#N/A,#N/A,FALSE,"혼합골재"}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 localSheetId="5" hidden="1">{#N/A,#N/A,FALSE,"포장단가"}</definedName>
    <definedName name="원가계산" hidden="1">{#N/A,#N/A,FALSE,"포장단가"}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내역" localSheetId="5" hidden="1">#REF!</definedName>
    <definedName name="원가내역" hidden="1">#REF!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[35]실행철강하도!$A$1:$A$4</definedName>
    <definedName name="유률유" localSheetId="5" hidden="1">{#N/A,#N/A,FALSE,"배수1"}</definedName>
    <definedName name="유률유" hidden="1">{#N/A,#N/A,FALSE,"배수1"}</definedName>
    <definedName name="육교" localSheetId="5" hidden="1">{#N/A,#N/A,FALSE,"단면 제원"}</definedName>
    <definedName name="육교" hidden="1">{#N/A,#N/A,FALSE,"단면 제원"}</definedName>
    <definedName name="이름" hidden="1">#REF!</definedName>
    <definedName name="이릉" localSheetId="5" hidden="1">#REF!</definedName>
    <definedName name="이릉" hidden="1">#REF!</definedName>
    <definedName name="이성" localSheetId="5" hidden="1">{#N/A,#N/A,FALSE,"골재소요량";#N/A,#N/A,FALSE,"골재소요량"}</definedName>
    <definedName name="이성" hidden="1">{#N/A,#N/A,FALSE,"골재소요량";#N/A,#N/A,FALSE,"골재소요량"}</definedName>
    <definedName name="이성진" localSheetId="5" hidden="1">{#N/A,#N/A,FALSE,"조골재"}</definedName>
    <definedName name="이성진" hidden="1">{#N/A,#N/A,FALSE,"조골재"}</definedName>
    <definedName name="이이잉" localSheetId="5" hidden="1">{#N/A,#N/A,FALSE,"전열산출서"}</definedName>
    <definedName name="이이잉" hidden="1">{#N/A,#N/A,FALSE,"전열산출서"}</definedName>
    <definedName name="이정" localSheetId="5" hidden="1">{#N/A,#N/A,FALSE,"2~8번"}</definedName>
    <definedName name="이정" hidden="1">{#N/A,#N/A,FALSE,"2~8번"}</definedName>
    <definedName name="이천순복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고속도로" hidden="1">{#N/A,#N/A,FALSE,"단가표지"}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부" localSheetId="5" hidden="1">{#N/A,#N/A,FALSE,"조골재"}</definedName>
    <definedName name="일반부" hidden="1">{#N/A,#N/A,FALSE,"조골재"}</definedName>
    <definedName name="일반부_1" localSheetId="5" hidden="1">{#N/A,#N/A,FALSE,"조골재"}</definedName>
    <definedName name="일반부_1" hidden="1">{#N/A,#N/A,FALSE,"조골재"}</definedName>
    <definedName name="일집" localSheetId="5" hidden="1">#REF!</definedName>
    <definedName name="일집" hidden="1">#REF!</definedName>
    <definedName name="임ㄴ" localSheetId="5" hidden="1">{"'공사부문'!$A$6:$A$32"}</definedName>
    <definedName name="임ㄴ" hidden="1">{"'공사부문'!$A$6:$A$32"}</definedName>
    <definedName name="임차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임차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_1" localSheetId="5" hidden="1">{#N/A,#N/A,FALSE,"조골재"}</definedName>
    <definedName name="ㅈㄱ_1" hidden="1">{#N/A,#N/A,FALSE,"조골재"}</definedName>
    <definedName name="ㅈㄷㄱㄷㄱㄷ" localSheetId="5" hidden="1">{"'용역비'!$A$4:$C$8"}</definedName>
    <definedName name="ㅈㄷㄱㄷㄱㄷ" hidden="1">{"'용역비'!$A$4:$C$8"}</definedName>
    <definedName name="ㅈㄷㄳㅈㄷㅍㅎㄱ" hidden="1">{#N/A,#N/A,FALSE,"표지목차"}</definedName>
    <definedName name="ㅈㄷㄳㅎㅍㅂㅈㄱ" hidden="1">{#N/A,#N/A,FALSE,"골재소요량";#N/A,#N/A,FALSE,"골재소요량"}</definedName>
    <definedName name="ㅈㅁㄱㄷ" hidden="1">{#N/A,#N/A,FALSE,"단가표지"}</definedName>
    <definedName name="ㅈㅇ" localSheetId="5" hidden="1">{"'용역비'!$A$4:$C$8"}</definedName>
    <definedName name="ㅈㅇ" hidden="1">{"'용역비'!$A$4:$C$8"}</definedName>
    <definedName name="ㅈㅈ" localSheetId="5" hidden="1">{#N/A,#N/A,FALSE,"표지목차"}</definedName>
    <definedName name="ㅈㅈ" hidden="1">{#N/A,#N/A,FALSE,"표지목차"}</definedName>
    <definedName name="ㅈㅈㅈ" localSheetId="5" hidden="1">{"'용역비'!$A$4:$C$8"}</definedName>
    <definedName name="ㅈㅈㅈ" hidden="1">{"'용역비'!$A$4:$C$8"}</definedName>
    <definedName name="ㅈㅈㅈㅈ" localSheetId="5" hidden="1">{#N/A,#N/A,FALSE,"골재소요량";#N/A,#N/A,FALSE,"골재소요량"}</definedName>
    <definedName name="ㅈㅈㅈㅈ" hidden="1">{#N/A,#N/A,FALSE,"조골재"}</definedName>
    <definedName name="ㅈㅈㅈㅈㅈ" localSheetId="5" hidden="1">{#N/A,#N/A,FALSE,"혼합골재"}</definedName>
    <definedName name="ㅈㅈㅈㅈㅈ" hidden="1">{#N/A,#N/A,FALSE,"2~8번"}</definedName>
    <definedName name="ㅈㅈㅈㅈㅈㅈ" localSheetId="5" hidden="1">{"'용역비'!$A$4:$C$8"}</definedName>
    <definedName name="ㅈㅈㅈㅈㅈㅈ" hidden="1">{"'용역비'!$A$4:$C$8"}</definedName>
    <definedName name="자재집계" localSheetId="5" hidden="1">{#N/A,#N/A,FALSE,"포장단가"}</definedName>
    <definedName name="자재집계" hidden="1">{#N/A,#N/A,FALSE,"포장단가"}</definedName>
    <definedName name="장1" hidden="1">{#N/A,#N/A,FALSE,"토공2"}</definedName>
    <definedName name="장10" hidden="1">{#N/A,#N/A,FALSE,"조골재"}</definedName>
    <definedName name="장11" hidden="1">{#N/A,#N/A,FALSE,"2~8번"}</definedName>
    <definedName name="장12" hidden="1">{#N/A,#N/A,FALSE,"골재소요량";#N/A,#N/A,FALSE,"골재소요량"}</definedName>
    <definedName name="장13" hidden="1">{#N/A,#N/A,FALSE,"구조2"}</definedName>
    <definedName name="장14" hidden="1">{#N/A,#N/A,FALSE,"단가표지"}</definedName>
    <definedName name="장15" hidden="1">{#N/A,#N/A,FALSE,"배수1"}</definedName>
    <definedName name="장16" hidden="1">{#N/A,#N/A,FALSE,"배수2"}</definedName>
    <definedName name="장17" hidden="1">{#N/A,#N/A,FALSE,"부대1"}</definedName>
    <definedName name="장18" hidden="1">{#N/A,#N/A,FALSE,"부대2"}</definedName>
    <definedName name="장19" hidden="1">{#N/A,#N/A,FALSE,"속도"}</definedName>
    <definedName name="장2" hidden="1">{#N/A,#N/A,FALSE,"2~8번"}</definedName>
    <definedName name="장20" hidden="1">{#N/A,#N/A,FALSE,"운반시간"}</definedName>
    <definedName name="장21" hidden="1">{#N/A,#N/A,FALSE,"이정표"}</definedName>
    <definedName name="장22" hidden="1">{#N/A,#N/A,FALSE,"조골재"}</definedName>
    <definedName name="장23" hidden="1">{#N/A,#N/A,FALSE,"구조1"}</definedName>
    <definedName name="장24" hidden="1">{#N/A,#N/A,FALSE,"토공2"}</definedName>
    <definedName name="장25" hidden="1">{#N/A,#N/A,FALSE,"포장1";#N/A,#N/A,FALSE,"포장1"}</definedName>
    <definedName name="장26" hidden="1">{#N/A,#N/A,FALSE,"포장2"}</definedName>
    <definedName name="장27" hidden="1">{#N/A,#N/A,FALSE,"표지목차"}</definedName>
    <definedName name="장28" hidden="1">{#N/A,#N/A,FALSE,"혼합골재"}</definedName>
    <definedName name="장4" hidden="1">{#N/A,#N/A,FALSE,"단가표지"}</definedName>
    <definedName name="장5" hidden="1">{#N/A,#N/A,FALSE,"운반시간"}</definedName>
    <definedName name="장6" hidden="1">{#N/A,#N/A,FALSE,"운반시간"}</definedName>
    <definedName name="장7" hidden="1">{#N/A,#N/A,FALSE,"골재소요량";#N/A,#N/A,FALSE,"골재소요량"}</definedName>
    <definedName name="장8" hidden="1">{#N/A,#N/A,FALSE,"단가표지"}</definedName>
    <definedName name="장9" hidden="1">{#N/A,#N/A,FALSE,"단가표지"}</definedName>
    <definedName name="재집" localSheetId="5" hidden="1">{"'용역비'!$A$4:$C$8"}</definedName>
    <definedName name="재집" hidden="1">{"'용역비'!$A$4:$C$8"}</definedName>
    <definedName name="쟈" localSheetId="5" hidden="1">{#N/A,#N/A,FALSE,"단면 제원"}</definedName>
    <definedName name="쟈" hidden="1">{#N/A,#N/A,FALSE,"단면 제원"}</definedName>
    <definedName name="저" localSheetId="5" hidden="1">{#N/A,#N/A,FALSE,"단면 제원"}</definedName>
    <definedName name="저" hidden="1">{#N/A,#N/A,FALSE,"단면 제원"}</definedName>
    <definedName name="전산처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산처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접속A2" localSheetId="5" hidden="1">{#N/A,#N/A,FALSE,"단면 제원"}</definedName>
    <definedName name="접속A2" hidden="1">{#N/A,#N/A,FALSE,"단면 제원"}</definedName>
    <definedName name="제" localSheetId="5" hidden="1">{#N/A,#N/A,FALSE,"단면 제원"}</definedName>
    <definedName name="제" hidden="1">{#N/A,#N/A,FALSE,"단면 제원"}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자재총괄표" localSheetId="5" hidden="1">{#N/A,#N/A,FALSE,"골재소요량";#N/A,#N/A,FALSE,"골재소요량"}</definedName>
    <definedName name="조경자재총괄표" hidden="1">{#N/A,#N/A,FALSE,"골재소요량";#N/A,#N/A,FALSE,"골재소요량"}</definedName>
    <definedName name="조사가" localSheetId="5" hidden="1">[36]입찰안!#REF!</definedName>
    <definedName name="조사가" hidden="1">[36]입찰안!#REF!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5" hidden="1">{#N/A,#N/A,FALSE,"단면 제원"}</definedName>
    <definedName name="죠" hidden="1">{#N/A,#N/A,FALSE,"단면 제원"}</definedName>
    <definedName name="주간" hidden="1">{#N/A,#N/A,FALSE,"운반시간"}</definedName>
    <definedName name="중기운반식" localSheetId="5" hidden="1">{#N/A,#N/A,FALSE,"포장단가"}</definedName>
    <definedName name="중기운반식" hidden="1">{#N/A,#N/A,FALSE,"포장단가"}</definedName>
    <definedName name="중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쥬" localSheetId="5" hidden="1">{#N/A,#N/A,FALSE,"단면 제원"}</definedName>
    <definedName name="쥬" hidden="1">{#N/A,#N/A,FALSE,"단면 제원"}</definedName>
    <definedName name="즈" localSheetId="5" hidden="1">{#N/A,#N/A,FALSE,"단면 제원"}</definedName>
    <definedName name="즈" hidden="1">{#N/A,#N/A,FALSE,"단면 제원"}</definedName>
    <definedName name="지" localSheetId="5" hidden="1">{#N/A,#N/A,FALSE,"단면 제원"}</definedName>
    <definedName name="지" hidden="1">{#N/A,#N/A,FALSE,"단면 제원"}</definedName>
    <definedName name="지계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워" localSheetId="5" hidden="1">{#N/A,#N/A,FALSE,"전열산출서"}</definedName>
    <definedName name="지워" hidden="1">{#N/A,#N/A,FALSE,"전열산출서"}</definedName>
    <definedName name="지워야" localSheetId="5" hidden="1">{#N/A,#N/A,FALSE,"전열산출서"}</definedName>
    <definedName name="지워야" hidden="1">{#N/A,#N/A,FALSE,"전열산출서"}</definedName>
    <definedName name="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진" hidden="1">{#N/A,#N/A,FALSE,"2~8번"}</definedName>
    <definedName name="ㅊㄴ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ㅊㅊ" hidden="1">{#N/A,#N/A,FALSE,"단가표지"}</definedName>
    <definedName name="ㅊㅊㅊㅊㅊㅊ" hidden="1">{#N/A,#N/A,FALSE,"조골재"}</definedName>
    <definedName name="ㅊㅊㅊㅊㅊㅊㅊ" localSheetId="5" hidden="1">{#N/A,#N/A,FALSE,"현장 NCR 분석";#N/A,#N/A,FALSE,"현장품질감사";#N/A,#N/A,FALSE,"현장품질감사"}</definedName>
    <definedName name="ㅊㅊㅊㅊㅊㅊㅊ" hidden="1">{#N/A,#N/A,FALSE,"현장 NCR 분석";#N/A,#N/A,FALSE,"현장품질감사";#N/A,#N/A,FALSE,"현장품질감사"}</definedName>
    <definedName name="ㅊ햐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차차" localSheetId="5" hidden="1">[37]조명시설!#REF!</definedName>
    <definedName name="차차" hidden="1">[37]조명시설!#REF!</definedName>
    <definedName name="찰샇기" localSheetId="5" hidden="1">#REF!</definedName>
    <definedName name="찰샇기" hidden="1">#REF!</definedName>
    <definedName name="철근량" hidden="1">{#N/A,#N/A,FALSE,"전력간선"}</definedName>
    <definedName name="철근운반" localSheetId="5" hidden="1">{#N/A,#N/A,FALSE,"포장단가"}</definedName>
    <definedName name="철근운반" hidden="1">{#N/A,#N/A,FALSE,"포장단가"}</definedName>
    <definedName name="철근집계" localSheetId="5" hidden="1">{#N/A,#N/A,FALSE,"단가표지"}</definedName>
    <definedName name="철근집계" hidden="1">{#N/A,#N/A,FALSE,"단가표지"}</definedName>
    <definedName name="철근총괄1" hidden="1">{#N/A,#N/A,FALSE,"표지목차"}</definedName>
    <definedName name="쳐ㅑ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총공" hidden="1">{#N/A,#N/A,FALSE,"운반시간"}</definedName>
    <definedName name="총공사비2" hidden="1">{#N/A,#N/A,FALSE,"전력간선"}</definedName>
    <definedName name="총괄" localSheetId="5" hidden="1">{#N/A,#N/A,FALSE,"포장단가"}</definedName>
    <definedName name="총괄" hidden="1">{#N/A,#N/A,FALSE,"포장단가"}</definedName>
    <definedName name="추정" localSheetId="5" hidden="1">{#N/A,#N/A,FALSE,"전열산출서"}</definedName>
    <definedName name="추정" hidden="1">{#N/A,#N/A,FALSE,"전열산출서"}</definedName>
    <definedName name="ㅋ_1" localSheetId="5" hidden="1">{#N/A,#N/A,FALSE,"조골재"}</definedName>
    <definedName name="ㅋ_1" hidden="1">{#N/A,#N/A,FALSE,"조골재"}</definedName>
    <definedName name="ㅋㅇ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" localSheetId="5" hidden="1">{#N/A,#N/A,FALSE,"단가표지"}</definedName>
    <definedName name="ㅋㅋ" hidden="1">{#N/A,#N/A,FALSE,"조골재"}</definedName>
    <definedName name="ㅋㅋㅋㅋ" hidden="1">{#N/A,#N/A,FALSE,"조골재"}</definedName>
    <definedName name="ㅋㅋㅋㅋㅋㅋ" hidden="1">{#N/A,#N/A,FALSE,"골재소요량";#N/A,#N/A,FALSE,"골재소요량"}</definedName>
    <definedName name="ㅋㅋㅋㅋㅋㅋㅋㅋㅋㅋㅋ" localSheetId="5" hidden="1">{#N/A,#N/A,FALSE,"포장단가"}</definedName>
    <definedName name="ㅋㅋㅋㅋㅋㅋㅋㅋㅋㅋㅋ" hidden="1">{#N/A,#N/A,FALSE,"포장단가"}</definedName>
    <definedName name="케러" localSheetId="5" hidden="1">{#N/A,#N/A,FALSE,"2~8번"}</definedName>
    <definedName name="케러" hidden="1">{#N/A,#N/A,FALSE,"2~8번"}</definedName>
    <definedName name="콘크리트2" localSheetId="5" hidden="1">#REF!</definedName>
    <definedName name="콘크리트2" hidden="1">#REF!</definedName>
    <definedName name="ㅌ_1" localSheetId="5" hidden="1">{#N/A,#N/A,FALSE,"2~8번"}</definedName>
    <definedName name="ㅌ_1" hidden="1">{#N/A,#N/A,FALSE,"2~8번"}</definedName>
    <definedName name="ㅌㄹ서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ㅌ" hidden="1">{#N/A,#N/A,FALSE,"조골재"}</definedName>
    <definedName name="ㅌㅌㅌㅌ" hidden="1">{#N/A,#N/A,FALSE,"2~8번"}</definedName>
    <definedName name="ㅌㅌㅌㅌㅌㅌ" hidden="1">{#N/A,#N/A,FALSE,"조골재"}</definedName>
    <definedName name="ㅌㅍㅁㄴㅋ" localSheetId="5" hidden="1">'[25]N賃率-職'!$I$5:$I$30</definedName>
    <definedName name="ㅌㅍㅁㄴㅋ" hidden="1">'[25]N賃率-職'!$I$5:$I$30</definedName>
    <definedName name="타견적" localSheetId="5" hidden="1">[34]수량산출!$A$1:$A$8282</definedName>
    <definedName name="타견적" hidden="1">[34]수량산출!$A$1:$A$8282</definedName>
    <definedName name="태영" hidden="1">{#N/A,#N/A,FALSE,"골재소요량";#N/A,#N/A,FALSE,"골재소요량"}</definedName>
    <definedName name="토공." hidden="1">{#N/A,#N/A,FALSE,"운반시간"}</definedName>
    <definedName name="토공집계" hidden="1">{#N/A,#N/A,FALSE,"단가표지"}</definedName>
    <definedName name="토량계산" localSheetId="5" hidden="1">{#N/A,#N/A,FALSE,"포장단가"}</definedName>
    <definedName name="토량계산" hidden="1">{#N/A,#N/A,FALSE,"포장단가"}</definedName>
    <definedName name="토목설계" localSheetId="5" hidden="1">{#N/A,#N/A,FALSE,"골재소요량";#N/A,#N/A,FALSE,"골재소요량"}</definedName>
    <definedName name="토목설계" hidden="1">{#N/A,#N/A,FALSE,"골재소요량";#N/A,#N/A,FALSE,"골재소요량"}</definedName>
    <definedName name="토적표" localSheetId="5" hidden="1">#REF!</definedName>
    <definedName name="토적표" hidden="1">#REF!</definedName>
    <definedName name="ㅍ_1" localSheetId="5" hidden="1">{#N/A,#N/A,FALSE,"2~8번"}</definedName>
    <definedName name="ㅍ_1" hidden="1">{#N/A,#N/A,FALSE,"2~8번"}</definedName>
    <definedName name="ㅍ큪ㅊㅋ" localSheetId="5" hidden="1">#REF!</definedName>
    <definedName name="ㅍ큪ㅊㅋ" hidden="1">#REF!</definedName>
    <definedName name="ㅍㅍㅍ" localSheetId="5" hidden="1">{#N/A,#N/A,FALSE,"단가표지"}</definedName>
    <definedName name="ㅍㅍㅍ" hidden="1">{#N/A,#N/A,FALSE,"단가표지"}</definedName>
    <definedName name="ㅍㅍㅍㅍㅍ" localSheetId="5" hidden="1">{#N/A,#N/A,FALSE,"표지목차"}</definedName>
    <definedName name="ㅍㅍㅍㅍㅍ" hidden="1">{#N/A,#N/A,FALSE,"운반시간"}</definedName>
    <definedName name="ㅍㅍㅍㅍㅍㅍㅍㅍ" localSheetId="5" hidden="1">{#N/A,#N/A,FALSE,"표지목차"}</definedName>
    <definedName name="ㅍㅍㅍㅍㅍㅍㅍㅍ" hidden="1">{#N/A,#N/A,FALSE,"표지목차"}</definedName>
    <definedName name="파군재교" localSheetId="5" hidden="1">{#N/A,#N/A,FALSE,"단면 제원"}</definedName>
    <definedName name="파군재교" hidden="1">{#N/A,#N/A,FALSE,"단면 제원"}</definedName>
    <definedName name="파일" localSheetId="5" hidden="1">#REF!</definedName>
    <definedName name="파일" hidden="1">#REF!</definedName>
    <definedName name="푸" hidden="1">{#N/A,#N/A,FALSE,"토공2"}</definedName>
    <definedName name="ㅎ4ㅅ고46" hidden="1">[28]지수적용공사비내역서!#REF!</definedName>
    <definedName name="ㅎ5" localSheetId="5" hidden="1">{#N/A,#N/A,FALSE,"골재소요량";#N/A,#N/A,FALSE,"골재소요량"}</definedName>
    <definedName name="ㅎ5" hidden="1">{#N/A,#N/A,FALSE,"골재소요량";#N/A,#N/A,FALSE,"골재소요량"}</definedName>
    <definedName name="ㅎ5_1" localSheetId="5" hidden="1">{#N/A,#N/A,FALSE,"골재소요량";#N/A,#N/A,FALSE,"골재소요량"}</definedName>
    <definedName name="ㅎ5_1" hidden="1">{#N/A,#N/A,FALSE,"골재소요량";#N/A,#N/A,FALSE,"골재소요량"}</definedName>
    <definedName name="ㅎㄱㄷㅎ" hidden="1">{#N/A,#N/A,FALSE,"골재소요량";#N/A,#N/A,FALSE,"골재소요량"}</definedName>
    <definedName name="ㅎㄱㅎㅎㄷㄶ" hidden="1">{#N/A,#N/A,FALSE,"골재소요량";#N/A,#N/A,FALSE,"골재소요량"}</definedName>
    <definedName name="ㅎ노ㅠ" hidden="1">{#N/A,#N/A,FALSE,"배수1"}</definedName>
    <definedName name="ㅎㄶ" hidden="1">{#N/A,#N/A,FALSE,"속도"}</definedName>
    <definedName name="ㅎㄹ" localSheetId="5" hidden="1">#REF!</definedName>
    <definedName name="ㅎㄹ" hidden="1">#REF!</definedName>
    <definedName name="ㅎㄹㄴ" hidden="1">{#N/A,#N/A,FALSE,"2~8번"}</definedName>
    <definedName name="ㅎㄹㅇㄹㄴㅇㄴㄹ" hidden="1">{#N/A,#N/A,FALSE,"표지목차"}</definedName>
    <definedName name="ㅎㄹ오하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류휴ㅠㅎ휴" hidden="1">{#N/A,#N/A,FALSE,"골재소요량";#N/A,#N/A,FALSE,"골재소요량"}</definedName>
    <definedName name="ㅎ류ㅠㅍㅎㅇㅎ" hidden="1">{#N/A,#N/A,FALSE,"골재소요량";#N/A,#N/A,FALSE,"골재소요량"}</definedName>
    <definedName name="ㅎ률" hidden="1">{#N/A,#N/A,FALSE,"조골재"}</definedName>
    <definedName name="ㅎㅀㄹ" localSheetId="5" hidden="1">{#N/A,#N/A,FALSE,"운반시간"}</definedName>
    <definedName name="ㅎㅀㄹ" hidden="1">{#N/A,#N/A,FALSE,"운반시간"}</definedName>
    <definedName name="ㅎㅇㄴ" hidden="1">{#N/A,#N/A,FALSE,"2~8번"}</definedName>
    <definedName name="ㅎㅇㄶㄷㄱ" localSheetId="5" hidden="1">#REF!</definedName>
    <definedName name="ㅎㅇㄶㄷㄱ" hidden="1">#REF!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ㄴ" hidden="1">{#N/A,#N/A,FALSE,"표지목차"}</definedName>
    <definedName name="ㅎㅎㅎㅎㅎㅎㅎ" localSheetId="5" hidden="1">{#N/A,#N/A,FALSE,"골재소요량";#N/A,#N/A,FALSE,"골재소요량"}</definedName>
    <definedName name="ㅎㅎㅎㅎㅎㅎㅎ" hidden="1">{#N/A,#N/A,FALSE,"골재소요량";#N/A,#N/A,FALSE,"골재소요량"}</definedName>
    <definedName name="ㅎㅎㅎㅎㅎㅎㅎㅎㅎㅎㅎㅎㅎㅎㅎㅎㅎㅎㅎㅎㅎㅎㅎ" localSheetId="5" hidden="1">#REF!</definedName>
    <definedName name="ㅎㅎㅎㅎㅎㅎㅎㅎㅎㅎㅎㅎㅎㅎㅎㅎㅎㅎㅎㅎㅎㅎㅎ" hidden="1">#REF!</definedName>
    <definedName name="ㅎㅎㅎㅎㅎㅜㅜ" hidden="1">{#N/A,#N/A,FALSE,"조골재"}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바" localSheetId="5" hidden="1">{#N/A,#N/A,FALSE,"포장단가"}</definedName>
    <definedName name="하이바" hidden="1">{#N/A,#N/A,FALSE,"포장단가"}</definedName>
    <definedName name="한동" localSheetId="5" hidden="1">{#N/A,#N/A,FALSE,"단가표지"}</definedName>
    <definedName name="한동" hidden="1">{#N/A,#N/A,FALSE,"단가표지"}</definedName>
    <definedName name="한전" localSheetId="5" hidden="1">{#N/A,#N/A,FALSE,"현장 NCR 분석";#N/A,#N/A,FALSE,"현장품질감사";#N/A,#N/A,FALSE,"현장품질감사"}</definedName>
    <definedName name="한전" hidden="1">{#N/A,#N/A,FALSE,"현장 NCR 분석";#N/A,#N/A,FALSE,"현장품질감사";#N/A,#N/A,FALSE,"현장품질감사"}</definedName>
    <definedName name="호ㅠ포" hidden="1">{#N/A,#N/A,FALSE,"표지목차"}</definedName>
    <definedName name="홍ㄹㄴㄷㄱ" localSheetId="5" hidden="1">#REF!</definedName>
    <definedName name="홍ㄹㄴㄷㄱ" hidden="1">#REF!</definedName>
    <definedName name="홓" localSheetId="5" hidden="1">{#N/A,#N/A,FALSE,"조골재"}</definedName>
    <definedName name="홓" hidden="1">{#N/A,#N/A,FALSE,"조골재"}</definedName>
    <definedName name="회현지구" localSheetId="5" hidden="1">{"'용역비'!$A$4:$C$8"}</definedName>
    <definedName name="회현지구" hidden="1">{"'용역비'!$A$4:$C$8"}</definedName>
    <definedName name="효ㅛㅛㅛㅛ" hidden="1">{#N/A,#N/A,FALSE,"조골재"}</definedName>
    <definedName name="흄관운반" localSheetId="5" hidden="1">{#N/A,#N/A,FALSE,"포장단가"}</definedName>
    <definedName name="흄관운반" hidden="1">{#N/A,#N/A,FALSE,"포장단가"}</definedName>
    <definedName name="히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ㅏ_1" localSheetId="5" hidden="1">{#N/A,#N/A,FALSE,"운반시간"}</definedName>
    <definedName name="ㅏ_1" hidden="1">{#N/A,#N/A,FALSE,"운반시간"}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5" hidden="1">{#N/A,#N/A,FALSE,"단면 제원"}</definedName>
    <definedName name="ㅏㅏㅏㅏ" hidden="1">{#N/A,#N/A,FALSE,"단면 제원"}</definedName>
    <definedName name="ㅏㅏㅏㅏㅏ" hidden="1">{#N/A,#N/A,FALSE,"단가표지"}</definedName>
    <definedName name="ㅏㅏㅏㅏㅏㅏㅏ" hidden="1">{#N/A,#N/A,FALSE,"운반시간"}</definedName>
    <definedName name="ㅏㅏㅏㅏㅏㅏㅏㅏㅏㅏㅏㅏㅏㅏㅏㅏㅏㅏㅏㅏㅏㅏㅏㅏㅏㅏㅏ" hidden="1">{#N/A,#N/A,FALSE,"단가표지"}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localSheetId="5" hidden="1">{#N/A,#N/A,FALSE,"골재소요량";#N/A,#N/A,FALSE,"골재소요량"}</definedName>
    <definedName name="ㅏㅓ" hidden="1">{#N/A,#N/A,FALSE,"골재소요량";#N/A,#N/A,FALSE,"골재소요량"}</definedName>
    <definedName name="ㅏㅓㅏ" localSheetId="5" hidden="1">{#N/A,#N/A,FALSE,"단가표지"}</definedName>
    <definedName name="ㅏㅓㅏ" hidden="1">{#N/A,#N/A,FALSE,"단가표지"}</definedName>
    <definedName name="ㅏㅓㅏㅓ" localSheetId="5" hidden="1">{#N/A,#N/A,FALSE,"2~8번"}</definedName>
    <definedName name="ㅏㅓㅏㅓ" hidden="1">{#N/A,#N/A,FALSE,"2~8번"}</definedName>
    <definedName name="ㅏㅕㅛㅏㄱㄹㅇ" localSheetId="5" hidden="1">'[25]N賃率-職'!$I$5:$I$30</definedName>
    <definedName name="ㅏㅕㅛㅏㄱㄹㅇ" hidden="1">'[25]N賃率-職'!$I$5:$I$30</definedName>
    <definedName name="ㅑ" hidden="1">{#N/A,#N/A,FALSE,"조골재"}</definedName>
    <definedName name="ㅑ_1" localSheetId="5" hidden="1">{#N/A,#N/A,FALSE,"조골재"}</definedName>
    <definedName name="ㅑ_1" hidden="1">{#N/A,#N/A,FALSE,"조골재"}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사" hidden="1">{#N/A,#N/A,FALSE,"혼합골재"}</definedName>
    <definedName name="ㅑㅣㅕㅕㅣㅏㅎ" hidden="1">{#N/A,#N/A,FALSE,"골재소요량";#N/A,#N/A,FALSE,"골재소요량"}</definedName>
    <definedName name="ㅓ7" localSheetId="5" hidden="1">{#N/A,#N/A,FALSE,"단가표지"}</definedName>
    <definedName name="ㅓ7" hidden="1">{#N/A,#N/A,FALSE,"단가표지"}</definedName>
    <definedName name="ㅓ7_1" localSheetId="5" hidden="1">{#N/A,#N/A,FALSE,"단가표지"}</definedName>
    <definedName name="ㅓ7_1" hidden="1">{#N/A,#N/A,FALSE,"단가표지"}</definedName>
    <definedName name="ㅓㄴㄱ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ㅇ러" localSheetId="5" hidden="1">{#N/A,#N/A,FALSE,"골재소요량";#N/A,#N/A,FALSE,"골재소요량"}</definedName>
    <definedName name="ㅓㄴㅇ러" hidden="1">{#N/A,#N/A,FALSE,"골재소요량";#N/A,#N/A,FALSE,"골재소요량"}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런" hidden="1">[38]SANTOGO!#REF!</definedName>
    <definedName name="ㅓㅏ" localSheetId="5" hidden="1">{#N/A,#N/A,FALSE,"표지목차"}</definedName>
    <definedName name="ㅓㅏ" hidden="1">{#N/A,#N/A,FALSE,"골재소요량";#N/A,#N/A,FALSE,"골재소요량"}</definedName>
    <definedName name="ㅓㅏㅓ" localSheetId="5" hidden="1">{#N/A,#N/A,FALSE,"조골재"}</definedName>
    <definedName name="ㅓㅏㅓ" hidden="1">{#N/A,#N/A,FALSE,"조골재"}</definedName>
    <definedName name="ㅓㅏㅓㅎ" hidden="1">{#N/A,#N/A,FALSE,"단가표지"}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5" hidden="1">{#N/A,#N/A,FALSE,"단면 제원"}</definedName>
    <definedName name="ㅓㅓㅓ" hidden="1">{#N/A,#N/A,FALSE,"단면 제원"}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ㅓㅓㅓㅓㅓ" hidden="1">{#N/A,#N/A,FALSE,"골재소요량";#N/A,#N/A,FALSE,"골재소요량"}</definedName>
    <definedName name="ㅓㅓㅗ" localSheetId="5" hidden="1">{#N/A,#N/A,FALSE,"조골재"}</definedName>
    <definedName name="ㅓㅓㅗ" hidden="1">{#N/A,#N/A,FALSE,"조골재"}</definedName>
    <definedName name="ㅓㅕ" hidden="1">{#N/A,#N/A,FALSE,"조골재"}</definedName>
    <definedName name="ㅓㅗㅓ" localSheetId="5" hidden="1">{#N/A,#N/A,FALSE,"2~8번"}</definedName>
    <definedName name="ㅓㅗㅓ" hidden="1">{#N/A,#N/A,FALSE,"2~8번"}</definedName>
    <definedName name="ㅓㅛㅇ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" hidden="1">{#N/A,#N/A,FALSE,"골재소요량";#N/A,#N/A,FALSE,"골재소요량"}</definedName>
    <definedName name="ㅔ3" localSheetId="5" hidden="1">{#N/A,#N/A,FALSE,"배수1"}</definedName>
    <definedName name="ㅔ3" hidden="1">{#N/A,#N/A,FALSE,"배수1"}</definedName>
    <definedName name="ㅔㅔㅔㅔㅔㅔㅔㅔㅔㅔ" localSheetId="5" hidden="1">{#N/A,#N/A,FALSE,"현장 NCR 분석";#N/A,#N/A,FALSE,"현장품질감사";#N/A,#N/A,FALSE,"현장품질감사"}</definedName>
    <definedName name="ㅔㅔㅔㅔㅔㅔㅔㅔㅔㅔ" hidden="1">{#N/A,#N/A,FALSE,"현장 NCR 분석";#N/A,#N/A,FALSE,"현장품질감사";#N/A,#N/A,FALSE,"현장품질감사"}</definedName>
    <definedName name="ㅕㅑ" hidden="1">{#N/A,#N/A,FALSE,"2~8번"}</definedName>
    <definedName name="ㅕㅑㅑㅑ" hidden="1">{#N/A,#N/A,FALSE,"조골재"}</definedName>
    <definedName name="ㅕㅕㅕ" hidden="1">{#N/A,#N/A,FALSE,"혼합골재"}</definedName>
    <definedName name="ㅕㅕㅕㅕ" hidden="1">{#N/A,#N/A,FALSE,"표지목차"}</definedName>
    <definedName name="ㅕㅕㅕㅕㅕ" hidden="1">{#N/A,#N/A,FALSE,"운반시간"}</definedName>
    <definedName name="ㅕㅕㅕㅕㅕㅕ" localSheetId="5" hidden="1">{#N/A,#N/A,FALSE,"현장 NCR 분석";#N/A,#N/A,FALSE,"현장품질감사";#N/A,#N/A,FALSE,"현장품질감사"}</definedName>
    <definedName name="ㅕㅕㅕㅕㅕㅕ" hidden="1">{#N/A,#N/A,FALSE,"현장 NCR 분석";#N/A,#N/A,FALSE,"현장품질감사";#N/A,#N/A,FALSE,"현장품질감사"}</definedName>
    <definedName name="ㅕㅕㅕㅕㅕㅕㅕㅕ" hidden="1">{#N/A,#N/A,FALSE,"조골재"}</definedName>
    <definedName name="ㅗ4ㅛㅗ6" hidden="1">[28]지수적용공사비내역서!#REF!</definedName>
    <definedName name="ㅗㄱㅇ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ㄴㄱ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ㅍ초" hidden="1">{#N/A,#N/A,FALSE,"2~8번"}</definedName>
    <definedName name="ㅗㅎㅎㅌㄹㅋㅅ" hidden="1">{#N/A,#N/A,FALSE,"2~8번"}</definedName>
    <definedName name="ㅗ호" localSheetId="5" hidden="1">{#N/A,#N/A,FALSE,"조골재"}</definedName>
    <definedName name="ㅗ호" hidden="1">{#N/A,#N/A,FALSE,"조골재"}</definedName>
    <definedName name="ㅗㅓ" localSheetId="5" hidden="1">{"'제조(순번)'!$A$386:$A$387","'제조(순번)'!$A$1:$H$399"}</definedName>
    <definedName name="ㅗㅓ" hidden="1">{"'제조(순번)'!$A$386:$A$387","'제조(순번)'!$A$1:$H$399"}</definedName>
    <definedName name="ㅗㅓㅗ" localSheetId="5" hidden="1">{#N/A,#N/A,FALSE,"골재소요량";#N/A,#N/A,FALSE,"골재소요량"}</definedName>
    <definedName name="ㅗㅓㅗ" hidden="1">{#N/A,#N/A,FALSE,"골재소요량";#N/A,#N/A,FALSE,"골재소요량"}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ㅗ" hidden="1">{#N/A,#N/A,FALSE,"2~8번"}</definedName>
    <definedName name="ㅗㅗㅗㅗㅗㅗㅗ" localSheetId="5" hidden="1">{#N/A,#N/A,FALSE,"현장 NCR 분석";#N/A,#N/A,FALSE,"현장품질감사";#N/A,#N/A,FALSE,"현장품질감사"}</definedName>
    <definedName name="ㅗㅗㅗㅗㅗㅗㅗ" hidden="1">{#N/A,#N/A,FALSE,"현장 NCR 분석";#N/A,#N/A,FALSE,"현장품질감사";#N/A,#N/A,FALSE,"현장품질감사"}</definedName>
    <definedName name="ㅘㅓ" localSheetId="5" hidden="1">{#N/A,#N/A,FALSE,"운반시간"}</definedName>
    <definedName name="ㅘㅓ" hidden="1">{#N/A,#N/A,FALSE,"운반시간"}</definedName>
    <definedName name="ㅘㅗ허ㅎ" hidden="1">#REF!</definedName>
    <definedName name="ㅛ셔됴ㅕ" hidden="1">{#N/A,#N/A,FALSE,"운반시간"}</definedName>
    <definedName name="ㅛ셔으ㅜㅅ구" hidden="1">{#N/A,#N/A,FALSE,"2~8번"}</definedName>
    <definedName name="ㅛㅇ수ㅜㅛㅅㅇ" hidden="1">{#N/A,#N/A,FALSE,"2~8번"}</definedName>
    <definedName name="ㅛㅌ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ㅓㄴㄱ5" hidden="1">{#N/A,#N/A,FALSE,"단가표지"}</definedName>
    <definedName name="ㅛㅕㅑ" localSheetId="5" hidden="1">'[30]N賃率-職'!$I$5:$I$30</definedName>
    <definedName name="ㅛㅕㅑ" hidden="1">'[30]N賃率-職'!$I$5:$I$30</definedName>
    <definedName name="ㅛㅕㅕㅑㅓ" hidden="1">{#N/A,#N/A,FALSE,"표지목차"}</definedName>
    <definedName name="ㅛㅗㅁ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" hidden="1">{#N/A,#N/A,FALSE,"골재소요량";#N/A,#N/A,FALSE,"골재소요량"}</definedName>
    <definedName name="ㅛㅛㅛㅛ" localSheetId="5" hidden="1">[39]수량산출!$A$1:$A$8561</definedName>
    <definedName name="ㅛㅛㅛㅛ" hidden="1">[39]수량산출!$A$1:$A$8561</definedName>
    <definedName name="ㅛㅛㅛㅛㅛㅛ" localSheetId="5" hidden="1">{#N/A,#N/A,FALSE,"현장 NCR 분석";#N/A,#N/A,FALSE,"현장품질감사";#N/A,#N/A,FALSE,"현장품질감사"}</definedName>
    <definedName name="ㅛㅛㅛㅛㅛㅛ" hidden="1">{#N/A,#N/A,FALSE,"현장 NCR 분석";#N/A,#N/A,FALSE,"현장품질감사";#N/A,#N/A,FALSE,"현장품질감사"}</definedName>
    <definedName name="ㅛㅛㅛㅛㅛㅛㅛ" hidden="1">{#N/A,#N/A,FALSE,"단가표지"}</definedName>
    <definedName name="ㅛㅠㅗㄱ셔ㅛ" hidden="1">{#N/A,#N/A,FALSE,"조골재"}</definedName>
    <definedName name="ㅜ" localSheetId="5" hidden="1">[15]수량산출!#REF!</definedName>
    <definedName name="ㅜ" hidden="1">[15]수량산출!#REF!</definedName>
    <definedName name="ㅜ_1" localSheetId="5" hidden="1">{#N/A,#N/A,FALSE,"조골재"}</definedName>
    <definedName name="ㅜ_1" hidden="1">{#N/A,#N/A,FALSE,"조골재"}</definedName>
    <definedName name="ㅜㄴ" hidden="1">{#N/A,#N/A,FALSE,"운반시간"}</definedName>
    <definedName name="ㅜ여숫유" hidden="1">{#N/A,#N/A,FALSE,"운반시간"}</definedName>
    <definedName name="ㅜ후ㅗㅜㅗ" hidden="1">{#N/A,#N/A,FALSE,"단가표지"}</definedName>
    <definedName name="ㅜㅜㅜㅜㅜㅜㅜㅜ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ㅜㅜㅜ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ㅊ퓨ㅜ" localSheetId="5" hidden="1">#REF!</definedName>
    <definedName name="ㅜㅠㅊ퓨ㅜ" hidden="1">#REF!</definedName>
    <definedName name="ㅝㅎㄹ촉ㅇ" hidden="1">{#N/A,#N/A,FALSE,"조골재"}</definedName>
    <definedName name="ㅠㄱ" localSheetId="5" hidden="1">{"'용역비'!$A$4:$C$8"}</definedName>
    <definedName name="ㅠㄱ" hidden="1">{"'용역비'!$A$4:$C$8"}</definedName>
    <definedName name="ㅠㄱ소슈" hidden="1">{#N/A,#N/A,FALSE,"골재소요량";#N/A,#N/A,FALSE,"골재소요량"}</definedName>
    <definedName name="ㅠ뮤ㅐ" localSheetId="5" hidden="1">#REF!</definedName>
    <definedName name="ㅠ뮤ㅐ" hidden="1">#REF!</definedName>
    <definedName name="ㅠㅅ롯고" hidden="1">{#N/A,#N/A,FALSE,"골재소요량";#N/A,#N/A,FALSE,"골재소요량"}</definedName>
    <definedName name="ㅠ숑ㄱ쇼ㅠㅠㅅ" hidden="1">{#N/A,#N/A,FALSE,"단가표지"}</definedName>
    <definedName name="ㅠㅠㅠㅠ" localSheetId="5" hidden="1">{#N/A,#N/A,FALSE,"운반시간"}</definedName>
    <definedName name="ㅠㅠㅠㅠ" hidden="1">{#N/A,#N/A,FALSE,"단면 제원"}</definedName>
    <definedName name="ㅡ_1" localSheetId="5" hidden="1">{#N/A,#N/A,FALSE,"2~8번"}</definedName>
    <definedName name="ㅡ_1" hidden="1">{#N/A,#N/A,FALSE,"2~8번"}</definedName>
    <definedName name="ㅡㅗㅓㅓㅡㅗㅗㅓㅓㅗ" hidden="1">{#N/A,#N/A,FALSE,"운반시간"}</definedName>
    <definedName name="ㅡㅡㅡㅡㅡ" localSheetId="5" hidden="1">{#N/A,#N/A,FALSE,"현장 NCR 분석";#N/A,#N/A,FALSE,"현장품질감사";#N/A,#N/A,FALSE,"현장품질감사"}</definedName>
    <definedName name="ㅡㅡㅡㅡㅡ" hidden="1">{#N/A,#N/A,FALSE,"현장 NCR 분석";#N/A,#N/A,FALSE,"현장품질감사";#N/A,#N/A,FALSE,"현장품질감사"}</definedName>
    <definedName name="ㅣㅎ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" localSheetId="5" hidden="1">{#N/A,#N/A,FALSE,"운반시간"}</definedName>
    <definedName name="ㅣㅏㅓ" hidden="1">{#N/A,#N/A,FALSE,"운반시간"}</definedName>
    <definedName name="ㅣㅏㅓㅗ효ㅕㅕㅕㅕㅛㅅㅅ" localSheetId="5" hidden="1">{#N/A,#N/A,FALSE,"현장 NCR 분석";#N/A,#N/A,FALSE,"현장품질감사";#N/A,#N/A,FALSE,"현장품질감사"}</definedName>
    <definedName name="ㅣㅏㅓㅗ효ㅕㅕㅕㅕㅛㅅㅅ" hidden="1">{#N/A,#N/A,FALSE,"현장 NCR 분석";#N/A,#N/A,FALSE,"현장품질감사";#N/A,#N/A,FALSE,"현장품질감사"}</definedName>
    <definedName name="ㅣㅑㅑ" hidden="1">{#N/A,#N/A,FALSE,"단가표지"}</definedName>
    <definedName name="ㅣㅑㅕㅗ" localSheetId="5" hidden="1">#REF!</definedName>
    <definedName name="ㅣㅑㅕㅗ" hidden="1">#REF!</definedName>
    <definedName name="ㅣㅣㅣ" localSheetId="5" hidden="1">[32]조명시설!#REF!</definedName>
    <definedName name="ㅣㅣㅣ" hidden="1">[32]조명시설!#REF!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localSheetId="5" hidden="1">[32]조명시설!#REF!</definedName>
    <definedName name="ㅣㅣㅣㅣ" hidden="1">[32]조명시설!#REF!</definedName>
    <definedName name="ㅣㅣㅣㅣㅣ" localSheetId="5" hidden="1">[32]조명시설!#REF!</definedName>
    <definedName name="ㅣㅣㅣㅣㅣ" hidden="1">[32]조명시설!#REF!</definedName>
    <definedName name="ㅣㅣㅣㅣㅣㅣ" localSheetId="5" hidden="1">[32]조명시설!#REF!</definedName>
    <definedName name="ㅣㅣㅣㅣㅣㅣ" hidden="1">[32]조명시설!#REF!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89" l="1"/>
  <c r="C5" i="189" l="1"/>
  <c r="C4" i="189"/>
  <c r="B24" i="208"/>
  <c r="D7" i="208"/>
  <c r="B3" i="207"/>
  <c r="C8" i="189" l="1"/>
  <c r="C7" i="189"/>
  <c r="F8" i="189"/>
  <c r="H8" i="189" s="1"/>
  <c r="F7" i="189"/>
  <c r="H7" i="189" s="1"/>
  <c r="H6" i="189" s="1"/>
  <c r="G5" i="189"/>
  <c r="H5" i="189" s="1"/>
  <c r="G4" i="189"/>
  <c r="H4" i="189" s="1"/>
  <c r="H3" i="189" l="1"/>
  <c r="H9" i="189" s="1"/>
  <c r="H10" i="189" s="1"/>
  <c r="H13" i="205" l="1"/>
  <c r="E13" i="205" s="1"/>
</calcChain>
</file>

<file path=xl/sharedStrings.xml><?xml version="1.0" encoding="utf-8"?>
<sst xmlns="http://schemas.openxmlformats.org/spreadsheetml/2006/main" count="87" uniqueCount="86">
  <si>
    <t>산출내역</t>
    <phoneticPr fontId="4" type="noConversion"/>
  </si>
  <si>
    <t>구 분</t>
    <phoneticPr fontId="4" type="noConversion"/>
  </si>
  <si>
    <t>DBMS</t>
    <phoneticPr fontId="4" type="noConversion"/>
  </si>
  <si>
    <t>GIS엔진</t>
    <phoneticPr fontId="4" type="noConversion"/>
  </si>
  <si>
    <t>1. 하드웨어 유지보수</t>
    <phoneticPr fontId="4" type="noConversion"/>
  </si>
  <si>
    <t>2. 소프트웨어 유지보수</t>
    <phoneticPr fontId="4" type="noConversion"/>
  </si>
  <si>
    <t>DB서버</t>
    <phoneticPr fontId="4" type="noConversion"/>
  </si>
  <si>
    <t>APP서버</t>
    <phoneticPr fontId="4" type="noConversion"/>
  </si>
  <si>
    <t>OS포함</t>
    <phoneticPr fontId="4" type="noConversion"/>
  </si>
  <si>
    <t>설 계 서</t>
    <phoneticPr fontId="4" type="noConversion"/>
  </si>
  <si>
    <t>단    양    군</t>
    <phoneticPr fontId="4" type="noConversion"/>
  </si>
  <si>
    <t>용 역 개 요 :</t>
    <phoneticPr fontId="4" type="noConversion"/>
  </si>
  <si>
    <t xml:space="preserve">   총 용 역 비  :</t>
    <phoneticPr fontId="4" type="noConversion"/>
  </si>
  <si>
    <t>설 계</t>
    <phoneticPr fontId="4" type="noConversion"/>
  </si>
  <si>
    <t>심 사</t>
    <phoneticPr fontId="4" type="noConversion"/>
  </si>
  <si>
    <t>팀 장</t>
    <phoneticPr fontId="4" type="noConversion"/>
  </si>
  <si>
    <t>과 장</t>
    <phoneticPr fontId="4" type="noConversion"/>
  </si>
  <si>
    <t xml:space="preserve"> 도시계획정보체계(UPIS) 운영장비 유지관리</t>
    <phoneticPr fontId="4" type="noConversion"/>
  </si>
  <si>
    <t xml:space="preserve"> 1. H/W :    AP서버, DB서버   1식</t>
    <phoneticPr fontId="4" type="noConversion"/>
  </si>
  <si>
    <t xml:space="preserve"> 2. S/W :    DBMS, GIS엔진    1식</t>
    <phoneticPr fontId="4" type="noConversion"/>
  </si>
  <si>
    <t>단양군 도시계획정보체계(UPIS) 운영장비 유지관리</t>
    <phoneticPr fontId="4" type="noConversion"/>
  </si>
  <si>
    <t>적용율</t>
    <phoneticPr fontId="4" type="noConversion"/>
  </si>
  <si>
    <t>직접인건비</t>
    <phoneticPr fontId="4" type="noConversion"/>
  </si>
  <si>
    <t>경비 및 재료비</t>
    <phoneticPr fontId="4" type="noConversion"/>
  </si>
  <si>
    <t>소계</t>
    <phoneticPr fontId="4" type="noConversion"/>
  </si>
  <si>
    <t>비  고</t>
    <phoneticPr fontId="4" type="noConversion"/>
  </si>
  <si>
    <t>총괄표</t>
    <phoneticPr fontId="4" type="noConversion"/>
  </si>
  <si>
    <t xml:space="preserve">    위    치  : </t>
    <phoneticPr fontId="4" type="noConversion"/>
  </si>
  <si>
    <t xml:space="preserve"> </t>
    <phoneticPr fontId="4" type="noConversion"/>
  </si>
  <si>
    <t>단     양     군</t>
    <phoneticPr fontId="4" type="noConversion"/>
  </si>
  <si>
    <t>설   계   설   명   서</t>
    <phoneticPr fontId="4" type="noConversion"/>
  </si>
  <si>
    <t>1.</t>
    <phoneticPr fontId="4" type="noConversion"/>
  </si>
  <si>
    <t>위       치  :</t>
    <phoneticPr fontId="4" type="noConversion"/>
  </si>
  <si>
    <t>충북 단양군 일원</t>
    <phoneticPr fontId="4" type="noConversion"/>
  </si>
  <si>
    <t>2.</t>
    <phoneticPr fontId="4" type="noConversion"/>
  </si>
  <si>
    <t>용  역  명  :</t>
    <phoneticPr fontId="4" type="noConversion"/>
  </si>
  <si>
    <t>3.</t>
    <phoneticPr fontId="4" type="noConversion"/>
  </si>
  <si>
    <t>목       적  :</t>
    <phoneticPr fontId="4" type="noConversion"/>
  </si>
  <si>
    <t>4.</t>
    <phoneticPr fontId="4" type="noConversion"/>
  </si>
  <si>
    <t>공 사 개 요</t>
    <phoneticPr fontId="4" type="noConversion"/>
  </si>
  <si>
    <t>공        종</t>
    <phoneticPr fontId="4" type="noConversion"/>
  </si>
  <si>
    <t>과업내용</t>
    <phoneticPr fontId="4" type="noConversion"/>
  </si>
  <si>
    <t>비         고</t>
    <phoneticPr fontId="4" type="noConversion"/>
  </si>
  <si>
    <t>5.</t>
  </si>
  <si>
    <t>시 행 방 법  :  도 급 시 행</t>
    <phoneticPr fontId="4" type="noConversion"/>
  </si>
  <si>
    <t>6.</t>
  </si>
  <si>
    <t>용 역 기 간  :  다음 예정공정표에 의거 착수일로부터 360일 내에 준공키로 하고 다음 경우에 한하여 관의 승인을</t>
    <phoneticPr fontId="4" type="noConversion"/>
  </si>
  <si>
    <t xml:space="preserve">  얻어 그 기간을 연기 조치할 수 있다.</t>
    <phoneticPr fontId="4" type="noConversion"/>
  </si>
  <si>
    <t>1)</t>
    <phoneticPr fontId="4" type="noConversion"/>
  </si>
  <si>
    <t xml:space="preserve">  보다 효과적인 사업계획 작성을 위한 기본계획 및 설계방침 결정 등에 필요한 일수</t>
    <phoneticPr fontId="4" type="noConversion"/>
  </si>
  <si>
    <t>2)</t>
  </si>
  <si>
    <t xml:space="preserve">  천재지변으로 인하여 작업이 불가능할 때</t>
    <phoneticPr fontId="4" type="noConversion"/>
  </si>
  <si>
    <t>3)</t>
  </si>
  <si>
    <t xml:space="preserve">  관의 지시에 의하여 작업이 중단되었을 때</t>
    <phoneticPr fontId="4" type="noConversion"/>
  </si>
  <si>
    <t xml:space="preserve">                         공     정
공     종</t>
    <phoneticPr fontId="4" type="noConversion"/>
  </si>
  <si>
    <t>2개월</t>
    <phoneticPr fontId="51" type="noConversion"/>
  </si>
  <si>
    <t>4개월</t>
    <phoneticPr fontId="51" type="noConversion"/>
  </si>
  <si>
    <t>6개월</t>
    <phoneticPr fontId="51" type="noConversion"/>
  </si>
  <si>
    <t>8개월</t>
    <phoneticPr fontId="51" type="noConversion"/>
  </si>
  <si>
    <t>10개월</t>
    <phoneticPr fontId="51" type="noConversion"/>
  </si>
  <si>
    <t>12개월</t>
    <phoneticPr fontId="51" type="noConversion"/>
  </si>
  <si>
    <t>비    고</t>
    <phoneticPr fontId="4" type="noConversion"/>
  </si>
  <si>
    <t>7.</t>
    <phoneticPr fontId="4" type="noConversion"/>
  </si>
  <si>
    <t>설계변경조건</t>
    <phoneticPr fontId="4" type="noConversion"/>
  </si>
  <si>
    <t>1)</t>
    <phoneticPr fontId="4" type="noConversion"/>
  </si>
  <si>
    <t xml:space="preserve">본 용역은 조사 당시 수집된 자료에 의하여 설계한 것인바 조사불능 부분 및 조사 후 변동된 사항에 </t>
    <phoneticPr fontId="4" type="noConversion"/>
  </si>
  <si>
    <t>대하여는 용역 당시 실지에 맞추어 설계 변경키로 한다.</t>
    <phoneticPr fontId="4" type="noConversion"/>
  </si>
  <si>
    <t>2)</t>
    <phoneticPr fontId="4" type="noConversion"/>
  </si>
  <si>
    <t>본 용역 중 관의 형편상 설계변경을 필요로 할 시에는 쌍방의 협의로 설계 변경키로 한다.</t>
    <phoneticPr fontId="4" type="noConversion"/>
  </si>
  <si>
    <t>도시계획정보체계(UPIS) 운영장비 유지관리 용역</t>
    <phoneticPr fontId="4" type="noConversion"/>
  </si>
  <si>
    <t>본 용역을 통하여 정보시스템의 안정적인 운영과 사전장애 예방으로 대민 전자민원서비스 향상 도모</t>
    <phoneticPr fontId="4" type="noConversion"/>
  </si>
  <si>
    <t>UPIS표준시스템</t>
    <phoneticPr fontId="4" type="noConversion"/>
  </si>
  <si>
    <t>시스템(H/W, S/W) 업그레이드 및 장애처리</t>
    <phoneticPr fontId="4" type="noConversion"/>
  </si>
  <si>
    <t>도시계획정보체계(UPIS) 운영장비 유지관리용역</t>
    <phoneticPr fontId="4" type="noConversion"/>
  </si>
  <si>
    <t>총용역비</t>
    <phoneticPr fontId="4" type="noConversion"/>
  </si>
  <si>
    <t>부가가치세</t>
    <phoneticPr fontId="4" type="noConversion"/>
  </si>
  <si>
    <t>총    원    가</t>
    <phoneticPr fontId="4" type="noConversion"/>
  </si>
  <si>
    <t>도입가</t>
    <phoneticPr fontId="4" type="noConversion"/>
  </si>
  <si>
    <t xml:space="preserve"> 1 + 2</t>
    <phoneticPr fontId="4" type="noConversion"/>
  </si>
  <si>
    <t>참고. 단양군 도시계획정보체계(UPIS) 고도화 용역 운영장비 도입내역(2014.05)</t>
    <phoneticPr fontId="279" type="noConversion"/>
  </si>
  <si>
    <t xml:space="preserve">     2025 년   1 월      일</t>
    <phoneticPr fontId="4" type="noConversion"/>
  </si>
  <si>
    <t>◈ S/W유지보수 등급은 3등급(16%)반영, SW사업 대가산정 가이드( 2024년 개정판 )</t>
    <phoneticPr fontId="4" type="noConversion"/>
  </si>
  <si>
    <t xml:space="preserve">   2 0 2 6 년도</t>
    <phoneticPr fontId="4" type="noConversion"/>
  </si>
  <si>
    <t>2026.  01.</t>
    <phoneticPr fontId="4" type="noConversion"/>
  </si>
  <si>
    <t xml:space="preserve">   2026 년도 </t>
    <phoneticPr fontId="4" type="noConversion"/>
  </si>
  <si>
    <t>낙찰률 적용(90%)
백단위절사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</si>
</sst>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7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0.0%"/>
    <numFmt numFmtId="178" formatCode="0_ "/>
    <numFmt numFmtId="179" formatCode="&quot;₩&quot;#,##0_);\(&quot;₩&quot;#,##0\)"/>
    <numFmt numFmtId="180" formatCode="&quot;금 &quot;#,###&quot; 원&quot;"/>
    <numFmt numFmtId="181" formatCode="#,##0_);\(#,##0\)"/>
    <numFmt numFmtId="182" formatCode="&quot;₩&quot;#,##0.00;[Red]&quot;₩&quot;\-#,##0.00"/>
    <numFmt numFmtId="183" formatCode="&quot;₩&quot;#,##0;[Red]&quot;₩&quot;\-#,##0"/>
    <numFmt numFmtId="184" formatCode="_(* #,##0.0_);_(* \(#,##0.0\);_(* &quot;-&quot;??_);_(@_)"/>
    <numFmt numFmtId="185" formatCode="_ * #,##0.00_ ;_ * \-#,##0.00_ ;_ * &quot;-&quot;??_ ;_ @_ "/>
    <numFmt numFmtId="186" formatCode="_ * #,##0_ ;_ * &quot;₩&quot;&quot;₩&quot;&quot;₩&quot;\-#,##0_ ;_ * &quot;-&quot;_ ;_ @_ "/>
    <numFmt numFmtId="187" formatCode="0.00000"/>
    <numFmt numFmtId="188" formatCode="&quot;₩&quot;#,##0.00;&quot;₩&quot;\-#,##0.00"/>
    <numFmt numFmtId="189" formatCode="yy&quot;₩&quot;/mm&quot;₩&quot;/dd"/>
    <numFmt numFmtId="190" formatCode="0.00000%"/>
    <numFmt numFmtId="191" formatCode="\(0.0\)"/>
    <numFmt numFmtId="192" formatCode="&quot;₩&quot;#,##0;&quot;₩&quot;\-#,##0"/>
    <numFmt numFmtId="193" formatCode="#,##0.00_ "/>
    <numFmt numFmtId="194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5" formatCode="#,##0_ "/>
    <numFmt numFmtId="196" formatCode="&quot;₩&quot;#,##0;[Red]&quot;₩&quot;&quot;₩&quot;\-#,##0"/>
    <numFmt numFmtId="197" formatCode="#,##0;&quot;-&quot;#,##0"/>
    <numFmt numFmtId="198" formatCode="0.00_);[Red]\(0.00\)"/>
    <numFmt numFmtId="199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00" formatCode="_ * #,##0_ ;_ * \-#,##0_ ;_ * &quot;-&quot;_ ;_ @_ "/>
    <numFmt numFmtId="201" formatCode="#,##0.0"/>
    <numFmt numFmtId="202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03" formatCode="_-&quot;$&quot;* #,##0_-;\-&quot;$&quot;* #,##0_-;_-&quot;$&quot;* &quot;-&quot;_-;_-@_-"/>
    <numFmt numFmtId="204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0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6" formatCode="mmm&quot;-&quot;yy"/>
    <numFmt numFmtId="207" formatCode="&quot;₩&quot;\!\$#\!\,##0_);[Red]&quot;₩&quot;\!\(&quot;₩&quot;\!\$#\!\,##0&quot;₩&quot;\!\)"/>
    <numFmt numFmtId="208" formatCode="_-* #,##0.0_-;\-* #,##0.0_-;_-* &quot;-&quot;_-;_-@_-"/>
    <numFmt numFmtId="209" formatCode="mm&quot;월&quot;\ dd&quot;일&quot;"/>
    <numFmt numFmtId="210" formatCode="0.00000000"/>
    <numFmt numFmtId="211" formatCode="[Red]&quot;@ &quot;#,##0_ ;[Red]&quot;@ &quot;\-#,##0\ "/>
    <numFmt numFmtId="212" formatCode="#,##0.00000"/>
    <numFmt numFmtId="213" formatCode="#,##0.00\ ;&quot;\!-&quot;#,##0.00\ ;&quot; -&quot;#\ ;@\ "/>
    <numFmt numFmtId="214" formatCode="#,##0\ ;&quot;\!-&quot;#,##0\ ;&quot; - &quot;;@\ "/>
    <numFmt numFmtId="215" formatCode="#,##0\ ;\-#,##0\ ;&quot; - &quot;;@\ "/>
    <numFmt numFmtId="216" formatCode="#,##0.00\ ;\-#,##0.00\ ;&quot; -&quot;#\ ;@\ "/>
    <numFmt numFmtId="217" formatCode="_-* #,##0.00_-;\-* #,##0.00_-;_-* &quot;-&quot;_-;_-@_-"/>
    <numFmt numFmtId="218" formatCode="0.0000000"/>
    <numFmt numFmtId="219" formatCode="_-#,##0.0000;* \-#,##0.00;* _-&quot;&quot;;@"/>
    <numFmt numFmtId="220" formatCode="* #,##0.00;* \-#,##0.00;* &quot;-&quot;??;@"/>
    <numFmt numFmtId="221" formatCode="#.00"/>
    <numFmt numFmtId="222" formatCode="#,##0.0;[Red]#,##0.0;&quot; &quot;"/>
    <numFmt numFmtId="223" formatCode="0.0000%"/>
    <numFmt numFmtId="224" formatCode="#,##0.0000"/>
    <numFmt numFmtId="225" formatCode="_(* #,##0_);_(* \(#,##0\);_(* &quot;-&quot;_);_(@_)"/>
    <numFmt numFmtId="226" formatCode="0.000"/>
    <numFmt numFmtId="227" formatCode="#,##0.000\ "/>
    <numFmt numFmtId="228" formatCode="#,##0.00;[Red]#,##0.00;&quot; &quot;"/>
    <numFmt numFmtId="229" formatCode="#,##0.00_);[Red]\(#,##0.00\)"/>
    <numFmt numFmtId="230" formatCode="#."/>
    <numFmt numFmtId="231" formatCode="_-[$€-2]* #,##0.00_-;\-[$€-2]* #,##0.00_-;_-[$€-2]* &quot;-&quot;??_-"/>
    <numFmt numFmtId="232" formatCode="_ &quot;₩&quot;* #,##0_ ;_ &quot;₩&quot;* \-#,##0_ ;_ &quot;₩&quot;* &quot;-&quot;_ ;_ @_ "/>
    <numFmt numFmtId="23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34" formatCode="_ &quot;₩&quot;* #,##0.00_ ;_ &quot;₩&quot;* \-#,##0.00_ ;_ &quot;₩&quot;* &quot;-&quot;??_ ;_ @_ "/>
    <numFmt numFmtId="235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36" formatCode="%#.00"/>
    <numFmt numFmtId="237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38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39" formatCode="#,##0."/>
    <numFmt numFmtId="240" formatCode="\$#,##0;\(\$#,##0\)"/>
    <numFmt numFmtId="241" formatCode="_-* #,##0&quot;₩&quot;\ _D_M_-;&quot;₩&quot;\-* #,##0&quot;₩&quot;\ _D_M_-;_-* &quot;-&quot;&quot;₩&quot;\ _D_M_-;_-@_-"/>
    <numFmt numFmtId="242" formatCode="* #,##0.0"/>
    <numFmt numFmtId="243" formatCode="_ * #,##0_ ;_ * &quot;₩&quot;\-#,##0_ ;_ * &quot;-&quot;??_ ;_ @_ "/>
    <numFmt numFmtId="244" formatCode="0.0%;[Red]&quot;△&quot;0.0%"/>
    <numFmt numFmtId="245" formatCode="#,##0&quot;\       &quot;;&quot;\-&quot;#,##0&quot;\       &quot;;&quot; -\       &quot;;@\ "/>
    <numFmt numFmtId="246" formatCode="0,###,###"/>
    <numFmt numFmtId="247" formatCode="&quot;$&quot;#,##0.00_);[Red]\(&quot;$&quot;#,##0.00\)"/>
    <numFmt numFmtId="248" formatCode="_ &quot;₩&quot;* #,##0.00_ ;_ &quot;₩&quot;* &quot;₩&quot;&quot;₩&quot;&quot;₩&quot;&quot;₩&quot;\-#,##0.00_ ;_ &quot;₩&quot;* &quot;-&quot;??_ ;_ @_ "/>
    <numFmt numFmtId="249" formatCode="0.##"/>
    <numFmt numFmtId="250" formatCode="&quot;$&quot;#,##0.00;;"/>
    <numFmt numFmtId="251" formatCode="&quot; \&quot;#,##0\ ;&quot;!-\&quot;#,##0\ ;&quot; \- &quot;;@\ "/>
    <numFmt numFmtId="252" formatCode="\$#.00"/>
    <numFmt numFmtId="253" formatCode="\$#."/>
    <numFmt numFmtId="254" formatCode="#,##0.00\ ;&quot;!-&quot;#,##0.00\ ;&quot; -&quot;#\ ;@\ "/>
    <numFmt numFmtId="255" formatCode="###,###,"/>
    <numFmt numFmtId="256" formatCode="&quot;!$&quot;#,##0\ ;[Red]&quot;!(!$&quot;#,##0&quot;!)&quot;"/>
    <numFmt numFmtId="257" formatCode="#,##0\ ;&quot;!-&quot;#,##0\ ;&quot; - &quot;;@\ "/>
    <numFmt numFmtId="258" formatCode="&quot;!$&quot;#,##0.00\ ;&quot;!(!$&quot;#,##0.00&quot;!)&quot;"/>
    <numFmt numFmtId="259" formatCode="&quot;!$&quot;#,##0.00\ ;[Red]&quot;!(!$&quot;#,##0.00&quot;!)&quot;"/>
    <numFmt numFmtId="260" formatCode="[Red]#,##0\ &quot;M3&quot;;[Red]\-#,##0\ &quot;M3&quot;\ "/>
    <numFmt numFmtId="261" formatCode="General_)"/>
    <numFmt numFmtId="262" formatCode="&quot;Fr.&quot;\ #,##0;[Red]&quot;Fr.&quot;\ \-#,##0"/>
    <numFmt numFmtId="263" formatCode="&quot;Fr.&quot;\ #,##0.00;[Red]&quot;Fr.&quot;\ \-#,##0.00"/>
    <numFmt numFmtId="264" formatCode="&quot;$&quot;#,##0.00"/>
    <numFmt numFmtId="265" formatCode="0.0_)"/>
    <numFmt numFmtId="266" formatCode="_ &quot;₩&quot;* #,##0.0000000_ ;_ &quot;₩&quot;* &quot;₩&quot;\-#,##0.0000000_ ;_ &quot;₩&quot;* &quot;-&quot;??_ ;_ @_ "/>
    <numFmt numFmtId="267" formatCode="&quot; \&quot;#,##0.0000000\ ;&quot; \\-&quot;#,##0.0000000\ ;&quot; \-&quot;#\ ;@\ "/>
    <numFmt numFmtId="268" formatCode="#,##0;[Red]&quot;△&quot;#,##0"/>
    <numFmt numFmtId="269" formatCode="[Red]#,##0\ &quot;TON&quot;;[Red]\-#,##0\ &quot;TON&quot;\ "/>
    <numFmt numFmtId="270" formatCode="_ * #,##0.000000_ ;_ * &quot;₩&quot;\-#,##0.000000_ ;_ * &quot;-&quot;??_ ;_ @_ "/>
    <numFmt numFmtId="271" formatCode="&quot;US$&quot;#,##0_);\(&quot;US$&quot;#,##0\)"/>
    <numFmt numFmtId="272" formatCode=";;;"/>
    <numFmt numFmtId="273" formatCode="\\#,##0;&quot;!-\&quot;#,##0"/>
    <numFmt numFmtId="274" formatCode="\\#,##0;[Red]&quot;!-\&quot;#,##0"/>
    <numFmt numFmtId="275" formatCode="\\#,##0.00;&quot;!-\&quot;#,##0.00"/>
    <numFmt numFmtId="276" formatCode="\\#,##0.00;[Red]&quot;!-\&quot;#,##0.00"/>
    <numFmt numFmtId="277" formatCode="\(&quot;₩&quot;#,##0\);[Red]\(\-&quot;₩&quot;#,##0\)"/>
    <numFmt numFmtId="278" formatCode="\(&quot;₩&quot;#,##0\);[Red]\(&quot;△&quot;&quot;₩&quot;#,##0\)"/>
    <numFmt numFmtId="279" formatCode="0.0%;[Red]\-0.0%"/>
    <numFmt numFmtId="280" formatCode="0.00%;[Red]\-0.00%"/>
    <numFmt numFmtId="281" formatCode="#,##0.000000"/>
    <numFmt numFmtId="282" formatCode="#,##0&quot;칸&quot;"/>
    <numFmt numFmtId="283" formatCode="_-* #,##0;\-* #,##0;_-* &quot;-&quot;;_-@"/>
    <numFmt numFmtId="284" formatCode="_-* #,##0_-;\-* #,##0_-;_-* \-_-;_-@_-"/>
    <numFmt numFmtId="285" formatCode="&quot;  &quot;@"/>
    <numFmt numFmtId="286" formatCode="0.00\ &quot;)&quot;"/>
    <numFmt numFmtId="287" formatCode="0.00\ &quot;)]&quot;"/>
    <numFmt numFmtId="288" formatCode="#,##0;\-#,##0.00"/>
    <numFmt numFmtId="289" formatCode="#\!\,##0;&quot;₩&quot;\!\-#\!\,##0\!.00"/>
    <numFmt numFmtId="290" formatCode="#,##0;\(#,##0\)"/>
    <numFmt numFmtId="291" formatCode="&quot;?#,##0;[Red]\-&quot;&quot;?&quot;#,##0"/>
    <numFmt numFmtId="292" formatCode="0.00_);[Red]&quot;₩&quot;\!\(0.00&quot;₩&quot;\!\)"/>
    <numFmt numFmtId="293" formatCode="&quot;*&quot;#,##0\ &quot;일 (월)&quot;\ \ "/>
    <numFmt numFmtId="294" formatCode="&quot;?#,##0.00;\-&quot;&quot;?&quot;#,##0.00"/>
    <numFmt numFmtId="295" formatCode="0.000\ &quot;²&quot;"/>
    <numFmt numFmtId="296" formatCode="&quot;(&quot;\ 0.00"/>
    <numFmt numFmtId="297" formatCode="&quot;[(&quot;\ 0.00"/>
    <numFmt numFmtId="298" formatCode="_-#,##0;\-#,##0;&quot;-&quot;_-;_-@_-"/>
    <numFmt numFmtId="299" formatCode="_-* #,##0.0000_-;\-* #,##0.0000_-;_-* &quot;-&quot;_-;_-@_-"/>
    <numFmt numFmtId="300" formatCode="0.0_ "/>
    <numFmt numFmtId="301" formatCode="#,##0;[Red]&quot;-&quot;#,##0"/>
    <numFmt numFmtId="302" formatCode="#,##0.#####\ ;[Red]\-#,##0.#####\ "/>
    <numFmt numFmtId="303" formatCode="#,##0\ ;[Red]\-#,##0\ "/>
    <numFmt numFmtId="304" formatCode="_-* #,##0.000_-;\-* #,##0.000_-;_-* &quot;-&quot;_-;_-@_-"/>
    <numFmt numFmtId="305" formatCode="\\#,##0.00;[Red]&quot;\-&quot;#,##0.00"/>
    <numFmt numFmtId="306" formatCode="\\#,##0;[Red]&quot;\-&quot;#,##0"/>
    <numFmt numFmtId="307" formatCode="#,##0.0_ ;[Red]\-#,##0.0\ "/>
    <numFmt numFmtId="308" formatCode="#,##0.000"/>
    <numFmt numFmtId="309" formatCode="\ @"/>
    <numFmt numFmtId="310" formatCode="#,##0.00\ &quot;Esc.&quot;;[Red]\-#,##0.00\ &quot;Esc.&quot;"/>
    <numFmt numFmtId="311" formatCode="#,##0.00000_);[Red]\(#,##0.00000\)"/>
    <numFmt numFmtId="312" formatCode="#,##0.00&quot; F&quot;_);\(#,##0.00&quot; F&quot;\)"/>
    <numFmt numFmtId="313" formatCode="0_);[Red]\(0\)"/>
    <numFmt numFmtId="314" formatCode="0.0;[Red]0.0"/>
    <numFmt numFmtId="315" formatCode="0;[Red]0"/>
    <numFmt numFmtId="316" formatCode="&quot;₩&quot;#,##0;[Red]&quot;₩&quot;&quot;₩&quot;&quot;₩&quot;\-&quot;₩&quot;#,##0"/>
    <numFmt numFmtId="317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318" formatCode="&quot;₩&quot;#,##0.00;[Red]&quot;₩&quot;&quot;₩&quot;&quot;₩&quot;&quot;₩&quot;&quot;₩&quot;&quot;₩&quot;&quot;₩&quot;&quot;₩&quot;&quot;₩&quot;&quot;₩&quot;&quot;₩&quot;&quot;₩&quot;\-#,##0.00"/>
    <numFmt numFmtId="319" formatCode="_ * #,##0_ ;_ * &quot;₩&quot;&quot;₩&quot;&quot;₩&quot;&quot;₩&quot;&quot;₩&quot;\-#,##0_ ;_ * &quot;-&quot;_ ;_ @_ "/>
    <numFmt numFmtId="320" formatCode="0.000_);[Red]\(0.000\)"/>
    <numFmt numFmtId="321" formatCode="&quot;₩&quot;#,##0;[Red]&quot;₩&quot;&quot;₩&quot;&quot;₩&quot;&quot;₩&quot;&quot;₩&quot;&quot;₩&quot;\-#,##0"/>
    <numFmt numFmtId="322" formatCode="&quot;₩&quot;#,##0.00;&quot;₩&quot;&quot;₩&quot;&quot;₩&quot;&quot;₩&quot;\-&quot;₩&quot;#,##0.00"/>
    <numFmt numFmtId="323" formatCode="_-* #,##0.00_-;&quot;₩&quot;&quot;₩&quot;\-* #,##0.00_-;_-* &quot;-&quot;??_-;_-@_-"/>
    <numFmt numFmtId="324" formatCode="_-* #,##0.0_-;&quot;₩&quot;\!\-* #,##0.0_-;_-* &quot;-&quot;_-;_-@_-"/>
    <numFmt numFmtId="325" formatCode="0.0000"/>
    <numFmt numFmtId="326" formatCode="#,##0,"/>
    <numFmt numFmtId="327" formatCode="_ * #,##0.00_ ;_ * \-#,##0.00_ ;_ * &quot;-&quot;_ ;_ @_ "/>
    <numFmt numFmtId="328" formatCode="&quot;$&quot;#,##0.00_);\(&quot;$&quot;#,##0.00\)"/>
    <numFmt numFmtId="329" formatCode="&quot;$&quot;#,##0_);\(&quot;$&quot;#,##0\)"/>
    <numFmt numFmtId="330" formatCode="_(&quot;$&quot;* #,##0.0_);_(&quot;$&quot;* \(#,##0.0\);_(&quot;$&quot;* &quot;-&quot;_);_(@_)"/>
    <numFmt numFmtId="331" formatCode="#,##0.000_ "/>
    <numFmt numFmtId="332" formatCode="_ * #,##0.00_ ;_ * &quot;₩&quot;&quot;₩&quot;&quot;₩&quot;&quot;₩&quot;\!\-#,##0.00_ ;_ * &quot;-&quot;??_ ;_ @_ "/>
    <numFmt numFmtId="333" formatCode="\$#,##0.00"/>
    <numFmt numFmtId="334" formatCode="&quot;₩&quot;#,##0.00;&quot;₩&quot;&quot;₩&quot;&quot;₩&quot;&quot;₩&quot;&quot;₩&quot;\-#,##0.00"/>
    <numFmt numFmtId="335" formatCode="_-* #,##0_-;&quot;₩&quot;&quot;₩&quot;&quot;₩&quot;&quot;₩&quot;&quot;₩&quot;&quot;₩&quot;&quot;₩&quot;\-* #,##0_-;_-* &quot;-&quot;_-;_-@_-"/>
    <numFmt numFmtId="336" formatCode="_-* #,##0.00_-;&quot;₩&quot;&quot;₩&quot;&quot;₩&quot;&quot;₩&quot;&quot;₩&quot;&quot;₩&quot;&quot;₩&quot;\-* #,##0.00_-;_-* &quot;-&quot;??_-;_-@_-"/>
    <numFmt numFmtId="337" formatCode="_-&quot;₩&quot;* #,##0_-;&quot;₩&quot;&quot;₩&quot;&quot;₩&quot;&quot;₩&quot;&quot;₩&quot;&quot;₩&quot;\-&quot;₩&quot;* #,##0_-;_-&quot;₩&quot;* &quot;-&quot;_-;_-@_-"/>
    <numFmt numFmtId="338" formatCode="_-&quot;₩&quot;* #,##0.00_-;&quot;₩&quot;&quot;₩&quot;&quot;₩&quot;&quot;₩&quot;&quot;₩&quot;&quot;₩&quot;\-&quot;₩&quot;* #,##0.00_-;_-&quot;₩&quot;* &quot;-&quot;??_-;_-@_-"/>
    <numFmt numFmtId="339" formatCode="&quot;for &quot;#0&quot; proc(s)&quot;"/>
    <numFmt numFmtId="340" formatCode="&quot;$&quot;0,000"/>
    <numFmt numFmtId="341" formatCode="#,##0;\(#,##0\);&quot;N/A&quot;"/>
    <numFmt numFmtId="342" formatCode="&quot;₩&quot;#,##0;&quot;₩&quot;&quot;₩&quot;\-#,##0"/>
    <numFmt numFmtId="343" formatCode="_*\ ??_-"/>
    <numFmt numFmtId="344" formatCode="#,##0\ &quot;DM&quot;;[Red]\-#,##0\ &quot;DM&quot;"/>
    <numFmt numFmtId="345" formatCode="#,##0.00\ &quot;DM&quot;;[Red]\-#,##0.00\ &quot;DM&quot;"/>
    <numFmt numFmtId="346" formatCode="0.0_);[Red]\(0.0\)"/>
    <numFmt numFmtId="347" formatCode="0.0"/>
    <numFmt numFmtId="348" formatCode="@&quot; LINE&quot;"/>
    <numFmt numFmtId="349" formatCode="_-* #,##0.00_-;&quot;₩&quot;\-* #,##0.00_-;_-* &quot;-&quot;??_-;_-@_-"/>
    <numFmt numFmtId="350" formatCode="[Red]#,##0.000;[Red]&quot;-&quot;#,##0.000"/>
    <numFmt numFmtId="351" formatCode="0.000_ "/>
    <numFmt numFmtId="352" formatCode="0.000\ "/>
    <numFmt numFmtId="353" formatCode="_(* #,##0.00_);_(* \(#,##0.00\);_(* &quot;-&quot;??_);_(@_)"/>
    <numFmt numFmtId="354" formatCode="&quot;$&quot;#,##0_);[Red]\(&quot;$&quot;#,##0\)"/>
    <numFmt numFmtId="355" formatCode="#,##0.00;[Red]&quot;-&quot;#,##0.00"/>
    <numFmt numFmtId="356" formatCode="&quot;kr&quot;\ #,##0;&quot;kr&quot;\ \-#,##0"/>
    <numFmt numFmtId="357" formatCode="yy&quot;년&quot;&quot;₩&quot;&quot;₩&quot;&quot;₩&quot;&quot;₩&quot;&quot;₩&quot;&quot;₩&quot;\ mm&quot;월&quot;&quot;₩&quot;&quot;₩&quot;&quot;₩&quot;&quot;₩&quot;&quot;₩&quot;&quot;₩&quot;\ dd&quot;일&quot;"/>
    <numFmt numFmtId="358" formatCode="#,##0\ \ \ \ "/>
    <numFmt numFmtId="359" formatCode="000\-000"/>
    <numFmt numFmtId="360" formatCode="_-&quot;DM&quot;* #,##0_-;_-&quot;DM&quot;* #,##0\-;_-&quot;DM&quot;* &quot;-&quot;_-;_-@_-"/>
    <numFmt numFmtId="361" formatCode="_-&quot;DM&quot;* #,##0.00_-;_-&quot;DM&quot;* #,##0.00\-;_-&quot;DM&quot;* &quot;-&quot;??_-;_-@_-"/>
    <numFmt numFmtId="362" formatCode="#,##0;[Red]#,##0"/>
    <numFmt numFmtId="363" formatCode="000.000"/>
    <numFmt numFmtId="364" formatCode="_ * #,##0_ ;_ * &quot;₩&quot;\!\-#,##0_ ;_ * &quot;-&quot;_ ;_ @_ "/>
    <numFmt numFmtId="365" formatCode="* #,##0\ ;[Red]* &quot;△&quot;#,##0\ "/>
    <numFmt numFmtId="366" formatCode="#,##0_);[Red]&quot;₩&quot;\!\-#,##0"/>
  </numFmts>
  <fonts count="28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나눔고딕"/>
      <family val="3"/>
      <charset val="129"/>
    </font>
    <font>
      <sz val="16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1"/>
      <name val="나눔고딕"/>
      <family val="3"/>
      <charset val="129"/>
    </font>
    <font>
      <sz val="12"/>
      <name val="나눔고딕"/>
      <family val="3"/>
      <charset val="129"/>
    </font>
    <font>
      <b/>
      <sz val="12"/>
      <name val="나눔고딕"/>
      <family val="3"/>
      <charset val="129"/>
    </font>
    <font>
      <sz val="24"/>
      <name val="나눔고딕"/>
      <family val="3"/>
      <charset val="129"/>
    </font>
    <font>
      <b/>
      <sz val="1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theme="1"/>
      <name val="맑은 고딕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3"/>
      <name val="굴림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4"/>
      <name val="굴림"/>
      <family val="3"/>
      <charset val="129"/>
    </font>
    <font>
      <sz val="11"/>
      <color indexed="10"/>
      <name val="굴림"/>
      <family val="3"/>
      <charset val="129"/>
    </font>
    <font>
      <b/>
      <sz val="14"/>
      <color indexed="8"/>
      <name val="굴림"/>
      <family val="3"/>
      <charset val="129"/>
    </font>
    <font>
      <sz val="12"/>
      <name val="돋움체"/>
      <family val="3"/>
      <charset val="129"/>
    </font>
    <font>
      <sz val="10"/>
      <name val="MS Sans Serif"/>
      <family val="2"/>
    </font>
    <font>
      <sz val="10"/>
      <name val="돋움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1"/>
      <name val="μ¸¿o"/>
      <family val="3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2"/>
      <name val="Arial"/>
      <family val="2"/>
    </font>
    <font>
      <sz val="12"/>
      <name val="굴림체"/>
      <family val="3"/>
      <charset val="129"/>
    </font>
    <font>
      <sz val="10"/>
      <name val="MS Serif"/>
      <family val="1"/>
    </font>
    <font>
      <sz val="10"/>
      <name val="Times New Roman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b/>
      <sz val="11"/>
      <name val="Helv"/>
      <family val="2"/>
    </font>
    <font>
      <sz val="7"/>
      <name val="Small Fonts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0"/>
      <name val="Geneva"/>
      <family val="2"/>
    </font>
    <font>
      <sz val="12"/>
      <name val="Courier"/>
      <family val="3"/>
    </font>
    <font>
      <sz val="8.5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1"/>
      <name val="굴림체"/>
      <family val="3"/>
      <charset val="129"/>
    </font>
    <font>
      <sz val="12"/>
      <name val="뼻뮝"/>
      <family val="1"/>
      <charset val="129"/>
    </font>
    <font>
      <sz val="10"/>
      <name val="바탕"/>
      <family val="1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name val="Times New Roman"/>
      <family val="1"/>
    </font>
    <font>
      <sz val="12"/>
      <name val="명조"/>
      <family val="3"/>
      <charset val="129"/>
    </font>
    <font>
      <b/>
      <sz val="26"/>
      <name val="나눔고딕"/>
      <family val="3"/>
      <charset val="129"/>
    </font>
    <font>
      <b/>
      <sz val="40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22"/>
      <name val="HY헤드라인M"/>
      <family val="1"/>
      <charset val="129"/>
    </font>
    <font>
      <i/>
      <sz val="12"/>
      <name val="굴림체"/>
      <family val="3"/>
      <charset val="129"/>
    </font>
    <font>
      <sz val="10"/>
      <color indexed="19"/>
      <name val="돋움체"/>
      <family val="3"/>
      <charset val="129"/>
    </font>
    <font>
      <sz val="12"/>
      <name val="¹????¼"/>
      <family val="1"/>
      <charset val="129"/>
    </font>
    <font>
      <sz val="10"/>
      <name val="굴림체"/>
      <family val="3"/>
      <charset val="129"/>
    </font>
    <font>
      <sz val="10"/>
      <color indexed="8"/>
      <name val="Arial"/>
      <family val="2"/>
    </font>
    <font>
      <sz val="11"/>
      <name val="바탕체"/>
      <family val="1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0"/>
      <name val="굴림"/>
      <family val="3"/>
      <charset val="129"/>
    </font>
    <font>
      <sz val="1"/>
      <color indexed="0"/>
      <name val="Courier"/>
      <family val="3"/>
    </font>
    <font>
      <sz val="11"/>
      <name val="±¼¸²A¼"/>
      <family val="3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9"/>
      <name val="바탕체"/>
      <family val="1"/>
      <charset val="129"/>
    </font>
    <font>
      <sz val="12"/>
      <name val="¹UAAA¼"/>
      <family val="3"/>
      <charset val="129"/>
    </font>
    <font>
      <sz val="11"/>
      <name val="µ¸¿ò"/>
      <family val="1"/>
      <charset val="129"/>
    </font>
    <font>
      <sz val="12"/>
      <name val="¹UAAA¼"/>
      <family val="1"/>
    </font>
    <font>
      <sz val="12"/>
      <name val="¹ÙÅÁÃ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  <charset val="129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¹ÙÅÁÃ¼"/>
      <family val="1"/>
      <charset val="129"/>
    </font>
    <font>
      <sz val="11"/>
      <name val="¹UAAA¼"/>
      <family val="1"/>
    </font>
    <font>
      <sz val="10"/>
      <name val="바탕체"/>
      <family val="1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u/>
      <sz val="10"/>
      <color indexed="12"/>
      <name val="Arial"/>
      <family val="2"/>
    </font>
    <font>
      <sz val="10"/>
      <name val="한양중고딕"/>
      <family val="1"/>
      <charset val="129"/>
    </font>
    <font>
      <sz val="10"/>
      <color indexed="8"/>
      <name val="Impact"/>
      <family val="2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b/>
      <i/>
      <sz val="14"/>
      <name val="Times New Roman"/>
      <family val="1"/>
    </font>
    <font>
      <i/>
      <sz val="11"/>
      <color indexed="23"/>
      <name val="맑은 고딕"/>
      <family val="3"/>
      <charset val="129"/>
    </font>
    <font>
      <u/>
      <sz val="8.5"/>
      <color indexed="36"/>
      <name val="바탕체"/>
      <family val="1"/>
      <charset val="129"/>
    </font>
    <font>
      <sz val="11"/>
      <color indexed="17"/>
      <name val="맑은 고딕"/>
      <family val="3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9"/>
      <color indexed="9"/>
      <name val="Arial"/>
      <family val="2"/>
    </font>
    <font>
      <b/>
      <sz val="11"/>
      <color indexed="56"/>
      <name val="맑은 고딕"/>
      <family val="3"/>
      <charset val="129"/>
    </font>
    <font>
      <b/>
      <sz val="8"/>
      <name val="MS Sans Serif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i/>
      <sz val="12"/>
      <name val="Times New Roman"/>
      <family val="1"/>
    </font>
    <font>
      <sz val="11"/>
      <color indexed="60"/>
      <name val="맑은 고딕"/>
      <family val="3"/>
      <charset val="129"/>
    </font>
    <font>
      <b/>
      <sz val="12"/>
      <name val="돋움체"/>
      <family val="3"/>
      <charset val="129"/>
    </font>
    <font>
      <sz val="12"/>
      <name val="Helv"/>
      <family val="2"/>
    </font>
    <font>
      <b/>
      <sz val="11"/>
      <color indexed="63"/>
      <name val="맑은 고딕"/>
      <family val="3"/>
      <charset val="129"/>
    </font>
    <font>
      <sz val="10"/>
      <color indexed="8"/>
      <name val="MS Sans Serif"/>
      <family val="2"/>
    </font>
    <font>
      <sz val="8"/>
      <name val="Arial MT"/>
      <family val="3"/>
      <charset val="129"/>
    </font>
    <font>
      <b/>
      <sz val="16"/>
      <name val="Times New Roman"/>
      <family val="1"/>
    </font>
    <font>
      <b/>
      <sz val="12"/>
      <color indexed="16"/>
      <name val="Arial"/>
      <family val="2"/>
    </font>
    <font>
      <sz val="8"/>
      <name val="MS Sans Serif"/>
      <family val="2"/>
    </font>
    <font>
      <b/>
      <i/>
      <sz val="18"/>
      <color indexed="16"/>
      <name val="Times New Roman"/>
      <family val="1"/>
    </font>
    <font>
      <b/>
      <i/>
      <sz val="9"/>
      <name val="Times New Roman"/>
      <family val="1"/>
    </font>
    <font>
      <b/>
      <i/>
      <sz val="18"/>
      <color indexed="39"/>
      <name val="돋움체"/>
      <family val="3"/>
      <charset val="129"/>
    </font>
    <font>
      <b/>
      <sz val="8"/>
      <color indexed="32"/>
      <name val="Arial"/>
      <family val="2"/>
    </font>
    <font>
      <sz val="11"/>
      <color indexed="10"/>
      <name val="맑은 고딕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3"/>
      <charset val="129"/>
    </font>
    <font>
      <i/>
      <outline/>
      <shadow/>
      <u/>
      <sz val="1"/>
      <color indexed="24"/>
      <name val="Courier"/>
      <family val="3"/>
    </font>
    <font>
      <sz val="11"/>
      <color rgb="FFFF0000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궁서체"/>
      <family val="1"/>
      <charset val="129"/>
    </font>
    <font>
      <sz val="8"/>
      <name val="굴림체"/>
      <family val="3"/>
      <charset val="129"/>
    </font>
    <font>
      <sz val="9"/>
      <name val="돋움체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11"/>
      <name val="뼻뮝"/>
      <family val="1"/>
      <charset val="129"/>
    </font>
    <font>
      <sz val="10"/>
      <color indexed="10"/>
      <name val="돋움체"/>
      <family val="3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sz val="10"/>
      <name val="HY견고딕"/>
      <family val="1"/>
      <charset val="129"/>
    </font>
    <font>
      <sz val="12"/>
      <name val="바탕"/>
      <family val="1"/>
      <charset val="129"/>
    </font>
    <font>
      <b/>
      <sz val="11"/>
      <color indexed="8"/>
      <name val="맑은 고딕"/>
      <family val="3"/>
      <charset val="129"/>
    </font>
    <font>
      <sz val="9"/>
      <name val="돋움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6"/>
      <name val="굴림체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7"/>
      <name val="바탕체"/>
      <family val="1"/>
      <charset val="129"/>
    </font>
    <font>
      <b/>
      <sz val="12"/>
      <color indexed="8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새굴림"/>
      <family val="1"/>
      <charset val="129"/>
    </font>
    <font>
      <sz val="12"/>
      <name val="휴먼옛체"/>
      <family val="1"/>
      <charset val="129"/>
    </font>
    <font>
      <sz val="11"/>
      <name val="돋움체"/>
      <family val="3"/>
      <charset val="129"/>
    </font>
    <font>
      <b/>
      <u/>
      <sz val="16"/>
      <name val="굴림체"/>
      <family val="3"/>
      <charset val="129"/>
    </font>
    <font>
      <sz val="11"/>
      <name val="순명조"/>
      <family val="1"/>
      <charset val="129"/>
    </font>
    <font>
      <sz val="9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휴먼세명조"/>
      <family val="1"/>
      <charset val="129"/>
    </font>
    <font>
      <u/>
      <sz val="5"/>
      <color indexed="12"/>
      <name val="굴림체"/>
      <family val="3"/>
      <charset val="129"/>
    </font>
    <font>
      <u/>
      <sz val="8.25"/>
      <color indexed="12"/>
      <name val="돋움"/>
      <family val="3"/>
      <charset val="129"/>
    </font>
    <font>
      <sz val="11"/>
      <name val="ＭＳ ゴシック"/>
      <family val="3"/>
    </font>
    <font>
      <b/>
      <sz val="22"/>
      <name val="바탕체"/>
      <family val="1"/>
      <charset val="129"/>
    </font>
    <font>
      <i/>
      <sz val="12"/>
      <name val="바탕체"/>
      <family val="1"/>
      <charset val="129"/>
    </font>
    <font>
      <b/>
      <sz val="12"/>
      <name val="???"/>
      <family val="1"/>
    </font>
    <font>
      <sz val="12"/>
      <name val="COUR"/>
      <family val="3"/>
    </font>
    <font>
      <sz val="10"/>
      <color indexed="8"/>
      <name val="돋움"/>
      <family val="3"/>
      <charset val="129"/>
    </font>
    <font>
      <sz val="10"/>
      <name val="Arial Narrow"/>
      <family val="2"/>
    </font>
    <font>
      <b/>
      <sz val="8"/>
      <name val="돋움체"/>
      <family val="3"/>
      <charset val="129"/>
    </font>
    <font>
      <sz val="1"/>
      <color indexed="16"/>
      <name val="Courier"/>
      <family val="3"/>
    </font>
    <font>
      <sz val="10"/>
      <color indexed="8"/>
      <name val="Helv"/>
      <family val="2"/>
    </font>
    <font>
      <sz val="6"/>
      <name val="굴림"/>
      <family val="3"/>
      <charset val="129"/>
    </font>
    <font>
      <b/>
      <sz val="12"/>
      <color indexed="16"/>
      <name val="±¼¸²A¼"/>
      <family val="1"/>
      <charset val="129"/>
    </font>
    <font>
      <sz val="7"/>
      <name val="바탕체"/>
      <family val="1"/>
      <charset val="129"/>
    </font>
    <font>
      <b/>
      <sz val="12"/>
      <name val="굴림체"/>
      <family val="3"/>
      <charset val="129"/>
    </font>
    <font>
      <sz val="12"/>
      <name val="¨ÏoUAAA¡§u"/>
      <family val="1"/>
      <charset val="129"/>
    </font>
    <font>
      <sz val="12"/>
      <name val="¨IoUAAA¡§u"/>
      <family val="1"/>
      <charset val="129"/>
    </font>
    <font>
      <sz val="12"/>
      <name val="??UAAA¨?"/>
      <family val="3"/>
      <charset val="129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2"/>
      <name val="¹UAAA¼"/>
      <family val="1"/>
      <charset val="129"/>
    </font>
    <font>
      <b/>
      <sz val="10"/>
      <name val="MS Sans Serif"/>
      <family val="2"/>
    </font>
    <font>
      <sz val="12"/>
      <color indexed="32"/>
      <name val="MIN 훈민08체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4"/>
      <name val="¹UAAA¼"/>
      <family val="3"/>
      <charset val="129"/>
    </font>
    <font>
      <sz val="10"/>
      <name val="±¼¸²A¼"/>
      <family val="3"/>
      <charset val="129"/>
    </font>
    <font>
      <b/>
      <sz val="9"/>
      <name val="Helv"/>
      <family val="2"/>
    </font>
    <font>
      <sz val="9"/>
      <name val="Times New Roman"/>
      <family val="1"/>
    </font>
    <font>
      <sz val="5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  <font>
      <sz val="20"/>
      <name val="HP Logo LG"/>
      <family val="2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name val="CG Omega"/>
      <family val="2"/>
    </font>
    <font>
      <sz val="12"/>
      <name val="Courier New"/>
      <family val="3"/>
    </font>
    <font>
      <sz val="11"/>
      <name val="明朝"/>
      <family val="1"/>
      <charset val="128"/>
    </font>
    <font>
      <b/>
      <sz val="12"/>
      <name val="Book Antiqua"/>
      <family val="1"/>
    </font>
    <font>
      <sz val="12"/>
      <color indexed="9"/>
      <name val="Arial"/>
      <family val="2"/>
    </font>
    <font>
      <sz val="12"/>
      <color indexed="32"/>
      <name val="모음디"/>
      <family val="1"/>
      <charset val="129"/>
    </font>
    <font>
      <sz val="24"/>
      <name val="Courier New"/>
      <family val="3"/>
    </font>
    <font>
      <sz val="8"/>
      <color indexed="16"/>
      <name val="Century Schoolbook"/>
      <family val="1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i/>
      <sz val="8"/>
      <name val="Arial"/>
      <family val="2"/>
    </font>
    <font>
      <b/>
      <sz val="12"/>
      <name val="AppleGothic"/>
      <family val="1"/>
    </font>
    <font>
      <b/>
      <sz val="8"/>
      <name val="Times New Roman"/>
      <family val="1"/>
    </font>
    <font>
      <b/>
      <i/>
      <sz val="14"/>
      <name val="Arial"/>
      <family val="2"/>
    </font>
    <font>
      <sz val="8"/>
      <color indexed="12"/>
      <name val="Arial"/>
      <family val="2"/>
    </font>
    <font>
      <sz val="8"/>
      <name val="ＭＳ 明朝"/>
      <family val="3"/>
      <charset val="128"/>
    </font>
    <font>
      <sz val="9"/>
      <color indexed="8"/>
      <name val="굴림체"/>
      <family val="3"/>
      <charset val="129"/>
    </font>
    <font>
      <b/>
      <sz val="11"/>
      <name val="돋움체"/>
      <family val="3"/>
      <charset val="129"/>
    </font>
    <font>
      <b/>
      <sz val="14"/>
      <color indexed="12"/>
      <name val="바탕체"/>
      <family val="1"/>
      <charset val="129"/>
    </font>
    <font>
      <sz val="10"/>
      <color indexed="12"/>
      <name val="돋움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9"/>
      <name val="굴림체"/>
      <family val="3"/>
      <charset val="129"/>
    </font>
    <font>
      <sz val="8"/>
      <name val="#중고딕"/>
      <family val="3"/>
      <charset val="129"/>
    </font>
    <font>
      <b/>
      <sz val="12"/>
      <color indexed="12"/>
      <name val="돋움체"/>
      <family val="3"/>
      <charset val="129"/>
    </font>
    <font>
      <sz val="11"/>
      <name val="ＭＳ ・団"/>
      <family val="1"/>
      <charset val="128"/>
    </font>
    <font>
      <sz val="9.5"/>
      <name val="굴림"/>
      <family val="3"/>
      <charset val="129"/>
    </font>
    <font>
      <sz val="10"/>
      <name val="ＭＳ ゴシック"/>
      <family val="3"/>
    </font>
    <font>
      <sz val="11"/>
      <name val="ＭＳ 明朝"/>
      <family val="3"/>
      <charset val="128"/>
    </font>
    <font>
      <u/>
      <sz val="11"/>
      <color theme="10"/>
      <name val="맑은 고딕"/>
      <family val="3"/>
      <charset val="129"/>
    </font>
    <font>
      <sz val="12"/>
      <name val="ＭＳ ・団"/>
      <family val="1"/>
      <charset val="128"/>
    </font>
    <font>
      <sz val="11"/>
      <name val="HY헤드라인M"/>
      <family val="1"/>
      <charset val="129"/>
    </font>
    <font>
      <sz val="14"/>
      <name val="HY헤드라인M"/>
      <family val="1"/>
      <charset val="129"/>
    </font>
    <font>
      <sz val="12"/>
      <name val="HY헤드라인M"/>
      <family val="1"/>
      <charset val="129"/>
    </font>
    <font>
      <b/>
      <sz val="26"/>
      <name val="HY헤드라인M"/>
      <family val="1"/>
      <charset val="129"/>
    </font>
    <font>
      <b/>
      <sz val="24"/>
      <name val="HY헤드라인M"/>
      <family val="1"/>
      <charset val="129"/>
    </font>
    <font>
      <b/>
      <sz val="11"/>
      <name val="HY헤드라인M"/>
      <family val="1"/>
      <charset val="129"/>
    </font>
    <font>
      <sz val="25"/>
      <name val="HY견고딕"/>
      <family val="1"/>
      <charset val="129"/>
    </font>
    <font>
      <sz val="11"/>
      <name val="새바탕"/>
      <family val="1"/>
      <charset val="129"/>
    </font>
    <font>
      <b/>
      <sz val="11"/>
      <name val="새바탕"/>
      <family val="1"/>
      <charset val="129"/>
    </font>
    <font>
      <b/>
      <sz val="12"/>
      <name val="새바탕"/>
      <family val="1"/>
      <charset val="129"/>
    </font>
    <font>
      <sz val="12"/>
      <color indexed="24"/>
      <name val="바탕체"/>
      <family val="1"/>
      <charset val="129"/>
    </font>
    <font>
      <sz val="12"/>
      <name val="¹ÙÅÁÃ¼"/>
      <family val="3"/>
      <charset val="129"/>
    </font>
    <font>
      <u/>
      <sz val="10"/>
      <color indexed="12"/>
      <name val="MS Sans Serif"/>
      <family val="2"/>
    </font>
    <font>
      <sz val="10"/>
      <name val="Times"/>
      <family val="1"/>
    </font>
    <font>
      <b/>
      <sz val="11"/>
      <name val="Times"/>
      <family val="1"/>
    </font>
    <font>
      <sz val="10"/>
      <name val="CG Times"/>
      <family val="1"/>
    </font>
    <font>
      <sz val="11"/>
      <name val="明朝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9.5"/>
      <name val="돋움"/>
      <family val="3"/>
      <charset val="129"/>
    </font>
    <font>
      <sz val="14"/>
      <name val="ＭＳ 明朝"/>
      <family val="3"/>
      <charset val="129"/>
    </font>
    <font>
      <sz val="10"/>
      <color indexed="10"/>
      <name val="돋움"/>
      <family val="3"/>
      <charset val="129"/>
    </font>
    <font>
      <sz val="8"/>
      <name val="명조"/>
      <family val="3"/>
      <charset val="129"/>
    </font>
    <font>
      <sz val="18"/>
      <name val="돋움체"/>
      <family val="3"/>
      <charset val="129"/>
    </font>
    <font>
      <b/>
      <sz val="9"/>
      <name val="굴림체"/>
      <family val="3"/>
      <charset val="129"/>
    </font>
    <font>
      <sz val="11"/>
      <name val="ＭＳ 明朝"/>
      <family val="3"/>
      <charset val="129"/>
    </font>
    <font>
      <sz val="14"/>
      <name val="System"/>
      <family val="2"/>
      <charset val="129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바탕체"/>
      <family val="1"/>
      <charset val="129"/>
    </font>
    <font>
      <sz val="8"/>
      <name val="맑은 고딕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2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15"/>
      </patternFill>
    </fill>
    <fill>
      <patternFill patternType="gray0625">
        <fgColor indexed="21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indexed="9"/>
        <bgColor indexed="8"/>
      </patternFill>
    </fill>
  </fills>
  <borders count="1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/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2734">
    <xf numFmtId="0" fontId="0" fillId="0" borderId="0"/>
    <xf numFmtId="0" fontId="1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42" fontId="3" fillId="0" borderId="0" applyFont="0" applyFill="0" applyBorder="0" applyAlignment="0" applyProtection="0"/>
    <xf numFmtId="3" fontId="24" fillId="0" borderId="30"/>
    <xf numFmtId="24" fontId="25" fillId="0" borderId="0" applyFont="0" applyFill="0" applyBorder="0" applyAlignment="0" applyProtection="0"/>
    <xf numFmtId="182" fontId="26" fillId="0" borderId="0" applyNumberFormat="0" applyFont="0" applyFill="0" applyBorder="0" applyAlignment="0" applyProtection="0"/>
    <xf numFmtId="183" fontId="26" fillId="0" borderId="0" applyNumberFormat="0" applyFont="0" applyFill="0" applyBorder="0" applyAlignment="0" applyProtection="0"/>
    <xf numFmtId="182" fontId="26" fillId="0" borderId="0" applyNumberFormat="0" applyFont="0" applyFill="0" applyBorder="0" applyAlignment="0" applyProtection="0"/>
    <xf numFmtId="183" fontId="26" fillId="0" borderId="0" applyNumberFormat="0" applyFont="0" applyFill="0" applyBorder="0" applyAlignment="0" applyProtection="0"/>
    <xf numFmtId="40" fontId="27" fillId="0" borderId="9"/>
    <xf numFmtId="0" fontId="27" fillId="0" borderId="0"/>
    <xf numFmtId="0" fontId="27" fillId="0" borderId="0"/>
    <xf numFmtId="0" fontId="28" fillId="0" borderId="0"/>
    <xf numFmtId="0" fontId="29" fillId="0" borderId="0"/>
    <xf numFmtId="3" fontId="24" fillId="0" borderId="30"/>
    <xf numFmtId="3" fontId="24" fillId="0" borderId="30"/>
    <xf numFmtId="9" fontId="27" fillId="0" borderId="0">
      <protection locked="0"/>
    </xf>
    <xf numFmtId="0" fontId="27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/>
    <xf numFmtId="0" fontId="3" fillId="0" borderId="0" applyFill="0" applyBorder="0" applyAlignment="0"/>
    <xf numFmtId="0" fontId="32" fillId="0" borderId="0"/>
    <xf numFmtId="4" fontId="33" fillId="0" borderId="0">
      <protection locked="0"/>
    </xf>
    <xf numFmtId="0" fontId="34" fillId="0" borderId="0" applyFont="0" applyFill="0" applyBorder="0" applyAlignment="0" applyProtection="0"/>
    <xf numFmtId="184" fontId="3" fillId="0" borderId="0"/>
    <xf numFmtId="3" fontId="28" fillId="0" borderId="0" applyFont="0" applyFill="0" applyBorder="0" applyAlignment="0" applyProtection="0"/>
    <xf numFmtId="186" fontId="35" fillId="0" borderId="0" applyFont="0" applyFill="0" applyBorder="0" applyAlignment="0" applyProtection="0"/>
    <xf numFmtId="0" fontId="36" fillId="0" borderId="0" applyNumberFormat="0" applyAlignment="0">
      <alignment horizontal="left"/>
    </xf>
    <xf numFmtId="187" fontId="3" fillId="0" borderId="0">
      <protection locked="0"/>
    </xf>
    <xf numFmtId="0" fontId="34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7" fillId="0" borderId="0"/>
    <xf numFmtId="188" fontId="3" fillId="0" borderId="0">
      <protection locked="0"/>
    </xf>
    <xf numFmtId="0" fontId="34" fillId="0" borderId="0" applyProtection="0"/>
    <xf numFmtId="189" fontId="3" fillId="0" borderId="0"/>
    <xf numFmtId="0" fontId="38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9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9" fillId="0" borderId="0">
      <protection locked="0"/>
    </xf>
    <xf numFmtId="190" fontId="3" fillId="0" borderId="0">
      <protection locked="0"/>
    </xf>
    <xf numFmtId="2" fontId="34" fillId="0" borderId="0" applyProtection="0"/>
    <xf numFmtId="2" fontId="28" fillId="0" borderId="0" applyFont="0" applyFill="0" applyBorder="0" applyAlignment="0" applyProtection="0"/>
    <xf numFmtId="38" fontId="40" fillId="2" borderId="0" applyNumberFormat="0" applyBorder="0" applyAlignment="0" applyProtection="0"/>
    <xf numFmtId="0" fontId="41" fillId="0" borderId="0">
      <alignment horizontal="left"/>
    </xf>
    <xf numFmtId="0" fontId="42" fillId="0" borderId="31" applyNumberFormat="0" applyAlignment="0" applyProtection="0">
      <alignment horizontal="left" vertical="center"/>
    </xf>
    <xf numFmtId="0" fontId="42" fillId="0" borderId="4">
      <alignment horizontal="left" vertical="center"/>
    </xf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3" fontId="3" fillId="0" borderId="0">
      <protection locked="0"/>
    </xf>
    <xf numFmtId="0" fontId="43" fillId="0" borderId="0" applyProtection="0"/>
    <xf numFmtId="0" fontId="44" fillId="0" borderId="0">
      <protection locked="0"/>
    </xf>
    <xf numFmtId="183" fontId="3" fillId="0" borderId="0">
      <protection locked="0"/>
    </xf>
    <xf numFmtId="0" fontId="42" fillId="0" borderId="0" applyProtection="0"/>
    <xf numFmtId="0" fontId="44" fillId="0" borderId="0">
      <protection locked="0"/>
    </xf>
    <xf numFmtId="0" fontId="28" fillId="3" borderId="32"/>
    <xf numFmtId="0" fontId="45" fillId="0" borderId="0" applyNumberFormat="0" applyFill="0" applyBorder="0" applyAlignment="0" applyProtection="0"/>
    <xf numFmtId="10" fontId="40" fillId="4" borderId="30" applyNumberFormat="0" applyBorder="0" applyAlignment="0" applyProtection="0"/>
    <xf numFmtId="0" fontId="37" fillId="0" borderId="0" applyNumberFormat="0" applyFont="0" applyFill="0" applyBorder="0" applyProtection="0">
      <alignment horizontal="left" vertical="center"/>
    </xf>
    <xf numFmtId="0" fontId="46" fillId="0" borderId="33"/>
    <xf numFmtId="37" fontId="47" fillId="0" borderId="0"/>
    <xf numFmtId="0" fontId="29" fillId="0" borderId="0"/>
    <xf numFmtId="191" fontId="3" fillId="0" borderId="0"/>
    <xf numFmtId="0" fontId="27" fillId="0" borderId="0"/>
    <xf numFmtId="0" fontId="27" fillId="0" borderId="0"/>
    <xf numFmtId="192" fontId="3" fillId="0" borderId="0">
      <protection locked="0"/>
    </xf>
    <xf numFmtId="10" fontId="28" fillId="0" borderId="0" applyFont="0" applyFill="0" applyBorder="0" applyAlignment="0" applyProtection="0"/>
    <xf numFmtId="182" fontId="3" fillId="0" borderId="0" applyNumberFormat="0" applyFill="0" applyBorder="0" applyAlignment="0" applyProtection="0">
      <alignment horizontal="left"/>
    </xf>
    <xf numFmtId="0" fontId="46" fillId="0" borderId="0"/>
    <xf numFmtId="40" fontId="48" fillId="0" borderId="0" applyBorder="0">
      <alignment horizontal="right"/>
    </xf>
    <xf numFmtId="0" fontId="49" fillId="2" borderId="0">
      <alignment horizontal="centerContinuous"/>
    </xf>
    <xf numFmtId="0" fontId="50" fillId="0" borderId="0" applyFill="0" applyBorder="0" applyProtection="0">
      <alignment horizontal="centerContinuous" vertical="center"/>
    </xf>
    <xf numFmtId="0" fontId="35" fillId="5" borderId="0" applyFill="0" applyBorder="0" applyProtection="0">
      <alignment horizontal="center" vertical="center"/>
    </xf>
    <xf numFmtId="183" fontId="3" fillId="0" borderId="34">
      <protection locked="0"/>
    </xf>
    <xf numFmtId="0" fontId="34" fillId="0" borderId="34" applyProtection="0"/>
    <xf numFmtId="0" fontId="28" fillId="0" borderId="35" applyNumberFormat="0" applyFont="0" applyFill="0" applyAlignment="0" applyProtection="0"/>
    <xf numFmtId="0" fontId="51" fillId="0" borderId="36">
      <alignment horizontal="left"/>
    </xf>
    <xf numFmtId="0" fontId="52" fillId="0" borderId="0" applyNumberFormat="0" applyFont="0" applyFill="0" applyBorder="0" applyProtection="0">
      <alignment horizontal="center" vertical="center" wrapText="1"/>
    </xf>
    <xf numFmtId="194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49" fontId="54" fillId="0" borderId="30">
      <alignment horizontal="center" vertical="center"/>
    </xf>
    <xf numFmtId="0" fontId="33" fillId="0" borderId="0">
      <protection locked="0"/>
    </xf>
    <xf numFmtId="49" fontId="3" fillId="0" borderId="0" applyFont="0" applyFill="0" applyBorder="0" applyAlignment="0" applyProtection="0"/>
    <xf numFmtId="3" fontId="25" fillId="0" borderId="2">
      <alignment horizontal="center"/>
    </xf>
    <xf numFmtId="0" fontId="33" fillId="0" borderId="0">
      <protection locked="0"/>
    </xf>
    <xf numFmtId="9" fontId="56" fillId="5" borderId="0" applyFill="0" applyBorder="0" applyProtection="0">
      <alignment horizontal="right"/>
    </xf>
    <xf numFmtId="10" fontId="56" fillId="0" borderId="0" applyFill="0" applyBorder="0" applyProtection="0">
      <alignment horizontal="right"/>
    </xf>
    <xf numFmtId="0" fontId="3" fillId="0" borderId="0"/>
    <xf numFmtId="195" fontId="58" fillId="0" borderId="13">
      <alignment vertical="center"/>
    </xf>
    <xf numFmtId="196" fontId="28" fillId="0" borderId="0">
      <alignment vertical="center"/>
    </xf>
    <xf numFmtId="0" fontId="27" fillId="0" borderId="0"/>
    <xf numFmtId="0" fontId="59" fillId="0" borderId="3"/>
    <xf numFmtId="197" fontId="60" fillId="0" borderId="0" applyFont="0" applyFill="0" applyBorder="0" applyAlignment="0" applyProtection="0"/>
    <xf numFmtId="198" fontId="26" fillId="0" borderId="0" applyFont="0" applyFill="0" applyBorder="0" applyAlignment="0" applyProtection="0"/>
    <xf numFmtId="4" fontId="33" fillId="0" borderId="0">
      <protection locked="0"/>
    </xf>
    <xf numFmtId="0" fontId="62" fillId="0" borderId="0"/>
    <xf numFmtId="199" fontId="3" fillId="0" borderId="0">
      <protection locked="0"/>
    </xf>
    <xf numFmtId="0" fontId="3" fillId="0" borderId="0"/>
    <xf numFmtId="41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201" fontId="27" fillId="5" borderId="0" applyFill="0" applyBorder="0" applyProtection="0">
      <alignment horizontal="right"/>
    </xf>
    <xf numFmtId="40" fontId="27" fillId="0" borderId="9"/>
    <xf numFmtId="202" fontId="3" fillId="0" borderId="0">
      <protection locked="0"/>
    </xf>
    <xf numFmtId="0" fontId="3" fillId="0" borderId="0"/>
    <xf numFmtId="0" fontId="27" fillId="0" borderId="13">
      <alignment vertical="center" wrapText="1"/>
    </xf>
    <xf numFmtId="5" fontId="3" fillId="0" borderId="0" applyBorder="0"/>
    <xf numFmtId="0" fontId="33" fillId="0" borderId="35">
      <protection locked="0"/>
    </xf>
    <xf numFmtId="203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4" fontId="3" fillId="0" borderId="0">
      <protection locked="0"/>
    </xf>
    <xf numFmtId="205" fontId="3" fillId="0" borderId="0">
      <protection locked="0"/>
    </xf>
    <xf numFmtId="42" fontId="3" fillId="0" borderId="0" applyFont="0" applyFill="0" applyBorder="0" applyAlignment="0" applyProtection="0"/>
    <xf numFmtId="206" fontId="3" fillId="0" borderId="0" applyFill="0" applyBorder="0" applyProtection="0"/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0" fontId="25" fillId="0" borderId="39">
      <alignment horizontal="center"/>
    </xf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182" fontId="26" fillId="0" borderId="0" applyNumberFormat="0" applyFont="0" applyFill="0" applyBorder="0" applyAlignment="0" applyProtection="0"/>
    <xf numFmtId="183" fontId="26" fillId="0" borderId="0" applyNumberFormat="0" applyFont="0" applyFill="0" applyBorder="0" applyAlignment="0" applyProtection="0"/>
    <xf numFmtId="182" fontId="26" fillId="0" borderId="0" applyNumberFormat="0" applyFont="0" applyFill="0" applyBorder="0" applyAlignment="0" applyProtection="0"/>
    <xf numFmtId="183" fontId="26" fillId="0" borderId="0" applyNumberFormat="0" applyFont="0" applyFill="0" applyBorder="0" applyAlignment="0" applyProtection="0"/>
    <xf numFmtId="207" fontId="25" fillId="0" borderId="0" applyFont="0" applyFill="0" applyBorder="0" applyAlignment="0" applyProtection="0"/>
    <xf numFmtId="208" fontId="28" fillId="0" borderId="0" applyFont="0" applyFill="0" applyBorder="0" applyAlignment="0" applyProtection="0">
      <alignment vertical="center"/>
    </xf>
    <xf numFmtId="209" fontId="28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68" fillId="0" borderId="0">
      <alignment vertical="center"/>
    </xf>
    <xf numFmtId="0" fontId="35" fillId="0" borderId="0">
      <alignment vertical="center"/>
    </xf>
    <xf numFmtId="38" fontId="27" fillId="0" borderId="1">
      <alignment horizontal="right"/>
    </xf>
    <xf numFmtId="38" fontId="27" fillId="0" borderId="1">
      <alignment horizontal="right"/>
    </xf>
    <xf numFmtId="38" fontId="27" fillId="0" borderId="1">
      <alignment horizontal="right"/>
    </xf>
    <xf numFmtId="38" fontId="27" fillId="0" borderId="1">
      <alignment horizontal="right"/>
    </xf>
    <xf numFmtId="38" fontId="27" fillId="0" borderId="1">
      <alignment horizontal="right"/>
    </xf>
    <xf numFmtId="38" fontId="27" fillId="0" borderId="1">
      <alignment horizontal="right"/>
    </xf>
    <xf numFmtId="38" fontId="27" fillId="0" borderId="1">
      <alignment horizontal="right"/>
    </xf>
    <xf numFmtId="38" fontId="27" fillId="0" borderId="1">
      <alignment horizontal="right"/>
    </xf>
    <xf numFmtId="210" fontId="69" fillId="0" borderId="0" applyNumberFormat="0">
      <alignment horizontal="center" vertical="center"/>
      <protection locked="0" hidden="1"/>
    </xf>
    <xf numFmtId="0" fontId="27" fillId="0" borderId="0"/>
    <xf numFmtId="0" fontId="27" fillId="0" borderId="0"/>
    <xf numFmtId="0" fontId="28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8" fillId="0" borderId="0"/>
    <xf numFmtId="211" fontId="37" fillId="0" borderId="0" applyFill="0" applyBorder="0" applyProtection="0">
      <alignment vertical="center"/>
    </xf>
    <xf numFmtId="212" fontId="26" fillId="0" borderId="0" applyFill="0" applyBorder="0" applyProtection="0">
      <alignment vertical="center"/>
    </xf>
    <xf numFmtId="212" fontId="26" fillId="0" borderId="0" applyFill="0" applyBorder="0" applyProtection="0">
      <alignment vertical="center"/>
    </xf>
    <xf numFmtId="212" fontId="26" fillId="0" borderId="0" applyFill="0" applyBorder="0" applyProtection="0">
      <alignment vertical="center"/>
    </xf>
    <xf numFmtId="212" fontId="26" fillId="0" borderId="0" applyFill="0" applyBorder="0" applyProtection="0">
      <alignment vertical="center"/>
    </xf>
    <xf numFmtId="212" fontId="26" fillId="0" borderId="0" applyFill="0" applyBorder="0" applyProtection="0">
      <alignment vertical="center"/>
    </xf>
    <xf numFmtId="211" fontId="37" fillId="0" borderId="0" applyFill="0" applyBorder="0" applyProtection="0">
      <alignment vertical="center"/>
    </xf>
    <xf numFmtId="211" fontId="37" fillId="0" borderId="0" applyFill="0" applyBorder="0" applyProtection="0">
      <alignment vertical="center"/>
    </xf>
    <xf numFmtId="212" fontId="26" fillId="0" borderId="0" applyFill="0" applyBorder="0" applyProtection="0">
      <alignment vertical="center"/>
    </xf>
    <xf numFmtId="0" fontId="27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7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28" fillId="0" borderId="0"/>
    <xf numFmtId="0" fontId="3" fillId="0" borderId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71" fillId="0" borderId="0" applyFont="0" applyFill="0" applyBorder="0" applyAlignment="0" applyProtection="0"/>
    <xf numFmtId="0" fontId="37" fillId="0" borderId="0"/>
    <xf numFmtId="0" fontId="28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3" fillId="0" borderId="0"/>
    <xf numFmtId="0" fontId="3" fillId="0" borderId="0"/>
    <xf numFmtId="0" fontId="3" fillId="0" borderId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27" fillId="0" borderId="0"/>
    <xf numFmtId="0" fontId="37" fillId="0" borderId="0"/>
    <xf numFmtId="0" fontId="28" fillId="0" borderId="0"/>
    <xf numFmtId="0" fontId="28" fillId="0" borderId="0"/>
    <xf numFmtId="0" fontId="3" fillId="0" borderId="0" applyFill="0" applyBorder="0" applyAlignment="0" applyProtection="0"/>
    <xf numFmtId="0" fontId="3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7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29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9" fontId="3" fillId="0" borderId="0" applyFill="0" applyBorder="0" applyAlignment="0" applyProtection="0"/>
    <xf numFmtId="0" fontId="27" fillId="0" borderId="0"/>
    <xf numFmtId="0" fontId="71" fillId="0" borderId="0" applyFont="0" applyFill="0" applyBorder="0" applyAlignment="0" applyProtection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7" fillId="0" borderId="0"/>
    <xf numFmtId="0" fontId="28" fillId="0" borderId="0"/>
    <xf numFmtId="0" fontId="3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7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71" fillId="0" borderId="0" applyFont="0" applyFill="0" applyBorder="0" applyAlignment="0" applyProtection="0"/>
    <xf numFmtId="0" fontId="28" fillId="0" borderId="0"/>
    <xf numFmtId="0" fontId="29" fillId="0" borderId="0"/>
    <xf numFmtId="0" fontId="28" fillId="0" borderId="0"/>
    <xf numFmtId="0" fontId="28" fillId="0" borderId="0"/>
    <xf numFmtId="0" fontId="71" fillId="0" borderId="0"/>
    <xf numFmtId="0" fontId="71" fillId="0" borderId="0"/>
    <xf numFmtId="0" fontId="27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9" fillId="0" borderId="0"/>
    <xf numFmtId="0" fontId="37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7" fillId="0" borderId="0"/>
    <xf numFmtId="0" fontId="37" fillId="0" borderId="0"/>
    <xf numFmtId="0" fontId="37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9" fillId="0" borderId="0"/>
    <xf numFmtId="0" fontId="29" fillId="0" borderId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37" fillId="0" borderId="0"/>
    <xf numFmtId="0" fontId="27" fillId="0" borderId="0"/>
    <xf numFmtId="0" fontId="37" fillId="0" borderId="0"/>
    <xf numFmtId="0" fontId="28" fillId="0" borderId="0"/>
    <xf numFmtId="0" fontId="3" fillId="0" borderId="0"/>
    <xf numFmtId="0" fontId="28" fillId="0" borderId="0"/>
    <xf numFmtId="0" fontId="71" fillId="0" borderId="0"/>
    <xf numFmtId="0" fontId="3" fillId="0" borderId="0"/>
    <xf numFmtId="0" fontId="28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27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72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9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71" fillId="0" borderId="0"/>
    <xf numFmtId="0" fontId="28" fillId="0" borderId="0"/>
    <xf numFmtId="0" fontId="28" fillId="0" borderId="0"/>
    <xf numFmtId="0" fontId="71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8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3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71" fillId="0" borderId="0"/>
    <xf numFmtId="0" fontId="71" fillId="0" borderId="0"/>
    <xf numFmtId="0" fontId="28" fillId="0" borderId="0"/>
    <xf numFmtId="0" fontId="29" fillId="0" borderId="0"/>
    <xf numFmtId="0" fontId="27" fillId="0" borderId="0"/>
    <xf numFmtId="0" fontId="2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8" fillId="0" borderId="0"/>
    <xf numFmtId="0" fontId="29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213" fontId="3" fillId="0" borderId="0" applyFill="0" applyBorder="0" applyAlignment="0" applyProtection="0"/>
    <xf numFmtId="0" fontId="3" fillId="0" borderId="0" applyFill="0" applyBorder="0" applyAlignment="0" applyProtection="0"/>
    <xf numFmtId="214" fontId="3" fillId="0" borderId="0" applyFill="0" applyBorder="0" applyAlignment="0" applyProtection="0"/>
    <xf numFmtId="215" fontId="3" fillId="0" borderId="0" applyFill="0" applyBorder="0" applyAlignment="0" applyProtection="0"/>
    <xf numFmtId="216" fontId="3" fillId="0" borderId="0" applyFill="0" applyBorder="0" applyAlignment="0" applyProtection="0"/>
    <xf numFmtId="0" fontId="28" fillId="0" borderId="0"/>
    <xf numFmtId="0" fontId="28" fillId="0" borderId="0"/>
    <xf numFmtId="0" fontId="27" fillId="0" borderId="0"/>
    <xf numFmtId="0" fontId="28" fillId="0" borderId="0"/>
    <xf numFmtId="0" fontId="25" fillId="0" borderId="0"/>
    <xf numFmtId="0" fontId="37" fillId="0" borderId="0"/>
    <xf numFmtId="0" fontId="3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3" fillId="0" borderId="0"/>
    <xf numFmtId="0" fontId="29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8" fillId="0" borderId="0"/>
    <xf numFmtId="0" fontId="3" fillId="0" borderId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3" fillId="0" borderId="0" applyFill="0" applyBorder="0" applyAlignment="0" applyProtection="0"/>
    <xf numFmtId="0" fontId="3" fillId="0" borderId="0" applyFill="0" applyBorder="0" applyAlignment="0" applyProtection="0"/>
    <xf numFmtId="0" fontId="28" fillId="0" borderId="0"/>
    <xf numFmtId="0" fontId="27" fillId="0" borderId="0"/>
    <xf numFmtId="0" fontId="27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8" fillId="0" borderId="0"/>
    <xf numFmtId="0" fontId="37" fillId="0" borderId="0"/>
    <xf numFmtId="0" fontId="28" fillId="0" borderId="0"/>
    <xf numFmtId="0" fontId="28" fillId="0" borderId="0"/>
    <xf numFmtId="0" fontId="29" fillId="0" borderId="0"/>
    <xf numFmtId="0" fontId="27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3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8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71" fillId="0" borderId="0"/>
    <xf numFmtId="0" fontId="71" fillId="0" borderId="0" applyFont="0" applyFill="0" applyBorder="0" applyAlignment="0" applyProtection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37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7" fillId="0" borderId="0"/>
    <xf numFmtId="0" fontId="71" fillId="0" borderId="0" applyFont="0" applyFill="0" applyBorder="0" applyAlignment="0" applyProtection="0"/>
    <xf numFmtId="0" fontId="29" fillId="0" borderId="0"/>
    <xf numFmtId="0" fontId="27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37" fillId="0" borderId="0"/>
    <xf numFmtId="0" fontId="28" fillId="0" borderId="0"/>
    <xf numFmtId="0" fontId="28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3" fillId="0" borderId="0" applyFill="0" applyBorder="0" applyAlignment="0" applyProtection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7" fillId="0" borderId="0"/>
    <xf numFmtId="0" fontId="37" fillId="0" borderId="0"/>
    <xf numFmtId="0" fontId="37" fillId="0" borderId="0"/>
    <xf numFmtId="0" fontId="28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3" fillId="0" borderId="0" applyFill="0" applyBorder="0" applyAlignment="0" applyProtection="0"/>
    <xf numFmtId="0" fontId="28" fillId="0" borderId="0"/>
    <xf numFmtId="0" fontId="28" fillId="0" borderId="0"/>
    <xf numFmtId="0" fontId="29" fillId="0" borderId="0"/>
    <xf numFmtId="0" fontId="27" fillId="0" borderId="0"/>
    <xf numFmtId="0" fontId="7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ill="0" applyBorder="0" applyAlignment="0" applyProtection="0"/>
    <xf numFmtId="0" fontId="27" fillId="0" borderId="0"/>
    <xf numFmtId="0" fontId="27" fillId="0" borderId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71" fillId="0" borderId="0" applyFont="0" applyFill="0" applyBorder="0" applyAlignment="0" applyProtection="0"/>
    <xf numFmtId="0" fontId="27" fillId="0" borderId="0"/>
    <xf numFmtId="0" fontId="71" fillId="0" borderId="0" applyFont="0" applyFill="0" applyBorder="0" applyAlignment="0" applyProtection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7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217" fontId="3" fillId="0" borderId="0">
      <protection locked="0"/>
    </xf>
    <xf numFmtId="0" fontId="33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1" fillId="0" borderId="0" applyFont="0" applyFill="0" applyBorder="0" applyAlignment="0"/>
    <xf numFmtId="218" fontId="28" fillId="0" borderId="0" applyFont="0" applyFill="0" applyBorder="0" applyAlignment="0" applyProtection="0">
      <alignment vertical="center"/>
    </xf>
    <xf numFmtId="9" fontId="28" fillId="12" borderId="0"/>
    <xf numFmtId="219" fontId="28" fillId="0" borderId="0">
      <alignment vertical="center"/>
    </xf>
    <xf numFmtId="220" fontId="28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217" fontId="3" fillId="0" borderId="0">
      <protection locked="0"/>
    </xf>
    <xf numFmtId="221" fontId="33" fillId="0" borderId="0">
      <protection locked="0"/>
    </xf>
    <xf numFmtId="217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28" fillId="0" borderId="0"/>
    <xf numFmtId="200" fontId="73" fillId="0" borderId="30">
      <alignment vertical="center"/>
    </xf>
    <xf numFmtId="200" fontId="73" fillId="0" borderId="30">
      <alignment vertical="center"/>
    </xf>
    <xf numFmtId="200" fontId="73" fillId="0" borderId="30">
      <alignment vertical="center"/>
    </xf>
    <xf numFmtId="200" fontId="73" fillId="0" borderId="30">
      <alignment vertical="center"/>
    </xf>
    <xf numFmtId="200" fontId="73" fillId="0" borderId="30">
      <alignment vertical="center"/>
    </xf>
    <xf numFmtId="200" fontId="73" fillId="0" borderId="30">
      <alignment vertical="center"/>
    </xf>
    <xf numFmtId="200" fontId="73" fillId="0" borderId="30">
      <alignment vertical="center"/>
    </xf>
    <xf numFmtId="200" fontId="73" fillId="0" borderId="30">
      <alignment vertical="center"/>
    </xf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3" fontId="24" fillId="0" borderId="30"/>
    <xf numFmtId="197" fontId="27" fillId="0" borderId="0">
      <alignment vertical="center"/>
    </xf>
    <xf numFmtId="0" fontId="74" fillId="0" borderId="3"/>
    <xf numFmtId="0" fontId="56" fillId="0" borderId="0"/>
    <xf numFmtId="222" fontId="75" fillId="0" borderId="0">
      <alignment vertical="center"/>
    </xf>
    <xf numFmtId="3" fontId="76" fillId="0" borderId="25">
      <alignment horizontal="right" vertical="center"/>
    </xf>
    <xf numFmtId="0" fontId="56" fillId="0" borderId="0">
      <alignment horizontal="center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224" fontId="3" fillId="0" borderId="0">
      <alignment vertical="center"/>
    </xf>
    <xf numFmtId="3" fontId="76" fillId="0" borderId="25">
      <alignment horizontal="right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0" fontId="56" fillId="0" borderId="0">
      <alignment horizontal="center" vertical="center"/>
    </xf>
    <xf numFmtId="3" fontId="76" fillId="0" borderId="25">
      <alignment horizontal="right" vertical="center"/>
    </xf>
    <xf numFmtId="0" fontId="56" fillId="0" borderId="0">
      <alignment horizontal="center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0" fontId="35" fillId="0" borderId="0"/>
    <xf numFmtId="3" fontId="76" fillId="0" borderId="25">
      <alignment horizontal="right" vertical="center"/>
    </xf>
    <xf numFmtId="0" fontId="56" fillId="0" borderId="0">
      <alignment horizontal="center" vertical="center"/>
    </xf>
    <xf numFmtId="3" fontId="76" fillId="0" borderId="25">
      <alignment horizontal="right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35" fillId="0" borderId="0"/>
    <xf numFmtId="3" fontId="76" fillId="0" borderId="25">
      <alignment horizontal="right" vertical="center"/>
    </xf>
    <xf numFmtId="41" fontId="27" fillId="0" borderId="0">
      <alignment horizontal="center" vertical="center"/>
    </xf>
    <xf numFmtId="225" fontId="27" fillId="0" borderId="0">
      <alignment horizontal="center" vertical="center"/>
    </xf>
    <xf numFmtId="226" fontId="77" fillId="0" borderId="0">
      <alignment horizontal="center" vertical="center"/>
    </xf>
    <xf numFmtId="0" fontId="35" fillId="0" borderId="0"/>
    <xf numFmtId="3" fontId="76" fillId="0" borderId="25">
      <alignment horizontal="right"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0" fontId="35" fillId="0" borderId="0"/>
    <xf numFmtId="0" fontId="56" fillId="0" borderId="0">
      <alignment horizontal="center" vertical="center"/>
    </xf>
    <xf numFmtId="0" fontId="35" fillId="0" borderId="0"/>
    <xf numFmtId="0" fontId="35" fillId="0" borderId="0"/>
    <xf numFmtId="222" fontId="75" fillId="0" borderId="0">
      <alignment vertical="center"/>
    </xf>
    <xf numFmtId="3" fontId="76" fillId="0" borderId="25">
      <alignment horizontal="right" vertical="center"/>
    </xf>
    <xf numFmtId="3" fontId="76" fillId="0" borderId="25">
      <alignment horizontal="right" vertical="center"/>
    </xf>
    <xf numFmtId="0" fontId="35" fillId="0" borderId="0"/>
    <xf numFmtId="3" fontId="76" fillId="0" borderId="25">
      <alignment horizontal="right" vertical="center"/>
    </xf>
    <xf numFmtId="3" fontId="76" fillId="0" borderId="25">
      <alignment horizontal="right" vertical="center"/>
    </xf>
    <xf numFmtId="227" fontId="3" fillId="0" borderId="0" applyBorder="0">
      <alignment vertical="center" wrapText="1"/>
    </xf>
    <xf numFmtId="228" fontId="26" fillId="0" borderId="0">
      <alignment vertical="center"/>
    </xf>
    <xf numFmtId="0" fontId="3" fillId="0" borderId="0"/>
    <xf numFmtId="229" fontId="27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9" fontId="80" fillId="5" borderId="0" applyFill="0" applyBorder="0" applyProtection="0">
      <alignment horizontal="right"/>
    </xf>
    <xf numFmtId="10" fontId="80" fillId="0" borderId="0" applyFill="0" applyBorder="0" applyProtection="0">
      <alignment horizontal="right"/>
    </xf>
    <xf numFmtId="200" fontId="81" fillId="0" borderId="0" applyFont="0" applyFill="0" applyBorder="0" applyAlignment="0" applyProtection="0"/>
    <xf numFmtId="2" fontId="76" fillId="0" borderId="25">
      <alignment horizontal="right" vertical="center"/>
    </xf>
    <xf numFmtId="0" fontId="27" fillId="0" borderId="36">
      <alignment horizont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2" fontId="76" fillId="0" borderId="25">
      <alignment horizontal="right" vertical="center"/>
    </xf>
    <xf numFmtId="0" fontId="82" fillId="13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231" fontId="82" fillId="13" borderId="0" applyNumberFormat="0" applyBorder="0" applyAlignment="0" applyProtection="0">
      <alignment vertical="center"/>
    </xf>
    <xf numFmtId="231" fontId="82" fillId="13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231" fontId="82" fillId="14" borderId="0" applyNumberFormat="0" applyBorder="0" applyAlignment="0" applyProtection="0">
      <alignment vertical="center"/>
    </xf>
    <xf numFmtId="231" fontId="82" fillId="14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231" fontId="82" fillId="14" borderId="0" applyNumberFormat="0" applyBorder="0" applyAlignment="0" applyProtection="0">
      <alignment vertical="center"/>
    </xf>
    <xf numFmtId="231" fontId="83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231" fontId="83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231" fontId="82" fillId="15" borderId="0" applyNumberFormat="0" applyBorder="0" applyAlignment="0" applyProtection="0">
      <alignment vertical="center"/>
    </xf>
    <xf numFmtId="231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231" fontId="82" fillId="15" borderId="0" applyNumberFormat="0" applyBorder="0" applyAlignment="0" applyProtection="0">
      <alignment vertical="center"/>
    </xf>
    <xf numFmtId="231" fontId="83" fillId="9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231" fontId="83" fillId="9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231" fontId="82" fillId="16" borderId="0" applyNumberFormat="0" applyBorder="0" applyAlignment="0" applyProtection="0">
      <alignment vertical="center"/>
    </xf>
    <xf numFmtId="231" fontId="82" fillId="16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231" fontId="82" fillId="16" borderId="0" applyNumberFormat="0" applyBorder="0" applyAlignment="0" applyProtection="0">
      <alignment vertical="center"/>
    </xf>
    <xf numFmtId="231" fontId="83" fillId="10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231" fontId="83" fillId="10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231" fontId="82" fillId="17" borderId="0" applyNumberFormat="0" applyBorder="0" applyAlignment="0" applyProtection="0">
      <alignment vertical="center"/>
    </xf>
    <xf numFmtId="231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231" fontId="82" fillId="18" borderId="0" applyNumberFormat="0" applyBorder="0" applyAlignment="0" applyProtection="0">
      <alignment vertical="center"/>
    </xf>
    <xf numFmtId="231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231" fontId="82" fillId="18" borderId="0" applyNumberFormat="0" applyBorder="0" applyAlignment="0" applyProtection="0">
      <alignment vertical="center"/>
    </xf>
    <xf numFmtId="231" fontId="83" fillId="11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231" fontId="83" fillId="11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228" fontId="26" fillId="0" borderId="0">
      <alignment vertical="center"/>
    </xf>
    <xf numFmtId="217" fontId="3" fillId="0" borderId="0">
      <protection locked="0"/>
    </xf>
    <xf numFmtId="0" fontId="33" fillId="0" borderId="0">
      <protection locked="0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231" fontId="82" fillId="19" borderId="0" applyNumberFormat="0" applyBorder="0" applyAlignment="0" applyProtection="0">
      <alignment vertical="center"/>
    </xf>
    <xf numFmtId="231" fontId="82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231" fontId="82" fillId="20" borderId="0" applyNumberFormat="0" applyBorder="0" applyAlignment="0" applyProtection="0">
      <alignment vertical="center"/>
    </xf>
    <xf numFmtId="231" fontId="82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231" fontId="82" fillId="21" borderId="0" applyNumberFormat="0" applyBorder="0" applyAlignment="0" applyProtection="0">
      <alignment vertical="center"/>
    </xf>
    <xf numFmtId="231" fontId="82" fillId="21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231" fontId="82" fillId="16" borderId="0" applyNumberFormat="0" applyBorder="0" applyAlignment="0" applyProtection="0">
      <alignment vertical="center"/>
    </xf>
    <xf numFmtId="231" fontId="82" fillId="16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231" fontId="82" fillId="19" borderId="0" applyNumberFormat="0" applyBorder="0" applyAlignment="0" applyProtection="0">
      <alignment vertical="center"/>
    </xf>
    <xf numFmtId="231" fontId="82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231" fontId="82" fillId="22" borderId="0" applyNumberFormat="0" applyBorder="0" applyAlignment="0" applyProtection="0">
      <alignment vertical="center"/>
    </xf>
    <xf numFmtId="231" fontId="82" fillId="22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231" fontId="84" fillId="23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231" fontId="84" fillId="20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231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231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231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231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34" fillId="0" borderId="0"/>
    <xf numFmtId="0" fontId="85" fillId="0" borderId="40">
      <alignment horizontal="center" vertical="center"/>
    </xf>
    <xf numFmtId="229" fontId="27" fillId="0" borderId="0">
      <protection locked="0"/>
    </xf>
    <xf numFmtId="0" fontId="3" fillId="0" borderId="0" applyFill="0" applyBorder="0" applyAlignment="0" applyProtection="0"/>
    <xf numFmtId="0" fontId="34" fillId="0" borderId="0"/>
    <xf numFmtId="0" fontId="26" fillId="0" borderId="0" applyNumberFormat="0" applyFont="0" applyBorder="0" applyAlignment="0">
      <alignment vertical="center"/>
    </xf>
    <xf numFmtId="200" fontId="56" fillId="0" borderId="41">
      <alignment horizontal="center" vertical="center"/>
    </xf>
    <xf numFmtId="229" fontId="27" fillId="0" borderId="0">
      <protection locked="0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229" fontId="27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0" fontId="3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232" fontId="86" fillId="0" borderId="0" applyFont="0" applyFill="0" applyBorder="0" applyAlignment="0" applyProtection="0"/>
    <xf numFmtId="233" fontId="2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232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0" fontId="79" fillId="0" borderId="0">
      <protection locked="0"/>
    </xf>
    <xf numFmtId="37" fontId="88" fillId="0" borderId="0" applyFont="0" applyFill="0" applyBorder="0" applyAlignment="0" applyProtection="0"/>
    <xf numFmtId="42" fontId="87" fillId="0" borderId="0" applyFont="0" applyFill="0" applyBorder="0" applyAlignment="0" applyProtection="0"/>
    <xf numFmtId="0" fontId="3" fillId="0" borderId="0">
      <protection locked="0"/>
    </xf>
    <xf numFmtId="234" fontId="86" fillId="0" borderId="0" applyFont="0" applyFill="0" applyBorder="0" applyAlignment="0" applyProtection="0"/>
    <xf numFmtId="235" fontId="2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234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0" fontId="79" fillId="0" borderId="0">
      <protection locked="0"/>
    </xf>
    <xf numFmtId="37" fontId="88" fillId="0" borderId="0" applyFont="0" applyFill="0" applyBorder="0" applyAlignment="0" applyProtection="0"/>
    <xf numFmtId="44" fontId="87" fillId="0" borderId="0" applyFont="0" applyFill="0" applyBorder="0" applyAlignment="0" applyProtection="0"/>
    <xf numFmtId="229" fontId="27" fillId="0" borderId="0">
      <protection locked="0"/>
    </xf>
    <xf numFmtId="230" fontId="33" fillId="0" borderId="0">
      <protection locked="0"/>
    </xf>
    <xf numFmtId="217" fontId="3" fillId="0" borderId="0">
      <protection locked="0"/>
    </xf>
    <xf numFmtId="236" fontId="33" fillId="0" borderId="0">
      <protection locked="0"/>
    </xf>
    <xf numFmtId="0" fontId="88" fillId="0" borderId="0"/>
    <xf numFmtId="0" fontId="90" fillId="0" borderId="0">
      <alignment horizontal="center" wrapText="1"/>
      <protection locked="0"/>
    </xf>
    <xf numFmtId="188" fontId="78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229" fontId="27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234" fontId="91" fillId="0" borderId="0" applyFont="0" applyFill="0" applyBorder="0" applyAlignment="0" applyProtection="0"/>
    <xf numFmtId="237" fontId="2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20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0" fontId="79" fillId="0" borderId="0">
      <protection locked="0"/>
    </xf>
    <xf numFmtId="37" fontId="88" fillId="0" borderId="0" applyFont="0" applyFill="0" applyBorder="0" applyAlignment="0" applyProtection="0"/>
    <xf numFmtId="193" fontId="80" fillId="5" borderId="0" applyFill="0" applyBorder="0" applyProtection="0">
      <alignment horizontal="right"/>
    </xf>
    <xf numFmtId="185" fontId="86" fillId="0" borderId="0" applyFont="0" applyFill="0" applyBorder="0" applyAlignment="0" applyProtection="0"/>
    <xf numFmtId="238" fontId="2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185" fontId="88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230" fontId="79" fillId="0" borderId="0">
      <protection locked="0"/>
    </xf>
    <xf numFmtId="37" fontId="88" fillId="0" borderId="0" applyFont="0" applyFill="0" applyBorder="0" applyAlignment="0" applyProtection="0"/>
    <xf numFmtId="4" fontId="33" fillId="0" borderId="0">
      <protection locked="0"/>
    </xf>
    <xf numFmtId="239" fontId="3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58" fontId="3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28" fillId="5" borderId="0" applyBorder="0" applyAlignment="0" applyProtection="0"/>
    <xf numFmtId="0" fontId="93" fillId="14" borderId="0" applyNumberFormat="0" applyBorder="0" applyAlignment="0" applyProtection="0">
      <alignment vertical="center"/>
    </xf>
    <xf numFmtId="0" fontId="94" fillId="0" borderId="0"/>
    <xf numFmtId="49" fontId="95" fillId="2" borderId="0" applyBorder="0">
      <alignment horizontal="right"/>
    </xf>
    <xf numFmtId="229" fontId="27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230" fontId="79" fillId="0" borderId="0">
      <protection locked="0"/>
    </xf>
    <xf numFmtId="188" fontId="78" fillId="0" borderId="0">
      <protection locked="0"/>
    </xf>
    <xf numFmtId="188" fontId="78" fillId="0" borderId="0">
      <protection locked="0"/>
    </xf>
    <xf numFmtId="0" fontId="97" fillId="0" borderId="0"/>
    <xf numFmtId="0" fontId="89" fillId="0" borderId="0"/>
    <xf numFmtId="0" fontId="98" fillId="0" borderId="0"/>
    <xf numFmtId="37" fontId="89" fillId="0" borderId="0" applyFill="0"/>
    <xf numFmtId="0" fontId="96" fillId="0" borderId="0"/>
    <xf numFmtId="0" fontId="99" fillId="0" borderId="0"/>
    <xf numFmtId="0" fontId="34" fillId="0" borderId="0"/>
    <xf numFmtId="37" fontId="88" fillId="0" borderId="0"/>
    <xf numFmtId="37" fontId="89" fillId="0" borderId="0"/>
    <xf numFmtId="0" fontId="89" fillId="0" borderId="0"/>
    <xf numFmtId="0" fontId="34" fillId="0" borderId="0"/>
    <xf numFmtId="0" fontId="34" fillId="0" borderId="0"/>
    <xf numFmtId="0" fontId="87" fillId="0" borderId="0"/>
    <xf numFmtId="0" fontId="86" fillId="0" borderId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240" fontId="73" fillId="0" borderId="0" applyFill="0" applyBorder="0" applyAlignment="0"/>
    <xf numFmtId="0" fontId="100" fillId="0" borderId="0" applyFill="0" applyBorder="0" applyAlignment="0"/>
    <xf numFmtId="241" fontId="3" fillId="0" borderId="0" applyFill="0" applyBorder="0" applyAlignment="0"/>
    <xf numFmtId="242" fontId="3" fillId="0" borderId="0" applyFill="0" applyBorder="0" applyAlignment="0"/>
    <xf numFmtId="212" fontId="3" fillId="0" borderId="0" applyFill="0" applyBorder="0" applyAlignment="0"/>
    <xf numFmtId="243" fontId="3" fillId="0" borderId="0" applyFill="0" applyBorder="0" applyAlignment="0"/>
    <xf numFmtId="244" fontId="3" fillId="0" borderId="0" applyFill="0" applyBorder="0" applyAlignment="0"/>
    <xf numFmtId="210" fontId="3" fillId="0" borderId="0" applyFill="0" applyBorder="0" applyAlignment="0"/>
    <xf numFmtId="241" fontId="3" fillId="0" borderId="0" applyFill="0" applyBorder="0" applyAlignment="0"/>
    <xf numFmtId="245" fontId="3" fillId="0" borderId="0" applyFill="0" applyBorder="0" applyAlignment="0"/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2" fillId="32" borderId="43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top"/>
      <protection locked="0"/>
    </xf>
    <xf numFmtId="229" fontId="27" fillId="0" borderId="0">
      <protection locked="0"/>
    </xf>
    <xf numFmtId="0" fontId="33" fillId="0" borderId="35">
      <protection locked="0"/>
    </xf>
    <xf numFmtId="217" fontId="3" fillId="0" borderId="35">
      <protection locked="0"/>
    </xf>
    <xf numFmtId="3" fontId="104" fillId="0" borderId="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95" fillId="33" borderId="30">
      <alignment horizontal="center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5" fillId="4" borderId="44">
      <alignment horizontal="center" wrapText="1"/>
    </xf>
    <xf numFmtId="0" fontId="106" fillId="34" borderId="45" applyNumberFormat="0" applyBorder="0" applyAlignment="0">
      <alignment horizontal="left" wrapText="1"/>
    </xf>
    <xf numFmtId="200" fontId="81" fillId="0" borderId="0" applyFont="0" applyFill="0" applyBorder="0" applyAlignment="0" applyProtection="0"/>
    <xf numFmtId="0" fontId="34" fillId="0" borderId="0" applyFont="0" applyFill="0" applyBorder="0" applyAlignment="0" applyProtection="0"/>
    <xf numFmtId="244" fontId="3" fillId="0" borderId="0" applyFont="0" applyFill="0" applyBorder="0" applyAlignment="0" applyProtection="0"/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184" fontId="3" fillId="0" borderId="0"/>
    <xf numFmtId="0" fontId="3" fillId="0" borderId="0"/>
    <xf numFmtId="4" fontId="33" fillId="0" borderId="0">
      <protection locked="0"/>
    </xf>
    <xf numFmtId="246" fontId="27" fillId="0" borderId="0">
      <protection locked="0"/>
    </xf>
    <xf numFmtId="40" fontId="25" fillId="0" borderId="0" applyFont="0" applyFill="0" applyBorder="0" applyAlignment="0" applyProtection="0"/>
    <xf numFmtId="0" fontId="94" fillId="2" borderId="0"/>
    <xf numFmtId="0" fontId="107" fillId="2" borderId="0" applyNumberFormat="0" applyFill="0" applyBorder="0"/>
    <xf numFmtId="0" fontId="108" fillId="2" borderId="0" applyNumberFormat="0" applyFill="0" applyBorder="0"/>
    <xf numFmtId="0" fontId="109" fillId="2" borderId="0" applyNumberFormat="0" applyFill="0" applyBorder="0"/>
    <xf numFmtId="0" fontId="110" fillId="33" borderId="46" applyFont="0" applyBorder="0">
      <alignment horizontal="centerContinuous" vertical="center"/>
    </xf>
    <xf numFmtId="247" fontId="40" fillId="2" borderId="11" applyBorder="0"/>
    <xf numFmtId="247" fontId="40" fillId="2" borderId="11" applyBorder="0"/>
    <xf numFmtId="247" fontId="40" fillId="2" borderId="11" applyBorder="0"/>
    <xf numFmtId="247" fontId="40" fillId="2" borderId="11" applyBorder="0"/>
    <xf numFmtId="247" fontId="40" fillId="2" borderId="11" applyBorder="0"/>
    <xf numFmtId="247" fontId="40" fillId="2" borderId="11" applyBorder="0"/>
    <xf numFmtId="247" fontId="40" fillId="2" borderId="11" applyBorder="0"/>
    <xf numFmtId="247" fontId="40" fillId="2" borderId="11" applyBorder="0"/>
    <xf numFmtId="0" fontId="27" fillId="0" borderId="0" applyFont="0" applyFill="0" applyBorder="0" applyAlignment="0" applyProtection="0"/>
    <xf numFmtId="0" fontId="3" fillId="0" borderId="0" applyFill="0" applyBorder="0" applyAlignment="0" applyProtection="0"/>
    <xf numFmtId="0" fontId="71" fillId="0" borderId="0" applyFont="0" applyFill="0" applyBorder="0" applyAlignment="0" applyProtection="0"/>
    <xf numFmtId="24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0" fontId="71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0" fontId="71" fillId="0" borderId="0">
      <protection locked="0"/>
    </xf>
    <xf numFmtId="187" fontId="3" fillId="0" borderId="0">
      <protection locked="0"/>
    </xf>
    <xf numFmtId="0" fontId="71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187" fontId="3" fillId="0" borderId="0">
      <protection locked="0"/>
    </xf>
    <xf numFmtId="248" fontId="3" fillId="0" borderId="0"/>
    <xf numFmtId="187" fontId="3" fillId="0" borderId="0">
      <protection locked="0"/>
    </xf>
    <xf numFmtId="185" fontId="3" fillId="0" borderId="0" applyFont="0" applyFill="0" applyBorder="0" applyAlignment="0" applyProtection="0"/>
    <xf numFmtId="249" fontId="27" fillId="0" borderId="0">
      <protection locked="0"/>
    </xf>
    <xf numFmtId="0" fontId="28" fillId="0" borderId="0"/>
    <xf numFmtId="0" fontId="34" fillId="0" borderId="0" applyProtection="0"/>
    <xf numFmtId="0" fontId="28" fillId="0" borderId="0" applyFont="0" applyFill="0" applyBorder="0" applyAlignment="0" applyProtection="0"/>
    <xf numFmtId="14" fontId="72" fillId="0" borderId="0" applyFill="0" applyBorder="0" applyAlignment="0"/>
    <xf numFmtId="188" fontId="3" fillId="0" borderId="0">
      <protection locked="0"/>
    </xf>
    <xf numFmtId="0" fontId="28" fillId="4" borderId="47" applyBorder="0"/>
    <xf numFmtId="0" fontId="28" fillId="4" borderId="47" applyBorder="0"/>
    <xf numFmtId="0" fontId="28" fillId="4" borderId="47" applyBorder="0"/>
    <xf numFmtId="0" fontId="28" fillId="4" borderId="47" applyBorder="0"/>
    <xf numFmtId="0" fontId="28" fillId="4" borderId="47" applyBorder="0"/>
    <xf numFmtId="0" fontId="28" fillId="4" borderId="47" applyBorder="0"/>
    <xf numFmtId="0" fontId="28" fillId="4" borderId="47" applyBorder="0"/>
    <xf numFmtId="0" fontId="28" fillId="4" borderId="47" applyBorder="0"/>
    <xf numFmtId="250" fontId="28" fillId="4" borderId="48" applyBorder="0">
      <alignment horizontal="center"/>
    </xf>
    <xf numFmtId="250" fontId="28" fillId="4" borderId="48" applyBorder="0">
      <alignment horizontal="center"/>
    </xf>
    <xf numFmtId="250" fontId="28" fillId="4" borderId="48" applyBorder="0">
      <alignment horizontal="center"/>
    </xf>
    <xf numFmtId="250" fontId="28" fillId="4" borderId="48" applyBorder="0">
      <alignment horizontal="center"/>
    </xf>
    <xf numFmtId="250" fontId="28" fillId="4" borderId="48" applyBorder="0">
      <alignment horizontal="center"/>
    </xf>
    <xf numFmtId="250" fontId="28" fillId="4" borderId="48" applyBorder="0">
      <alignment horizontal="center"/>
    </xf>
    <xf numFmtId="250" fontId="28" fillId="4" borderId="48" applyBorder="0">
      <alignment horizontal="center"/>
    </xf>
    <xf numFmtId="250" fontId="28" fillId="4" borderId="48" applyBorder="0">
      <alignment horizontal="center"/>
    </xf>
    <xf numFmtId="189" fontId="3" fillId="0" borderId="0"/>
    <xf numFmtId="0" fontId="37" fillId="0" borderId="0"/>
    <xf numFmtId="251" fontId="3" fillId="0" borderId="49">
      <alignment vertical="center"/>
    </xf>
    <xf numFmtId="251" fontId="3" fillId="0" borderId="49">
      <alignment vertical="center"/>
    </xf>
    <xf numFmtId="251" fontId="3" fillId="0" borderId="49">
      <alignment vertical="center"/>
    </xf>
    <xf numFmtId="251" fontId="3" fillId="0" borderId="49">
      <alignment vertical="center"/>
    </xf>
    <xf numFmtId="251" fontId="3" fillId="0" borderId="49">
      <alignment vertical="center"/>
    </xf>
    <xf numFmtId="251" fontId="3" fillId="0" borderId="49">
      <alignment vertical="center"/>
    </xf>
    <xf numFmtId="251" fontId="3" fillId="0" borderId="49">
      <alignment vertical="center"/>
    </xf>
    <xf numFmtId="251" fontId="3" fillId="0" borderId="49">
      <alignment vertical="center"/>
    </xf>
    <xf numFmtId="217" fontId="3" fillId="0" borderId="0">
      <protection locked="0"/>
    </xf>
    <xf numFmtId="217" fontId="3" fillId="0" borderId="0">
      <protection locked="0"/>
    </xf>
    <xf numFmtId="252" fontId="33" fillId="0" borderId="0">
      <protection locked="0"/>
    </xf>
    <xf numFmtId="253" fontId="33" fillId="0" borderId="0">
      <protection locked="0"/>
    </xf>
    <xf numFmtId="244" fontId="3" fillId="0" borderId="0" applyFill="0" applyBorder="0" applyAlignment="0"/>
    <xf numFmtId="241" fontId="3" fillId="0" borderId="0" applyFill="0" applyBorder="0" applyAlignment="0"/>
    <xf numFmtId="244" fontId="3" fillId="0" borderId="0" applyFill="0" applyBorder="0" applyAlignment="0"/>
    <xf numFmtId="210" fontId="3" fillId="0" borderId="0" applyFill="0" applyBorder="0" applyAlignment="0"/>
    <xf numFmtId="241" fontId="3" fillId="0" borderId="0" applyFill="0" applyBorder="0" applyAlignment="0"/>
    <xf numFmtId="245" fontId="3" fillId="0" borderId="0" applyFill="0" applyBorder="0" applyAlignment="0"/>
    <xf numFmtId="231" fontId="27" fillId="0" borderId="0" applyFont="0" applyFill="0" applyBorder="0" applyAlignment="0" applyProtection="0"/>
    <xf numFmtId="231" fontId="56" fillId="0" borderId="0" applyFont="0" applyFill="0" applyBorder="0" applyAlignment="0" applyProtection="0"/>
    <xf numFmtId="0" fontId="111" fillId="0" borderId="0" applyNumberFormat="0" applyFill="0" applyBorder="0" applyAlignment="0" applyProtection="0">
      <alignment vertical="center"/>
    </xf>
    <xf numFmtId="0" fontId="39" fillId="0" borderId="0">
      <protection locked="0"/>
    </xf>
    <xf numFmtId="0" fontId="39" fillId="0" borderId="0">
      <protection locked="0"/>
    </xf>
    <xf numFmtId="0" fontId="40" fillId="2" borderId="0"/>
    <xf numFmtId="2" fontId="34" fillId="0" borderId="0" applyProtection="0"/>
    <xf numFmtId="2" fontId="28" fillId="0" borderId="0" applyFon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113" fillId="15" borderId="0" applyNumberFormat="0" applyBorder="0" applyAlignment="0" applyProtection="0">
      <alignment vertical="center"/>
    </xf>
    <xf numFmtId="38" fontId="40" fillId="5" borderId="0" applyNumberFormat="0" applyBorder="0" applyAlignment="0" applyProtection="0"/>
    <xf numFmtId="3" fontId="100" fillId="0" borderId="29">
      <alignment horizontal="right" vertical="center"/>
    </xf>
    <xf numFmtId="4" fontId="100" fillId="0" borderId="29">
      <alignment horizontal="right" vertical="center"/>
    </xf>
    <xf numFmtId="0" fontId="114" fillId="0" borderId="0" applyAlignment="0">
      <alignment horizontal="right"/>
    </xf>
    <xf numFmtId="0" fontId="115" fillId="0" borderId="0"/>
    <xf numFmtId="0" fontId="116" fillId="0" borderId="0"/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42" fillId="0" borderId="4">
      <alignment horizontal="left" vertical="center"/>
    </xf>
    <xf numFmtId="0" fontId="117" fillId="35" borderId="50" applyBorder="0" applyAlignment="0"/>
    <xf numFmtId="0" fontId="118" fillId="0" borderId="51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7" fillId="35" borderId="50" applyBorder="0" applyAlignment="0"/>
    <xf numFmtId="0" fontId="117" fillId="35" borderId="50" applyBorder="0" applyAlignment="0"/>
    <xf numFmtId="0" fontId="117" fillId="35" borderId="50" applyBorder="0" applyAlignment="0"/>
    <xf numFmtId="0" fontId="117" fillId="35" borderId="50" applyBorder="0" applyAlignment="0"/>
    <xf numFmtId="0" fontId="117" fillId="35" borderId="50" applyBorder="0" applyAlignment="0"/>
    <xf numFmtId="0" fontId="117" fillId="35" borderId="50" applyBorder="0" applyAlignment="0"/>
    <xf numFmtId="0" fontId="117" fillId="35" borderId="50" applyBorder="0" applyAlignment="0"/>
    <xf numFmtId="0" fontId="43" fillId="0" borderId="0" applyProtection="0"/>
    <xf numFmtId="230" fontId="44" fillId="0" borderId="0">
      <protection locked="0"/>
    </xf>
    <xf numFmtId="0" fontId="42" fillId="0" borderId="0" applyProtection="0"/>
    <xf numFmtId="230" fontId="44" fillId="0" borderId="0">
      <protection locked="0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12" fontId="28" fillId="5" borderId="52" applyNumberFormat="0" applyBorder="0" applyAlignment="0" applyProtection="0">
      <alignment horizontal="center"/>
    </xf>
    <xf numFmtId="0" fontId="119" fillId="0" borderId="53">
      <alignment horizontal="center"/>
    </xf>
    <xf numFmtId="0" fontId="119" fillId="0" borderId="0">
      <alignment horizontal="center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18" borderId="42" applyNumberFormat="0" applyAlignment="0" applyProtection="0">
      <alignment vertical="center"/>
    </xf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5" borderId="30" applyNumberFormat="0" applyBorder="0" applyAlignment="0" applyProtection="0"/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250" fontId="28" fillId="36" borderId="54" applyBorder="0">
      <alignment horizontal="center"/>
      <protection locked="0"/>
    </xf>
    <xf numFmtId="12" fontId="28" fillId="36" borderId="54" applyBorder="0">
      <alignment horizont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0" fontId="115" fillId="36" borderId="55">
      <alignment horizontal="center" vertical="center"/>
      <protection locked="0"/>
    </xf>
    <xf numFmtId="247" fontId="40" fillId="4" borderId="0" applyBorder="0">
      <protection locked="0"/>
    </xf>
    <xf numFmtId="15" fontId="40" fillId="4" borderId="0" applyBorder="0">
      <protection locked="0"/>
    </xf>
    <xf numFmtId="49" fontId="40" fillId="4" borderId="0" applyBorder="0">
      <protection locked="0"/>
    </xf>
    <xf numFmtId="49" fontId="40" fillId="4" borderId="20" applyNumberFormat="0" applyBorder="0"/>
    <xf numFmtId="49" fontId="40" fillId="4" borderId="20" applyNumberFormat="0" applyBorder="0"/>
    <xf numFmtId="49" fontId="40" fillId="4" borderId="20" applyNumberFormat="0" applyBorder="0"/>
    <xf numFmtId="49" fontId="40" fillId="4" borderId="20" applyNumberFormat="0" applyBorder="0"/>
    <xf numFmtId="49" fontId="40" fillId="4" borderId="20" applyNumberFormat="0" applyBorder="0"/>
    <xf numFmtId="49" fontId="40" fillId="4" borderId="20" applyNumberFormat="0" applyBorder="0"/>
    <xf numFmtId="49" fontId="40" fillId="4" borderId="20" applyNumberFormat="0" applyBorder="0"/>
    <xf numFmtId="49" fontId="40" fillId="4" borderId="20" applyNumberFormat="0" applyBorder="0"/>
    <xf numFmtId="0" fontId="94" fillId="4" borderId="54" applyBorder="0">
      <alignment horizontal="left"/>
    </xf>
    <xf numFmtId="0" fontId="94" fillId="36" borderId="0">
      <alignment horizontal="left"/>
    </xf>
    <xf numFmtId="0" fontId="85" fillId="0" borderId="5" applyNumberFormat="0" applyBorder="0" applyAlignment="0"/>
    <xf numFmtId="254" fontId="3" fillId="0" borderId="49">
      <alignment vertical="center"/>
    </xf>
    <xf numFmtId="254" fontId="3" fillId="0" borderId="49">
      <alignment vertical="center"/>
    </xf>
    <xf numFmtId="254" fontId="3" fillId="0" borderId="49">
      <alignment vertical="center"/>
    </xf>
    <xf numFmtId="254" fontId="3" fillId="0" borderId="49">
      <alignment vertical="center"/>
    </xf>
    <xf numFmtId="254" fontId="3" fillId="0" borderId="49">
      <alignment vertical="center"/>
    </xf>
    <xf numFmtId="254" fontId="3" fillId="0" borderId="49">
      <alignment vertical="center"/>
    </xf>
    <xf numFmtId="254" fontId="3" fillId="0" borderId="49">
      <alignment vertical="center"/>
    </xf>
    <xf numFmtId="254" fontId="3" fillId="0" borderId="49">
      <alignment vertical="center"/>
    </xf>
    <xf numFmtId="25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256" fontId="3" fillId="0" borderId="49">
      <alignment vertical="center"/>
    </xf>
    <xf numFmtId="256" fontId="3" fillId="0" borderId="49">
      <alignment vertical="center"/>
    </xf>
    <xf numFmtId="256" fontId="3" fillId="0" borderId="49">
      <alignment vertical="center"/>
    </xf>
    <xf numFmtId="256" fontId="3" fillId="0" borderId="49">
      <alignment vertical="center"/>
    </xf>
    <xf numFmtId="256" fontId="3" fillId="0" borderId="49">
      <alignment vertical="center"/>
    </xf>
    <xf numFmtId="256" fontId="3" fillId="0" borderId="49">
      <alignment vertical="center"/>
    </xf>
    <xf numFmtId="256" fontId="3" fillId="0" borderId="49">
      <alignment vertical="center"/>
    </xf>
    <xf numFmtId="256" fontId="3" fillId="0" borderId="49">
      <alignment vertical="center"/>
    </xf>
    <xf numFmtId="244" fontId="3" fillId="0" borderId="0" applyFill="0" applyBorder="0" applyAlignment="0"/>
    <xf numFmtId="241" fontId="3" fillId="0" borderId="0" applyFill="0" applyBorder="0" applyAlignment="0"/>
    <xf numFmtId="244" fontId="3" fillId="0" borderId="0" applyFill="0" applyBorder="0" applyAlignment="0"/>
    <xf numFmtId="210" fontId="3" fillId="0" borderId="0" applyFill="0" applyBorder="0" applyAlignment="0"/>
    <xf numFmtId="241" fontId="3" fillId="0" borderId="0" applyFill="0" applyBorder="0" applyAlignment="0"/>
    <xf numFmtId="245" fontId="3" fillId="0" borderId="0" applyFill="0" applyBorder="0" applyAlignment="0"/>
    <xf numFmtId="0" fontId="122" fillId="0" borderId="56" applyNumberFormat="0" applyFill="0" applyAlignment="0" applyProtection="0">
      <alignment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7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8" fontId="3" fillId="0" borderId="49">
      <alignment horizontal="right" vertical="center"/>
    </xf>
    <xf numFmtId="259" fontId="3" fillId="0" borderId="49">
      <alignment vertical="center"/>
    </xf>
    <xf numFmtId="259" fontId="3" fillId="0" borderId="49">
      <alignment vertical="center"/>
    </xf>
    <xf numFmtId="259" fontId="3" fillId="0" borderId="49">
      <alignment vertical="center"/>
    </xf>
    <xf numFmtId="259" fontId="3" fillId="0" borderId="49">
      <alignment vertical="center"/>
    </xf>
    <xf numFmtId="259" fontId="3" fillId="0" borderId="49">
      <alignment vertical="center"/>
    </xf>
    <xf numFmtId="259" fontId="3" fillId="0" borderId="49">
      <alignment vertical="center"/>
    </xf>
    <xf numFmtId="259" fontId="3" fillId="0" borderId="49">
      <alignment vertical="center"/>
    </xf>
    <xf numFmtId="259" fontId="3" fillId="0" borderId="49">
      <alignment vertical="center"/>
    </xf>
    <xf numFmtId="260" fontId="37" fillId="0" borderId="0" applyFill="0" applyBorder="0" applyProtection="0">
      <alignment horizontal="center" vertical="center"/>
    </xf>
    <xf numFmtId="261" fontId="123" fillId="0" borderId="0">
      <alignment horizontal="left"/>
    </xf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28" fillId="0" borderId="0" applyFont="0" applyFill="0" applyBorder="0" applyAlignment="0" applyProtection="0"/>
    <xf numFmtId="262" fontId="25" fillId="0" borderId="0" applyFont="0" applyFill="0" applyBorder="0" applyAlignment="0" applyProtection="0"/>
    <xf numFmtId="263" fontId="25" fillId="0" borderId="0" applyFont="0" applyFill="0" applyBorder="0" applyAlignment="0" applyProtection="0"/>
    <xf numFmtId="200" fontId="81" fillId="0" borderId="0" applyFont="0" applyFill="0" applyBorder="0" applyAlignment="0" applyProtection="0"/>
    <xf numFmtId="0" fontId="124" fillId="37" borderId="0" applyNumberFormat="0" applyBorder="0" applyAlignment="0" applyProtection="0">
      <alignment vertical="center"/>
    </xf>
    <xf numFmtId="0" fontId="125" fillId="2" borderId="0" applyNumberFormat="0" applyFont="0" applyFill="0" applyBorder="0" applyAlignment="0">
      <alignment vertical="center"/>
    </xf>
    <xf numFmtId="0" fontId="28" fillId="0" borderId="0" applyNumberFormat="0" applyFill="0" applyBorder="0" applyAlignment="0" applyProtection="0"/>
    <xf numFmtId="191" fontId="3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28" fillId="0" borderId="0"/>
    <xf numFmtId="0" fontId="3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27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0" borderId="0" applyFill="0" applyBorder="0" applyAlignment="0" applyProtection="0"/>
    <xf numFmtId="0" fontId="3" fillId="0" borderId="0" applyFill="0" applyBorder="0" applyAlignment="0" applyProtection="0"/>
    <xf numFmtId="0" fontId="27" fillId="0" borderId="58"/>
    <xf numFmtId="0" fontId="28" fillId="0" borderId="0"/>
    <xf numFmtId="185" fontId="26" fillId="0" borderId="0">
      <alignment vertical="center"/>
    </xf>
    <xf numFmtId="0" fontId="28" fillId="0" borderId="0" applyFont="0" applyFill="0" applyBorder="0" applyAlignment="0" applyProtection="0"/>
    <xf numFmtId="0" fontId="37" fillId="0" borderId="0"/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264" fontId="115" fillId="4" borderId="55">
      <alignment horizontal="center"/>
    </xf>
    <xf numFmtId="264" fontId="115" fillId="4" borderId="55">
      <alignment horizontal="center"/>
    </xf>
    <xf numFmtId="264" fontId="115" fillId="4" borderId="55">
      <alignment horizontal="center"/>
    </xf>
    <xf numFmtId="264" fontId="115" fillId="4" borderId="55">
      <alignment horizontal="center"/>
    </xf>
    <xf numFmtId="264" fontId="115" fillId="4" borderId="55">
      <alignment horizontal="center"/>
    </xf>
    <xf numFmtId="264" fontId="115" fillId="4" borderId="55">
      <alignment horizontal="center"/>
    </xf>
    <xf numFmtId="264" fontId="115" fillId="4" borderId="55">
      <alignment horizontal="center"/>
    </xf>
    <xf numFmtId="264" fontId="115" fillId="4" borderId="55">
      <alignment horizontal="center"/>
    </xf>
    <xf numFmtId="0" fontId="28" fillId="2" borderId="54" applyBorder="0">
      <alignment horizontal="center"/>
      <protection locked="0"/>
    </xf>
    <xf numFmtId="14" fontId="90" fillId="0" borderId="0">
      <alignment horizontal="center" wrapText="1"/>
      <protection locked="0"/>
    </xf>
    <xf numFmtId="243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0" fontId="71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0" fontId="71" fillId="0" borderId="0">
      <protection locked="0"/>
    </xf>
    <xf numFmtId="192" fontId="3" fillId="0" borderId="0">
      <protection locked="0"/>
    </xf>
    <xf numFmtId="0" fontId="71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192" fontId="3" fillId="0" borderId="0">
      <protection locked="0"/>
    </xf>
    <xf numFmtId="244" fontId="3" fillId="0" borderId="0" applyFill="0" applyBorder="0" applyAlignment="0"/>
    <xf numFmtId="241" fontId="3" fillId="0" borderId="0" applyFill="0" applyBorder="0" applyAlignment="0"/>
    <xf numFmtId="244" fontId="3" fillId="0" borderId="0" applyFill="0" applyBorder="0" applyAlignment="0"/>
    <xf numFmtId="210" fontId="3" fillId="0" borderId="0" applyFill="0" applyBorder="0" applyAlignment="0"/>
    <xf numFmtId="241" fontId="3" fillId="0" borderId="0" applyFill="0" applyBorder="0" applyAlignment="0"/>
    <xf numFmtId="245" fontId="3" fillId="0" borderId="0" applyFill="0" applyBorder="0" applyAlignment="0"/>
    <xf numFmtId="0" fontId="123" fillId="2" borderId="0"/>
    <xf numFmtId="9" fontId="128" fillId="0" borderId="0" applyFont="0" applyFill="0" applyProtection="0"/>
    <xf numFmtId="0" fontId="129" fillId="0" borderId="0" applyNumberFormat="0" applyFill="0" applyBorder="0" applyAlignment="0"/>
    <xf numFmtId="0" fontId="28" fillId="0" borderId="0"/>
    <xf numFmtId="0" fontId="37" fillId="0" borderId="0"/>
    <xf numFmtId="0" fontId="130" fillId="2" borderId="0"/>
    <xf numFmtId="0" fontId="3" fillId="39" borderId="0" applyNumberFormat="0" applyBorder="0" applyAlignment="0"/>
    <xf numFmtId="264" fontId="28" fillId="0" borderId="0"/>
    <xf numFmtId="182" fontId="3" fillId="0" borderId="0" applyNumberFormat="0" applyFill="0" applyBorder="0" applyAlignment="0" applyProtection="0">
      <alignment horizontal="left"/>
    </xf>
    <xf numFmtId="49" fontId="131" fillId="2" borderId="0" applyBorder="0">
      <alignment horizontal="centerContinuous"/>
    </xf>
    <xf numFmtId="198" fontId="26" fillId="0" borderId="0">
      <alignment vertical="center"/>
    </xf>
    <xf numFmtId="0" fontId="3" fillId="40" borderId="60" applyNumberFormat="0" applyAlignment="0"/>
    <xf numFmtId="0" fontId="3" fillId="40" borderId="60" applyNumberFormat="0" applyAlignment="0"/>
    <xf numFmtId="0" fontId="3" fillId="40" borderId="60" applyNumberFormat="0" applyAlignment="0"/>
    <xf numFmtId="0" fontId="3" fillId="40" borderId="60" applyNumberFormat="0" applyAlignment="0"/>
    <xf numFmtId="0" fontId="3" fillId="40" borderId="60" applyNumberFormat="0" applyAlignment="0"/>
    <xf numFmtId="0" fontId="3" fillId="40" borderId="60" applyNumberFormat="0" applyAlignment="0"/>
    <xf numFmtId="0" fontId="3" fillId="40" borderId="60" applyNumberFormat="0" applyAlignment="0"/>
    <xf numFmtId="0" fontId="3" fillId="40" borderId="60" applyNumberFormat="0" applyAlignment="0"/>
    <xf numFmtId="0" fontId="132" fillId="0" borderId="0" applyNumberFormat="0" applyFill="0" applyBorder="0" applyAlignment="0"/>
    <xf numFmtId="198" fontId="26" fillId="0" borderId="0">
      <alignment vertical="distributed"/>
    </xf>
    <xf numFmtId="0" fontId="128" fillId="0" borderId="0"/>
    <xf numFmtId="0" fontId="133" fillId="2" borderId="0" applyProtection="0">
      <alignment horizontal="centerContinuous" vertical="center"/>
      <protection hidden="1"/>
    </xf>
    <xf numFmtId="0" fontId="28" fillId="2" borderId="54" applyBorder="0">
      <alignment horizontal="center"/>
    </xf>
    <xf numFmtId="0" fontId="28" fillId="2" borderId="54" applyBorder="0">
      <alignment horizontal="center"/>
    </xf>
    <xf numFmtId="265" fontId="134" fillId="0" borderId="0">
      <alignment horizontal="center"/>
    </xf>
    <xf numFmtId="49" fontId="72" fillId="0" borderId="0" applyFill="0" applyBorder="0" applyAlignment="0"/>
    <xf numFmtId="266" fontId="3" fillId="0" borderId="0" applyFill="0" applyBorder="0" applyAlignment="0"/>
    <xf numFmtId="267" fontId="3" fillId="0" borderId="0" applyFill="0" applyBorder="0" applyAlignment="0"/>
    <xf numFmtId="268" fontId="3" fillId="0" borderId="0" applyFill="0" applyBorder="0" applyAlignment="0"/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0" fontId="49" fillId="2" borderId="0">
      <alignment horizontal="centerContinuous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0" fontId="49" fillId="2" borderId="0">
      <alignment horizontal="centerContinuous"/>
    </xf>
    <xf numFmtId="269" fontId="37" fillId="0" borderId="0" applyFill="0" applyBorder="0" applyProtection="0">
      <alignment horizontal="center" vertical="center"/>
    </xf>
    <xf numFmtId="183" fontId="3" fillId="0" borderId="34">
      <protection locked="0"/>
    </xf>
    <xf numFmtId="183" fontId="3" fillId="0" borderId="34">
      <protection locked="0"/>
    </xf>
    <xf numFmtId="183" fontId="3" fillId="0" borderId="34">
      <protection locked="0"/>
    </xf>
    <xf numFmtId="183" fontId="3" fillId="0" borderId="34">
      <protection locked="0"/>
    </xf>
    <xf numFmtId="183" fontId="3" fillId="0" borderId="34">
      <protection locked="0"/>
    </xf>
    <xf numFmtId="183" fontId="3" fillId="0" borderId="34">
      <protection locked="0"/>
    </xf>
    <xf numFmtId="183" fontId="3" fillId="0" borderId="34">
      <protection locked="0"/>
    </xf>
    <xf numFmtId="0" fontId="34" fillId="0" borderId="34" applyProtection="0"/>
    <xf numFmtId="0" fontId="28" fillId="0" borderId="35" applyNumberFormat="0" applyFont="0" applyFill="0" applyAlignment="0" applyProtection="0"/>
    <xf numFmtId="183" fontId="3" fillId="0" borderId="34">
      <protection locked="0"/>
    </xf>
    <xf numFmtId="183" fontId="3" fillId="0" borderId="34">
      <protection locked="0"/>
    </xf>
    <xf numFmtId="247" fontId="95" fillId="2" borderId="0"/>
    <xf numFmtId="49" fontId="136" fillId="2" borderId="0" applyBorder="0">
      <alignment horizontal="right"/>
    </xf>
    <xf numFmtId="270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center"/>
    </xf>
    <xf numFmtId="271" fontId="3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/>
    <xf numFmtId="0" fontId="140" fillId="0" borderId="0">
      <protection locked="0"/>
    </xf>
    <xf numFmtId="0" fontId="81" fillId="0" borderId="0" applyNumberFormat="0" applyFill="0" applyBorder="0" applyAlignment="0" applyProtection="0"/>
    <xf numFmtId="49" fontId="100" fillId="0" borderId="49">
      <alignment horizontal="center" vertical="center"/>
    </xf>
    <xf numFmtId="49" fontId="100" fillId="0" borderId="49">
      <alignment horizontal="center" vertical="center"/>
    </xf>
    <xf numFmtId="49" fontId="100" fillId="0" borderId="49">
      <alignment horizontal="center" vertical="center"/>
    </xf>
    <xf numFmtId="49" fontId="100" fillId="0" borderId="49">
      <alignment horizontal="center" vertical="center"/>
    </xf>
    <xf numFmtId="49" fontId="100" fillId="0" borderId="49">
      <alignment horizontal="center" vertical="center"/>
    </xf>
    <xf numFmtId="49" fontId="100" fillId="0" borderId="49">
      <alignment horizontal="center" vertical="center"/>
    </xf>
    <xf numFmtId="49" fontId="100" fillId="0" borderId="49">
      <alignment horizontal="center" vertical="center"/>
    </xf>
    <xf numFmtId="49" fontId="100" fillId="0" borderId="49">
      <alignment horizontal="center" vertical="center"/>
    </xf>
    <xf numFmtId="272" fontId="58" fillId="0" borderId="0" applyFont="0" applyFill="0" applyBorder="0" applyAlignment="0" applyProtection="0">
      <alignment horizontal="right"/>
    </xf>
    <xf numFmtId="231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231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231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231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231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231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3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4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75" fontId="3" fillId="0" borderId="49">
      <alignment vertical="center"/>
    </xf>
    <xf numFmtId="231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231" fontId="137" fillId="0" borderId="0" applyNumberFormat="0" applyFill="0" applyBorder="0" applyAlignment="0" applyProtection="0">
      <alignment vertical="center"/>
    </xf>
    <xf numFmtId="231" fontId="141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231" fontId="141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231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0" fontId="101" fillId="31" borderId="42" applyNumberFormat="0" applyAlignment="0" applyProtection="0">
      <alignment vertical="center"/>
    </xf>
    <xf numFmtId="194" fontId="3" fillId="0" borderId="0">
      <protection locked="0"/>
    </xf>
    <xf numFmtId="0" fontId="142" fillId="0" borderId="0" applyBorder="0" applyAlignment="0"/>
    <xf numFmtId="0" fontId="142" fillId="0" borderId="61" applyBorder="0" applyAlignment="0">
      <alignment horizontal="center"/>
    </xf>
    <xf numFmtId="0" fontId="142" fillId="0" borderId="62"/>
    <xf numFmtId="0" fontId="62" fillId="0" borderId="0"/>
    <xf numFmtId="0" fontId="26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43" fillId="0" borderId="13">
      <alignment horizontal="center" vertical="center"/>
    </xf>
    <xf numFmtId="0" fontId="144" fillId="0" borderId="0"/>
    <xf numFmtId="0" fontId="3" fillId="0" borderId="0">
      <protection locked="0"/>
    </xf>
    <xf numFmtId="231" fontId="93" fillId="14" borderId="0" applyNumberFormat="0" applyBorder="0" applyAlignment="0" applyProtection="0">
      <alignment vertical="center"/>
    </xf>
    <xf numFmtId="0" fontId="93" fillId="14" borderId="0" applyNumberFormat="0" applyBorder="0" applyAlignment="0" applyProtection="0">
      <alignment vertical="center"/>
    </xf>
    <xf numFmtId="0" fontId="93" fillId="14" borderId="0" applyNumberFormat="0" applyBorder="0" applyAlignment="0" applyProtection="0">
      <alignment vertical="center"/>
    </xf>
    <xf numFmtId="0" fontId="93" fillId="14" borderId="0" applyNumberFormat="0" applyBorder="0" applyAlignment="0" applyProtection="0">
      <alignment vertical="center"/>
    </xf>
    <xf numFmtId="0" fontId="92" fillId="0" borderId="8">
      <alignment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195" fontId="145" fillId="0" borderId="50" applyFont="0" applyFill="0" applyBorder="0" applyAlignment="0" applyProtection="0">
      <alignment horizontal="center" vertical="center"/>
    </xf>
    <xf numFmtId="3" fontId="4" fillId="0" borderId="9" applyNumberFormat="0" applyFill="0" applyBorder="0" applyProtection="0">
      <alignment horizontal="center" vertical="center"/>
    </xf>
    <xf numFmtId="0" fontId="146" fillId="0" borderId="0" applyNumberFormat="0" applyFill="0" applyBorder="0" applyAlignment="0" applyProtection="0">
      <alignment vertical="top"/>
      <protection locked="0"/>
    </xf>
    <xf numFmtId="40" fontId="147" fillId="0" borderId="0" applyFont="0" applyFill="0" applyBorder="0" applyAlignment="0" applyProtection="0"/>
    <xf numFmtId="38" fontId="14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71" fillId="0" borderId="29">
      <alignment vertical="center"/>
    </xf>
    <xf numFmtId="0" fontId="27" fillId="0" borderId="0"/>
    <xf numFmtId="276" fontId="3" fillId="0" borderId="0">
      <alignment vertical="center"/>
    </xf>
    <xf numFmtId="276" fontId="3" fillId="0" borderId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0" fontId="82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231" fontId="3" fillId="7" borderId="38" applyNumberFormat="0" applyFont="0" applyAlignment="0" applyProtection="0">
      <alignment vertical="center"/>
    </xf>
    <xf numFmtId="0" fontId="82" fillId="38" borderId="57" applyNumberFormat="0" applyFont="0" applyAlignment="0" applyProtection="0">
      <alignment vertical="center"/>
    </xf>
    <xf numFmtId="231" fontId="3" fillId="7" borderId="38" applyNumberFormat="0" applyFont="0" applyAlignment="0" applyProtection="0">
      <alignment vertical="center"/>
    </xf>
    <xf numFmtId="231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3" fillId="38" borderId="57" applyNumberFormat="0" applyFont="0" applyAlignment="0" applyProtection="0">
      <alignment vertical="center"/>
    </xf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41" fontId="26" fillId="0" borderId="30" applyNumberFormat="0" applyFont="0" applyFill="0" applyBorder="0" applyProtection="0">
      <alignment horizontal="distributed" vertical="center"/>
    </xf>
    <xf numFmtId="229" fontId="27" fillId="0" borderId="0">
      <protection locked="0"/>
    </xf>
    <xf numFmtId="217" fontId="3" fillId="0" borderId="0">
      <protection locked="0"/>
    </xf>
    <xf numFmtId="277" fontId="28" fillId="0" borderId="0" applyFont="0" applyFill="0" applyBorder="0" applyProtection="0">
      <alignment horizontal="center" vertical="center"/>
    </xf>
    <xf numFmtId="278" fontId="28" fillId="0" borderId="0" applyFont="0" applyFill="0" applyBorder="0" applyProtection="0">
      <alignment horizontal="center"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82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13" fontId="28" fillId="0" borderId="0" applyFont="0" applyFill="0" applyProtection="0"/>
    <xf numFmtId="9" fontId="8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13" fontId="28" fillId="0" borderId="0" applyFont="0" applyFill="0" applyProtection="0"/>
    <xf numFmtId="9" fontId="82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279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0" fontId="27" fillId="0" borderId="63"/>
    <xf numFmtId="0" fontId="148" fillId="0" borderId="0"/>
    <xf numFmtId="231" fontId="124" fillId="37" borderId="0" applyNumberFormat="0" applyBorder="0" applyAlignment="0" applyProtection="0">
      <alignment vertical="center"/>
    </xf>
    <xf numFmtId="0" fontId="124" fillId="37" borderId="0" applyNumberFormat="0" applyBorder="0" applyAlignment="0" applyProtection="0">
      <alignment vertical="center"/>
    </xf>
    <xf numFmtId="0" fontId="124" fillId="37" borderId="0" applyNumberFormat="0" applyBorder="0" applyAlignment="0" applyProtection="0">
      <alignment vertical="center"/>
    </xf>
    <xf numFmtId="0" fontId="124" fillId="37" borderId="0" applyNumberFormat="0" applyBorder="0" applyAlignment="0" applyProtection="0">
      <alignment vertical="center"/>
    </xf>
    <xf numFmtId="0" fontId="57" fillId="0" borderId="0"/>
    <xf numFmtId="200" fontId="149" fillId="0" borderId="61">
      <alignment vertical="center"/>
    </xf>
    <xf numFmtId="0" fontId="3" fillId="0" borderId="64" applyBorder="0"/>
    <xf numFmtId="281" fontId="27" fillId="0" borderId="30">
      <alignment horizontal="center" vertical="center"/>
    </xf>
    <xf numFmtId="281" fontId="27" fillId="0" borderId="30">
      <alignment horizontal="center" vertical="center"/>
    </xf>
    <xf numFmtId="281" fontId="27" fillId="0" borderId="30">
      <alignment horizontal="center" vertical="center"/>
    </xf>
    <xf numFmtId="281" fontId="27" fillId="0" borderId="30">
      <alignment horizontal="center" vertical="center"/>
    </xf>
    <xf numFmtId="281" fontId="27" fillId="0" borderId="30">
      <alignment horizontal="center" vertical="center"/>
    </xf>
    <xf numFmtId="281" fontId="27" fillId="0" borderId="30">
      <alignment horizontal="center" vertical="center"/>
    </xf>
    <xf numFmtId="281" fontId="27" fillId="0" borderId="30">
      <alignment horizontal="center" vertical="center"/>
    </xf>
    <xf numFmtId="281" fontId="27" fillId="0" borderId="30">
      <alignment horizontal="center" vertical="center"/>
    </xf>
    <xf numFmtId="0" fontId="142" fillId="0" borderId="0" applyNumberFormat="0" applyFont="0" applyFill="0" applyBorder="0" applyProtection="0">
      <alignment horizontal="centerContinuous" vertical="center"/>
    </xf>
    <xf numFmtId="0" fontId="85" fillId="0" borderId="0" applyNumberFormat="0" applyFont="0" applyFill="0" applyBorder="0" applyProtection="0">
      <alignment horizontal="centerContinuous" vertical="center"/>
    </xf>
    <xf numFmtId="0" fontId="85" fillId="0" borderId="0" applyNumberFormat="0" applyFont="0" applyFill="0" applyBorder="0" applyProtection="0">
      <alignment horizontal="centerContinuous" vertical="center"/>
    </xf>
    <xf numFmtId="279" fontId="26" fillId="0" borderId="0" applyNumberFormat="0" applyFont="0" applyFill="0" applyBorder="0" applyProtection="0">
      <alignment horizontal="centerContinuous" vertical="center"/>
    </xf>
    <xf numFmtId="178" fontId="85" fillId="0" borderId="0" applyNumberFormat="0" applyFont="0" applyFill="0" applyBorder="0" applyProtection="0">
      <alignment horizontal="centerContinuous" vertical="center"/>
    </xf>
    <xf numFmtId="231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231" fontId="102" fillId="32" borderId="43" applyNumberFormat="0" applyAlignment="0" applyProtection="0">
      <alignment vertical="center"/>
    </xf>
    <xf numFmtId="231" fontId="102" fillId="32" borderId="43" applyNumberFormat="0" applyAlignment="0" applyProtection="0">
      <alignment vertical="center"/>
    </xf>
    <xf numFmtId="0" fontId="102" fillId="32" borderId="43" applyNumberFormat="0" applyAlignment="0" applyProtection="0">
      <alignment vertical="center"/>
    </xf>
    <xf numFmtId="0" fontId="102" fillId="32" borderId="43" applyNumberFormat="0" applyAlignment="0" applyProtection="0">
      <alignment vertical="center"/>
    </xf>
    <xf numFmtId="0" fontId="102" fillId="32" borderId="43" applyNumberFormat="0" applyAlignment="0" applyProtection="0">
      <alignment vertical="center"/>
    </xf>
    <xf numFmtId="0" fontId="62" fillId="0" borderId="6"/>
    <xf numFmtId="4" fontId="62" fillId="0" borderId="64"/>
    <xf numFmtId="282" fontId="3" fillId="0" borderId="64"/>
    <xf numFmtId="0" fontId="3" fillId="0" borderId="64"/>
    <xf numFmtId="3" fontId="143" fillId="0" borderId="0">
      <alignment vertical="center" wrapText="1"/>
    </xf>
    <xf numFmtId="3" fontId="150" fillId="0" borderId="0">
      <alignment vertical="center" wrapText="1"/>
    </xf>
    <xf numFmtId="0" fontId="151" fillId="0" borderId="0">
      <alignment vertical="center"/>
    </xf>
    <xf numFmtId="283" fontId="145" fillId="0" borderId="0">
      <alignment vertical="center"/>
    </xf>
    <xf numFmtId="200" fontId="142" fillId="0" borderId="61">
      <alignment vertical="center"/>
    </xf>
    <xf numFmtId="187" fontId="152" fillId="0" borderId="0" applyFont="0" applyFill="0" applyBorder="0" applyAlignment="0" applyProtection="0"/>
    <xf numFmtId="3" fontId="27" fillId="0" borderId="0" applyFont="0" applyFill="0" applyBorder="0" applyAlignment="0" applyProtection="0"/>
    <xf numFmtId="196" fontId="28" fillId="0" borderId="0">
      <alignment vertical="center"/>
    </xf>
    <xf numFmtId="0" fontId="85" fillId="0" borderId="0" applyFont="0" applyFill="0" applyBorder="0" applyProtection="0">
      <alignment horizontal="centerContinuous" vertical="center"/>
    </xf>
    <xf numFmtId="226" fontId="85" fillId="0" borderId="0" applyFont="0" applyFill="0" applyBorder="0" applyProtection="0">
      <alignment horizontal="centerContinuous" vertical="center"/>
    </xf>
    <xf numFmtId="41" fontId="82" fillId="0" borderId="0" applyFont="0" applyFill="0" applyBorder="0" applyAlignment="0" applyProtection="0">
      <alignment vertical="center"/>
    </xf>
    <xf numFmtId="215" fontId="3" fillId="0" borderId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232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95" fontId="2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00" fontId="2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00" fontId="27" fillId="0" borderId="0" applyFont="0" applyFill="0" applyBorder="0" applyAlignment="0" applyProtection="0"/>
    <xf numFmtId="200" fontId="2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15" fontId="3" fillId="0" borderId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200" fontId="71" fillId="0" borderId="0" applyFont="0" applyFill="0" applyBorder="0" applyAlignment="0" applyProtection="0"/>
    <xf numFmtId="41" fontId="3" fillId="0" borderId="0" applyFont="0" applyFill="0" applyBorder="0" applyAlignment="0" applyProtection="0"/>
    <xf numFmtId="200" fontId="2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00" fontId="27" fillId="0" borderId="0" applyFont="0" applyFill="0" applyBorder="0" applyAlignment="0" applyProtection="0"/>
    <xf numFmtId="284" fontId="3" fillId="0" borderId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00" fontId="7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84" fontId="3" fillId="0" borderId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195" fontId="153" fillId="0" borderId="1" applyFont="0" applyFill="0" applyBorder="0" applyAlignment="0">
      <alignment horizontal="left" vertical="center"/>
    </xf>
    <xf numFmtId="0" fontId="71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231" fontId="122" fillId="0" borderId="56" applyNumberFormat="0" applyFill="0" applyAlignment="0" applyProtection="0">
      <alignment vertical="center"/>
    </xf>
    <xf numFmtId="0" fontId="122" fillId="0" borderId="56" applyNumberFormat="0" applyFill="0" applyAlignment="0" applyProtection="0">
      <alignment vertical="center"/>
    </xf>
    <xf numFmtId="0" fontId="122" fillId="0" borderId="56" applyNumberFormat="0" applyFill="0" applyAlignment="0" applyProtection="0">
      <alignment vertical="center"/>
    </xf>
    <xf numFmtId="0" fontId="122" fillId="0" borderId="56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100" fillId="0" borderId="65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85" fontId="100" fillId="0" borderId="30" applyBorder="0">
      <alignment vertical="center"/>
    </xf>
    <xf numFmtId="257" fontId="3" fillId="0" borderId="0" applyBorder="0">
      <alignment horizontal="left"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231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0" fontId="154" fillId="0" borderId="66" applyNumberFormat="0" applyFill="0" applyAlignment="0" applyProtection="0">
      <alignment vertical="center"/>
    </xf>
    <xf numFmtId="286" fontId="155" fillId="0" borderId="0" applyFill="0" applyBorder="0">
      <alignment horizontal="centerContinuous"/>
    </xf>
    <xf numFmtId="287" fontId="155" fillId="0" borderId="0" applyFill="0" applyBorder="0">
      <alignment horizontal="centerContinuous"/>
    </xf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90" fontId="28" fillId="0" borderId="0" applyFont="0" applyFill="0" applyBorder="0" applyAlignment="0" applyProtection="0"/>
    <xf numFmtId="178" fontId="35" fillId="0" borderId="0" applyFont="0" applyFill="0" applyBorder="0" applyAlignment="0" applyProtection="0"/>
    <xf numFmtId="197" fontId="60" fillId="0" borderId="0" applyFont="0" applyFill="0" applyBorder="0" applyAlignment="0" applyProtection="0"/>
    <xf numFmtId="291" fontId="3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60" fillId="0" borderId="0" applyFont="0" applyFill="0" applyBorder="0" applyAlignment="0" applyProtection="0"/>
    <xf numFmtId="198" fontId="26" fillId="0" borderId="0" applyFont="0" applyFill="0" applyBorder="0" applyAlignment="0" applyProtection="0"/>
    <xf numFmtId="292" fontId="26" fillId="0" borderId="0" applyFont="0" applyFill="0" applyBorder="0" applyAlignment="0" applyProtection="0"/>
    <xf numFmtId="293" fontId="3" fillId="0" borderId="0" applyFont="0" applyFill="0" applyBorder="0" applyAlignment="0" applyProtection="0"/>
    <xf numFmtId="224" fontId="142" fillId="0" borderId="0" applyFont="0" applyFill="0" applyBorder="0" applyAlignment="0" applyProtection="0"/>
    <xf numFmtId="178" fontId="35" fillId="0" borderId="0" applyFont="0" applyFill="0" applyBorder="0" applyAlignment="0" applyProtection="0"/>
    <xf numFmtId="290" fontId="28" fillId="0" borderId="0" applyFont="0" applyFill="0" applyBorder="0" applyAlignment="0" applyProtection="0"/>
    <xf numFmtId="293" fontId="3" fillId="0" borderId="0" applyFont="0" applyFill="0" applyBorder="0" applyAlignment="0" applyProtection="0"/>
    <xf numFmtId="294" fontId="27" fillId="0" borderId="0" applyFont="0" applyFill="0" applyBorder="0" applyAlignment="0" applyProtection="0"/>
    <xf numFmtId="0" fontId="3" fillId="0" borderId="0" applyFont="0" applyFill="0" applyBorder="0" applyAlignment="0" applyProtection="0"/>
    <xf numFmtId="178" fontId="35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6" fillId="0" borderId="0">
      <alignment vertical="center"/>
    </xf>
    <xf numFmtId="0" fontId="157" fillId="0" borderId="0">
      <alignment horizontal="center" vertical="center"/>
    </xf>
    <xf numFmtId="49" fontId="56" fillId="0" borderId="1" applyNumberFormat="0" applyAlignment="0"/>
    <xf numFmtId="49" fontId="56" fillId="0" borderId="1" applyNumberFormat="0" applyAlignment="0"/>
    <xf numFmtId="49" fontId="56" fillId="0" borderId="1" applyNumberFormat="0" applyAlignment="0"/>
    <xf numFmtId="49" fontId="56" fillId="0" borderId="1" applyNumberFormat="0" applyAlignment="0"/>
    <xf numFmtId="49" fontId="56" fillId="0" borderId="1" applyNumberFormat="0" applyAlignment="0"/>
    <xf numFmtId="49" fontId="56" fillId="0" borderId="1" applyNumberFormat="0" applyAlignment="0"/>
    <xf numFmtId="49" fontId="56" fillId="0" borderId="1" applyNumberFormat="0" applyAlignment="0"/>
    <xf numFmtId="49" fontId="56" fillId="0" borderId="1" applyNumberFormat="0" applyAlignment="0"/>
    <xf numFmtId="0" fontId="85" fillId="0" borderId="0" applyNumberFormat="0" applyFont="0" applyFill="0" applyBorder="0" applyProtection="0">
      <alignment vertical="center"/>
    </xf>
    <xf numFmtId="231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231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0" fontId="121" fillId="18" borderId="42" applyNumberFormat="0" applyAlignment="0" applyProtection="0">
      <alignment vertical="center"/>
    </xf>
    <xf numFmtId="4" fontId="33" fillId="0" borderId="0">
      <protection locked="0"/>
    </xf>
    <xf numFmtId="199" fontId="3" fillId="0" borderId="0">
      <protection locked="0"/>
    </xf>
    <xf numFmtId="0" fontId="158" fillId="0" borderId="0" applyFill="0" applyBorder="0" applyProtection="0">
      <alignment horizontal="left" vertical="center"/>
    </xf>
    <xf numFmtId="1" fontId="24" fillId="5" borderId="0" applyNumberFormat="0" applyFont="0" applyFill="0" applyBorder="0" applyAlignment="0">
      <alignment vertical="center"/>
    </xf>
    <xf numFmtId="0" fontId="125" fillId="2" borderId="0" applyNumberFormat="0" applyFont="0" applyFill="0" applyBorder="0" applyAlignment="0">
      <alignment vertical="center"/>
    </xf>
    <xf numFmtId="0" fontId="20" fillId="0" borderId="0" applyNumberFormat="0" applyFont="0" applyBorder="0">
      <alignment vertical="center" shrinkToFit="1"/>
    </xf>
    <xf numFmtId="295" fontId="94" fillId="0" borderId="0" applyFill="0" applyBorder="0">
      <alignment horizontal="centerContinuous"/>
    </xf>
    <xf numFmtId="231" fontId="159" fillId="0" borderId="67" applyNumberFormat="0" applyFill="0" applyAlignment="0" applyProtection="0">
      <alignment vertical="center"/>
    </xf>
    <xf numFmtId="231" fontId="159" fillId="0" borderId="67" applyNumberFormat="0" applyFill="0" applyAlignment="0" applyProtection="0">
      <alignment vertical="center"/>
    </xf>
    <xf numFmtId="0" fontId="159" fillId="0" borderId="67" applyNumberFormat="0" applyFill="0" applyAlignment="0" applyProtection="0">
      <alignment vertical="center"/>
    </xf>
    <xf numFmtId="0" fontId="159" fillId="0" borderId="67" applyNumberFormat="0" applyFill="0" applyAlignment="0" applyProtection="0">
      <alignment vertical="center"/>
    </xf>
    <xf numFmtId="0" fontId="159" fillId="0" borderId="67" applyNumberFormat="0" applyFill="0" applyAlignment="0" applyProtection="0">
      <alignment vertical="center"/>
    </xf>
    <xf numFmtId="231" fontId="160" fillId="0" borderId="68" applyNumberFormat="0" applyFill="0" applyAlignment="0" applyProtection="0">
      <alignment vertical="center"/>
    </xf>
    <xf numFmtId="231" fontId="160" fillId="0" borderId="68" applyNumberFormat="0" applyFill="0" applyAlignment="0" applyProtection="0">
      <alignment vertical="center"/>
    </xf>
    <xf numFmtId="0" fontId="160" fillId="0" borderId="68" applyNumberFormat="0" applyFill="0" applyAlignment="0" applyProtection="0">
      <alignment vertical="center"/>
    </xf>
    <xf numFmtId="0" fontId="160" fillId="0" borderId="68" applyNumberFormat="0" applyFill="0" applyAlignment="0" applyProtection="0">
      <alignment vertical="center"/>
    </xf>
    <xf numFmtId="0" fontId="160" fillId="0" borderId="68" applyNumberFormat="0" applyFill="0" applyAlignment="0" applyProtection="0">
      <alignment vertical="center"/>
    </xf>
    <xf numFmtId="231" fontId="118" fillId="0" borderId="51" applyNumberFormat="0" applyFill="0" applyAlignment="0" applyProtection="0">
      <alignment vertical="center"/>
    </xf>
    <xf numFmtId="231" fontId="118" fillId="0" borderId="51" applyNumberFormat="0" applyFill="0" applyAlignment="0" applyProtection="0">
      <alignment vertical="center"/>
    </xf>
    <xf numFmtId="231" fontId="118" fillId="0" borderId="51" applyNumberFormat="0" applyFill="0" applyAlignment="0" applyProtection="0">
      <alignment vertical="center"/>
    </xf>
    <xf numFmtId="0" fontId="118" fillId="0" borderId="51" applyNumberFormat="0" applyFill="0" applyAlignment="0" applyProtection="0">
      <alignment vertical="center"/>
    </xf>
    <xf numFmtId="0" fontId="118" fillId="0" borderId="51" applyNumberFormat="0" applyFill="0" applyAlignment="0" applyProtection="0">
      <alignment vertical="center"/>
    </xf>
    <xf numFmtId="0" fontId="118" fillId="0" borderId="51" applyNumberFormat="0" applyFill="0" applyAlignment="0" applyProtection="0">
      <alignment vertical="center"/>
    </xf>
    <xf numFmtId="231" fontId="118" fillId="0" borderId="0" applyNumberFormat="0" applyFill="0" applyBorder="0" applyAlignment="0" applyProtection="0">
      <alignment vertical="center"/>
    </xf>
    <xf numFmtId="231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231" fontId="161" fillId="0" borderId="0" applyNumberFormat="0" applyFill="0" applyBorder="0" applyAlignment="0" applyProtection="0">
      <alignment vertical="center"/>
    </xf>
    <xf numFmtId="231" fontId="161" fillId="0" borderId="0" applyNumberFormat="0" applyFill="0" applyBorder="0" applyAlignment="0" applyProtection="0">
      <alignment vertical="center"/>
    </xf>
    <xf numFmtId="0" fontId="162" fillId="0" borderId="0"/>
    <xf numFmtId="0" fontId="163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30">
      <alignment horizontal="distributed" vertical="center"/>
    </xf>
    <xf numFmtId="0" fontId="27" fillId="0" borderId="64">
      <alignment horizontal="distributed" vertical="top"/>
    </xf>
    <xf numFmtId="0" fontId="27" fillId="0" borderId="50">
      <alignment horizontal="distributed"/>
    </xf>
    <xf numFmtId="0" fontId="27" fillId="0" borderId="50">
      <alignment horizontal="distributed"/>
    </xf>
    <xf numFmtId="0" fontId="27" fillId="0" borderId="50">
      <alignment horizontal="distributed"/>
    </xf>
    <xf numFmtId="0" fontId="27" fillId="0" borderId="50">
      <alignment horizontal="distributed"/>
    </xf>
    <xf numFmtId="0" fontId="27" fillId="0" borderId="50">
      <alignment horizontal="distributed"/>
    </xf>
    <xf numFmtId="0" fontId="27" fillId="0" borderId="50">
      <alignment horizontal="distributed"/>
    </xf>
    <xf numFmtId="0" fontId="27" fillId="0" borderId="50">
      <alignment horizontal="distributed"/>
    </xf>
    <xf numFmtId="0" fontId="27" fillId="0" borderId="50">
      <alignment horizontal="distributed"/>
    </xf>
    <xf numFmtId="200" fontId="164" fillId="0" borderId="0">
      <alignment vertical="center"/>
    </xf>
    <xf numFmtId="0" fontId="165" fillId="0" borderId="0"/>
    <xf numFmtId="231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296" fontId="155" fillId="0" borderId="0" applyFill="0" applyBorder="0">
      <alignment horizontal="centerContinuous"/>
    </xf>
    <xf numFmtId="297" fontId="155" fillId="0" borderId="0" applyFill="0" applyBorder="0">
      <alignment horizontal="centerContinuous"/>
    </xf>
    <xf numFmtId="0" fontId="27" fillId="0" borderId="0"/>
    <xf numFmtId="1" fontId="166" fillId="5" borderId="0" applyNumberFormat="0" applyFont="0" applyFill="0" applyBorder="0" applyAlignment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231" fontId="167" fillId="6" borderId="37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231" fontId="167" fillId="6" borderId="37" applyNumberFormat="0" applyAlignment="0" applyProtection="0">
      <alignment vertical="center"/>
    </xf>
    <xf numFmtId="231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0" fontId="127" fillId="31" borderId="59" applyNumberFormat="0" applyAlignment="0" applyProtection="0">
      <alignment vertical="center"/>
    </xf>
    <xf numFmtId="298" fontId="58" fillId="0" borderId="0" applyFont="0" applyFill="0" applyBorder="0" applyAlignment="0" applyProtection="0"/>
    <xf numFmtId="217" fontId="3" fillId="0" borderId="0">
      <protection locked="0"/>
    </xf>
    <xf numFmtId="217" fontId="3" fillId="0" borderId="0">
      <protection locked="0"/>
    </xf>
    <xf numFmtId="229" fontId="27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178" fontId="168" fillId="0" borderId="0">
      <protection locked="0"/>
    </xf>
    <xf numFmtId="300" fontId="168" fillId="0" borderId="0">
      <protection locked="0"/>
    </xf>
    <xf numFmtId="178" fontId="168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0" fontId="27" fillId="0" borderId="0" applyFont="0" applyFill="0" applyBorder="0" applyAlignment="0" applyProtection="0"/>
    <xf numFmtId="301" fontId="78" fillId="0" borderId="0" applyFont="0" applyFill="0" applyBorder="0" applyAlignment="0" applyProtection="0">
      <alignment vertical="center"/>
    </xf>
    <xf numFmtId="217" fontId="3" fillId="0" borderId="0">
      <protection locked="0"/>
    </xf>
    <xf numFmtId="217" fontId="28" fillId="0" borderId="0" applyFont="0" applyFill="0" applyBorder="0" applyProtection="0">
      <alignment vertical="center"/>
    </xf>
    <xf numFmtId="38" fontId="26" fillId="0" borderId="0" applyFont="0" applyFill="0" applyBorder="0" applyProtection="0">
      <alignment vertical="center"/>
    </xf>
    <xf numFmtId="229" fontId="27" fillId="0" borderId="0">
      <protection locked="0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200" fontId="27" fillId="0" borderId="44">
      <alignment horizontal="center" vertical="center"/>
    </xf>
    <xf numFmtId="41" fontId="3" fillId="0" borderId="0" applyFont="0" applyFill="0" applyBorder="0" applyAlignment="0" applyProtection="0"/>
    <xf numFmtId="200" fontId="27" fillId="0" borderId="0" applyNumberFormat="0" applyFont="0" applyFill="0" applyBorder="0" applyProtection="0">
      <alignment vertical="center"/>
    </xf>
    <xf numFmtId="0" fontId="28" fillId="0" borderId="30"/>
    <xf numFmtId="0" fontId="28" fillId="0" borderId="30"/>
    <xf numFmtId="0" fontId="28" fillId="0" borderId="30"/>
    <xf numFmtId="0" fontId="28" fillId="0" borderId="30"/>
    <xf numFmtId="0" fontId="28" fillId="0" borderId="30"/>
    <xf numFmtId="0" fontId="28" fillId="0" borderId="30"/>
    <xf numFmtId="0" fontId="28" fillId="0" borderId="30"/>
    <xf numFmtId="0" fontId="28" fillId="0" borderId="30"/>
    <xf numFmtId="201" fontId="27" fillId="5" borderId="0" applyFill="0" applyBorder="0" applyProtection="0">
      <alignment horizontal="right"/>
    </xf>
    <xf numFmtId="200" fontId="169" fillId="0" borderId="0"/>
    <xf numFmtId="38" fontId="26" fillId="0" borderId="0" applyFont="0" applyFill="0" applyBorder="0" applyAlignment="0" applyProtection="0">
      <alignment vertical="center"/>
    </xf>
    <xf numFmtId="302" fontId="26" fillId="0" borderId="0" applyFont="0" applyFill="0" applyBorder="0" applyAlignment="0" applyProtection="0">
      <alignment vertical="center"/>
    </xf>
    <xf numFmtId="303" fontId="26" fillId="0" borderId="0" applyFont="0" applyFill="0" applyBorder="0" applyAlignment="0" applyProtection="0">
      <alignment vertical="center"/>
    </xf>
    <xf numFmtId="283" fontId="1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304" fontId="170" fillId="0" borderId="30">
      <alignment vertical="center"/>
    </xf>
    <xf numFmtId="304" fontId="170" fillId="0" borderId="30">
      <alignment vertical="center"/>
    </xf>
    <xf numFmtId="304" fontId="170" fillId="0" borderId="30">
      <alignment vertical="center"/>
    </xf>
    <xf numFmtId="304" fontId="170" fillId="0" borderId="30">
      <alignment vertical="center"/>
    </xf>
    <xf numFmtId="304" fontId="170" fillId="0" borderId="30">
      <alignment vertical="center"/>
    </xf>
    <xf numFmtId="304" fontId="170" fillId="0" borderId="30">
      <alignment vertical="center"/>
    </xf>
    <xf numFmtId="304" fontId="170" fillId="0" borderId="30">
      <alignment vertical="center"/>
    </xf>
    <xf numFmtId="304" fontId="170" fillId="0" borderId="3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73" fillId="0" borderId="0">
      <alignment horizontal="center" vertical="center"/>
    </xf>
    <xf numFmtId="0" fontId="171" fillId="0" borderId="0">
      <alignment horizontal="center" vertical="center"/>
    </xf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0" fontId="3" fillId="0" borderId="49" applyNumberFormat="0" applyFill="0" applyAlignment="0" applyProtection="0"/>
    <xf numFmtId="217" fontId="3" fillId="0" borderId="0">
      <protection locked="0"/>
    </xf>
    <xf numFmtId="217" fontId="3" fillId="0" borderId="0">
      <protection locked="0"/>
    </xf>
    <xf numFmtId="229" fontId="27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178" fontId="168" fillId="0" borderId="0">
      <protection locked="0"/>
    </xf>
    <xf numFmtId="300" fontId="168" fillId="0" borderId="0">
      <protection locked="0"/>
    </xf>
    <xf numFmtId="178" fontId="168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305" fontId="3" fillId="0" borderId="0" applyFill="0" applyBorder="0" applyAlignment="0" applyProtection="0"/>
    <xf numFmtId="232" fontId="27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232" fontId="27" fillId="0" borderId="0" applyFont="0" applyFill="0" applyBorder="0" applyAlignment="0" applyProtection="0"/>
    <xf numFmtId="232" fontId="27" fillId="0" borderId="0" applyFont="0" applyFill="0" applyBorder="0" applyAlignment="0" applyProtection="0"/>
    <xf numFmtId="232" fontId="27" fillId="0" borderId="0" applyFont="0" applyFill="0" applyBorder="0" applyAlignment="0" applyProtection="0"/>
    <xf numFmtId="23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06" fontId="3" fillId="0" borderId="0" applyFill="0" applyBorder="0" applyAlignment="0" applyProtection="0"/>
    <xf numFmtId="202" fontId="3" fillId="0" borderId="0">
      <protection locked="0"/>
    </xf>
    <xf numFmtId="217" fontId="3" fillId="0" borderId="0">
      <protection locked="0"/>
    </xf>
    <xf numFmtId="0" fontId="142" fillId="0" borderId="13">
      <alignment horizontal="center" vertical="center"/>
    </xf>
    <xf numFmtId="0" fontId="142" fillId="0" borderId="13">
      <alignment horizontal="left" vertical="center"/>
    </xf>
    <xf numFmtId="0" fontId="142" fillId="0" borderId="13">
      <alignment vertical="center" textRotation="255"/>
    </xf>
    <xf numFmtId="217" fontId="3" fillId="0" borderId="0">
      <protection locked="0"/>
    </xf>
    <xf numFmtId="229" fontId="27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178" fontId="168" fillId="0" borderId="0">
      <protection locked="0"/>
    </xf>
    <xf numFmtId="300" fontId="168" fillId="0" borderId="0">
      <protection locked="0"/>
    </xf>
    <xf numFmtId="178" fontId="168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99" fontId="3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3" fillId="0" borderId="0">
      <alignment vertical="center"/>
    </xf>
    <xf numFmtId="0" fontId="73" fillId="0" borderId="0">
      <alignment vertical="center"/>
    </xf>
    <xf numFmtId="0" fontId="56" fillId="0" borderId="0"/>
    <xf numFmtId="0" fontId="27" fillId="0" borderId="0"/>
    <xf numFmtId="0" fontId="3" fillId="0" borderId="0"/>
    <xf numFmtId="0" fontId="3" fillId="0" borderId="0"/>
    <xf numFmtId="0" fontId="172" fillId="0" borderId="0"/>
    <xf numFmtId="0" fontId="3" fillId="0" borderId="0"/>
    <xf numFmtId="0" fontId="27" fillId="0" borderId="0"/>
    <xf numFmtId="231" fontId="3" fillId="0" borderId="0">
      <alignment vertical="center"/>
    </xf>
    <xf numFmtId="0" fontId="173" fillId="0" borderId="0">
      <alignment vertical="center"/>
    </xf>
    <xf numFmtId="231" fontId="3" fillId="0" borderId="0">
      <alignment vertical="center"/>
    </xf>
    <xf numFmtId="0" fontId="71" fillId="0" borderId="0"/>
    <xf numFmtId="231" fontId="3" fillId="0" borderId="0">
      <alignment vertical="center"/>
    </xf>
    <xf numFmtId="0" fontId="27" fillId="0" borderId="0"/>
    <xf numFmtId="0" fontId="71" fillId="0" borderId="0"/>
    <xf numFmtId="0" fontId="3" fillId="0" borderId="0">
      <alignment vertical="center"/>
    </xf>
    <xf numFmtId="0" fontId="3" fillId="0" borderId="0"/>
    <xf numFmtId="0" fontId="27" fillId="0" borderId="0"/>
    <xf numFmtId="0" fontId="27" fillId="0" borderId="0"/>
    <xf numFmtId="0" fontId="3" fillId="0" borderId="0">
      <alignment vertical="center"/>
    </xf>
    <xf numFmtId="0" fontId="3" fillId="0" borderId="0"/>
    <xf numFmtId="231" fontId="82" fillId="0" borderId="0">
      <alignment vertical="center"/>
    </xf>
    <xf numFmtId="231" fontId="83" fillId="0" borderId="0">
      <alignment vertical="center"/>
    </xf>
    <xf numFmtId="0" fontId="3" fillId="0" borderId="0"/>
    <xf numFmtId="231" fontId="83" fillId="0" borderId="0">
      <alignment vertical="center"/>
    </xf>
    <xf numFmtId="231" fontId="83" fillId="0" borderId="0">
      <alignment vertical="center"/>
    </xf>
    <xf numFmtId="0" fontId="3" fillId="0" borderId="0"/>
    <xf numFmtId="231" fontId="83" fillId="0" borderId="0">
      <alignment vertical="center"/>
    </xf>
    <xf numFmtId="0" fontId="82" fillId="0" borderId="0">
      <alignment vertical="center"/>
    </xf>
    <xf numFmtId="231" fontId="8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1" fontId="3" fillId="0" borderId="0">
      <alignment vertical="center"/>
    </xf>
    <xf numFmtId="0" fontId="83" fillId="0" borderId="0">
      <alignment vertical="center"/>
    </xf>
    <xf numFmtId="231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231" fontId="82" fillId="0" borderId="0">
      <alignment vertical="center"/>
    </xf>
    <xf numFmtId="0" fontId="83" fillId="0" borderId="0">
      <alignment vertical="center"/>
    </xf>
    <xf numFmtId="231" fontId="174" fillId="0" borderId="0">
      <alignment vertical="center"/>
    </xf>
    <xf numFmtId="0" fontId="82" fillId="0" borderId="0">
      <alignment vertical="center"/>
    </xf>
    <xf numFmtId="231" fontId="174" fillId="0" borderId="0">
      <alignment vertical="center"/>
    </xf>
    <xf numFmtId="231" fontId="3" fillId="0" borderId="0">
      <alignment vertical="center"/>
    </xf>
    <xf numFmtId="0" fontId="3" fillId="0" borderId="0">
      <alignment vertical="center"/>
    </xf>
    <xf numFmtId="231" fontId="174" fillId="0" borderId="0">
      <alignment vertical="center"/>
    </xf>
    <xf numFmtId="0" fontId="3" fillId="0" borderId="0"/>
    <xf numFmtId="231" fontId="174" fillId="0" borderId="0">
      <alignment vertical="center"/>
    </xf>
    <xf numFmtId="231" fontId="8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31" fontId="2" fillId="0" borderId="0">
      <alignment vertical="center"/>
    </xf>
    <xf numFmtId="231" fontId="2" fillId="0" borderId="0">
      <alignment vertical="center"/>
    </xf>
    <xf numFmtId="231" fontId="2" fillId="0" borderId="0">
      <alignment vertical="center"/>
    </xf>
    <xf numFmtId="231" fontId="2" fillId="0" borderId="0">
      <alignment vertical="center"/>
    </xf>
    <xf numFmtId="231" fontId="8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/>
    <xf numFmtId="231" fontId="3" fillId="0" borderId="0">
      <alignment vertical="center"/>
    </xf>
    <xf numFmtId="0" fontId="28" fillId="0" borderId="0"/>
    <xf numFmtId="0" fontId="3" fillId="0" borderId="0"/>
    <xf numFmtId="0" fontId="3" fillId="0" borderId="0">
      <alignment vertical="center"/>
    </xf>
    <xf numFmtId="231" fontId="3" fillId="0" borderId="0">
      <alignment vertical="center"/>
    </xf>
    <xf numFmtId="0" fontId="3" fillId="0" borderId="0"/>
    <xf numFmtId="231" fontId="3" fillId="0" borderId="0">
      <alignment vertical="center"/>
    </xf>
    <xf numFmtId="307" fontId="175" fillId="0" borderId="13">
      <alignment horizontal="distributed" vertical="center"/>
    </xf>
    <xf numFmtId="0" fontId="71" fillId="0" borderId="0"/>
    <xf numFmtId="0" fontId="71" fillId="0" borderId="0" applyProtection="0"/>
    <xf numFmtId="0" fontId="27" fillId="0" borderId="0"/>
    <xf numFmtId="0" fontId="85" fillId="0" borderId="40">
      <alignment horizontal="center" vertical="center"/>
    </xf>
    <xf numFmtId="0" fontId="176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5" fontId="3" fillId="0" borderId="0" applyBorder="0"/>
    <xf numFmtId="204" fontId="3" fillId="0" borderId="0">
      <protection locked="0"/>
    </xf>
    <xf numFmtId="205" fontId="3" fillId="0" borderId="0">
      <protection locked="0"/>
    </xf>
    <xf numFmtId="195" fontId="3" fillId="0" borderId="0">
      <alignment horizontal="center" vertical="center" wrapText="1"/>
    </xf>
    <xf numFmtId="200" fontId="27" fillId="0" borderId="69"/>
    <xf numFmtId="200" fontId="27" fillId="0" borderId="69"/>
    <xf numFmtId="200" fontId="27" fillId="0" borderId="69"/>
    <xf numFmtId="200" fontId="27" fillId="0" borderId="69"/>
    <xf numFmtId="200" fontId="27" fillId="0" borderId="69"/>
    <xf numFmtId="200" fontId="27" fillId="0" borderId="69"/>
    <xf numFmtId="200" fontId="27" fillId="0" borderId="69"/>
    <xf numFmtId="200" fontId="27" fillId="0" borderId="69"/>
    <xf numFmtId="0" fontId="14" fillId="0" borderId="0">
      <alignment vertical="center"/>
    </xf>
    <xf numFmtId="0" fontId="28" fillId="0" borderId="0"/>
    <xf numFmtId="0" fontId="96" fillId="0" borderId="0"/>
    <xf numFmtId="0" fontId="100" fillId="0" borderId="0"/>
    <xf numFmtId="0" fontId="3" fillId="0" borderId="0" applyFon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230" fontId="33" fillId="0" borderId="0">
      <protection locked="0"/>
    </xf>
    <xf numFmtId="0" fontId="33" fillId="0" borderId="0">
      <protection locked="0"/>
    </xf>
    <xf numFmtId="0" fontId="61" fillId="0" borderId="0"/>
    <xf numFmtId="9" fontId="178" fillId="0" borderId="0" applyFont="0" applyFill="0" applyBorder="0" applyAlignment="0" applyProtection="0"/>
    <xf numFmtId="0" fontId="128" fillId="0" borderId="0"/>
    <xf numFmtId="0" fontId="30" fillId="0" borderId="0"/>
    <xf numFmtId="0" fontId="179" fillId="0" borderId="0">
      <alignment vertical="center"/>
    </xf>
    <xf numFmtId="0" fontId="100" fillId="0" borderId="18">
      <alignment horizontal="centerContinuous" vertical="center"/>
    </xf>
    <xf numFmtId="201" fontId="27" fillId="0" borderId="0">
      <alignment vertical="center"/>
    </xf>
    <xf numFmtId="4" fontId="27" fillId="0" borderId="0">
      <alignment vertical="center"/>
    </xf>
    <xf numFmtId="308" fontId="27" fillId="0" borderId="0">
      <alignment vertical="center"/>
    </xf>
    <xf numFmtId="3" fontId="24" fillId="0" borderId="30"/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100" fillId="0" borderId="18">
      <alignment horizontal="centerContinuous" vertical="center"/>
    </xf>
    <xf numFmtId="0" fontId="27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7" fillId="0" borderId="18">
      <alignment horizontal="centerContinuous" vertical="center"/>
    </xf>
    <xf numFmtId="0" fontId="27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7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7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3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185" fontId="3" fillId="0" borderId="18">
      <alignment horizontal="centerContinuous" vertical="center"/>
    </xf>
    <xf numFmtId="0" fontId="100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309" fontId="3" fillId="0" borderId="18">
      <alignment horizontal="centerContinuous" vertical="center"/>
    </xf>
    <xf numFmtId="0" fontId="27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7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185" fontId="3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27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10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20" fillId="0" borderId="18">
      <alignment horizontal="centerContinuous" vertical="center"/>
    </xf>
    <xf numFmtId="0" fontId="100" fillId="0" borderId="18">
      <alignment horizontal="centerContinuous" vertical="center"/>
    </xf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0" fontId="3" fillId="0" borderId="0"/>
    <xf numFmtId="4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8" fillId="0" borderId="0"/>
    <xf numFmtId="0" fontId="3" fillId="0" borderId="0" applyFont="0" applyFill="0" applyBorder="0" applyAlignment="0" applyProtection="0"/>
    <xf numFmtId="234" fontId="27" fillId="0" borderId="8">
      <protection locked="0"/>
    </xf>
    <xf numFmtId="0" fontId="59" fillId="0" borderId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81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181" fillId="0" borderId="0" applyFont="0" applyFill="0" applyBorder="0" applyAlignment="0" applyProtection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10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2" fillId="41" borderId="0"/>
    <xf numFmtId="0" fontId="56" fillId="0" borderId="5">
      <alignment vertical="center"/>
    </xf>
    <xf numFmtId="0" fontId="56" fillId="0" borderId="5">
      <alignment vertical="center"/>
    </xf>
    <xf numFmtId="0" fontId="3" fillId="0" borderId="5">
      <alignment vertical="center"/>
    </xf>
    <xf numFmtId="0" fontId="28" fillId="0" borderId="0"/>
    <xf numFmtId="200" fontId="28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8" fillId="0" borderId="0"/>
    <xf numFmtId="0" fontId="28" fillId="0" borderId="0"/>
    <xf numFmtId="0" fontId="29" fillId="0" borderId="0"/>
    <xf numFmtId="0" fontId="29" fillId="0" borderId="0"/>
    <xf numFmtId="0" fontId="128" fillId="0" borderId="0" applyNumberFormat="0" applyFill="0" applyBorder="0" applyAlignment="0" applyProtection="0"/>
    <xf numFmtId="0" fontId="29" fillId="0" borderId="0"/>
    <xf numFmtId="311" fontId="3" fillId="0" borderId="0" applyFont="0" applyFill="0" applyBorder="0" applyAlignment="0" applyProtection="0"/>
    <xf numFmtId="311" fontId="3" fillId="0" borderId="0" applyFont="0" applyFill="0" applyBorder="0" applyAlignment="0" applyProtection="0"/>
    <xf numFmtId="0" fontId="29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183" fillId="0" borderId="0" applyNumberFormat="0" applyFont="0" applyFill="0" applyBorder="0" applyAlignment="0" applyProtection="0"/>
    <xf numFmtId="0" fontId="3" fillId="0" borderId="0"/>
    <xf numFmtId="0" fontId="28" fillId="0" borderId="0"/>
    <xf numFmtId="0" fontId="71" fillId="0" borderId="0"/>
    <xf numFmtId="0" fontId="71" fillId="0" borderId="0"/>
    <xf numFmtId="0" fontId="28" fillId="0" borderId="0"/>
    <xf numFmtId="0" fontId="3" fillId="0" borderId="0" applyFont="0" applyFill="0" applyBorder="0" applyAlignment="0" applyProtection="0"/>
    <xf numFmtId="0" fontId="3" fillId="0" borderId="0"/>
    <xf numFmtId="0" fontId="28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8" fillId="0" borderId="0"/>
    <xf numFmtId="0" fontId="3" fillId="0" borderId="0"/>
    <xf numFmtId="0" fontId="3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7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185" fontId="28" fillId="0" borderId="0" applyFont="0" applyFill="0" applyBorder="0" applyAlignment="0" applyProtection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100" fillId="0" borderId="0" applyFont="0" applyFill="0" applyBorder="0" applyAlignment="0" applyProtection="0"/>
    <xf numFmtId="0" fontId="28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312" fontId="3" fillId="0" borderId="0" applyFont="0" applyFill="0" applyBorder="0" applyAlignment="0" applyProtection="0"/>
    <xf numFmtId="0" fontId="29" fillId="0" borderId="0"/>
    <xf numFmtId="312" fontId="3" fillId="0" borderId="0" applyFont="0" applyFill="0" applyBorder="0" applyAlignment="0" applyProtection="0"/>
    <xf numFmtId="0" fontId="28" fillId="0" borderId="0"/>
    <xf numFmtId="0" fontId="28" fillId="0" borderId="0"/>
    <xf numFmtId="9" fontId="184" fillId="0" borderId="0" applyFont="0" applyFill="0" applyBorder="0" applyAlignment="0" applyProtection="0"/>
    <xf numFmtId="0" fontId="3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312" fontId="3" fillId="0" borderId="0" applyFont="0" applyFill="0" applyBorder="0" applyAlignment="0" applyProtection="0"/>
    <xf numFmtId="0" fontId="27" fillId="0" borderId="0"/>
    <xf numFmtId="0" fontId="3" fillId="0" borderId="0" applyFont="0" applyFill="0" applyBorder="0" applyAlignment="0" applyProtection="0"/>
    <xf numFmtId="0" fontId="28" fillId="0" borderId="0"/>
    <xf numFmtId="9" fontId="184" fillId="0" borderId="0" applyFont="0" applyFill="0" applyBorder="0" applyAlignment="0" applyProtection="0"/>
    <xf numFmtId="0" fontId="3" fillId="0" borderId="0"/>
    <xf numFmtId="0" fontId="3" fillId="0" borderId="0"/>
    <xf numFmtId="31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 applyFont="0" applyFill="0" applyBorder="0" applyAlignment="0" applyProtection="0"/>
    <xf numFmtId="0" fontId="29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314" fontId="3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9" fillId="0" borderId="0"/>
    <xf numFmtId="0" fontId="71" fillId="0" borderId="0" applyFont="0" applyFill="0" applyBorder="0" applyAlignment="0" applyProtection="0"/>
    <xf numFmtId="0" fontId="29" fillId="0" borderId="0"/>
    <xf numFmtId="0" fontId="28" fillId="0" borderId="0"/>
    <xf numFmtId="0" fontId="185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9" fillId="0" borderId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312" fontId="3" fillId="0" borderId="0" applyFont="0" applyFill="0" applyBorder="0" applyAlignment="0" applyProtection="0"/>
    <xf numFmtId="0" fontId="29" fillId="0" borderId="0"/>
    <xf numFmtId="0" fontId="28" fillId="0" borderId="0"/>
    <xf numFmtId="0" fontId="37" fillId="0" borderId="0"/>
    <xf numFmtId="9" fontId="184" fillId="0" borderId="0" applyFont="0" applyFill="0" applyBorder="0" applyAlignment="0" applyProtection="0"/>
    <xf numFmtId="0" fontId="28" fillId="0" borderId="0"/>
    <xf numFmtId="0" fontId="3" fillId="0" borderId="0"/>
    <xf numFmtId="315" fontId="3" fillId="0" borderId="0" applyFont="0" applyFill="0" applyBorder="0" applyAlignment="0" applyProtection="0"/>
    <xf numFmtId="316" fontId="3" fillId="0" borderId="0" applyFont="0" applyFill="0" applyBorder="0" applyAlignment="0" applyProtection="0"/>
    <xf numFmtId="317" fontId="3" fillId="0" borderId="0" applyFont="0" applyFill="0" applyBorder="0" applyAlignment="0" applyProtection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 applyFont="0" applyFill="0" applyBorder="0" applyAlignment="0" applyProtection="0"/>
    <xf numFmtId="318" fontId="3" fillId="0" borderId="0" applyFont="0" applyFill="0" applyBorder="0" applyAlignment="0" applyProtection="0"/>
    <xf numFmtId="0" fontId="3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318" fontId="3" fillId="0" borderId="0" applyFont="0" applyFill="0" applyBorder="0" applyAlignment="0" applyProtection="0"/>
    <xf numFmtId="0" fontId="29" fillId="0" borderId="0"/>
    <xf numFmtId="312" fontId="3" fillId="0" borderId="0" applyFont="0" applyFill="0" applyBorder="0" applyAlignment="0" applyProtection="0"/>
    <xf numFmtId="0" fontId="29" fillId="0" borderId="0"/>
    <xf numFmtId="0" fontId="29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5" fillId="0" borderId="0" applyFont="0" applyFill="0" applyBorder="0" applyAlignment="0" applyProtection="0"/>
    <xf numFmtId="0" fontId="29" fillId="0" borderId="0"/>
    <xf numFmtId="0" fontId="29" fillId="0" borderId="0"/>
    <xf numFmtId="230" fontId="186" fillId="0" borderId="0">
      <protection locked="0"/>
    </xf>
    <xf numFmtId="230" fontId="186" fillId="0" borderId="0">
      <protection locked="0"/>
    </xf>
    <xf numFmtId="0" fontId="28" fillId="0" borderId="70" quotePrefix="1">
      <alignment horizontal="justify" vertical="justify" textRotation="127" wrapText="1" justifyLastLine="1"/>
      <protection hidden="1"/>
    </xf>
    <xf numFmtId="0" fontId="3" fillId="0" borderId="0"/>
    <xf numFmtId="0" fontId="3" fillId="0" borderId="0"/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9" fillId="0" borderId="0"/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9" fillId="0" borderId="0"/>
    <xf numFmtId="0" fontId="28" fillId="0" borderId="0"/>
    <xf numFmtId="319" fontId="3" fillId="0" borderId="0" applyFont="0" applyFill="0" applyBorder="0" applyAlignment="0" applyProtection="0"/>
    <xf numFmtId="320" fontId="3" fillId="0" borderId="0" applyFont="0" applyFill="0" applyBorder="0" applyAlignment="0" applyProtection="0"/>
    <xf numFmtId="321" fontId="3" fillId="0" borderId="0" applyFont="0" applyFill="0" applyBorder="0" applyAlignment="0" applyProtection="0"/>
    <xf numFmtId="0" fontId="27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9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3" fillId="0" borderId="0"/>
    <xf numFmtId="0" fontId="71" fillId="0" borderId="0" applyFont="0" applyFill="0" applyBorder="0" applyAlignment="0" applyProtection="0"/>
    <xf numFmtId="0" fontId="52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0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311" fontId="3" fillId="0" borderId="0" applyFont="0" applyFill="0" applyBorder="0" applyAlignment="0" applyProtection="0"/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3" fillId="0" borderId="0" applyFont="0" applyFill="0" applyBorder="0" applyAlignment="0" applyProtection="0"/>
    <xf numFmtId="311" fontId="3" fillId="0" borderId="0" applyFont="0" applyFill="0" applyBorder="0" applyAlignment="0" applyProtection="0"/>
    <xf numFmtId="312" fontId="3" fillId="0" borderId="0" applyFont="0" applyFill="0" applyBorder="0" applyAlignment="0" applyProtection="0"/>
    <xf numFmtId="0" fontId="28" fillId="0" borderId="0"/>
    <xf numFmtId="0" fontId="28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5" fillId="0" borderId="0" applyFont="0" applyFill="0" applyBorder="0" applyAlignment="0" applyProtection="0"/>
    <xf numFmtId="0" fontId="29" fillId="0" borderId="0"/>
    <xf numFmtId="312" fontId="3" fillId="0" borderId="0" applyFont="0" applyFill="0" applyBorder="0" applyAlignment="0" applyProtection="0"/>
    <xf numFmtId="0" fontId="28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71" fillId="0" borderId="0"/>
    <xf numFmtId="0" fontId="27" fillId="0" borderId="0"/>
    <xf numFmtId="0" fontId="71" fillId="0" borderId="0"/>
    <xf numFmtId="0" fontId="27" fillId="0" borderId="0"/>
    <xf numFmtId="0" fontId="71" fillId="0" borderId="0"/>
    <xf numFmtId="0" fontId="27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35" fillId="0" borderId="0" applyFont="0" applyFill="0" applyBorder="0" applyAlignment="0" applyProtection="0"/>
    <xf numFmtId="0" fontId="61" fillId="0" borderId="0"/>
    <xf numFmtId="0" fontId="27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28" fillId="0" borderId="0"/>
    <xf numFmtId="0" fontId="100" fillId="0" borderId="0" applyFon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7" fillId="0" borderId="0"/>
    <xf numFmtId="0" fontId="29" fillId="0" borderId="0"/>
    <xf numFmtId="0" fontId="100" fillId="0" borderId="0" applyFont="0" applyFill="0" applyBorder="0" applyAlignment="0" applyProtection="0"/>
    <xf numFmtId="0" fontId="25" fillId="0" borderId="0"/>
    <xf numFmtId="0" fontId="29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8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2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71" fillId="0" borderId="0" applyFont="0" applyFill="0" applyBorder="0" applyAlignment="0" applyProtection="0"/>
    <xf numFmtId="0" fontId="3" fillId="0" borderId="0"/>
    <xf numFmtId="0" fontId="29" fillId="0" borderId="0"/>
    <xf numFmtId="0" fontId="27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30" fontId="186" fillId="0" borderId="0">
      <protection locked="0"/>
    </xf>
    <xf numFmtId="230" fontId="186" fillId="0" borderId="0">
      <protection locked="0"/>
    </xf>
    <xf numFmtId="230" fontId="186" fillId="0" borderId="0">
      <protection locked="0"/>
    </xf>
    <xf numFmtId="230" fontId="186" fillId="0" borderId="0">
      <protection locked="0"/>
    </xf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7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71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7" fillId="0" borderId="0"/>
    <xf numFmtId="0" fontId="28" fillId="0" borderId="0"/>
    <xf numFmtId="0" fontId="27" fillId="0" borderId="0"/>
    <xf numFmtId="0" fontId="71" fillId="0" borderId="0" applyFont="0" applyFill="0" applyBorder="0" applyAlignment="0" applyProtection="0"/>
    <xf numFmtId="0" fontId="27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9" fontId="18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12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8" fillId="0" borderId="0"/>
    <xf numFmtId="0" fontId="7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9" fontId="184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28" fillId="0" borderId="0"/>
    <xf numFmtId="0" fontId="27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9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8" fillId="0" borderId="0"/>
    <xf numFmtId="0" fontId="3" fillId="0" borderId="0" applyFont="0" applyFill="0" applyBorder="0" applyAlignment="0" applyProtection="0"/>
    <xf numFmtId="0" fontId="28" fillId="0" borderId="0"/>
    <xf numFmtId="0" fontId="3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3" fillId="0" borderId="0" applyFont="0" applyFill="0" applyBorder="0" applyAlignment="0" applyProtection="0"/>
    <xf numFmtId="0" fontId="28" fillId="0" borderId="0"/>
    <xf numFmtId="322" fontId="3" fillId="0" borderId="0" applyFont="0" applyFill="0" applyBorder="0" applyAlignment="0" applyProtection="0"/>
    <xf numFmtId="0" fontId="27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100" fillId="0" borderId="0" applyFont="0" applyFill="0" applyBorder="0" applyAlignment="0" applyProtection="0"/>
    <xf numFmtId="0" fontId="28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37" fillId="0" borderId="0"/>
    <xf numFmtId="0" fontId="71" fillId="0" borderId="0"/>
    <xf numFmtId="0" fontId="37" fillId="0" borderId="0"/>
    <xf numFmtId="0" fontId="28" fillId="0" borderId="0"/>
    <xf numFmtId="0" fontId="27" fillId="0" borderId="0"/>
    <xf numFmtId="0" fontId="3" fillId="0" borderId="0"/>
    <xf numFmtId="0" fontId="3" fillId="0" borderId="0" applyFont="0" applyFill="0" applyBorder="0" applyAlignment="0" applyProtection="0"/>
    <xf numFmtId="0" fontId="27" fillId="0" borderId="0"/>
    <xf numFmtId="0" fontId="71" fillId="0" borderId="0"/>
    <xf numFmtId="0" fontId="29" fillId="0" borderId="0"/>
    <xf numFmtId="0" fontId="28" fillId="0" borderId="0"/>
    <xf numFmtId="0" fontId="28" fillId="0" borderId="0"/>
    <xf numFmtId="0" fontId="128" fillId="0" borderId="0"/>
    <xf numFmtId="323" fontId="3" fillId="0" borderId="0" applyFont="0" applyFill="0" applyBorder="0" applyAlignment="0" applyProtection="0"/>
    <xf numFmtId="317" fontId="3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12" fontId="3" fillId="0" borderId="0" applyFont="0" applyFill="0" applyBorder="0" applyAlignment="0" applyProtection="0"/>
    <xf numFmtId="0" fontId="28" fillId="0" borderId="0"/>
    <xf numFmtId="0" fontId="28" fillId="0" borderId="0"/>
    <xf numFmtId="0" fontId="71" fillId="0" borderId="0"/>
    <xf numFmtId="0" fontId="3" fillId="0" borderId="0"/>
    <xf numFmtId="0" fontId="3" fillId="0" borderId="0"/>
    <xf numFmtId="0" fontId="71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 applyFont="0" applyFill="0" applyBorder="0" applyAlignment="0" applyProtection="0"/>
    <xf numFmtId="0" fontId="28" fillId="0" borderId="0"/>
    <xf numFmtId="0" fontId="29" fillId="0" borderId="0"/>
    <xf numFmtId="0" fontId="27" fillId="0" borderId="0"/>
    <xf numFmtId="0" fontId="29" fillId="0" borderId="0"/>
    <xf numFmtId="0" fontId="3" fillId="0" borderId="0" applyFont="0" applyFill="0" applyBorder="0" applyAlignment="0" applyProtection="0"/>
    <xf numFmtId="0" fontId="27" fillId="0" borderId="0"/>
    <xf numFmtId="0" fontId="29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312" fontId="3" fillId="0" borderId="0" applyFont="0" applyFill="0" applyBorder="0" applyAlignment="0" applyProtection="0"/>
    <xf numFmtId="0" fontId="29" fillId="0" borderId="0"/>
    <xf numFmtId="0" fontId="27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27" fillId="0" borderId="0"/>
    <xf numFmtId="0" fontId="27" fillId="0" borderId="0"/>
    <xf numFmtId="0" fontId="71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0" fillId="0" borderId="0" applyFont="0" applyFill="0" applyBorder="0" applyAlignment="0" applyProtection="0"/>
    <xf numFmtId="0" fontId="28" fillId="0" borderId="0"/>
    <xf numFmtId="0" fontId="3" fillId="0" borderId="0" applyFont="0" applyFill="0" applyBorder="0" applyAlignment="0" applyProtection="0"/>
    <xf numFmtId="0" fontId="29" fillId="0" borderId="0"/>
    <xf numFmtId="0" fontId="3" fillId="0" borderId="0"/>
    <xf numFmtId="0" fontId="28" fillId="0" borderId="0"/>
    <xf numFmtId="0" fontId="29" fillId="0" borderId="0"/>
    <xf numFmtId="0" fontId="27" fillId="0" borderId="0"/>
    <xf numFmtId="0" fontId="28" fillId="0" borderId="0"/>
    <xf numFmtId="0" fontId="29" fillId="0" borderId="0"/>
    <xf numFmtId="0" fontId="27" fillId="0" borderId="0"/>
    <xf numFmtId="0" fontId="27" fillId="0" borderId="0"/>
    <xf numFmtId="230" fontId="186" fillId="0" borderId="0">
      <protection locked="0"/>
    </xf>
    <xf numFmtId="0" fontId="28" fillId="0" borderId="0"/>
    <xf numFmtId="230" fontId="186" fillId="0" borderId="0">
      <protection locked="0"/>
    </xf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7" fillId="0" borderId="0"/>
    <xf numFmtId="0" fontId="28" fillId="0" borderId="0"/>
    <xf numFmtId="0" fontId="71" fillId="0" borderId="0" applyFont="0" applyFill="0" applyBorder="0" applyAlignment="0" applyProtection="0"/>
    <xf numFmtId="0" fontId="29" fillId="0" borderId="0"/>
    <xf numFmtId="0" fontId="27" fillId="0" borderId="0"/>
    <xf numFmtId="0" fontId="29" fillId="0" borderId="0"/>
    <xf numFmtId="0" fontId="29" fillId="0" borderId="0"/>
    <xf numFmtId="0" fontId="28" fillId="0" borderId="0"/>
    <xf numFmtId="0" fontId="3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9" fontId="18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3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100" fillId="0" borderId="0" applyFont="0" applyFill="0" applyBorder="0" applyAlignment="0" applyProtection="0"/>
    <xf numFmtId="0" fontId="28" fillId="0" borderId="0"/>
    <xf numFmtId="0" fontId="28" fillId="0" borderId="0"/>
    <xf numFmtId="312" fontId="3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312" fontId="3" fillId="0" borderId="0" applyFont="0" applyFill="0" applyBorder="0" applyAlignment="0" applyProtection="0"/>
    <xf numFmtId="0" fontId="27" fillId="0" borderId="0"/>
    <xf numFmtId="0" fontId="28" fillId="0" borderId="0"/>
    <xf numFmtId="0" fontId="27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71" fillId="0" borderId="0" applyFont="0" applyFill="0" applyBorder="0" applyAlignment="0" applyProtection="0"/>
    <xf numFmtId="0" fontId="27" fillId="0" borderId="0"/>
    <xf numFmtId="0" fontId="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71" fillId="0" borderId="0"/>
    <xf numFmtId="0" fontId="29" fillId="0" borderId="0"/>
    <xf numFmtId="0" fontId="71" fillId="0" borderId="0" applyFont="0" applyFill="0" applyBorder="0" applyAlignment="0" applyProtection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71" fillId="0" borderId="0" applyFont="0" applyFill="0" applyBorder="0" applyAlignment="0" applyProtection="0"/>
    <xf numFmtId="312" fontId="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100" fillId="0" borderId="0" applyFont="0" applyFill="0" applyBorder="0" applyAlignment="0" applyProtection="0"/>
    <xf numFmtId="0" fontId="3" fillId="0" borderId="0"/>
    <xf numFmtId="0" fontId="25" fillId="0" borderId="0"/>
    <xf numFmtId="0" fontId="28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185" fontId="28" fillId="0" borderId="0" applyFont="0" applyFill="0" applyBorder="0" applyAlignment="0" applyProtection="0"/>
    <xf numFmtId="0" fontId="37" fillId="0" borderId="0"/>
    <xf numFmtId="18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185" fontId="28" fillId="0" borderId="0" applyFont="0" applyFill="0" applyBorder="0" applyAlignment="0" applyProtection="0"/>
    <xf numFmtId="40" fontId="25" fillId="0" borderId="0" applyFont="0" applyFill="0" applyBorder="0" applyAlignment="0" applyProtection="0"/>
    <xf numFmtId="185" fontId="28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28" fillId="0" borderId="0"/>
    <xf numFmtId="0" fontId="28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7" fillId="0" borderId="0"/>
    <xf numFmtId="0" fontId="28" fillId="0" borderId="0"/>
    <xf numFmtId="0" fontId="27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5" fillId="0" borderId="0"/>
    <xf numFmtId="0" fontId="3" fillId="0" borderId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84" fillId="0" borderId="0" applyFont="0" applyFill="0" applyBorder="0" applyAlignment="0" applyProtection="0"/>
    <xf numFmtId="0" fontId="27" fillId="0" borderId="0"/>
    <xf numFmtId="0" fontId="28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9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8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71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9" fillId="0" borderId="0"/>
    <xf numFmtId="0" fontId="28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71" fillId="0" borderId="0" applyFont="0" applyFill="0" applyBorder="0" applyAlignment="0" applyProtection="0"/>
    <xf numFmtId="0" fontId="28" fillId="0" borderId="0"/>
    <xf numFmtId="0" fontId="61" fillId="0" borderId="0"/>
    <xf numFmtId="0" fontId="29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87" fillId="0" borderId="0"/>
    <xf numFmtId="0" fontId="27" fillId="0" borderId="0"/>
    <xf numFmtId="0" fontId="28" fillId="0" borderId="0"/>
    <xf numFmtId="0" fontId="28" fillId="0" borderId="0"/>
    <xf numFmtId="230" fontId="186" fillId="0" borderId="0">
      <protection locked="0"/>
    </xf>
    <xf numFmtId="230" fontId="186" fillId="0" borderId="0">
      <protection locked="0"/>
    </xf>
    <xf numFmtId="0" fontId="3" fillId="0" borderId="0" applyFont="0" applyFill="0" applyBorder="0" applyAlignment="0" applyProtection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12" fontId="3" fillId="0" borderId="0" applyFont="0" applyFill="0" applyBorder="0" applyAlignment="0" applyProtection="0"/>
    <xf numFmtId="0" fontId="28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3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7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 applyFont="0" applyFill="0" applyBorder="0" applyAlignment="0" applyProtection="0"/>
    <xf numFmtId="0" fontId="28" fillId="0" borderId="0"/>
    <xf numFmtId="0" fontId="28" fillId="0" borderId="0"/>
    <xf numFmtId="9" fontId="184" fillId="0" borderId="0" applyFon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128" fillId="0" borderId="0" applyNumberForma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3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29" fillId="0" borderId="0"/>
    <xf numFmtId="0" fontId="28" fillId="0" borderId="0"/>
    <xf numFmtId="0" fontId="28" fillId="0" borderId="0"/>
    <xf numFmtId="0" fontId="28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28" fillId="0" borderId="0"/>
    <xf numFmtId="0" fontId="61" fillId="0" borderId="0"/>
    <xf numFmtId="0" fontId="3" fillId="0" borderId="0" applyFont="0" applyFill="0" applyBorder="0" applyAlignment="0" applyProtection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00" fillId="0" borderId="0" applyFont="0" applyFill="0" applyBorder="0" applyAlignment="0" applyProtection="0"/>
    <xf numFmtId="312" fontId="3" fillId="0" borderId="0" applyFont="0" applyFill="0" applyBorder="0" applyAlignment="0" applyProtection="0"/>
    <xf numFmtId="312" fontId="3" fillId="0" borderId="0" applyFont="0" applyFill="0" applyBorder="0" applyAlignment="0" applyProtection="0"/>
    <xf numFmtId="0" fontId="29" fillId="0" borderId="0"/>
    <xf numFmtId="0" fontId="100" fillId="0" borderId="0" applyFont="0" applyFill="0" applyBorder="0" applyAlignment="0" applyProtection="0"/>
    <xf numFmtId="0" fontId="27" fillId="0" borderId="0"/>
    <xf numFmtId="0" fontId="71" fillId="0" borderId="0"/>
    <xf numFmtId="0" fontId="28" fillId="0" borderId="0"/>
    <xf numFmtId="0" fontId="3" fillId="0" borderId="0"/>
    <xf numFmtId="0" fontId="27" fillId="0" borderId="0"/>
    <xf numFmtId="0" fontId="7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8" fillId="0" borderId="0"/>
    <xf numFmtId="0" fontId="28" fillId="0" borderId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312" fontId="3" fillId="0" borderId="0" applyFon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7" fillId="0" borderId="0"/>
    <xf numFmtId="0" fontId="71" fillId="0" borderId="0" applyFont="0" applyFill="0" applyBorder="0" applyAlignment="0" applyProtection="0"/>
    <xf numFmtId="0" fontId="27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84" fillId="0" borderId="0" applyFont="0" applyFill="0" applyBorder="0" applyAlignment="0" applyProtection="0"/>
    <xf numFmtId="0" fontId="27" fillId="0" borderId="0"/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70" quotePrefix="1">
      <alignment horizontal="justify" vertical="justify" textRotation="127" wrapText="1" justifyLastLine="1"/>
      <protection hidden="1"/>
    </xf>
    <xf numFmtId="0" fontId="28" fillId="0" borderId="0"/>
    <xf numFmtId="0" fontId="100" fillId="0" borderId="0" applyFont="0" applyFill="0" applyBorder="0" applyAlignment="0" applyProtection="0"/>
    <xf numFmtId="312" fontId="3" fillId="0" borderId="0" applyFont="0" applyFill="0" applyBorder="0" applyAlignment="0" applyProtection="0"/>
    <xf numFmtId="0" fontId="29" fillId="0" borderId="0"/>
    <xf numFmtId="0" fontId="28" fillId="0" borderId="0"/>
    <xf numFmtId="0" fontId="28" fillId="0" borderId="0"/>
    <xf numFmtId="0" fontId="3" fillId="0" borderId="0"/>
    <xf numFmtId="9" fontId="18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8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8" fillId="0" borderId="0"/>
    <xf numFmtId="0" fontId="28" fillId="0" borderId="0"/>
    <xf numFmtId="9" fontId="18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3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7" fillId="0" borderId="0"/>
    <xf numFmtId="0" fontId="100" fillId="0" borderId="0" applyFont="0" applyFill="0" applyBorder="0" applyAlignment="0" applyProtection="0"/>
    <xf numFmtId="0" fontId="27" fillId="0" borderId="0"/>
    <xf numFmtId="0" fontId="10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9" fontId="184" fillId="0" borderId="0" applyFont="0" applyFill="0" applyBorder="0" applyAlignment="0" applyProtection="0"/>
    <xf numFmtId="0" fontId="29" fillId="0" borderId="0"/>
    <xf numFmtId="0" fontId="37" fillId="0" borderId="0"/>
    <xf numFmtId="0" fontId="28" fillId="0" borderId="0"/>
    <xf numFmtId="0" fontId="28" fillId="0" borderId="0"/>
    <xf numFmtId="0" fontId="3" fillId="0" borderId="0" applyFont="0" applyFill="0" applyBorder="0" applyAlignment="0" applyProtection="0"/>
    <xf numFmtId="0" fontId="29" fillId="0" borderId="0"/>
    <xf numFmtId="0" fontId="29" fillId="0" borderId="0"/>
    <xf numFmtId="0" fontId="28" fillId="0" borderId="0"/>
    <xf numFmtId="0" fontId="27" fillId="0" borderId="0"/>
    <xf numFmtId="0" fontId="71" fillId="0" borderId="0" applyFont="0" applyFill="0" applyBorder="0" applyAlignment="0" applyProtection="0"/>
    <xf numFmtId="0" fontId="27" fillId="0" borderId="0"/>
    <xf numFmtId="0" fontId="28" fillId="0" borderId="0"/>
    <xf numFmtId="0" fontId="27" fillId="0" borderId="0"/>
    <xf numFmtId="0" fontId="29" fillId="0" borderId="0"/>
    <xf numFmtId="9" fontId="184" fillId="0" borderId="0" applyFont="0" applyFill="0" applyBorder="0" applyAlignment="0" applyProtection="0"/>
    <xf numFmtId="3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9" fillId="0" borderId="0"/>
    <xf numFmtId="0" fontId="3" fillId="0" borderId="0"/>
    <xf numFmtId="0" fontId="28" fillId="0" borderId="0"/>
    <xf numFmtId="0" fontId="28" fillId="0" borderId="0"/>
    <xf numFmtId="0" fontId="71" fillId="0" borderId="0" applyFont="0" applyFill="0" applyBorder="0" applyAlignment="0" applyProtection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 applyFont="0" applyFill="0" applyBorder="0" applyAlignment="0" applyProtection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9" fillId="0" borderId="0"/>
    <xf numFmtId="230" fontId="186" fillId="0" borderId="0">
      <protection locked="0"/>
    </xf>
    <xf numFmtId="230" fontId="186" fillId="0" borderId="0">
      <protection locked="0"/>
    </xf>
    <xf numFmtId="0" fontId="33" fillId="0" borderId="0">
      <protection locked="0"/>
    </xf>
    <xf numFmtId="0" fontId="27" fillId="0" borderId="0" applyNumberFormat="0" applyFill="0" applyBorder="0" applyAlignment="0" applyProtection="0"/>
    <xf numFmtId="41" fontId="188" fillId="0" borderId="50" applyBorder="0">
      <alignment horizontal="center" vertical="center"/>
    </xf>
    <xf numFmtId="221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230" fontId="33" fillId="0" borderId="0">
      <protection locked="0"/>
    </xf>
    <xf numFmtId="9" fontId="100" fillId="0" borderId="0">
      <alignment vertical="center"/>
    </xf>
    <xf numFmtId="0" fontId="3" fillId="0" borderId="0"/>
    <xf numFmtId="0" fontId="100" fillId="0" borderId="0">
      <alignment vertical="center"/>
    </xf>
    <xf numFmtId="3" fontId="24" fillId="0" borderId="30"/>
    <xf numFmtId="10" fontId="100" fillId="0" borderId="0">
      <alignment vertical="center"/>
    </xf>
    <xf numFmtId="3" fontId="24" fillId="0" borderId="30"/>
    <xf numFmtId="0" fontId="100" fillId="0" borderId="0">
      <alignment vertical="center"/>
    </xf>
    <xf numFmtId="324" fontId="3" fillId="0" borderId="0">
      <alignment vertical="center"/>
    </xf>
    <xf numFmtId="200" fontId="73" fillId="0" borderId="30">
      <alignment vertical="center"/>
    </xf>
    <xf numFmtId="0" fontId="28" fillId="0" borderId="0"/>
    <xf numFmtId="301" fontId="189" fillId="0" borderId="0">
      <alignment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35" fillId="0" borderId="0"/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35" fillId="0" borderId="0"/>
    <xf numFmtId="225" fontId="27" fillId="0" borderId="0">
      <alignment horizontal="center" vertical="center"/>
    </xf>
    <xf numFmtId="225" fontId="27" fillId="0" borderId="0">
      <alignment horizontal="center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35" fillId="0" borderId="0"/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35" fillId="0" borderId="0"/>
    <xf numFmtId="0" fontId="35" fillId="0" borderId="0"/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56" fillId="0" borderId="0">
      <alignment horizontal="center" vertical="center"/>
    </xf>
    <xf numFmtId="0" fontId="35" fillId="0" borderId="0"/>
    <xf numFmtId="0" fontId="56" fillId="0" borderId="0">
      <alignment horizontal="center" vertical="center"/>
    </xf>
    <xf numFmtId="325" fontId="27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5" fontId="27" fillId="0" borderId="0">
      <alignment horizontal="center" vertical="center"/>
    </xf>
    <xf numFmtId="325" fontId="27" fillId="0" borderId="0">
      <alignment horizontal="center" vertical="center"/>
    </xf>
    <xf numFmtId="225" fontId="27" fillId="0" borderId="0">
      <alignment horizontal="center" vertical="center"/>
    </xf>
    <xf numFmtId="326" fontId="3" fillId="0" borderId="0">
      <alignment horizontal="center" vertical="center"/>
    </xf>
    <xf numFmtId="225" fontId="27" fillId="0" borderId="0">
      <alignment horizontal="center" vertical="center"/>
    </xf>
    <xf numFmtId="326" fontId="3" fillId="0" borderId="0">
      <alignment horizontal="center" vertical="center"/>
    </xf>
    <xf numFmtId="225" fontId="27" fillId="0" borderId="0">
      <alignment horizontal="center" vertical="center"/>
    </xf>
    <xf numFmtId="225" fontId="27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225" fontId="27" fillId="0" borderId="0">
      <alignment horizontal="center" vertical="center"/>
    </xf>
    <xf numFmtId="326" fontId="3" fillId="0" borderId="0">
      <alignment horizontal="center" vertical="center"/>
    </xf>
    <xf numFmtId="225" fontId="27" fillId="0" borderId="0">
      <alignment horizontal="center" vertical="center"/>
    </xf>
    <xf numFmtId="225" fontId="27" fillId="0" borderId="0">
      <alignment horizontal="center" vertical="center"/>
    </xf>
    <xf numFmtId="225" fontId="27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225" fontId="27" fillId="0" borderId="0">
      <alignment horizontal="center" vertical="center"/>
    </xf>
    <xf numFmtId="225" fontId="27" fillId="0" borderId="0">
      <alignment horizontal="center" vertical="center"/>
    </xf>
    <xf numFmtId="0" fontId="77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326" fontId="3" fillId="0" borderId="0">
      <alignment horizontal="center" vertical="center"/>
    </xf>
    <xf numFmtId="0" fontId="25" fillId="0" borderId="7"/>
    <xf numFmtId="4" fontId="190" fillId="0" borderId="71">
      <alignment vertical="center"/>
    </xf>
    <xf numFmtId="4" fontId="190" fillId="0" borderId="71">
      <alignment vertical="center"/>
    </xf>
    <xf numFmtId="0" fontId="28" fillId="0" borderId="0" applyNumberFormat="0" applyFill="0" applyBorder="0" applyAlignment="0" applyProtection="0"/>
    <xf numFmtId="185" fontId="94" fillId="0" borderId="0" applyFont="0" applyFill="0" applyBorder="0" applyAlignment="0" applyProtection="0"/>
    <xf numFmtId="0" fontId="33" fillId="0" borderId="0">
      <protection locked="0"/>
    </xf>
    <xf numFmtId="327" fontId="191" fillId="0" borderId="26">
      <alignment vertical="center"/>
    </xf>
    <xf numFmtId="0" fontId="61" fillId="0" borderId="26">
      <alignment vertical="center"/>
    </xf>
    <xf numFmtId="327" fontId="191" fillId="0" borderId="26">
      <alignment vertical="center"/>
    </xf>
    <xf numFmtId="40" fontId="25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185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92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194" fillId="0" borderId="0" applyFont="0" applyFill="0" applyBorder="0" applyAlignment="0" applyProtection="0"/>
    <xf numFmtId="0" fontId="194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6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6" fillId="0" borderId="0" applyFont="0" applyFill="0" applyBorder="0" applyAlignment="0" applyProtection="0"/>
    <xf numFmtId="3" fontId="100" fillId="0" borderId="0"/>
    <xf numFmtId="328" fontId="35" fillId="42" borderId="72">
      <alignment horizontal="center" vertical="center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2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2" fontId="197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4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34" fontId="197" fillId="0" borderId="0" applyFont="0" applyFill="0" applyBorder="0" applyAlignment="0" applyProtection="0"/>
    <xf numFmtId="0" fontId="194" fillId="0" borderId="0" applyFont="0" applyFill="0" applyBorder="0" applyAlignment="0" applyProtection="0"/>
    <xf numFmtId="0" fontId="194" fillId="0" borderId="0" applyFont="0" applyFill="0" applyBorder="0" applyAlignment="0" applyProtection="0"/>
    <xf numFmtId="0" fontId="196" fillId="0" borderId="0" applyFont="0" applyFill="0" applyBorder="0" applyAlignment="0" applyProtection="0"/>
    <xf numFmtId="0" fontId="196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2" fillId="0" borderId="0" applyFont="0" applyFill="0" applyBorder="0" applyAlignment="0" applyProtection="0"/>
    <xf numFmtId="0" fontId="192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193" fillId="0" borderId="0" applyFont="0" applyFill="0" applyBorder="0" applyAlignment="0" applyProtection="0"/>
    <xf numFmtId="236" fontId="33" fillId="0" borderId="0">
      <protection locked="0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20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185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4" fontId="33" fillId="0" borderId="0">
      <protection locked="0"/>
    </xf>
    <xf numFmtId="239" fontId="33" fillId="0" borderId="0">
      <protection locked="0"/>
    </xf>
    <xf numFmtId="0" fontId="3" fillId="0" borderId="0" applyFont="0" applyFill="0" applyBorder="0" applyAlignment="0" applyProtection="0"/>
    <xf numFmtId="0" fontId="96" fillId="0" borderId="0"/>
    <xf numFmtId="0" fontId="28" fillId="0" borderId="0"/>
    <xf numFmtId="0" fontId="28" fillId="0" borderId="0"/>
    <xf numFmtId="329" fontId="198" fillId="0" borderId="10" applyAlignment="0" applyProtection="0"/>
    <xf numFmtId="185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96" fillId="0" borderId="0"/>
    <xf numFmtId="0" fontId="28" fillId="0" borderId="70" quotePrefix="1">
      <alignment horizontal="justify" vertical="justify" textRotation="127" wrapText="1" justifyLastLine="1"/>
      <protection hidden="1"/>
    </xf>
    <xf numFmtId="0" fontId="199" fillId="43" borderId="5">
      <alignment horizontal="center" vertical="center"/>
    </xf>
    <xf numFmtId="0" fontId="199" fillId="43" borderId="5">
      <alignment horizontal="center" vertical="center"/>
    </xf>
    <xf numFmtId="0" fontId="199" fillId="43" borderId="5">
      <alignment horizontal="center" vertical="center"/>
    </xf>
    <xf numFmtId="0" fontId="96" fillId="0" borderId="0"/>
    <xf numFmtId="0" fontId="195" fillId="0" borderId="0"/>
    <xf numFmtId="0" fontId="96" fillId="0" borderId="0"/>
    <xf numFmtId="0" fontId="192" fillId="0" borderId="0">
      <alignment vertical="center"/>
    </xf>
    <xf numFmtId="0" fontId="193" fillId="0" borderId="0">
      <alignment vertical="center"/>
    </xf>
    <xf numFmtId="0" fontId="89" fillId="0" borderId="0"/>
    <xf numFmtId="0" fontId="31" fillId="0" borderId="0"/>
    <xf numFmtId="0" fontId="30" fillId="0" borderId="0"/>
    <xf numFmtId="0" fontId="200" fillId="0" borderId="0"/>
    <xf numFmtId="49" fontId="86" fillId="0" borderId="0" applyBorder="0"/>
    <xf numFmtId="0" fontId="201" fillId="0" borderId="0"/>
    <xf numFmtId="0" fontId="86" fillId="0" borderId="0"/>
    <xf numFmtId="0" fontId="89" fillId="0" borderId="0"/>
    <xf numFmtId="0" fontId="86" fillId="0" borderId="0"/>
    <xf numFmtId="0" fontId="89" fillId="0" borderId="0"/>
    <xf numFmtId="0" fontId="86" fillId="0" borderId="0"/>
    <xf numFmtId="0" fontId="89" fillId="0" borderId="0"/>
    <xf numFmtId="0" fontId="86" fillId="0" borderId="0"/>
    <xf numFmtId="0" fontId="86" fillId="0" borderId="0"/>
    <xf numFmtId="0" fontId="89" fillId="0" borderId="0"/>
    <xf numFmtId="0" fontId="202" fillId="0" borderId="0"/>
    <xf numFmtId="0" fontId="203" fillId="0" borderId="0"/>
    <xf numFmtId="0" fontId="201" fillId="0" borderId="0"/>
    <xf numFmtId="0" fontId="203" fillId="0" borderId="0"/>
    <xf numFmtId="0" fontId="201" fillId="0" borderId="0"/>
    <xf numFmtId="0" fontId="33" fillId="0" borderId="35">
      <protection locked="0"/>
    </xf>
    <xf numFmtId="9" fontId="195" fillId="0" borderId="0" applyFont="0" applyFill="0" applyBorder="0" applyAlignment="0" applyProtection="0"/>
    <xf numFmtId="330" fontId="28" fillId="0" borderId="0"/>
    <xf numFmtId="330" fontId="28" fillId="0" borderId="0"/>
    <xf numFmtId="330" fontId="28" fillId="0" borderId="0"/>
    <xf numFmtId="330" fontId="28" fillId="0" borderId="0"/>
    <xf numFmtId="330" fontId="28" fillId="0" borderId="0"/>
    <xf numFmtId="330" fontId="28" fillId="0" borderId="0"/>
    <xf numFmtId="330" fontId="28" fillId="0" borderId="0"/>
    <xf numFmtId="33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331" fontId="27" fillId="0" borderId="30"/>
    <xf numFmtId="0" fontId="34" fillId="0" borderId="0" applyFont="0" applyFill="0" applyBorder="0" applyAlignment="0" applyProtection="0"/>
    <xf numFmtId="332" fontId="27" fillId="0" borderId="0" applyFont="0" applyFill="0" applyBorder="0" applyAlignment="0" applyProtection="0"/>
    <xf numFmtId="333" fontId="204" fillId="0" borderId="30" applyFill="0" applyBorder="0" applyAlignment="0"/>
    <xf numFmtId="0" fontId="37" fillId="0" borderId="0"/>
    <xf numFmtId="0" fontId="25" fillId="0" borderId="0" applyFont="0" applyFill="0" applyBorder="0" applyAlignment="0" applyProtection="0"/>
    <xf numFmtId="38" fontId="25" fillId="0" borderId="73">
      <alignment vertical="center"/>
    </xf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17" fontId="29" fillId="0" borderId="0" applyNumberFormat="0" applyFont="0" applyFill="0" applyBorder="0" applyAlignment="0" applyProtection="0">
      <alignment horizontal="right"/>
    </xf>
    <xf numFmtId="252" fontId="33" fillId="0" borderId="0">
      <protection locked="0"/>
    </xf>
    <xf numFmtId="253" fontId="33" fillId="0" borderId="0">
      <protection locked="0"/>
    </xf>
    <xf numFmtId="2" fontId="32" fillId="0" borderId="0">
      <alignment horizontal="center"/>
    </xf>
    <xf numFmtId="200" fontId="28" fillId="0" borderId="0" applyFont="0" applyFill="0" applyBorder="0" applyAlignment="0" applyProtection="0"/>
    <xf numFmtId="0" fontId="205" fillId="0" borderId="0">
      <alignment horizontal="left"/>
    </xf>
    <xf numFmtId="0" fontId="206" fillId="2" borderId="74" applyNumberFormat="0">
      <alignment vertical="center" wrapText="1"/>
      <protection hidden="1"/>
    </xf>
    <xf numFmtId="0" fontId="25" fillId="0" borderId="0" applyFont="0" applyFill="0" applyBorder="0" applyAlignment="0" applyProtection="0"/>
    <xf numFmtId="38" fontId="40" fillId="2" borderId="0" applyNumberFormat="0" applyBorder="0" applyAlignment="0" applyProtection="0"/>
    <xf numFmtId="38" fontId="40" fillId="2" borderId="0" applyNumberFormat="0" applyBorder="0" applyAlignment="0" applyProtection="0"/>
    <xf numFmtId="38" fontId="40" fillId="2" borderId="0" applyNumberFormat="0" applyBorder="0" applyAlignment="0" applyProtection="0"/>
    <xf numFmtId="0" fontId="28" fillId="31" borderId="0" applyNumberFormat="0" applyFont="0" applyBorder="0" applyAlignment="0" applyProtection="0"/>
    <xf numFmtId="0" fontId="115" fillId="0" borderId="75" applyFill="0" applyBorder="0"/>
    <xf numFmtId="0" fontId="40" fillId="0" borderId="75" applyBorder="0">
      <alignment horizontal="center" vertical="center"/>
    </xf>
    <xf numFmtId="0" fontId="207" fillId="0" borderId="75" applyBorder="0">
      <alignment horizontal="center" vertical="center"/>
    </xf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7" fillId="0" borderId="0" applyFont="0" applyFill="0" applyBorder="0" applyAlignment="0" applyProtection="0"/>
    <xf numFmtId="0" fontId="208" fillId="0" borderId="76" applyNumberFormat="0" applyFill="0" applyAlignment="0" applyProtection="0"/>
    <xf numFmtId="0" fontId="209" fillId="0" borderId="75" applyBorder="0">
      <alignment horizontal="center" vertical="center"/>
    </xf>
    <xf numFmtId="10" fontId="40" fillId="4" borderId="30" applyNumberFormat="0" applyBorder="0" applyAlignment="0" applyProtection="0"/>
    <xf numFmtId="10" fontId="40" fillId="4" borderId="30" applyNumberFormat="0" applyBorder="0" applyAlignment="0" applyProtection="0"/>
    <xf numFmtId="0" fontId="52" fillId="0" borderId="0"/>
    <xf numFmtId="38" fontId="210" fillId="0" borderId="0"/>
    <xf numFmtId="38" fontId="211" fillId="0" borderId="0"/>
    <xf numFmtId="38" fontId="123" fillId="0" borderId="0"/>
    <xf numFmtId="38" fontId="212" fillId="0" borderId="0"/>
    <xf numFmtId="0" fontId="213" fillId="0" borderId="0"/>
    <xf numFmtId="0" fontId="213" fillId="0" borderId="0"/>
    <xf numFmtId="0" fontId="213" fillId="0" borderId="0"/>
    <xf numFmtId="334" fontId="3" fillId="0" borderId="0" applyFont="0" applyFill="0" applyBorder="0" applyAlignment="0" applyProtection="0"/>
    <xf numFmtId="2" fontId="214" fillId="0" borderId="0" applyFont="0" applyFill="0" applyBorder="0" applyAlignment="0"/>
    <xf numFmtId="335" fontId="25" fillId="0" borderId="0" applyFont="0" applyFill="0" applyBorder="0" applyAlignment="0" applyProtection="0"/>
    <xf numFmtId="336" fontId="25" fillId="0" borderId="0" applyFont="0" applyFill="0" applyBorder="0" applyAlignment="0" applyProtection="0"/>
    <xf numFmtId="337" fontId="25" fillId="0" borderId="0" applyFont="0" applyFill="0" applyBorder="0" applyAlignment="0" applyProtection="0"/>
    <xf numFmtId="338" fontId="25" fillId="0" borderId="0" applyFont="0" applyFill="0" applyBorder="0" applyAlignment="0" applyProtection="0"/>
    <xf numFmtId="185" fontId="28" fillId="0" borderId="0" applyFont="0" applyFill="0" applyBorder="0" applyAlignment="0" applyProtection="0"/>
    <xf numFmtId="4" fontId="40" fillId="0" borderId="30">
      <alignment vertical="top" wrapText="1"/>
    </xf>
    <xf numFmtId="0" fontId="215" fillId="44" borderId="30" applyNumberFormat="0" applyFont="0" applyBorder="0" applyAlignment="0" applyProtection="0">
      <alignment vertical="center"/>
    </xf>
    <xf numFmtId="339" fontId="28" fillId="0" borderId="0">
      <protection hidden="1"/>
    </xf>
    <xf numFmtId="0" fontId="24" fillId="0" borderId="77" applyNumberFormat="0" applyFont="0" applyBorder="0" applyProtection="0">
      <alignment horizontal="center" vertical="center"/>
    </xf>
    <xf numFmtId="340" fontId="216" fillId="0" borderId="0"/>
    <xf numFmtId="340" fontId="216" fillId="0" borderId="0"/>
    <xf numFmtId="0" fontId="29" fillId="0" borderId="0"/>
    <xf numFmtId="0" fontId="128" fillId="0" borderId="0"/>
    <xf numFmtId="0" fontId="3" fillId="0" borderId="0"/>
    <xf numFmtId="0" fontId="28" fillId="0" borderId="0"/>
    <xf numFmtId="268" fontId="72" fillId="45" borderId="0">
      <alignment vertical="center"/>
    </xf>
    <xf numFmtId="0" fontId="28" fillId="0" borderId="0" applyFont="0" applyFill="0" applyBorder="0" applyAlignment="0" applyProtection="0"/>
    <xf numFmtId="40" fontId="25" fillId="0" borderId="0" applyFon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41" fontId="28" fillId="0" borderId="0"/>
    <xf numFmtId="0" fontId="217" fillId="2" borderId="0" applyNumberFormat="0">
      <alignment vertical="center"/>
    </xf>
    <xf numFmtId="329" fontId="29" fillId="0" borderId="0">
      <alignment horizontal="right"/>
    </xf>
    <xf numFmtId="0" fontId="218" fillId="0" borderId="78" applyNumberFormat="0" applyBorder="0" applyAlignment="0"/>
    <xf numFmtId="185" fontId="94" fillId="0" borderId="0" applyFont="0" applyFill="0" applyBorder="0" applyAlignment="0" applyProtection="0"/>
    <xf numFmtId="185" fontId="94" fillId="0" borderId="0" applyFont="0" applyFill="0" applyBorder="0" applyAlignment="0" applyProtection="0"/>
    <xf numFmtId="0" fontId="219" fillId="46" borderId="5">
      <alignment horizontal="center" vertical="center"/>
    </xf>
    <xf numFmtId="0" fontId="219" fillId="46" borderId="5">
      <alignment horizontal="center" vertical="center"/>
    </xf>
    <xf numFmtId="0" fontId="219" fillId="46" borderId="5">
      <alignment horizontal="center" vertical="center"/>
    </xf>
    <xf numFmtId="0" fontId="220" fillId="0" borderId="30" applyProtection="0">
      <alignment vertical="center"/>
    </xf>
    <xf numFmtId="4" fontId="221" fillId="0" borderId="0">
      <alignment horizontal="right"/>
    </xf>
    <xf numFmtId="182" fontId="3" fillId="0" borderId="0" applyNumberFormat="0" applyFill="0" applyBorder="0" applyAlignment="0" applyProtection="0">
      <alignment horizontal="left"/>
    </xf>
    <xf numFmtId="0" fontId="3" fillId="0" borderId="0" applyFont="0" applyFill="0" applyBorder="0" applyAlignment="0" applyProtection="0"/>
    <xf numFmtId="0" fontId="115" fillId="0" borderId="0"/>
    <xf numFmtId="0" fontId="28" fillId="0" borderId="0"/>
    <xf numFmtId="342" fontId="3" fillId="0" borderId="0" applyFont="0" applyFill="0" applyBorder="0" applyAlignment="0" applyProtection="0"/>
    <xf numFmtId="185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4" fontId="222" fillId="28" borderId="79" applyNumberFormat="0" applyProtection="0">
      <alignment vertical="center"/>
    </xf>
    <xf numFmtId="4" fontId="223" fillId="47" borderId="79" applyNumberFormat="0" applyProtection="0">
      <alignment horizontal="right" vertical="center"/>
    </xf>
    <xf numFmtId="0" fontId="224" fillId="0" borderId="80"/>
    <xf numFmtId="0" fontId="116" fillId="0" borderId="0">
      <alignment horizontal="left"/>
    </xf>
    <xf numFmtId="0" fontId="225" fillId="48" borderId="18" applyNumberFormat="0" applyFont="0" applyBorder="0" applyAlignment="0"/>
    <xf numFmtId="343" fontId="155" fillId="0" borderId="81" applyFont="0" applyFill="0" applyBorder="0" applyAlignment="0" applyProtection="0">
      <alignment horizontal="center" vertical="center"/>
    </xf>
    <xf numFmtId="0" fontId="25" fillId="0" borderId="0"/>
    <xf numFmtId="0" fontId="226" fillId="0" borderId="0">
      <alignment horizontal="center" vertical="center"/>
    </xf>
    <xf numFmtId="0" fontId="29" fillId="0" borderId="0"/>
    <xf numFmtId="0" fontId="227" fillId="0" borderId="0"/>
    <xf numFmtId="0" fontId="109" fillId="0" borderId="82"/>
    <xf numFmtId="40" fontId="25" fillId="0" borderId="0" applyFont="0" applyFill="0" applyBorder="0" applyAlignment="0" applyProtection="0"/>
    <xf numFmtId="0" fontId="28" fillId="0" borderId="0"/>
    <xf numFmtId="0" fontId="28" fillId="0" borderId="0"/>
    <xf numFmtId="0" fontId="207" fillId="0" borderId="0"/>
    <xf numFmtId="37" fontId="40" fillId="49" borderId="0" applyNumberFormat="0" applyBorder="0" applyAlignment="0" applyProtection="0"/>
    <xf numFmtId="37" fontId="40" fillId="0" borderId="0"/>
    <xf numFmtId="3" fontId="228" fillId="0" borderId="76" applyProtection="0"/>
    <xf numFmtId="344" fontId="25" fillId="0" borderId="0" applyFont="0" applyFill="0" applyBorder="0" applyAlignment="0" applyProtection="0"/>
    <xf numFmtId="345" fontId="25" fillId="0" borderId="0" applyFont="0" applyFill="0" applyBorder="0" applyAlignment="0" applyProtection="0"/>
    <xf numFmtId="0" fontId="28" fillId="38" borderId="0" applyNumberFormat="0" applyFont="0" applyBorder="0" applyAlignment="0" applyProtection="0"/>
    <xf numFmtId="0" fontId="37" fillId="0" borderId="0" applyFont="0" applyFill="0" applyBorder="0" applyAlignment="0" applyProtection="0"/>
    <xf numFmtId="176" fontId="35" fillId="0" borderId="0"/>
    <xf numFmtId="0" fontId="170" fillId="0" borderId="83" applyBorder="0">
      <alignment horizontal="distributed"/>
      <protection locked="0"/>
    </xf>
    <xf numFmtId="0" fontId="229" fillId="0" borderId="0"/>
    <xf numFmtId="0" fontId="3" fillId="0" borderId="30">
      <alignment horizontal="right" vertical="center"/>
    </xf>
    <xf numFmtId="176" fontId="56" fillId="0" borderId="0"/>
    <xf numFmtId="0" fontId="230" fillId="0" borderId="0" applyFont="0" applyBorder="0" applyAlignment="0">
      <alignment horizontal="left" vertical="center"/>
    </xf>
    <xf numFmtId="0" fontId="231" fillId="0" borderId="4"/>
    <xf numFmtId="346" fontId="3" fillId="0" borderId="0" applyFill="0" applyBorder="0">
      <alignment horizontal="center" vertical="center"/>
    </xf>
    <xf numFmtId="195" fontId="3" fillId="0" borderId="84" applyFill="0" applyBorder="0">
      <alignment horizontal="center" vertical="center"/>
      <protection locked="0"/>
    </xf>
    <xf numFmtId="0" fontId="27" fillId="45" borderId="0">
      <alignment horizontal="left"/>
    </xf>
    <xf numFmtId="226" fontId="3" fillId="0" borderId="5" applyFill="0" applyBorder="0">
      <alignment horizontal="center"/>
      <protection locked="0"/>
    </xf>
    <xf numFmtId="304" fontId="3" fillId="0" borderId="5" applyFill="0" applyBorder="0">
      <alignment horizontal="center"/>
      <protection locked="0"/>
    </xf>
    <xf numFmtId="217" fontId="3" fillId="0" borderId="85">
      <alignment horizontal="center"/>
      <protection locked="0"/>
    </xf>
    <xf numFmtId="208" fontId="3" fillId="0" borderId="85">
      <alignment horizontal="center"/>
      <protection locked="0"/>
    </xf>
    <xf numFmtId="217" fontId="3" fillId="0" borderId="85">
      <alignment horizontal="center"/>
      <protection locked="0"/>
    </xf>
    <xf numFmtId="193" fontId="3" fillId="0" borderId="85">
      <alignment horizontal="center"/>
      <protection locked="0"/>
    </xf>
    <xf numFmtId="347" fontId="3" fillId="0" borderId="20" applyFill="0" applyBorder="0">
      <alignment horizontal="center" vertical="center"/>
      <protection locked="0"/>
    </xf>
    <xf numFmtId="0" fontId="232" fillId="0" borderId="0" applyProtection="0"/>
    <xf numFmtId="348" fontId="233" fillId="0" borderId="86">
      <alignment horizontal="center" vertical="center"/>
    </xf>
    <xf numFmtId="0" fontId="3" fillId="0" borderId="33" applyAlignment="0">
      <alignment horizont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49" fontId="3" fillId="0" borderId="29">
      <alignment horizontal="right" vertical="center"/>
    </xf>
    <xf numFmtId="0" fontId="231" fillId="50" borderId="4" applyAlignment="0">
      <alignment horizontal="center"/>
    </xf>
    <xf numFmtId="49" fontId="170" fillId="0" borderId="10" applyFill="0" applyBorder="0">
      <alignment horizontal="center" vertical="center"/>
      <protection locked="0"/>
    </xf>
    <xf numFmtId="0" fontId="28" fillId="0" borderId="0"/>
    <xf numFmtId="178" fontId="85" fillId="0" borderId="0" applyNumberFormat="0" applyFont="0" applyFill="0" applyBorder="0" applyProtection="0">
      <alignment horizontal="centerContinuous"/>
    </xf>
    <xf numFmtId="350" fontId="27" fillId="0" borderId="50" applyNumberFormat="0" applyBorder="0" applyAlignment="0"/>
    <xf numFmtId="3" fontId="26" fillId="0" borderId="30"/>
    <xf numFmtId="0" fontId="26" fillId="0" borderId="30"/>
    <xf numFmtId="3" fontId="26" fillId="0" borderId="87"/>
    <xf numFmtId="3" fontId="26" fillId="0" borderId="88"/>
    <xf numFmtId="0" fontId="234" fillId="0" borderId="30"/>
    <xf numFmtId="0" fontId="235" fillId="0" borderId="0">
      <alignment horizontal="center"/>
    </xf>
    <xf numFmtId="0" fontId="81" fillId="0" borderId="89">
      <alignment horizontal="center"/>
    </xf>
    <xf numFmtId="0" fontId="125" fillId="0" borderId="0" applyProtection="0">
      <alignment vertical="center"/>
      <protection locked="0"/>
    </xf>
    <xf numFmtId="2" fontId="191" fillId="0" borderId="9"/>
    <xf numFmtId="178" fontId="236" fillId="0" borderId="14" applyFont="0" applyFill="0" applyBorder="0" applyAlignment="0" applyProtection="0">
      <alignment vertical="center"/>
    </xf>
    <xf numFmtId="351" fontId="236" fillId="0" borderId="14" applyFont="0" applyFill="0" applyBorder="0" applyAlignment="0" applyProtection="0">
      <alignment vertical="center"/>
    </xf>
    <xf numFmtId="0" fontId="142" fillId="0" borderId="0"/>
    <xf numFmtId="4" fontId="237" fillId="0" borderId="0" applyNumberFormat="0" applyFill="0" applyBorder="0" applyAlignment="0">
      <alignment horizontal="centerContinuous" vertical="center"/>
    </xf>
    <xf numFmtId="1" fontId="85" fillId="0" borderId="0" applyFont="0" applyFill="0" applyBorder="0" applyProtection="0">
      <alignment horizontal="centerContinuous" vertical="center"/>
    </xf>
    <xf numFmtId="352" fontId="85" fillId="0" borderId="13" applyFont="0" applyFill="0" applyBorder="0" applyProtection="0">
      <alignment horizontal="right" vertical="center"/>
      <protection locked="0"/>
    </xf>
    <xf numFmtId="352" fontId="71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53" fontId="28" fillId="0" borderId="0" applyFont="0" applyFill="0" applyBorder="0" applyAlignment="0" applyProtection="0"/>
    <xf numFmtId="353" fontId="28" fillId="0" borderId="0" applyFont="0" applyFill="0" applyBorder="0" applyAlignment="0" applyProtection="0"/>
    <xf numFmtId="353" fontId="28" fillId="0" borderId="0" applyFont="0" applyFill="0" applyBorder="0" applyAlignment="0" applyProtection="0"/>
    <xf numFmtId="354" fontId="2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8"/>
    <xf numFmtId="0" fontId="59" fillId="0" borderId="3"/>
    <xf numFmtId="0" fontId="238" fillId="0" borderId="10" applyBorder="0">
      <alignment horizontal="distributed" vertical="center"/>
      <protection locked="0"/>
    </xf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355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178" fontId="35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197" fontId="60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356" fontId="56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357" fontId="56" fillId="0" borderId="0" applyFont="0" applyFill="0" applyBorder="0" applyAlignment="0" applyProtection="0"/>
    <xf numFmtId="357" fontId="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197" fontId="60" fillId="0" borderId="0" applyFont="0" applyFill="0" applyBorder="0" applyAlignment="0" applyProtection="0"/>
    <xf numFmtId="357" fontId="56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178" fontId="35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357" fontId="56" fillId="0" borderId="0" applyFont="0" applyFill="0" applyBorder="0" applyAlignment="0" applyProtection="0"/>
    <xf numFmtId="288" fontId="3" fillId="0" borderId="0" applyFont="0" applyFill="0" applyBorder="0" applyAlignment="0" applyProtection="0"/>
    <xf numFmtId="197" fontId="60" fillId="0" borderId="0" applyFont="0" applyFill="0" applyBorder="0" applyAlignment="0" applyProtection="0"/>
    <xf numFmtId="288" fontId="3" fillId="0" borderId="0" applyFont="0" applyFill="0" applyBorder="0" applyAlignment="0" applyProtection="0"/>
    <xf numFmtId="197" fontId="60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28" fillId="0" borderId="0"/>
    <xf numFmtId="0" fontId="71" fillId="0" borderId="0" applyNumberFormat="0" applyAlignment="0">
      <alignment horizontal="left" vertical="center"/>
    </xf>
    <xf numFmtId="41" fontId="3" fillId="0" borderId="0" applyFont="0" applyFill="0" applyBorder="0" applyAlignment="0" applyProtection="0"/>
    <xf numFmtId="0" fontId="27" fillId="0" borderId="90" applyNumberFormat="0"/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0" fontId="27" fillId="0" borderId="0" applyFont="0" applyFill="0" applyBorder="0" applyAlignment="0" applyProtection="0"/>
    <xf numFmtId="358" fontId="35" fillId="0" borderId="30">
      <alignment vertical="center"/>
    </xf>
    <xf numFmtId="200" fontId="71" fillId="0" borderId="91">
      <alignment vertical="center"/>
    </xf>
    <xf numFmtId="200" fontId="151" fillId="0" borderId="30"/>
    <xf numFmtId="182" fontId="239" fillId="0" borderId="0" applyFont="0" applyFill="0" applyBorder="0" applyAlignment="0" applyProtection="0"/>
    <xf numFmtId="183" fontId="239" fillId="0" borderId="0" applyFont="0" applyFill="0" applyBorder="0" applyAlignment="0" applyProtection="0"/>
    <xf numFmtId="2" fontId="240" fillId="0" borderId="13" applyNumberFormat="0" applyFont="0" applyFill="0" applyAlignment="0" applyProtection="0">
      <alignment vertical="center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182" fontId="24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/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30" fontId="79" fillId="0" borderId="0">
      <protection locked="0"/>
    </xf>
    <xf numFmtId="217" fontId="3" fillId="0" borderId="0">
      <protection locked="0"/>
    </xf>
    <xf numFmtId="217" fontId="3" fillId="0" borderId="0">
      <protection locked="0"/>
    </xf>
    <xf numFmtId="268" fontId="28" fillId="0" borderId="5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4" fillId="0" borderId="0">
      <alignment vertical="center"/>
    </xf>
    <xf numFmtId="0" fontId="173" fillId="0" borderId="0">
      <alignment vertical="center"/>
    </xf>
    <xf numFmtId="0" fontId="28" fillId="0" borderId="0"/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28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8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231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2" fillId="0" borderId="0"/>
    <xf numFmtId="14" fontId="184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43" fillId="0" borderId="0" applyNumberFormat="0" applyFill="0" applyBorder="0" applyAlignment="0" applyProtection="0">
      <alignment vertical="top"/>
      <protection locked="0"/>
    </xf>
    <xf numFmtId="0" fontId="243" fillId="0" borderId="0" applyNumberFormat="0" applyFill="0" applyBorder="0" applyAlignment="0" applyProtection="0">
      <alignment vertical="top"/>
      <protection locked="0"/>
    </xf>
    <xf numFmtId="0" fontId="243" fillId="0" borderId="0" applyNumberFormat="0" applyFill="0" applyBorder="0" applyAlignment="0" applyProtection="0">
      <alignment vertical="top"/>
      <protection locked="0"/>
    </xf>
    <xf numFmtId="185" fontId="28" fillId="0" borderId="0" applyFont="0" applyFill="0" applyBorder="0" applyAlignment="0" applyProtection="0"/>
    <xf numFmtId="38" fontId="244" fillId="0" borderId="0" applyFont="0" applyFill="0" applyBorder="0" applyProtection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24" fontId="25" fillId="0" borderId="0" applyFont="0" applyFill="0" applyBorder="0" applyAlignment="0" applyProtection="0"/>
    <xf numFmtId="0" fontId="255" fillId="0" borderId="0"/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3" fillId="0" borderId="5">
      <alignment vertical="center"/>
    </xf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8" fillId="0" borderId="0"/>
    <xf numFmtId="0" fontId="27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94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7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8" fillId="0" borderId="0"/>
    <xf numFmtId="0" fontId="25" fillId="0" borderId="0"/>
    <xf numFmtId="0" fontId="71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71" fillId="0" borderId="0"/>
    <xf numFmtId="0" fontId="3" fillId="0" borderId="0" applyFont="0" applyFill="0" applyBorder="0" applyAlignment="0" applyProtection="0"/>
    <xf numFmtId="0" fontId="27" fillId="0" borderId="0"/>
    <xf numFmtId="0" fontId="28" fillId="0" borderId="0"/>
    <xf numFmtId="0" fontId="25" fillId="0" borderId="0"/>
    <xf numFmtId="0" fontId="29" fillId="0" borderId="0"/>
    <xf numFmtId="0" fontId="27" fillId="0" borderId="0"/>
    <xf numFmtId="0" fontId="28" fillId="0" borderId="0"/>
    <xf numFmtId="0" fontId="25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5" fillId="0" borderId="0"/>
    <xf numFmtId="0" fontId="29" fillId="0" borderId="0"/>
    <xf numFmtId="0" fontId="28" fillId="0" borderId="0"/>
    <xf numFmtId="0" fontId="25" fillId="0" borderId="0"/>
    <xf numFmtId="0" fontId="71" fillId="0" borderId="0" applyFon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25" fillId="0" borderId="0"/>
    <xf numFmtId="0" fontId="27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71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28" fillId="0" borderId="0"/>
    <xf numFmtId="0" fontId="71" fillId="0" borderId="0"/>
    <xf numFmtId="0" fontId="28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9" fillId="0" borderId="0"/>
    <xf numFmtId="0" fontId="27" fillId="0" borderId="0"/>
    <xf numFmtId="0" fontId="3" fillId="0" borderId="0"/>
    <xf numFmtId="0" fontId="29" fillId="0" borderId="0"/>
    <xf numFmtId="0" fontId="25" fillId="0" borderId="0"/>
    <xf numFmtId="0" fontId="27" fillId="0" borderId="0"/>
    <xf numFmtId="0" fontId="27" fillId="0" borderId="0"/>
    <xf numFmtId="0" fontId="28" fillId="0" borderId="0"/>
    <xf numFmtId="0" fontId="71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9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94" fillId="0" borderId="0"/>
    <xf numFmtId="0" fontId="28" fillId="0" borderId="0"/>
    <xf numFmtId="0" fontId="27" fillId="0" borderId="0"/>
    <xf numFmtId="0" fontId="29" fillId="0" borderId="0"/>
    <xf numFmtId="0" fontId="28" fillId="0" borderId="0"/>
    <xf numFmtId="0" fontId="71" fillId="0" borderId="0"/>
    <xf numFmtId="0" fontId="28" fillId="0" borderId="0"/>
    <xf numFmtId="0" fontId="27" fillId="0" borderId="0"/>
    <xf numFmtId="0" fontId="27" fillId="0" borderId="0"/>
    <xf numFmtId="0" fontId="29" fillId="0" borderId="0"/>
    <xf numFmtId="0" fontId="28" fillId="0" borderId="0"/>
    <xf numFmtId="0" fontId="94" fillId="0" borderId="0"/>
    <xf numFmtId="230" fontId="33" fillId="0" borderId="0">
      <protection locked="0"/>
    </xf>
    <xf numFmtId="230" fontId="33" fillId="0" borderId="0">
      <protection locked="0"/>
    </xf>
    <xf numFmtId="0" fontId="61" fillId="0" borderId="0"/>
    <xf numFmtId="0" fontId="56" fillId="0" borderId="0">
      <alignment horizontal="center" vertical="center"/>
    </xf>
    <xf numFmtId="0" fontId="56" fillId="0" borderId="13" applyProtection="0">
      <alignment horizontal="left" vertical="center" wrapText="1"/>
    </xf>
    <xf numFmtId="0" fontId="236" fillId="0" borderId="0">
      <protection locked="0"/>
    </xf>
    <xf numFmtId="42" fontId="30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56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56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5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86" fillId="0" borderId="0"/>
    <xf numFmtId="0" fontId="256" fillId="0" borderId="0"/>
    <xf numFmtId="0" fontId="86" fillId="0" borderId="0"/>
    <xf numFmtId="0" fontId="256" fillId="0" borderId="0"/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257" fillId="0" borderId="0" applyNumberFormat="0" applyFill="0" applyBorder="0" applyAlignment="0" applyProtection="0"/>
    <xf numFmtId="0" fontId="3" fillId="0" borderId="33">
      <protection locked="0"/>
    </xf>
    <xf numFmtId="0" fontId="37" fillId="0" borderId="5">
      <alignment horizontal="left"/>
    </xf>
    <xf numFmtId="0" fontId="37" fillId="0" borderId="0"/>
    <xf numFmtId="0" fontId="94" fillId="0" borderId="0"/>
    <xf numFmtId="0" fontId="40" fillId="51" borderId="0" applyFill="0" applyBorder="0" applyProtection="0">
      <alignment horizontal="center"/>
    </xf>
    <xf numFmtId="261" fontId="258" fillId="0" borderId="0">
      <alignment horizontal="left"/>
    </xf>
    <xf numFmtId="261" fontId="259" fillId="0" borderId="0" applyAlignment="0"/>
    <xf numFmtId="0" fontId="86" fillId="0" borderId="0"/>
    <xf numFmtId="0" fontId="86" fillId="0" borderId="0"/>
    <xf numFmtId="0" fontId="86" fillId="0" borderId="0"/>
    <xf numFmtId="0" fontId="86" fillId="0" borderId="0"/>
    <xf numFmtId="360" fontId="260" fillId="0" borderId="0" applyFont="0" applyFill="0" applyBorder="0" applyAlignment="0" applyProtection="0"/>
    <xf numFmtId="361" fontId="260" fillId="0" borderId="0" applyFont="0" applyFill="0" applyBorder="0" applyAlignment="0" applyProtection="0"/>
    <xf numFmtId="9" fontId="261" fillId="0" borderId="0" applyFont="0" applyFill="0" applyBorder="0" applyAlignment="0" applyProtection="0"/>
    <xf numFmtId="0" fontId="262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37" fontId="24" fillId="0" borderId="95">
      <alignment horizontal="center" vertical="center"/>
    </xf>
    <xf numFmtId="37" fontId="24" fillId="0" borderId="25" applyAlignment="0"/>
    <xf numFmtId="9" fontId="15" fillId="0" borderId="0" applyNumberFormat="0" applyFill="0" applyBorder="0" applyAlignment="0" applyProtection="0"/>
    <xf numFmtId="362" fontId="264" fillId="0" borderId="13">
      <alignment horizontal="right" vertical="center"/>
    </xf>
    <xf numFmtId="0" fontId="255" fillId="0" borderId="0" applyFont="0" applyFill="0" applyBorder="0" applyAlignment="0" applyProtection="0"/>
    <xf numFmtId="0" fontId="15" fillId="0" borderId="0">
      <alignment vertical="center"/>
    </xf>
    <xf numFmtId="0" fontId="255" fillId="0" borderId="0" applyFont="0" applyFill="0" applyBorder="0" applyAlignment="0" applyProtection="0"/>
    <xf numFmtId="0" fontId="265" fillId="0" borderId="0"/>
    <xf numFmtId="0" fontId="94" fillId="0" borderId="0"/>
    <xf numFmtId="363" fontId="3" fillId="0" borderId="0" applyFont="0" applyFill="0" applyBorder="0" applyAlignment="0" applyProtection="0"/>
    <xf numFmtId="363" fontId="3" fillId="0" borderId="0" applyFont="0" applyFill="0" applyBorder="0" applyAlignment="0" applyProtection="0"/>
    <xf numFmtId="0" fontId="60" fillId="0" borderId="0" applyFont="0" applyFill="0" applyBorder="0" applyAlignment="0" applyProtection="0"/>
    <xf numFmtId="363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363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17" fontId="266" fillId="0" borderId="13" applyNumberFormat="0" applyFont="0" applyFill="0" applyAlignment="0" applyProtection="0">
      <alignment horizontal="center" vertical="center"/>
    </xf>
    <xf numFmtId="4" fontId="255" fillId="0" borderId="0" applyFont="0" applyFill="0" applyBorder="0" applyAlignment="0" applyProtection="0"/>
    <xf numFmtId="3" fontId="267" fillId="0" borderId="18">
      <alignment horizontal="center"/>
    </xf>
    <xf numFmtId="0" fontId="94" fillId="0" borderId="0"/>
    <xf numFmtId="0" fontId="27" fillId="0" borderId="0">
      <alignment vertical="center"/>
    </xf>
    <xf numFmtId="0" fontId="268" fillId="0" borderId="0">
      <alignment horizontal="centerContinuous" vertical="center"/>
    </xf>
    <xf numFmtId="0" fontId="94" fillId="0" borderId="0"/>
    <xf numFmtId="301" fontId="24" fillId="0" borderId="118" applyBorder="0"/>
    <xf numFmtId="0" fontId="20" fillId="0" borderId="13" applyFill="0" applyProtection="0">
      <alignment horizontal="center" vertical="center"/>
    </xf>
    <xf numFmtId="0" fontId="269" fillId="0" borderId="13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64" fontId="71" fillId="0" borderId="0" applyFont="0" applyFill="0" applyBorder="0" applyAlignment="0" applyProtection="0"/>
    <xf numFmtId="365" fontId="71" fillId="0" borderId="0" applyFont="0" applyFill="0" applyBorder="0" applyAlignment="0" applyProtection="0"/>
    <xf numFmtId="0" fontId="24" fillId="0" borderId="50">
      <alignment horizontal="distributed"/>
    </xf>
    <xf numFmtId="0" fontId="24" fillId="0" borderId="119">
      <alignment horizontal="distributed" vertical="center"/>
    </xf>
    <xf numFmtId="0" fontId="24" fillId="0" borderId="120">
      <alignment horizontal="distributed" vertical="top"/>
    </xf>
    <xf numFmtId="0" fontId="270" fillId="0" borderId="0"/>
    <xf numFmtId="1" fontId="24" fillId="0" borderId="3">
      <alignment horizontal="centerContinuous"/>
    </xf>
    <xf numFmtId="0" fontId="255" fillId="0" borderId="35" applyNumberFormat="0" applyFont="0" applyFill="0" applyAlignment="0" applyProtection="0"/>
    <xf numFmtId="3" fontId="271" fillId="0" borderId="0" applyFont="0" applyFill="0" applyBorder="0" applyAlignment="0" applyProtection="0"/>
    <xf numFmtId="200" fontId="28" fillId="0" borderId="0" applyFont="0" applyFill="0" applyBorder="0" applyAlignment="0" applyProtection="0"/>
    <xf numFmtId="366" fontId="27" fillId="0" borderId="0">
      <protection locked="0"/>
    </xf>
    <xf numFmtId="38" fontId="27" fillId="0" borderId="0"/>
    <xf numFmtId="0" fontId="83" fillId="0" borderId="0">
      <alignment vertical="center"/>
    </xf>
    <xf numFmtId="0" fontId="83" fillId="0" borderId="0">
      <alignment vertical="center"/>
    </xf>
    <xf numFmtId="0" fontId="3" fillId="0" borderId="0"/>
  </cellStyleXfs>
  <cellXfs count="225">
    <xf numFmtId="0" fontId="0" fillId="0" borderId="0" xfId="0"/>
    <xf numFmtId="49" fontId="8" fillId="0" borderId="28" xfId="0" applyNumberFormat="1" applyFont="1" applyBorder="1" applyAlignment="1">
      <alignment horizontal="distributed" vertical="center" indent="1"/>
    </xf>
    <xf numFmtId="49" fontId="8" fillId="0" borderId="27" xfId="0" applyNumberFormat="1" applyFont="1" applyBorder="1" applyAlignment="1">
      <alignment horizontal="center" vertical="center"/>
    </xf>
    <xf numFmtId="41" fontId="8" fillId="0" borderId="23" xfId="0" applyNumberFormat="1" applyFont="1" applyBorder="1" applyAlignment="1">
      <alignment vertical="center"/>
    </xf>
    <xf numFmtId="0" fontId="8" fillId="0" borderId="23" xfId="2" applyNumberFormat="1" applyFont="1" applyBorder="1" applyAlignment="1">
      <alignment vertical="center"/>
    </xf>
    <xf numFmtId="0" fontId="5" fillId="0" borderId="1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0" xfId="0" applyFont="1" applyAlignment="1">
      <alignment vertical="center"/>
    </xf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13" fillId="0" borderId="0" xfId="0" applyFont="1" applyAlignment="1">
      <alignment horizontal="justify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41" fontId="9" fillId="0" borderId="0" xfId="0" applyNumberFormat="1" applyFont="1"/>
    <xf numFmtId="49" fontId="8" fillId="0" borderId="0" xfId="0" applyNumberFormat="1" applyFont="1"/>
    <xf numFmtId="9" fontId="8" fillId="0" borderId="0" xfId="0" applyNumberFormat="1" applyFont="1"/>
    <xf numFmtId="49" fontId="9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9" fontId="9" fillId="0" borderId="0" xfId="0" applyNumberFormat="1" applyFont="1"/>
    <xf numFmtId="41" fontId="8" fillId="0" borderId="0" xfId="0" applyNumberFormat="1" applyFont="1"/>
    <xf numFmtId="0" fontId="7" fillId="0" borderId="0" xfId="0" applyFont="1" applyAlignment="1">
      <alignment horizontal="justify"/>
    </xf>
    <xf numFmtId="0" fontId="8" fillId="0" borderId="5" xfId="0" applyFont="1" applyBorder="1"/>
    <xf numFmtId="49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6" fillId="0" borderId="30" xfId="0" applyFont="1" applyBorder="1" applyAlignment="1">
      <alignment horizontal="center" vertical="center" textRotation="255"/>
    </xf>
    <xf numFmtId="178" fontId="17" fillId="0" borderId="4" xfId="0" applyNumberFormat="1" applyFont="1" applyBorder="1" applyAlignment="1">
      <alignment horizontal="center" vertical="center"/>
    </xf>
    <xf numFmtId="178" fontId="16" fillId="0" borderId="30" xfId="0" applyNumberFormat="1" applyFont="1" applyBorder="1" applyAlignment="1">
      <alignment horizontal="center" vertical="center" textRotation="255"/>
    </xf>
    <xf numFmtId="178" fontId="18" fillId="0" borderId="20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9" fillId="0" borderId="20" xfId="0" applyFont="1" applyBorder="1" applyAlignment="1">
      <alignment horizontal="centerContinuous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Continuous" vertical="center"/>
    </xf>
    <xf numFmtId="0" fontId="20" fillId="0" borderId="5" xfId="0" applyFont="1" applyBorder="1"/>
    <xf numFmtId="0" fontId="20" fillId="0" borderId="0" xfId="0" applyFont="1"/>
    <xf numFmtId="0" fontId="20" fillId="0" borderId="6" xfId="0" applyFont="1" applyBorder="1"/>
    <xf numFmtId="0" fontId="18" fillId="0" borderId="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6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2" fillId="0" borderId="0" xfId="4" applyFont="1" applyAlignment="1">
      <alignment vertical="center"/>
    </xf>
    <xf numFmtId="0" fontId="22" fillId="0" borderId="0" xfId="4" applyFont="1" applyAlignment="1">
      <alignment horizontal="centerContinuous" vertical="center"/>
    </xf>
    <xf numFmtId="179" fontId="22" fillId="0" borderId="0" xfId="4" applyNumberFormat="1" applyFont="1" applyAlignment="1">
      <alignment vertical="center"/>
    </xf>
    <xf numFmtId="0" fontId="21" fillId="0" borderId="0" xfId="0" applyFont="1"/>
    <xf numFmtId="0" fontId="21" fillId="0" borderId="0" xfId="4" applyFont="1" applyAlignment="1">
      <alignment horizontal="center" vertical="center"/>
    </xf>
    <xf numFmtId="0" fontId="18" fillId="0" borderId="0" xfId="0" applyFont="1"/>
    <xf numFmtId="181" fontId="18" fillId="0" borderId="0" xfId="4" applyNumberFormat="1" applyFont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0" xfId="4" applyFont="1" applyAlignment="1">
      <alignment vertical="center"/>
    </xf>
    <xf numFmtId="0" fontId="21" fillId="0" borderId="0" xfId="4" applyFont="1" applyAlignment="1">
      <alignment horizontal="centerContinuous" vertical="center"/>
    </xf>
    <xf numFmtId="179" fontId="18" fillId="0" borderId="0" xfId="4" applyNumberFormat="1" applyFont="1" applyAlignment="1">
      <alignment vertical="center"/>
    </xf>
    <xf numFmtId="0" fontId="23" fillId="0" borderId="6" xfId="4" applyFont="1" applyBorder="1" applyAlignment="1">
      <alignment horizontal="left" vertical="center"/>
    </xf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0" fillId="0" borderId="8" xfId="4" applyFont="1" applyBorder="1" applyAlignment="1">
      <alignment vertical="center"/>
    </xf>
    <xf numFmtId="0" fontId="19" fillId="0" borderId="8" xfId="4" applyFont="1" applyBorder="1" applyAlignment="1">
      <alignment horizontal="center" vertical="center"/>
    </xf>
    <xf numFmtId="0" fontId="20" fillId="0" borderId="8" xfId="4" applyFont="1" applyBorder="1" applyAlignment="1">
      <alignment horizontal="left" vertical="center"/>
    </xf>
    <xf numFmtId="0" fontId="20" fillId="0" borderId="8" xfId="4" applyFont="1" applyBorder="1" applyAlignment="1">
      <alignment horizontal="centerContinuous" vertical="center"/>
    </xf>
    <xf numFmtId="0" fontId="20" fillId="0" borderId="9" xfId="4" applyFont="1" applyBorder="1" applyAlignment="1">
      <alignment horizontal="centerContinuous" vertical="center"/>
    </xf>
    <xf numFmtId="179" fontId="20" fillId="0" borderId="0" xfId="4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0" fontId="18" fillId="0" borderId="0" xfId="4" applyFont="1" applyAlignment="1">
      <alignment horizontal="center" vertical="center"/>
    </xf>
    <xf numFmtId="42" fontId="18" fillId="0" borderId="0" xfId="133" applyFont="1" applyBorder="1" applyAlignment="1">
      <alignment horizontal="right" vertical="center"/>
    </xf>
    <xf numFmtId="9" fontId="8" fillId="0" borderId="92" xfId="5226" applyFont="1" applyBorder="1" applyAlignment="1">
      <alignment vertical="center"/>
    </xf>
    <xf numFmtId="41" fontId="8" fillId="0" borderId="92" xfId="11843" applyFont="1" applyBorder="1" applyAlignment="1">
      <alignment vertical="center"/>
    </xf>
    <xf numFmtId="176" fontId="8" fillId="0" borderId="23" xfId="3" applyNumberFormat="1" applyFont="1" applyBorder="1" applyAlignment="1">
      <alignment vertical="center"/>
    </xf>
    <xf numFmtId="176" fontId="8" fillId="0" borderId="92" xfId="3" applyNumberFormat="1" applyFont="1" applyBorder="1" applyAlignment="1">
      <alignment vertical="center"/>
    </xf>
    <xf numFmtId="41" fontId="8" fillId="0" borderId="24" xfId="3" applyFont="1" applyBorder="1" applyAlignment="1">
      <alignment horizontal="center" vertical="center"/>
    </xf>
    <xf numFmtId="41" fontId="8" fillId="0" borderId="94" xfId="11843" applyFont="1" applyBorder="1" applyAlignment="1">
      <alignment vertical="center"/>
    </xf>
    <xf numFmtId="9" fontId="8" fillId="0" borderId="95" xfId="5226" applyFont="1" applyBorder="1" applyAlignment="1">
      <alignment vertical="center"/>
    </xf>
    <xf numFmtId="176" fontId="8" fillId="0" borderId="95" xfId="3" applyNumberFormat="1" applyFont="1" applyBorder="1" applyAlignment="1">
      <alignment vertical="center"/>
    </xf>
    <xf numFmtId="41" fontId="8" fillId="0" borderId="0" xfId="11843" applyFont="1" applyBorder="1" applyAlignment="1">
      <alignment vertical="center"/>
    </xf>
    <xf numFmtId="41" fontId="8" fillId="0" borderId="6" xfId="3" applyFont="1" applyBorder="1" applyAlignment="1">
      <alignment horizontal="center" vertical="center"/>
    </xf>
    <xf numFmtId="176" fontId="8" fillId="0" borderId="2" xfId="3" applyNumberFormat="1" applyFont="1" applyBorder="1" applyAlignment="1">
      <alignment vertical="center"/>
    </xf>
    <xf numFmtId="41" fontId="8" fillId="0" borderId="19" xfId="3" applyFont="1" applyBorder="1" applyAlignment="1">
      <alignment horizontal="center" vertical="center"/>
    </xf>
    <xf numFmtId="0" fontId="245" fillId="0" borderId="77" xfId="12459" applyFont="1" applyBorder="1" applyAlignment="1">
      <alignment vertical="center"/>
    </xf>
    <xf numFmtId="0" fontId="245" fillId="0" borderId="96" xfId="12459" applyFont="1" applyBorder="1" applyAlignment="1">
      <alignment vertical="center"/>
    </xf>
    <xf numFmtId="0" fontId="245" fillId="0" borderId="97" xfId="12459" applyFont="1" applyBorder="1" applyAlignment="1">
      <alignment vertical="center"/>
    </xf>
    <xf numFmtId="0" fontId="245" fillId="0" borderId="0" xfId="12459" applyFont="1" applyAlignment="1">
      <alignment vertical="center"/>
    </xf>
    <xf numFmtId="0" fontId="246" fillId="0" borderId="98" xfId="12459" applyFont="1" applyBorder="1" applyAlignment="1">
      <alignment vertical="center"/>
    </xf>
    <xf numFmtId="0" fontId="245" fillId="0" borderId="99" xfId="12459" applyFont="1" applyBorder="1" applyAlignment="1">
      <alignment vertical="center"/>
    </xf>
    <xf numFmtId="0" fontId="247" fillId="0" borderId="98" xfId="12459" applyFont="1" applyBorder="1" applyAlignment="1">
      <alignment horizontal="left" vertical="center"/>
    </xf>
    <xf numFmtId="0" fontId="247" fillId="5" borderId="0" xfId="12459" applyFont="1" applyFill="1" applyAlignment="1">
      <alignment horizontal="left" vertical="center"/>
    </xf>
    <xf numFmtId="0" fontId="247" fillId="0" borderId="0" xfId="12459" applyFont="1" applyAlignment="1">
      <alignment vertical="center"/>
    </xf>
    <xf numFmtId="0" fontId="245" fillId="0" borderId="98" xfId="12459" applyFont="1" applyBorder="1" applyAlignment="1">
      <alignment vertical="center"/>
    </xf>
    <xf numFmtId="0" fontId="245" fillId="0" borderId="98" xfId="12459" applyFont="1" applyBorder="1" applyAlignment="1">
      <alignment horizontal="center" vertical="center"/>
    </xf>
    <xf numFmtId="359" fontId="248" fillId="5" borderId="0" xfId="12459" applyNumberFormat="1" applyFont="1" applyFill="1" applyAlignment="1">
      <alignment vertical="center"/>
    </xf>
    <xf numFmtId="359" fontId="248" fillId="5" borderId="99" xfId="12459" applyNumberFormat="1" applyFont="1" applyFill="1" applyBorder="1" applyAlignment="1">
      <alignment vertical="center"/>
    </xf>
    <xf numFmtId="0" fontId="245" fillId="0" borderId="100" xfId="12459" applyFont="1" applyBorder="1" applyAlignment="1">
      <alignment vertical="center"/>
    </xf>
    <xf numFmtId="0" fontId="245" fillId="0" borderId="33" xfId="12459" applyFont="1" applyBorder="1" applyAlignment="1">
      <alignment vertical="center"/>
    </xf>
    <xf numFmtId="0" fontId="245" fillId="0" borderId="101" xfId="12459" applyFont="1" applyBorder="1" applyAlignment="1">
      <alignment vertical="center"/>
    </xf>
    <xf numFmtId="0" fontId="250" fillId="0" borderId="0" xfId="12459" applyFont="1" applyAlignment="1">
      <alignment vertical="center"/>
    </xf>
    <xf numFmtId="0" fontId="245" fillId="0" borderId="0" xfId="12459" applyFont="1" applyAlignment="1">
      <alignment horizontal="center" vertical="center"/>
    </xf>
    <xf numFmtId="0" fontId="252" fillId="0" borderId="0" xfId="12460" applyFont="1"/>
    <xf numFmtId="0" fontId="15" fillId="0" borderId="0" xfId="12460" applyFont="1"/>
    <xf numFmtId="0" fontId="253" fillId="0" borderId="0" xfId="12460" applyFont="1"/>
    <xf numFmtId="0" fontId="15" fillId="0" borderId="0" xfId="12460" quotePrefix="1" applyFont="1" applyAlignment="1">
      <alignment horizontal="right" vertical="center"/>
    </xf>
    <xf numFmtId="0" fontId="15" fillId="0" borderId="0" xfId="12460" applyFont="1" applyAlignment="1">
      <alignment horizontal="left" vertical="center"/>
    </xf>
    <xf numFmtId="0" fontId="15" fillId="0" borderId="0" xfId="12460" applyFont="1" applyAlignment="1">
      <alignment vertical="center"/>
    </xf>
    <xf numFmtId="0" fontId="253" fillId="0" borderId="0" xfId="12460" applyFont="1" applyAlignment="1">
      <alignment vertical="center"/>
    </xf>
    <xf numFmtId="0" fontId="15" fillId="0" borderId="0" xfId="12460" quotePrefix="1" applyFont="1" applyAlignment="1">
      <alignment vertical="center"/>
    </xf>
    <xf numFmtId="0" fontId="254" fillId="0" borderId="0" xfId="12460" applyFont="1" applyAlignment="1">
      <alignment vertical="center"/>
    </xf>
    <xf numFmtId="0" fontId="15" fillId="0" borderId="0" xfId="12460" applyFont="1" applyAlignment="1">
      <alignment horizontal="right" vertical="center"/>
    </xf>
    <xf numFmtId="0" fontId="15" fillId="0" borderId="116" xfId="12460" applyFont="1" applyBorder="1" applyAlignment="1">
      <alignment horizontal="center" vertical="center"/>
    </xf>
    <xf numFmtId="0" fontId="15" fillId="0" borderId="110" xfId="12460" applyFont="1" applyBorder="1" applyAlignment="1">
      <alignment horizontal="center" vertical="center"/>
    </xf>
    <xf numFmtId="0" fontId="15" fillId="0" borderId="110" xfId="12460" applyFont="1" applyBorder="1" applyAlignment="1">
      <alignment vertical="center"/>
    </xf>
    <xf numFmtId="0" fontId="254" fillId="0" borderId="0" xfId="12460" quotePrefix="1" applyFont="1" applyAlignment="1">
      <alignment horizontal="right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22" xfId="0" applyNumberFormat="1" applyFont="1" applyBorder="1" applyAlignment="1">
      <alignment horizontal="distributed" vertical="center" indent="1"/>
    </xf>
    <xf numFmtId="0" fontId="8" fillId="0" borderId="123" xfId="2" applyNumberFormat="1" applyFont="1" applyBorder="1" applyAlignment="1">
      <alignment vertical="center"/>
    </xf>
    <xf numFmtId="41" fontId="8" fillId="0" borderId="123" xfId="0" applyNumberFormat="1" applyFont="1" applyBorder="1" applyAlignment="1">
      <alignment vertical="center"/>
    </xf>
    <xf numFmtId="177" fontId="8" fillId="0" borderId="92" xfId="5226" applyNumberFormat="1" applyFont="1" applyBorder="1" applyAlignment="1">
      <alignment vertical="center"/>
    </xf>
    <xf numFmtId="0" fontId="8" fillId="0" borderId="16" xfId="2" applyNumberFormat="1" applyFont="1" applyBorder="1" applyAlignment="1">
      <alignment vertical="center"/>
    </xf>
    <xf numFmtId="9" fontId="8" fillId="0" borderId="12" xfId="5226" applyFont="1" applyBorder="1" applyAlignment="1">
      <alignment vertical="center"/>
    </xf>
    <xf numFmtId="41" fontId="8" fillId="0" borderId="93" xfId="0" applyNumberFormat="1" applyFont="1" applyBorder="1" applyAlignment="1">
      <alignment vertical="center"/>
    </xf>
    <xf numFmtId="176" fontId="8" fillId="0" borderId="12" xfId="3" applyNumberFormat="1" applyFont="1" applyBorder="1" applyAlignment="1">
      <alignment vertical="center"/>
    </xf>
    <xf numFmtId="41" fontId="8" fillId="0" borderId="93" xfId="11843" applyFont="1" applyBorder="1" applyAlignment="1">
      <alignment vertical="center"/>
    </xf>
    <xf numFmtId="41" fontId="8" fillId="0" borderId="17" xfId="3" applyFont="1" applyBorder="1" applyAlignment="1">
      <alignment horizontal="center" vertical="center"/>
    </xf>
    <xf numFmtId="177" fontId="8" fillId="0" borderId="95" xfId="5226" applyNumberFormat="1" applyFont="1" applyBorder="1" applyAlignment="1">
      <alignment vertical="center"/>
    </xf>
    <xf numFmtId="41" fontId="8" fillId="0" borderId="95" xfId="11843" applyFont="1" applyBorder="1" applyAlignment="1">
      <alignment vertical="center"/>
    </xf>
    <xf numFmtId="176" fontId="8" fillId="0" borderId="123" xfId="3" applyNumberFormat="1" applyFont="1" applyBorder="1" applyAlignment="1">
      <alignment vertical="center"/>
    </xf>
    <xf numFmtId="9" fontId="8" fillId="0" borderId="16" xfId="0" applyNumberFormat="1" applyFont="1" applyBorder="1" applyAlignment="1">
      <alignment vertical="center"/>
    </xf>
    <xf numFmtId="9" fontId="8" fillId="0" borderId="93" xfId="3" applyNumberFormat="1" applyFont="1" applyBorder="1" applyAlignment="1">
      <alignment vertical="center"/>
    </xf>
    <xf numFmtId="176" fontId="8" fillId="0" borderId="93" xfId="3" applyNumberFormat="1" applyFont="1" applyBorder="1" applyAlignment="1">
      <alignment vertical="center"/>
    </xf>
    <xf numFmtId="177" fontId="12" fillId="0" borderId="17" xfId="3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distributed" vertical="center" indent="2"/>
    </xf>
    <xf numFmtId="9" fontId="10" fillId="0" borderId="12" xfId="5226" applyFont="1" applyFill="1" applyBorder="1" applyAlignment="1">
      <alignment horizontal="distributed" vertical="center" indent="2"/>
    </xf>
    <xf numFmtId="49" fontId="10" fillId="0" borderId="93" xfId="3" applyNumberFormat="1" applyFont="1" applyFill="1" applyBorder="1" applyAlignment="1">
      <alignment horizontal="distributed" vertical="center" indent="2"/>
    </xf>
    <xf numFmtId="176" fontId="10" fillId="0" borderId="12" xfId="3" applyNumberFormat="1" applyFont="1" applyFill="1" applyBorder="1" applyAlignment="1">
      <alignment horizontal="center" vertical="center"/>
    </xf>
    <xf numFmtId="176" fontId="10" fillId="0" borderId="93" xfId="3" applyNumberFormat="1" applyFont="1" applyFill="1" applyBorder="1" applyAlignment="1">
      <alignment horizontal="center" vertical="center"/>
    </xf>
    <xf numFmtId="49" fontId="10" fillId="0" borderId="17" xfId="3" applyNumberFormat="1" applyFont="1" applyFill="1" applyBorder="1" applyAlignment="1">
      <alignment horizontal="center" vertical="center"/>
    </xf>
    <xf numFmtId="49" fontId="8" fillId="0" borderId="107" xfId="0" applyNumberFormat="1" applyFont="1" applyBorder="1" applyAlignment="1">
      <alignment vertical="center"/>
    </xf>
    <xf numFmtId="177" fontId="8" fillId="0" borderId="127" xfId="0" applyNumberFormat="1" applyFont="1" applyBorder="1" applyAlignment="1">
      <alignment vertical="center"/>
    </xf>
    <xf numFmtId="41" fontId="12" fillId="0" borderId="126" xfId="11843" applyFont="1" applyBorder="1" applyAlignment="1">
      <alignment vertical="center"/>
    </xf>
    <xf numFmtId="176" fontId="8" fillId="0" borderId="127" xfId="3" applyNumberFormat="1" applyFont="1" applyBorder="1" applyAlignment="1">
      <alignment vertical="center"/>
    </xf>
    <xf numFmtId="176" fontId="8" fillId="0" borderId="126" xfId="3" applyNumberFormat="1" applyFont="1" applyBorder="1" applyAlignment="1">
      <alignment vertical="center"/>
    </xf>
    <xf numFmtId="41" fontId="12" fillId="0" borderId="127" xfId="11843" applyFont="1" applyBorder="1" applyAlignment="1">
      <alignment vertical="center"/>
    </xf>
    <xf numFmtId="0" fontId="8" fillId="0" borderId="22" xfId="2" applyNumberFormat="1" applyFont="1" applyBorder="1" applyAlignment="1">
      <alignment vertical="center"/>
    </xf>
    <xf numFmtId="9" fontId="8" fillId="0" borderId="2" xfId="5226" applyFont="1" applyBorder="1" applyAlignment="1">
      <alignment vertical="center"/>
    </xf>
    <xf numFmtId="41" fontId="8" fillId="0" borderId="128" xfId="0" applyNumberFormat="1" applyFont="1" applyBorder="1" applyAlignment="1">
      <alignment vertical="center"/>
    </xf>
    <xf numFmtId="41" fontId="8" fillId="0" borderId="128" xfId="11843" applyFont="1" applyBorder="1" applyAlignment="1">
      <alignment vertical="center"/>
    </xf>
    <xf numFmtId="49" fontId="9" fillId="2" borderId="30" xfId="0" applyNumberFormat="1" applyFont="1" applyFill="1" applyBorder="1" applyAlignment="1">
      <alignment horizontal="distributed" vertical="center" indent="2"/>
    </xf>
    <xf numFmtId="49" fontId="9" fillId="2" borderId="30" xfId="3" applyNumberFormat="1" applyFont="1" applyFill="1" applyBorder="1" applyAlignment="1">
      <alignment horizontal="center" vertical="center" wrapText="1"/>
    </xf>
    <xf numFmtId="49" fontId="9" fillId="2" borderId="30" xfId="3" applyNumberFormat="1" applyFont="1" applyFill="1" applyBorder="1" applyAlignment="1">
      <alignment horizontal="center" vertical="center"/>
    </xf>
    <xf numFmtId="49" fontId="9" fillId="2" borderId="30" xfId="3" applyNumberFormat="1" applyFont="1" applyFill="1" applyBorder="1" applyAlignment="1">
      <alignment horizontal="distributed" vertical="center" indent="2"/>
    </xf>
    <xf numFmtId="0" fontId="272" fillId="0" borderId="0" xfId="12383" applyFont="1">
      <alignment vertical="center"/>
    </xf>
    <xf numFmtId="0" fontId="274" fillId="0" borderId="0" xfId="12383" applyFont="1">
      <alignment vertical="center"/>
    </xf>
    <xf numFmtId="0" fontId="276" fillId="0" borderId="0" xfId="12383" applyFont="1" applyAlignment="1">
      <alignment horizontal="left" vertical="center"/>
    </xf>
    <xf numFmtId="0" fontId="273" fillId="0" borderId="0" xfId="12733" applyFont="1"/>
    <xf numFmtId="0" fontId="275" fillId="0" borderId="0" xfId="12733" applyFont="1" applyAlignment="1">
      <alignment horizontal="left"/>
    </xf>
    <xf numFmtId="0" fontId="141" fillId="0" borderId="0" xfId="12733" applyFont="1"/>
    <xf numFmtId="0" fontId="278" fillId="0" borderId="0" xfId="125" applyFont="1"/>
    <xf numFmtId="0" fontId="249" fillId="0" borderId="98" xfId="12459" applyFont="1" applyBorder="1" applyAlignment="1">
      <alignment horizontal="center" vertical="center"/>
    </xf>
    <xf numFmtId="0" fontId="249" fillId="0" borderId="0" xfId="12459" applyFont="1" applyAlignment="1">
      <alignment horizontal="center" vertical="center"/>
    </xf>
    <xf numFmtId="0" fontId="249" fillId="0" borderId="99" xfId="12459" applyFont="1" applyBorder="1" applyAlignment="1">
      <alignment horizontal="center" vertical="center"/>
    </xf>
    <xf numFmtId="0" fontId="251" fillId="0" borderId="0" xfId="12460" applyFont="1" applyAlignment="1">
      <alignment horizontal="center" vertical="center"/>
    </xf>
    <xf numFmtId="0" fontId="15" fillId="0" borderId="0" xfId="12460" applyFont="1" applyAlignment="1">
      <alignment horizontal="left" vertical="center" wrapText="1"/>
    </xf>
    <xf numFmtId="0" fontId="15" fillId="0" borderId="0" xfId="12460" applyFont="1" applyAlignment="1">
      <alignment vertical="center"/>
    </xf>
    <xf numFmtId="0" fontId="15" fillId="0" borderId="102" xfId="12460" applyFont="1" applyBorder="1" applyAlignment="1">
      <alignment horizontal="center" vertical="center"/>
    </xf>
    <xf numFmtId="0" fontId="15" fillId="0" borderId="103" xfId="12460" applyFont="1" applyBorder="1" applyAlignment="1">
      <alignment horizontal="center" vertical="center"/>
    </xf>
    <xf numFmtId="0" fontId="15" fillId="0" borderId="106" xfId="12460" applyFont="1" applyBorder="1" applyAlignment="1">
      <alignment horizontal="center" vertical="center"/>
    </xf>
    <xf numFmtId="0" fontId="15" fillId="0" borderId="2" xfId="12460" applyFont="1" applyBorder="1" applyAlignment="1">
      <alignment horizontal="center" vertical="center"/>
    </xf>
    <xf numFmtId="0" fontId="15" fillId="0" borderId="104" xfId="12460" applyFont="1" applyBorder="1" applyAlignment="1">
      <alignment horizontal="center" vertical="center"/>
    </xf>
    <xf numFmtId="0" fontId="15" fillId="0" borderId="96" xfId="12460" applyFont="1" applyBorder="1" applyAlignment="1">
      <alignment horizontal="center" vertical="center"/>
    </xf>
    <xf numFmtId="0" fontId="15" fillId="0" borderId="107" xfId="12460" applyFont="1" applyBorder="1" applyAlignment="1">
      <alignment horizontal="center" vertical="center"/>
    </xf>
    <xf numFmtId="0" fontId="15" fillId="0" borderId="8" xfId="12460" applyFont="1" applyBorder="1" applyAlignment="1">
      <alignment horizontal="center" vertical="center"/>
    </xf>
    <xf numFmtId="0" fontId="15" fillId="0" borderId="105" xfId="12460" applyFont="1" applyBorder="1" applyAlignment="1">
      <alignment horizontal="center" vertical="center"/>
    </xf>
    <xf numFmtId="0" fontId="15" fillId="0" borderId="108" xfId="12460" applyFont="1" applyBorder="1" applyAlignment="1">
      <alignment horizontal="center" vertical="center"/>
    </xf>
    <xf numFmtId="0" fontId="15" fillId="0" borderId="110" xfId="12460" applyFont="1" applyBorder="1" applyAlignment="1">
      <alignment horizontal="center" vertical="center"/>
    </xf>
    <xf numFmtId="0" fontId="15" fillId="0" borderId="113" xfId="12460" applyFont="1" applyBorder="1" applyAlignment="1">
      <alignment horizontal="center" vertical="center"/>
    </xf>
    <xf numFmtId="0" fontId="15" fillId="0" borderId="114" xfId="12460" applyFont="1" applyBorder="1" applyAlignment="1">
      <alignment vertical="center" wrapText="1"/>
    </xf>
    <xf numFmtId="0" fontId="15" fillId="0" borderId="115" xfId="12460" applyFont="1" applyBorder="1" applyAlignment="1">
      <alignment vertical="center"/>
    </xf>
    <xf numFmtId="0" fontId="15" fillId="0" borderId="116" xfId="12460" applyFont="1" applyBorder="1" applyAlignment="1">
      <alignment horizontal="center" vertical="center"/>
    </xf>
    <xf numFmtId="0" fontId="15" fillId="0" borderId="117" xfId="12460" applyFont="1" applyBorder="1" applyAlignment="1">
      <alignment horizontal="center" vertical="center"/>
    </xf>
    <xf numFmtId="0" fontId="15" fillId="0" borderId="109" xfId="12460" applyFont="1" applyBorder="1" applyAlignment="1">
      <alignment horizontal="distributed" vertical="center" indent="1"/>
    </xf>
    <xf numFmtId="0" fontId="15" fillId="0" borderId="110" xfId="12460" applyFont="1" applyBorder="1" applyAlignment="1">
      <alignment horizontal="distributed" vertical="center" indent="1"/>
    </xf>
    <xf numFmtId="9" fontId="15" fillId="0" borderId="110" xfId="12460" applyNumberFormat="1" applyFont="1" applyBorder="1" applyAlignment="1">
      <alignment horizontal="center" vertical="center"/>
    </xf>
    <xf numFmtId="41" fontId="15" fillId="0" borderId="111" xfId="12461" applyFont="1" applyBorder="1" applyAlignment="1">
      <alignment horizontal="center" vertical="center"/>
    </xf>
    <xf numFmtId="41" fontId="15" fillId="0" borderId="112" xfId="12461" applyFont="1" applyBorder="1" applyAlignment="1">
      <alignment horizontal="center" vertical="center"/>
    </xf>
    <xf numFmtId="41" fontId="15" fillId="0" borderId="121" xfId="12461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4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67" fillId="0" borderId="5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49" fontId="11" fillId="2" borderId="18" xfId="5313" applyNumberFormat="1" applyFont="1" applyFill="1" applyBorder="1" applyAlignment="1">
      <alignment horizontal="distributed" vertical="center" indent="15"/>
    </xf>
    <xf numFmtId="49" fontId="11" fillId="2" borderId="4" xfId="0" applyNumberFormat="1" applyFont="1" applyFill="1" applyBorder="1" applyAlignment="1">
      <alignment horizontal="distributed" vertical="center" indent="15"/>
    </xf>
    <xf numFmtId="49" fontId="11" fillId="2" borderId="20" xfId="0" applyNumberFormat="1" applyFont="1" applyFill="1" applyBorder="1" applyAlignment="1">
      <alignment horizontal="distributed" indent="15"/>
    </xf>
    <xf numFmtId="49" fontId="12" fillId="0" borderId="124" xfId="0" applyNumberFormat="1" applyFont="1" applyBorder="1" applyAlignment="1">
      <alignment horizontal="center" vertical="center"/>
    </xf>
    <xf numFmtId="49" fontId="12" fillId="0" borderId="125" xfId="0" applyNumberFormat="1" applyFont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distributed" vertical="center" indent="1"/>
    </xf>
    <xf numFmtId="49" fontId="12" fillId="0" borderId="126" xfId="0" applyNumberFormat="1" applyFont="1" applyBorder="1" applyAlignment="1">
      <alignment horizontal="distributed" vertical="center" indent="1"/>
    </xf>
    <xf numFmtId="49" fontId="9" fillId="2" borderId="30" xfId="0" applyNumberFormat="1" applyFont="1" applyFill="1" applyBorder="1" applyAlignment="1">
      <alignment horizontal="distributed" vertical="center" indent="2"/>
    </xf>
    <xf numFmtId="49" fontId="10" fillId="0" borderId="124" xfId="0" applyNumberFormat="1" applyFont="1" applyBorder="1" applyAlignment="1">
      <alignment horizontal="left" vertical="center"/>
    </xf>
    <xf numFmtId="49" fontId="10" fillId="0" borderId="125" xfId="0" applyNumberFormat="1" applyFont="1" applyBorder="1" applyAlignment="1">
      <alignment horizontal="left" vertical="center"/>
    </xf>
    <xf numFmtId="0" fontId="277" fillId="0" borderId="0" xfId="12383" applyFont="1" applyAlignment="1">
      <alignment horizontal="center" vertical="center" wrapText="1"/>
    </xf>
    <xf numFmtId="41" fontId="12" fillId="0" borderId="9" xfId="3" applyFont="1" applyBorder="1" applyAlignment="1">
      <alignment horizontal="center" vertical="center" wrapText="1"/>
    </xf>
    <xf numFmtId="0" fontId="15" fillId="0" borderId="129" xfId="12460" applyFont="1" applyBorder="1" applyAlignment="1">
      <alignment horizontal="center" vertical="center"/>
    </xf>
    <xf numFmtId="0" fontId="15" fillId="0" borderId="112" xfId="12460" applyFont="1" applyBorder="1" applyAlignment="1">
      <alignment horizontal="center" vertical="center"/>
    </xf>
    <xf numFmtId="0" fontId="15" fillId="0" borderId="121" xfId="12460" applyFont="1" applyBorder="1" applyAlignment="1">
      <alignment horizontal="center" vertical="center"/>
    </xf>
  </cellXfs>
  <cellStyles count="12734">
    <cellStyle name="_x0014_" xfId="6115"/>
    <cellStyle name=" " xfId="6116"/>
    <cellStyle name="' '" xfId="134"/>
    <cellStyle name="          _x000d__x000a_386grabber=vga.3gr_x000d__x000a_" xfId="6117"/>
    <cellStyle name=" [0]_영업분석" xfId="6118"/>
    <cellStyle name=" _97연말" xfId="6119"/>
    <cellStyle name=" _97연말1" xfId="6120"/>
    <cellStyle name=" _Book1" xfId="6121"/>
    <cellStyle name=" _사촌1리 농로포장공사(1공구)" xfId="6122"/>
    <cellStyle name=" _화조리세진기업앞 배수로정비" xfId="6123"/>
    <cellStyle name="_x000a_386grabber=M" xfId="6124"/>
    <cellStyle name="_x000c_ーセン_x000c_" xfId="6125"/>
    <cellStyle name="_x000d__x000a_JournalTemplate=C:\COMFO\CTALK\JOURSTD.TPL_x000d__x000a_LbStateAddress=3 3 0 251 1 89 2 311_x000d__x000a_LbStateJou" xfId="6126"/>
    <cellStyle name="_x000d__x000a_JournalTemplate=C:\COMFO\CTALK\JOURSTD.TPL_x000d__x000a_LbStateAddress=3 3 0 251 1 89 2 311_x000d__x000a_LbStateJou 2" xfId="6127"/>
    <cellStyle name="&quot;" xfId="135"/>
    <cellStyle name="&quot; 2" xfId="136"/>
    <cellStyle name="&quot; 2 2" xfId="137"/>
    <cellStyle name="&quot; 3" xfId="138"/>
    <cellStyle name="&quot; 3 2" xfId="139"/>
    <cellStyle name="&quot; 4" xfId="140"/>
    <cellStyle name="&quot; 4 2" xfId="141"/>
    <cellStyle name="&quot; 5" xfId="142"/>
    <cellStyle name="&quot;_백석지구지구단위계획_도급내역서" xfId="143"/>
    <cellStyle name="&quot;_백석지구지구단위계획_도급내역서 2" xfId="144"/>
    <cellStyle name="&quot;_백석지구지구단위계획_도급내역서 2 2" xfId="145"/>
    <cellStyle name="&quot;_백석지구지구단위계획_도급내역서 3" xfId="146"/>
    <cellStyle name="&quot;_백석지구지구단위계획_도급내역서 3 2" xfId="147"/>
    <cellStyle name="&quot;_백석지구지구단위계획_도급내역서 4" xfId="148"/>
    <cellStyle name="&quot;_백석지구지구단위계획_도급내역서 4 2" xfId="149"/>
    <cellStyle name="&quot;_백석지구지구단위계획_도급내역서 5" xfId="150"/>
    <cellStyle name="&quot;큰제목&quot;" xfId="6128"/>
    <cellStyle name="#" xfId="6129"/>
    <cellStyle name="#,##0" xfId="6"/>
    <cellStyle name="#,##0 2" xfId="151"/>
    <cellStyle name="#,##0 2 2" xfId="152"/>
    <cellStyle name="#,##0 3" xfId="153"/>
    <cellStyle name="#,##0 3 2" xfId="154"/>
    <cellStyle name="#,##0 4" xfId="155"/>
    <cellStyle name="#,##0 4 2" xfId="156"/>
    <cellStyle name="#,##0 5" xfId="157"/>
    <cellStyle name="#,##0.0" xfId="6130"/>
    <cellStyle name="#,##0.00" xfId="6131"/>
    <cellStyle name="#,##0.000" xfId="6132"/>
    <cellStyle name="#,##0_02. 설계내역_시스템_20090407_v1" xfId="6133"/>
    <cellStyle name="#_02. 설계내역_시스템_20090407_v1" xfId="6134"/>
    <cellStyle name="#_02. 설계내역서_시스템_20090409_v1" xfId="6135"/>
    <cellStyle name="#_05년데이콤시설공사(대우자판전남본부서광주지점)시험성적서" xfId="6136"/>
    <cellStyle name="#_2000설계서최종" xfId="6137"/>
    <cellStyle name="#_2000설계서최종_공사비산출내역" xfId="6138"/>
    <cellStyle name="#_2000설계서최종_공사비산출내역_내역-홍천CCTV" xfId="6139"/>
    <cellStyle name="#_2000설계서최종_공사비산출내역_내역-홍천CCTV_준공서류(신독산~롯데아이티캐슬(흥진데이터서비스)하나로임차)" xfId="6140"/>
    <cellStyle name="#_2000설계서최종_공사비산출내역_준공서류(신독산~롯데아이티캐슬(흥진데이터서비스)하나로임차)" xfId="6141"/>
    <cellStyle name="#_2000설계서최종_내역-홍천CCTV" xfId="6142"/>
    <cellStyle name="#_2000설계서최종_내역-홍천CCTV_준공서류(신독산~롯데아이티캐슬(흥진데이터서비스)하나로임차)" xfId="6143"/>
    <cellStyle name="#_2000설계서최종_준공서류(신독산~롯데아이티캐슬(흥진데이터서비스)하나로임차)" xfId="6144"/>
    <cellStyle name="#_cost9702" xfId="6145"/>
    <cellStyle name="#_cost9702 (2)" xfId="6146"/>
    <cellStyle name="#_cost9702 (2)_계통도 (2)" xfId="6147"/>
    <cellStyle name="#_cost9702 (2)_계통도 (2)_계통도 " xfId="6148"/>
    <cellStyle name="#_cost9702 (2)_계통도 (2)_계통도 _(@클릭 pc방)준공자료" xfId="6149"/>
    <cellStyle name="#_cost9702 (2)_계통도 (2)_계통도 _(@클릭 pc방)준공자료_16준공자료(데이콤 중앙국사 ~ 한빛은행)" xfId="6150"/>
    <cellStyle name="#_cost9702 (2)_계통도 (2)_계통도 _(@클릭 pc방)준공자료_17준공자료(장안국사 ~ 스피드PC게임방)" xfId="6151"/>
    <cellStyle name="#_cost9702 (2)_계통도 (2)_계통도 _(@클릭 pc방)준공자료_동대문 다산로준공서류(시설)재진" xfId="6152"/>
    <cellStyle name="#_cost9702 (2)_계통도 (2)_계통도 _(@클릭 pc방)준공자료_러시안길준공기별" xfId="6153"/>
    <cellStyle name="#_cost9702 (2)_계통도 (2)_계통도 _(@클릭 pc방)준공자료_설계기별" xfId="6154"/>
    <cellStyle name="#_cost9702 (2)_계통도 (2)_계통도 _개통자료((주)모인텍)" xfId="6155"/>
    <cellStyle name="#_cost9702 (2)_계통도 (2)_계통도 _개통자료((주)모인텍)_개통자료(STI 남가좌 ~ STI 홍은설악)" xfId="6156"/>
    <cellStyle name="#_cost9702 (2)_계통도 (2)_계통도 _개통자료(STI북아현-STI북아현3)" xfId="6157"/>
    <cellStyle name="#_cost9702 (2)_계통도 (2)_계통도 _개통자료(STI북아현-STI북아현3)_개통자료(STI 남가좌 ~ STI 홍은설악)" xfId="6158"/>
    <cellStyle name="#_cost9702 (2)_계통도 (2)_계통도 _기별총괄" xfId="6159"/>
    <cellStyle name="#_cost9702 (2)_공사비예산서" xfId="6160"/>
    <cellStyle name="#_cost9702 (2)_공사비예산서 (2)" xfId="6161"/>
    <cellStyle name="#_cost9702 (2)_공사비예산서 (2)_계통도 " xfId="6162"/>
    <cellStyle name="#_cost9702 (2)_공사비예산서 (2)_계통도 _(@클릭 pc방)준공자료" xfId="6163"/>
    <cellStyle name="#_cost9702 (2)_공사비예산서 (2)_계통도 _(@클릭 pc방)준공자료_16준공자료(데이콤 중앙국사 ~ 한빛은행)" xfId="6164"/>
    <cellStyle name="#_cost9702 (2)_공사비예산서 (2)_계통도 _(@클릭 pc방)준공자료_17준공자료(장안국사 ~ 스피드PC게임방)" xfId="6165"/>
    <cellStyle name="#_cost9702 (2)_공사비예산서 (2)_계통도 _(@클릭 pc방)준공자료_동대문 다산로준공서류(시설)재진" xfId="6166"/>
    <cellStyle name="#_cost9702 (2)_공사비예산서 (2)_계통도 _(@클릭 pc방)준공자료_러시안길준공기별" xfId="6167"/>
    <cellStyle name="#_cost9702 (2)_공사비예산서 (2)_계통도 _(@클릭 pc방)준공자료_설계기별" xfId="6168"/>
    <cellStyle name="#_cost9702 (2)_공사비예산서 (2)_계통도 _개통자료((주)모인텍)" xfId="6169"/>
    <cellStyle name="#_cost9702 (2)_공사비예산서 (2)_계통도 _개통자료((주)모인텍)_개통자료(STI 남가좌 ~ STI 홍은설악)" xfId="6170"/>
    <cellStyle name="#_cost9702 (2)_공사비예산서 (2)_계통도 _개통자료(STI북아현-STI북아현3)" xfId="6171"/>
    <cellStyle name="#_cost9702 (2)_공사비예산서 (2)_계통도 _개통자료(STI북아현-STI북아현3)_개통자료(STI 남가좌 ~ STI 홍은설악)" xfId="6172"/>
    <cellStyle name="#_cost9702 (2)_공사비예산서 (2)_계통도 _기별총괄" xfId="6173"/>
    <cellStyle name="#_cost9702 (2)_공사비예산서_계통도 " xfId="6174"/>
    <cellStyle name="#_cost9702 (2)_공사비예산서_계통도 _(@클릭 pc방)준공자료" xfId="6175"/>
    <cellStyle name="#_cost9702 (2)_공사비예산서_계통도 _(@클릭 pc방)준공자료_16준공자료(데이콤 중앙국사 ~ 한빛은행)" xfId="6176"/>
    <cellStyle name="#_cost9702 (2)_공사비예산서_계통도 _(@클릭 pc방)준공자료_17준공자료(장안국사 ~ 스피드PC게임방)" xfId="6177"/>
    <cellStyle name="#_cost9702 (2)_공사비예산서_계통도 _(@클릭 pc방)준공자료_동대문 다산로준공서류(시설)재진" xfId="6178"/>
    <cellStyle name="#_cost9702 (2)_공사비예산서_계통도 _(@클릭 pc방)준공자료_러시안길준공기별" xfId="6179"/>
    <cellStyle name="#_cost9702 (2)_공사비예산서_계통도 _(@클릭 pc방)준공자료_설계기별" xfId="6180"/>
    <cellStyle name="#_cost9702 (2)_공사비예산서_계통도 _개통자료((주)모인텍)" xfId="6181"/>
    <cellStyle name="#_cost9702 (2)_공사비예산서_계통도 _개통자료((주)모인텍)_개통자료(STI 남가좌 ~ STI 홍은설악)" xfId="6182"/>
    <cellStyle name="#_cost9702 (2)_공사비예산서_계통도 _개통자료(STI북아현-STI북아현3)" xfId="6183"/>
    <cellStyle name="#_cost9702 (2)_공사비예산서_계통도 _개통자료(STI북아현-STI북아현3)_개통자료(STI 남가좌 ~ STI 홍은설악)" xfId="6184"/>
    <cellStyle name="#_cost9702 (2)_공사비예산서_계통도 _기별총괄" xfId="6185"/>
    <cellStyle name="#_cost9702 (2)_예정공정표 (2)" xfId="6186"/>
    <cellStyle name="#_cost9702 (2)_예정공정표 (2)_계통도 " xfId="6187"/>
    <cellStyle name="#_cost9702 (2)_예정공정표 (2)_계통도 _(@클릭 pc방)준공자료" xfId="6188"/>
    <cellStyle name="#_cost9702 (2)_예정공정표 (2)_계통도 _(@클릭 pc방)준공자료_16준공자료(데이콤 중앙국사 ~ 한빛은행)" xfId="6189"/>
    <cellStyle name="#_cost9702 (2)_예정공정표 (2)_계통도 _(@클릭 pc방)준공자료_17준공자료(장안국사 ~ 스피드PC게임방)" xfId="6190"/>
    <cellStyle name="#_cost9702 (2)_예정공정표 (2)_계통도 _(@클릭 pc방)준공자료_동대문 다산로준공서류(시설)재진" xfId="6191"/>
    <cellStyle name="#_cost9702 (2)_예정공정표 (2)_계통도 _(@클릭 pc방)준공자료_러시안길준공기별" xfId="6192"/>
    <cellStyle name="#_cost9702 (2)_예정공정표 (2)_계통도 _(@클릭 pc방)준공자료_설계기별" xfId="6193"/>
    <cellStyle name="#_cost9702 (2)_예정공정표 (2)_계통도 _개통자료((주)모인텍)" xfId="6194"/>
    <cellStyle name="#_cost9702 (2)_예정공정표 (2)_계통도 _개통자료((주)모인텍)_개통자료(STI 남가좌 ~ STI 홍은설악)" xfId="6195"/>
    <cellStyle name="#_cost9702 (2)_예정공정표 (2)_계통도 _개통자료(STI북아현-STI북아현3)" xfId="6196"/>
    <cellStyle name="#_cost9702 (2)_예정공정표 (2)_계통도 _개통자료(STI북아현-STI북아현3)_개통자료(STI 남가좌 ~ STI 홍은설악)" xfId="6197"/>
    <cellStyle name="#_cost9702 (2)_예정공정표 (2)_계통도 _기별총괄" xfId="6198"/>
    <cellStyle name="#_cost9702 (2)_주요자재" xfId="6199"/>
    <cellStyle name="#_cost9702 (2)_주요자재_계통도 " xfId="6200"/>
    <cellStyle name="#_cost9702 (2)_주요자재_계통도 _(@클릭 pc방)준공자료" xfId="6201"/>
    <cellStyle name="#_cost9702 (2)_주요자재_계통도 _(@클릭 pc방)준공자료_16준공자료(데이콤 중앙국사 ~ 한빛은행)" xfId="6202"/>
    <cellStyle name="#_cost9702 (2)_주요자재_계통도 _(@클릭 pc방)준공자료_17준공자료(장안국사 ~ 스피드PC게임방)" xfId="6203"/>
    <cellStyle name="#_cost9702 (2)_주요자재_계통도 _(@클릭 pc방)준공자료_동대문 다산로준공서류(시설)재진" xfId="6204"/>
    <cellStyle name="#_cost9702 (2)_주요자재_계통도 _(@클릭 pc방)준공자료_러시안길준공기별" xfId="6205"/>
    <cellStyle name="#_cost9702 (2)_주요자재_계통도 _(@클릭 pc방)준공자료_설계기별" xfId="6206"/>
    <cellStyle name="#_cost9702 (2)_주요자재_계통도 _개통자료((주)모인텍)" xfId="6207"/>
    <cellStyle name="#_cost9702 (2)_주요자재_계통도 _개통자료((주)모인텍)_개통자료(STI 남가좌 ~ STI 홍은설악)" xfId="6208"/>
    <cellStyle name="#_cost9702 (2)_주요자재_계통도 _개통자료(STI북아현-STI북아현3)" xfId="6209"/>
    <cellStyle name="#_cost9702 (2)_주요자재_계통도 _개통자료(STI북아현-STI북아현3)_개통자료(STI 남가좌 ~ STI 홍은설악)" xfId="6210"/>
    <cellStyle name="#_cost9702 (2)_주요자재_계통도 _기별총괄" xfId="6211"/>
    <cellStyle name="#_cost9702 (2)_표준(기별,현장보고서)" xfId="6212"/>
    <cellStyle name="#_cost9702 (2)_표준(기별,현장보고서)(국민은행4차시설공사" xfId="6213"/>
    <cellStyle name="#_cost9702 (2)_표준기별 (2)" xfId="6214"/>
    <cellStyle name="#_cost9702 (2)_품셈 " xfId="6215"/>
    <cellStyle name="#_cost9702_KT2차침하보수(송파동147-5외9개소)" xfId="6216"/>
    <cellStyle name="#_cost9702_KT2차침하보수(송파동147-5외9개소)_KT2차침하보수(송파동147-5외11개소)" xfId="6217"/>
    <cellStyle name="#_cost9702_KT2차침하보수(송파동147-5외9개소)_KT2차침하보수(송파동147-5외13개소)" xfId="6218"/>
    <cellStyle name="#_cost9702_경찰서=굴착신고" xfId="6219"/>
    <cellStyle name="#_cost9702_경찰서=굴착신고_KT2차침하보수(송파동147-5외9개소)" xfId="6220"/>
    <cellStyle name="#_cost9702_경찰서=굴착신고_KT2차침하보수(송파동147-5외9개소)_KT2차침하보수(송파동147-5외11개소)" xfId="6221"/>
    <cellStyle name="#_cost9702_경찰서=굴착신고_KT2차침하보수(송파동147-5외9개소)_KT2차침하보수(송파동147-5외13개소)" xfId="6222"/>
    <cellStyle name="#_cost9702_경찰서=굴착신고_영등포서=굴착신고" xfId="6223"/>
    <cellStyle name="#_cost9702_경찰서=굴착신고_영등포서=굴착신고_KT2차침하보수(송파동147-5외9개소)" xfId="6224"/>
    <cellStyle name="#_cost9702_경찰서=굴착신고_영등포서=굴착신고_KT2차침하보수(송파동147-5외9개소)_KT2차침하보수(송파동147-5외11개소)" xfId="6225"/>
    <cellStyle name="#_cost9702_경찰서=굴착신고_영등포서=굴착신고_KT2차침하보수(송파동147-5외9개소)_KT2차침하보수(송파동147-5외13개소)" xfId="6226"/>
    <cellStyle name="#_cost9702_남부경=굴착신고" xfId="6227"/>
    <cellStyle name="#_cost9702_남부경=굴착신고_KT2차침하보수(송파동147-5외9개소)" xfId="6228"/>
    <cellStyle name="#_cost9702_남부경=굴착신고_KT2차침하보수(송파동147-5외9개소)_KT2차침하보수(송파동147-5외11개소)" xfId="6229"/>
    <cellStyle name="#_cost9702_남부경=굴착신고_KT2차침하보수(송파동147-5외9개소)_KT2차침하보수(송파동147-5외13개소)" xfId="6230"/>
    <cellStyle name="#_cost9702_남부경=굴착신고_영등포서=굴착신고" xfId="6231"/>
    <cellStyle name="#_cost9702_남부경=굴착신고_영등포서=굴착신고_KT2차침하보수(송파동147-5외9개소)" xfId="6232"/>
    <cellStyle name="#_cost9702_남부경=굴착신고_영등포서=굴착신고_KT2차침하보수(송파동147-5외9개소)_KT2차침하보수(송파동147-5외11개소)" xfId="6233"/>
    <cellStyle name="#_cost9702_남부경=굴착신고_영등포서=굴착신고_KT2차침하보수(송파동147-5외9개소)_KT2차침하보수(송파동147-5외13개소)" xfId="6234"/>
    <cellStyle name="#_cost9702_사업계획서" xfId="6235"/>
    <cellStyle name="#_cost9702_사업계획서_Book1" xfId="6236"/>
    <cellStyle name="#_cost9702_사업계획서_KT2차침하보수(송파동147-5외9개소)" xfId="6237"/>
    <cellStyle name="#_cost9702_사업계획서_KT2차침하보수(송파동147-5외9개소)_KT2차침하보수(송파동147-5외11개소)" xfId="6238"/>
    <cellStyle name="#_cost9702_사업계획서_KT2차침하보수(송파동147-5외9개소)_KT2차침하보수(송파동147-5외13개소)" xfId="6239"/>
    <cellStyle name="#_cost9702_사업계획서_굴착계획도(강서)" xfId="6240"/>
    <cellStyle name="#_cost9702_사업계획서_굴착계획도(강서망구축)" xfId="6241"/>
    <cellStyle name="#_cost9702_사업계획서_굴착계획도(양천)" xfId="6242"/>
    <cellStyle name="#_cost9702_사업계획서_대방로굴착거리" xfId="6243"/>
    <cellStyle name="#_cost9702_사업계획서_사업계획서 (양천구3-4)" xfId="6244"/>
    <cellStyle name="#_cost9702_사업계획서_사업계획서(금천구)" xfId="6245"/>
    <cellStyle name="#_cost9702_사업계획서_사업계획서(금천구)_KT2차침하보수(송파동147-5외9개소)" xfId="6246"/>
    <cellStyle name="#_cost9702_사업계획서_사업계획서(금천구)_KT2차침하보수(송파동147-5외9개소)_KT2차침하보수(송파동147-5외11개소)" xfId="6247"/>
    <cellStyle name="#_cost9702_사업계획서_사업계획서(금천구)_KT2차침하보수(송파동147-5외9개소)_KT2차침하보수(송파동147-5외13개소)" xfId="6248"/>
    <cellStyle name="#_cost9702_사업계획서_사업계획서(양천)" xfId="6249"/>
    <cellStyle name="#_cost9702_사업계획서_사업계획서(영등포)0514" xfId="6250"/>
    <cellStyle name="#_cost9702_사업계획서_사업계획서(영등포)0514(완료분)" xfId="6251"/>
    <cellStyle name="#_cost9702_사업계획서_사업계획서(종로1-4)" xfId="6252"/>
    <cellStyle name="#_cost9702_사업계획서_사업계획서(종로1-4)_KT2차침하보수(송파동147-5외9개소)" xfId="6253"/>
    <cellStyle name="#_cost9702_사업계획서_사업계획서(종로1-4)_KT2차침하보수(송파동147-5외9개소)_KT2차침하보수(송파동147-5외11개소)" xfId="6254"/>
    <cellStyle name="#_cost9702_사업계획서_사업계획서(종로1-4)_KT2차침하보수(송파동147-5외9개소)_KT2차침하보수(송파동147-5외13개소)" xfId="6255"/>
    <cellStyle name="#_cost9702_사업계획서_사업계획서(중구1-4)" xfId="6256"/>
    <cellStyle name="#_cost9702_사업계획서_사업계획서(중구1-4)_KT2차침하보수(송파동147-5외9개소)" xfId="6257"/>
    <cellStyle name="#_cost9702_사업계획서_사업계획서(중구1-4)_KT2차침하보수(송파동147-5외9개소)_KT2차침하보수(송파동147-5외11개소)" xfId="6258"/>
    <cellStyle name="#_cost9702_사업계획서_사업계획서(중구1-4)_KT2차침하보수(송파동147-5외9개소)_KT2차침하보수(송파동147-5외13개소)" xfId="6259"/>
    <cellStyle name="#_cost9702_사업계획서_사업계획서03년44분기(양천)" xfId="6260"/>
    <cellStyle name="#_cost9702_사업계획서_사업계획서03년44분기(양천)_KT2차침하보수(송파동147-5외9개소)" xfId="6261"/>
    <cellStyle name="#_cost9702_사업계획서_사업계획서03년44분기(양천)_KT2차침하보수(송파동147-5외9개소)_KT2차침하보수(송파동147-5외11개소)" xfId="6262"/>
    <cellStyle name="#_cost9702_사업계획서_사업계획서03년44분기(양천)_KT2차침하보수(송파동147-5외9개소)_KT2차침하보수(송파동147-5외13개소)" xfId="6263"/>
    <cellStyle name="#_cost9702_사업계획서_사업계획서04년1-4분기(양천)" xfId="6264"/>
    <cellStyle name="#_cost9702_사업계획서_사업계획서04년1-4분기(양천)_KT2차침하보수(송파동147-5외9개소)" xfId="6265"/>
    <cellStyle name="#_cost9702_사업계획서_사업계획서04년1-4분기(양천)_KT2차침하보수(송파동147-5외9개소)_KT2차침하보수(송파동147-5외11개소)" xfId="6266"/>
    <cellStyle name="#_cost9702_사업계획서_사업계획서04년1-4분기(양천)_KT2차침하보수(송파동147-5외9개소)_KT2차침하보수(송파동147-5외13개소)" xfId="6267"/>
    <cellStyle name="#_cost9702_사업계획서_설계도면(학내망-양천)" xfId="6268"/>
    <cellStyle name="#_cost9702_사업계획서_양천2-4분기 사업계획도" xfId="6269"/>
    <cellStyle name="#_cost9702_사업계획서_양천사업계획서" xfId="6270"/>
    <cellStyle name="#_cost9702_사업계획서_양천사업계획서(1-4분기)" xfId="6271"/>
    <cellStyle name="#_cost9702_사업계획서_양천사업계획서(최종)-2-4" xfId="6272"/>
    <cellStyle name="#_cost9702_사업계획서_양천사업계획서(최종-신)" xfId="6273"/>
    <cellStyle name="#_cost9702_사업계획서_위치도" xfId="6274"/>
    <cellStyle name="#_cost9702_사업계획서_위치도(등촌주공3,4단지)" xfId="6275"/>
    <cellStyle name="#_cost9702_사업계획서_위치도_KT2차침하보수(송파동147-5외9개소)" xfId="6276"/>
    <cellStyle name="#_cost9702_사업계획서_위치도_KT2차침하보수(송파동147-5외9개소)_KT2차침하보수(송파동147-5외11개소)" xfId="6277"/>
    <cellStyle name="#_cost9702_사업계획서_위치도_KT2차침하보수(송파동147-5외9개소)_KT2차침하보수(송파동147-5외13개소)" xfId="6278"/>
    <cellStyle name="#_loos map관련폼" xfId="6279"/>
    <cellStyle name="#_경제인문사회연구회 BPRISP 수립 2008-09-04 1613" xfId="6280"/>
    <cellStyle name="#_공사비산출내역" xfId="6281"/>
    <cellStyle name="#_공사비산출내역_내역-홍천CCTV" xfId="6282"/>
    <cellStyle name="#_공사비산출내역_내역-홍천CCTV_준공서류(신독산~롯데아이티캐슬(흥진데이터서비스)하나로임차)" xfId="6283"/>
    <cellStyle name="#_공사비산출내역_준공서류(신독산~롯데아이티캐슬(흥진데이터서비스)하나로임차)" xfId="6284"/>
    <cellStyle name="#_내역-홍천CCTV" xfId="6285"/>
    <cellStyle name="#_내역-홍천CCTV_준공서류(신독산~롯데아이티캐슬(흥진데이터서비스)하나로임차)" xfId="6286"/>
    <cellStyle name="#_설계도면(구로동창조길지중화)(구로구청)" xfId="6287"/>
    <cellStyle name="#_설계서결재" xfId="6288"/>
    <cellStyle name="#_설계서결재_공사비산출내역" xfId="6289"/>
    <cellStyle name="#_설계서결재_공사비산출내역_내역-홍천CCTV" xfId="6290"/>
    <cellStyle name="#_설계서결재_공사비산출내역_내역-홍천CCTV_준공서류(신독산~롯데아이티캐슬(흥진데이터서비스)하나로임차)" xfId="6291"/>
    <cellStyle name="#_설계서결재_공사비산출내역_준공서류(신독산~롯데아이티캐슬(흥진데이터서비스)하나로임차)" xfId="6292"/>
    <cellStyle name="#_설계서결재_내역-홍천CCTV" xfId="6293"/>
    <cellStyle name="#_설계서결재_내역-홍천CCTV_준공서류(신독산~롯데아이티캐슬(흥진데이터서비스)하나로임차)" xfId="6294"/>
    <cellStyle name="#_설계서결재_준공서류(신독산~롯데아이티캐슬(흥진데이터서비스)하나로임차)" xfId="6295"/>
    <cellStyle name="#_예정공정표" xfId="6296"/>
    <cellStyle name="#_예정공정표_계통도 " xfId="6297"/>
    <cellStyle name="#_예정공정표_계통도 _(@클릭 pc방)준공자료" xfId="6298"/>
    <cellStyle name="#_예정공정표_계통도 _(@클릭 pc방)준공자료_16준공자료(데이콤 중앙국사 ~ 한빛은행)" xfId="6299"/>
    <cellStyle name="#_예정공정표_계통도 _(@클릭 pc방)준공자료_17준공자료(장안국사 ~ 스피드PC게임방)" xfId="6300"/>
    <cellStyle name="#_예정공정표_계통도 _(@클릭 pc방)준공자료_동대문 다산로준공서류(시설)재진" xfId="6301"/>
    <cellStyle name="#_예정공정표_계통도 _(@클릭 pc방)준공자료_러시안길준공기별" xfId="6302"/>
    <cellStyle name="#_예정공정표_계통도 _(@클릭 pc방)준공자료_설계기별" xfId="6303"/>
    <cellStyle name="#_예정공정표_계통도 _개통자료((주)모인텍)" xfId="6304"/>
    <cellStyle name="#_예정공정표_계통도 _개통자료((주)모인텍)_개통자료(STI 남가좌 ~ STI 홍은설악)" xfId="6305"/>
    <cellStyle name="#_예정공정표_계통도 _개통자료(STI북아현-STI북아현3)" xfId="6306"/>
    <cellStyle name="#_예정공정표_계통도 _개통자료(STI북아현-STI북아현3)_개통자료(STI 남가좌 ~ STI 홍은설악)" xfId="6307"/>
    <cellStyle name="#_예정공정표_계통도 _기별총괄" xfId="6308"/>
    <cellStyle name="#_예정공정표_품셈 " xfId="6309"/>
    <cellStyle name="#_원가(도천5교제출본)" xfId="6310"/>
    <cellStyle name="#_정보보안시스템 구축 2008-10-02 1315" xfId="6311"/>
    <cellStyle name="#_준공서류(신독산~롯데아이티캐슬(흥진데이터서비스)하나로임차)" xfId="6312"/>
    <cellStyle name="#_특수유형 기록물 관리시스템 구축 사업 2008-09-22 1940" xfId="6313"/>
    <cellStyle name="#_특수유형 기록물 관리시스템 구축 사업 2008-09-22 1940_ERP기반의 통합경영정보시스템 구축 2009-03-11 1028" xfId="6314"/>
    <cellStyle name="#_특수유형 기록물 관리시스템 구축 사업 2008-09-22 1940_IT인프라 관리체계 2단계 구축 2008-09-24 1521" xfId="6315"/>
    <cellStyle name="#_특수유형 기록물 관리시스템 구축 사업 2008-09-22 1940_IT인프라 관리체계 2단계 구축 2008-09-24 1521_정보보안시스템 구축 2008-10-02 1315" xfId="6316"/>
    <cellStyle name="#_특수유형 기록물 관리시스템 구축 사업 2008-09-22 1940_정보보안시스템 구축 2008-10-06 1005" xfId="6317"/>
    <cellStyle name="#_특수유형 기록물 관리시스템 구축 사업 2008-09-22 1951" xfId="6318"/>
    <cellStyle name="#_특수유형 기록물 관리시스템 구축 사업 2008-09-22 1951_ERP기반의 통합경영정보시스템 구축 2009-03-11 1028" xfId="6319"/>
    <cellStyle name="#_특수유형 기록물 관리시스템 구축 사업 2008-09-22 1951_IT인프라 관리체계 2단계 구축 2008-09-24 1521" xfId="6320"/>
    <cellStyle name="#_특수유형 기록물 관리시스템 구축 사업 2008-09-22 1951_IT인프라 관리체계 2단계 구축 2008-09-24 1521_정보보안시스템 구축 2008-10-02 1315" xfId="6321"/>
    <cellStyle name="#_특수유형 기록물 관리시스템 구축 사업 2008-09-22 1951_정보보안시스템 구축 2008-10-06 1005" xfId="6322"/>
    <cellStyle name="#_표준(기별,현장보고서)" xfId="6323"/>
    <cellStyle name="#_표준(기별,현장보고서)(국민은행4차시설공사" xfId="6324"/>
    <cellStyle name="#_표준기별 (2)" xfId="6325"/>
    <cellStyle name="#_품셈" xfId="6326"/>
    <cellStyle name="#_품셈 " xfId="6327"/>
    <cellStyle name="#_품셈 (2)" xfId="6328"/>
    <cellStyle name="#_품셈 (2)_표준(기별,현장보고서)" xfId="6329"/>
    <cellStyle name="#_품셈 (2)_표준(기별,현장보고서)(국민은행4차시설공사" xfId="6330"/>
    <cellStyle name="#_품셈 (2)_표준기별 (2)" xfId="6331"/>
    <cellStyle name="#_품셈 _5,6월지장이전" xfId="6332"/>
    <cellStyle name="#_품셈 _STICW-A3" xfId="6333"/>
    <cellStyle name="#_품셈 _STI-CWA3" xfId="6334"/>
    <cellStyle name="#_품셈 _간성~명파리" xfId="6335"/>
    <cellStyle name="#_품셈 _거마리~어성전" xfId="6336"/>
    <cellStyle name="#_품셈 _기별-두루넷" xfId="6337"/>
    <cellStyle name="#_품셈 _기별및서류" xfId="6338"/>
    <cellStyle name="#_품셈 _기지국약도" xfId="6339"/>
    <cellStyle name="#_품셈 _두루넷기별(12월부터)" xfId="6340"/>
    <cellStyle name="#_품셈 _두루넷기별(2001.1월부터)" xfId="6341"/>
    <cellStyle name="#_품셈 _두루넷기별(8.9월분)" xfId="6342"/>
    <cellStyle name="#_품셈 _두루넷기별(8월부터)" xfId="6343"/>
    <cellStyle name="#_품셈 _실사보고" xfId="6344"/>
    <cellStyle name="#_품셈 _정산양식" xfId="6345"/>
    <cellStyle name="#_품셈 _정산자료(SKT CW-A1)" xfId="6346"/>
    <cellStyle name="#_품셈 _준공기별" xfId="6347"/>
    <cellStyle name="#_품셈 _지장이전 (1월)" xfId="6348"/>
    <cellStyle name="#_품셈 _케블피~1" xfId="6349"/>
    <cellStyle name="#_품셈_계통도 " xfId="6350"/>
    <cellStyle name="#_품셈_계통도 _(@클릭 pc방)준공자료" xfId="6351"/>
    <cellStyle name="#_품셈_계통도 _(@클릭 pc방)준공자료_16준공자료(데이콤 중앙국사 ~ 한빛은행)" xfId="6352"/>
    <cellStyle name="#_품셈_계통도 _(@클릭 pc방)준공자료_17준공자료(장안국사 ~ 스피드PC게임방)" xfId="6353"/>
    <cellStyle name="#_품셈_계통도 _(@클릭 pc방)준공자료_동대문 다산로준공서류(시설)재진" xfId="6354"/>
    <cellStyle name="#_품셈_계통도 _(@클릭 pc방)준공자료_러시안길준공기별" xfId="6355"/>
    <cellStyle name="#_품셈_계통도 _(@클릭 pc방)준공자료_설계기별" xfId="6356"/>
    <cellStyle name="#_품셈_계통도 _개통자료((주)모인텍)" xfId="6357"/>
    <cellStyle name="#_품셈_계통도 _개통자료((주)모인텍)_개통자료(STI 남가좌 ~ STI 홍은설악)" xfId="6358"/>
    <cellStyle name="#_품셈_계통도 _개통자료(STI북아현-STI북아현3)" xfId="6359"/>
    <cellStyle name="#_품셈_계통도 _개통자료(STI북아현-STI북아현3)_개통자료(STI 남가좌 ~ STI 홍은설악)" xfId="6360"/>
    <cellStyle name="#_품셈_계통도 _기별총괄" xfId="6361"/>
    <cellStyle name="#_한국기계공업(총제조원가)1" xfId="6362"/>
    <cellStyle name="$" xfId="7"/>
    <cellStyle name="$_0008금감원통합감독검사정보시스템" xfId="6363"/>
    <cellStyle name="$_0009김포공항LED교체공사(광일)" xfId="158"/>
    <cellStyle name="$_0011KIST소각설비제작설치" xfId="6364"/>
    <cellStyle name="$_0011긴급전화기정산(99년형광일)" xfId="159"/>
    <cellStyle name="$_0011부산종합경기장전광판" xfId="160"/>
    <cellStyle name="$_0012문화유적지표석제작설치" xfId="6365"/>
    <cellStyle name="$_0102국제조명신공항분수조명" xfId="6366"/>
    <cellStyle name="$_0103회전식현수막게시대제작설치" xfId="6367"/>
    <cellStyle name="$_0104포항시침출수처리시스템" xfId="6368"/>
    <cellStyle name="$_0105담배자판기개조원가" xfId="6369"/>
    <cellStyle name="$_0106LG인버터냉난방기제작-1" xfId="6370"/>
    <cellStyle name="$_0107광전송장비구매설치" xfId="6371"/>
    <cellStyle name="$_0107도공IBS설비SW부문(참조)" xfId="6372"/>
    <cellStyle name="$_0107문화재복원용목재-8월6일" xfId="6373"/>
    <cellStyle name="$_0107포천영중수배전반(제조,설치)" xfId="6374"/>
    <cellStyle name="$_0108농기반미곡건조기제작설치" xfId="6375"/>
    <cellStyle name="$_0108담배인삼공사영업춘추복" xfId="6376"/>
    <cellStyle name="$_0108한국전기교통-LED교통신호등((원본))" xfId="6377"/>
    <cellStyle name="$_0111해양수산부등명기제작" xfId="6378"/>
    <cellStyle name="$_0111핸디소프트-전자표준문서시스템" xfId="6379"/>
    <cellStyle name="$_0112금감원사무자동화시스템" xfId="6380"/>
    <cellStyle name="$_0112수도권매립지SW원가" xfId="6381"/>
    <cellStyle name="$_0112중고원-HRD종합정보망구축(完)" xfId="6382"/>
    <cellStyle name="$_0201종합예술회관의자제작설치-1" xfId="6383"/>
    <cellStyle name="$_0202마사회근무복" xfId="6384"/>
    <cellStyle name="$_0202부경교재-승강칠판" xfId="6385"/>
    <cellStyle name="$_0204한국석묘납골함-1규격" xfId="6386"/>
    <cellStyle name="$_0206금감원금융정보교환망재구축" xfId="6387"/>
    <cellStyle name="$_0206정통부수납장표기기제작설치" xfId="6388"/>
    <cellStyle name="$_0207담배인삼공사-담요" xfId="6389"/>
    <cellStyle name="$_0208레비텍-다층여과기설계변경" xfId="6390"/>
    <cellStyle name="$_0209이산화염소발생기-설치(50K)" xfId="6391"/>
    <cellStyle name="$_0210현대정보기술-TD이중계" xfId="6392"/>
    <cellStyle name="$_0211조달청-#1대북지원사업정산(1월7일)" xfId="6393"/>
    <cellStyle name="$_0212금감원-법규정보시스템(完)" xfId="6394"/>
    <cellStyle name="$_0301교통방송-CCTV유지보수" xfId="6395"/>
    <cellStyle name="$_0302인천경찰청-무인단속기위탁관리" xfId="6396"/>
    <cellStyle name="$_0302조달청-대북지원2차(안성연)" xfId="6397"/>
    <cellStyle name="$_0302조달청-대북지원2차(최수현)" xfId="6398"/>
    <cellStyle name="$_0302표준문서-쌍용정보통신(신)" xfId="6399"/>
    <cellStyle name="$_0304소프트파워-정부표준전자문서시스템" xfId="6400"/>
    <cellStyle name="$_0304소프트파워-정부표준전자문서시스템(完)" xfId="6401"/>
    <cellStyle name="$_0304철도청-주변환장치-1" xfId="6402"/>
    <cellStyle name="$_0305금감원-금융통계정보시스템구축(完)" xfId="6403"/>
    <cellStyle name="$_0305제낭조합-면범포지" xfId="6404"/>
    <cellStyle name="$_0306제낭공업협동조합-면범포지원단(경비까지)" xfId="6405"/>
    <cellStyle name="$_0307경찰청-무인교통단속표준SW개발용역(完)" xfId="6406"/>
    <cellStyle name="$_0308조달청-#8대북지원사업정산" xfId="6407"/>
    <cellStyle name="$_0309두합크린텍-설치원가" xfId="6408"/>
    <cellStyle name="$_0309조달청-#9대북지원사업정산" xfId="6409"/>
    <cellStyle name="$_0310여주상수도-탈수기(유천ENG)" xfId="6410"/>
    <cellStyle name="$_0311대기해양작업시간" xfId="6411"/>
    <cellStyle name="$_0311대기해양중형등명기" xfId="6412"/>
    <cellStyle name="$_0312국민체육진흥공단-전기부문" xfId="6413"/>
    <cellStyle name="$_0312대기해양-중형등명기제작설치" xfId="6414"/>
    <cellStyle name="$_0312라이준-칼라아스콘4규격" xfId="6415"/>
    <cellStyle name="$_0401집진기프로그램SW개발비산정" xfId="6416"/>
    <cellStyle name="$_0404도로공사-전자지불(SW부문)" xfId="6417"/>
    <cellStyle name="$_08한국데이터베이스진흥센터" xfId="6418"/>
    <cellStyle name="$_2001-06조달청신성-한냉지형" xfId="6419"/>
    <cellStyle name="$_2002-03경찰대학-졸업식" xfId="6420"/>
    <cellStyle name="$_2002-03경찰청-경찰표지장" xfId="6421"/>
    <cellStyle name="$_2002-03반디-가로등(열주형)" xfId="6422"/>
    <cellStyle name="$_2002-03신화전자-감지기" xfId="6423"/>
    <cellStyle name="$_2002-04강원랜드-슬러트머신" xfId="6424"/>
    <cellStyle name="$_2002-04메가컴-외주무대" xfId="6425"/>
    <cellStyle name="$_2002-04엘지애드-무대" xfId="6426"/>
    <cellStyle name="$_2002-05강원랜드-슬러트머신(넥스터)" xfId="6427"/>
    <cellStyle name="$_2002-05경기경찰청-냉온수기공사" xfId="6428"/>
    <cellStyle name="$_2002-05대통령비서실-카페트" xfId="6429"/>
    <cellStyle name="$_2002결과표" xfId="6430"/>
    <cellStyle name="$_2002결과표1" xfId="6431"/>
    <cellStyle name="$_2003-01정일사-표창5종" xfId="6432"/>
    <cellStyle name="$_db진흥" xfId="8"/>
    <cellStyle name="$_db진흥 2" xfId="161"/>
    <cellStyle name="$_Pilot플랜트-계변경" xfId="6433"/>
    <cellStyle name="$_Pilot플랜트이전설치-변경최종" xfId="6434"/>
    <cellStyle name="$_SE40" xfId="9"/>
    <cellStyle name="$_SE40 2" xfId="162"/>
    <cellStyle name="$_SW(케이비)" xfId="6435"/>
    <cellStyle name="$_간지,목차,페이지,표지" xfId="6436"/>
    <cellStyle name="$_견적2" xfId="10"/>
    <cellStyle name="$_견적2 2" xfId="163"/>
    <cellStyle name="$_경찰청-근무,기동복" xfId="6437"/>
    <cellStyle name="$_공사일반관리비양식" xfId="6438"/>
    <cellStyle name="$_기아" xfId="11"/>
    <cellStyle name="$_기아 2" xfId="164"/>
    <cellStyle name="$_기초공사" xfId="6439"/>
    <cellStyle name="$_네인텍정보기술-회로카드(수현)" xfId="6440"/>
    <cellStyle name="$_대기해양노무비" xfId="6441"/>
    <cellStyle name="$_대북자재8월분" xfId="6442"/>
    <cellStyle name="$_대북자재8월분-1" xfId="6443"/>
    <cellStyle name="$_도로공사MM" xfId="6444"/>
    <cellStyle name="$_도로공사tcssw" xfId="6445"/>
    <cellStyle name="$_도장면적환산" xfId="6446"/>
    <cellStyle name="$_동구초등학교스텐드캐노피외제작설치" xfId="6447"/>
    <cellStyle name="$_동산용사촌수현(원본)" xfId="6448"/>
    <cellStyle name="$_메리츠증권견적서_유비닉스(예가)" xfId="6449"/>
    <cellStyle name="$_백제군사전시1" xfId="6450"/>
    <cellStyle name="$_석재조합0224" xfId="6451"/>
    <cellStyle name="$_수초제거기(대양기계)" xfId="6452"/>
    <cellStyle name="$_시설용역" xfId="6453"/>
    <cellStyle name="$_암전정밀실체현미경(수현)" xfId="12462"/>
    <cellStyle name="$_오리엔탈" xfId="6454"/>
    <cellStyle name="$_원본 - 한국전기교통-개선형신호등 4종" xfId="6455"/>
    <cellStyle name="$_제경비율모음" xfId="6456"/>
    <cellStyle name="$_제조원가" xfId="6457"/>
    <cellStyle name="$_조달청 수수료" xfId="6458"/>
    <cellStyle name="$_조달청-B판사천강교제작(최종본)" xfId="6459"/>
    <cellStyle name="$_조달청-대북지원3차(최수현)" xfId="6460"/>
    <cellStyle name="$_조달청-대북지원4차(최수현)" xfId="6461"/>
    <cellStyle name="$_조달청-대북지원5차(최수현)" xfId="6462"/>
    <cellStyle name="$_조달청-대북지원6차(번호)" xfId="6463"/>
    <cellStyle name="$_조달청-대북지원6차(최수현)" xfId="6464"/>
    <cellStyle name="$_조달청-대북지원7차(최수현)" xfId="6465"/>
    <cellStyle name="$_조달청-대북지원8차(최수현)" xfId="6466"/>
    <cellStyle name="$_조달청-대북지원9차(최수현)" xfId="6467"/>
    <cellStyle name="$_중앙선관위(투표,개표)" xfId="6468"/>
    <cellStyle name="$_중앙선관위(투표,개표)-사본" xfId="6469"/>
    <cellStyle name="$_철공가공조립" xfId="6470"/>
    <cellStyle name="$_최종-한국전기교통-개선형신호등 4종(공수조정)" xfId="6471"/>
    <cellStyle name="$_코솔라-제조원가" xfId="6472"/>
    <cellStyle name="$_탄천보도교 정비 및 개선공사 제작,설치(수정)1216" xfId="6473"/>
    <cellStyle name="$_토지공사-간접비" xfId="6474"/>
    <cellStyle name="$_한국도로공사" xfId="6475"/>
    <cellStyle name="$_한양프레임도로명판외91종(제작설치원가)" xfId="6476"/>
    <cellStyle name="$_한전내역서-최종" xfId="6477"/>
    <cellStyle name="$_해양종합휴양지조성사업9.13" xfId="165"/>
    <cellStyle name="%" xfId="6478"/>
    <cellStyle name="%(+,-,0)" xfId="166"/>
    <cellStyle name="&amp;A" xfId="6479"/>
    <cellStyle name="(_x0010_" xfId="6480"/>
    <cellStyle name="(##.00)" xfId="167"/>
    <cellStyle name="(△콤마)" xfId="168"/>
    <cellStyle name="(1)" xfId="12"/>
    <cellStyle name="(백분율)" xfId="169"/>
    <cellStyle name="(콤마)" xfId="170"/>
    <cellStyle name="(표준)" xfId="171"/>
    <cellStyle name="(표준) 2" xfId="172"/>
    <cellStyle name="(표준) 2 2" xfId="173"/>
    <cellStyle name="(표준) 3" xfId="174"/>
    <cellStyle name="(표준) 3 2" xfId="175"/>
    <cellStyle name="(표준) 4" xfId="176"/>
    <cellStyle name="(표준) 4 2" xfId="177"/>
    <cellStyle name="(표준) 5" xfId="178"/>
    <cellStyle name=")" xfId="6481"/>
    <cellStyle name=";;;" xfId="179"/>
    <cellStyle name="?" xfId="6482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6483"/>
    <cellStyle name="?? [0]_????? " xfId="6484"/>
    <cellStyle name="??_x000c_@?_x000d_3?_x0001__x000b_" xfId="6485"/>
    <cellStyle name="??_x000c_둄_x001b__x000d_|?_x0001_?_x0003__x0014__x0007__x0001__x0001_" xfId="6486"/>
    <cellStyle name="??_x000c_靖?崧U_x0001_A_x0014_?_x0007__x0001__x0001_" xfId="12463"/>
    <cellStyle name="??&amp;O?&amp;H??" xfId="180"/>
    <cellStyle name="??&amp;O?&amp;H?_x0008__x000f__x0007_?_x0007__x0001__x0001_" xfId="13"/>
    <cellStyle name="??&amp;O?&amp;H???" xfId="181"/>
    <cellStyle name="??&amp;O?&amp;H?_x0008_??_x0007__x0001__x0001_" xfId="14"/>
    <cellStyle name="??&amp;O?&amp;H?_x0008__x000f__x0007_?_x0007__x0001__x0001__01.20090507_설계내역서_1개소_2차로용_2개소_1차로용_원가산정_운암내부" xfId="6487"/>
    <cellStyle name="??&amp;O?&amp;H?_x0008_]_x0019_1_x001a__x0007__x0001__x0001_" xfId="6488"/>
    <cellStyle name="??&amp;O?&amp;H?_x0008_x_x000b_P_x000c__x0007__x0001__x0001_" xfId="6489"/>
    <cellStyle name="??&amp;?G_x0008_ X_x000a__x0007__x0001__x0001_" xfId="6490"/>
    <cellStyle name="??&amp;쏗?뷐9_x0008__x0011__x0007_?_x0007__x0001__x0001_" xfId="182"/>
    <cellStyle name="???­ [0]_??º?¼?·®??°? " xfId="183"/>
    <cellStyle name="???­_??º?¼?·®??°? " xfId="184"/>
    <cellStyle name="???Ø_??º?¼?·®??°? " xfId="185"/>
    <cellStyle name="??_????? " xfId="6491"/>
    <cellStyle name="?Þ¸¶ [0]_??º?¼?·®??°? " xfId="186"/>
    <cellStyle name="?Þ¸¶_??º?¼?·®??°? " xfId="187"/>
    <cellStyle name="?W?_laroux" xfId="188"/>
    <cellStyle name="? [0.00]_sm1(smc021) " xfId="6492"/>
    <cellStyle name="?_sm1(smc021) " xfId="6493"/>
    <cellStyle name="?曹%U?&amp;H?_x0008__x001a__x0004_?_x0007__x0001__x0001_" xfId="6494"/>
    <cellStyle name="?曹%U?&amp;H?_x0008_?s_x000a__x0007__x0001__x0001_" xfId="6495"/>
    <cellStyle name="?珠??? " xfId="6496"/>
    <cellStyle name="@" xfId="189"/>
    <cellStyle name="@_1.총괄표" xfId="190"/>
    <cellStyle name="@_laroux" xfId="6497"/>
    <cellStyle name="@_laroux_제트베인" xfId="6498"/>
    <cellStyle name="@_laroux_제트베인_1" xfId="6499"/>
    <cellStyle name="@_laroux_제트베인_1_광명_주정차시스템 견적서(한일에스티엠_4억9천)" xfId="12464"/>
    <cellStyle name="@_laroux_제트베인_1_광명_주정차시스템 견적서(한일에스티엠_4억9천)_성남시 불법주정차자동_견적서" xfId="12465"/>
    <cellStyle name="@_laroux_제트베인_1_광명_주정차시스템 견적서(한일에스티엠_4억9천)_성남시 불법주정차자동_견적서_견적서_ 한일에스티엠" xfId="12466"/>
    <cellStyle name="@_laroux_제트베인_1_광명_주정차시스템 견적서(한일에스티엠_수정본)" xfId="12467"/>
    <cellStyle name="@_laroux_제트베인_1_광명_주정차시스템 견적서(한일에스티엠_수정본)_성남시 불법주정차자동_견적서" xfId="12468"/>
    <cellStyle name="@_laroux_제트베인_1_광명_주정차시스템 견적서(한일에스티엠_수정본)_성남시 불법주정차자동_견적서_견적서_ 한일에스티엠" xfId="12469"/>
    <cellStyle name="@_laroux_제트베인_1_마창VMS1EA" xfId="12470"/>
    <cellStyle name="@_laroux_제트베인_1_마창VMS1EA_광명_주정차시스템 견적서(한일에스티엠_4억9천)" xfId="12471"/>
    <cellStyle name="@_laroux_제트베인_1_마창VMS1EA_광명_주정차시스템 견적서(한일에스티엠_4억9천)_성남시 불법주정차자동_견적서" xfId="12472"/>
    <cellStyle name="@_laroux_제트베인_1_마창VMS1EA_광명_주정차시스템 견적서(한일에스티엠_4억9천)_성남시 불법주정차자동_견적서_견적서_ 한일에스티엠" xfId="12473"/>
    <cellStyle name="@_laroux_제트베인_1_마창VMS1EA_광명_주정차시스템 견적서(한일에스티엠_수정본)" xfId="12474"/>
    <cellStyle name="@_laroux_제트베인_1_마창VMS1EA_광명_주정차시스템 견적서(한일에스티엠_수정본)_성남시 불법주정차자동_견적서" xfId="12475"/>
    <cellStyle name="@_laroux_제트베인_1_마창VMS1EA_광명_주정차시스템 견적서(한일에스티엠_수정본)_성남시 불법주정차자동_견적서_견적서_ 한일에스티엠" xfId="12476"/>
    <cellStyle name="@_laroux_제트베인_1_마창VMS1EA_성남시 불법주정차자동_견적서" xfId="12477"/>
    <cellStyle name="@_laroux_제트베인_1_마창VMS1EA_성남시 불법주정차자동_견적서_견적서_ 한일에스티엠" xfId="12478"/>
    <cellStyle name="@_laroux_제트베인_1_마창VMS1EA-2" xfId="12479"/>
    <cellStyle name="@_laroux_제트베인_1_마창VMS1EA-2_광명_주정차시스템 견적서(한일에스티엠_4억9천)" xfId="12480"/>
    <cellStyle name="@_laroux_제트베인_1_마창VMS1EA-2_광명_주정차시스템 견적서(한일에스티엠_4억9천)_성남시 불법주정차자동_견적서" xfId="12481"/>
    <cellStyle name="@_laroux_제트베인_1_마창VMS1EA-2_광명_주정차시스템 견적서(한일에스티엠_4억9천)_성남시 불법주정차자동_견적서_견적서_ 한일에스티엠" xfId="12482"/>
    <cellStyle name="@_laroux_제트베인_1_마창VMS1EA-2_광명_주정차시스템 견적서(한일에스티엠_수정본)" xfId="12483"/>
    <cellStyle name="@_laroux_제트베인_1_마창VMS1EA-2_광명_주정차시스템 견적서(한일에스티엠_수정본)_성남시 불법주정차자동_견적서" xfId="12484"/>
    <cellStyle name="@_laroux_제트베인_1_마창VMS1EA-2_광명_주정차시스템 견적서(한일에스티엠_수정본)_성남시 불법주정차자동_견적서_견적서_ 한일에스티엠" xfId="12485"/>
    <cellStyle name="@_laroux_제트베인_1_마창VMS1EA-2_성남시 불법주정차자동_견적서" xfId="12486"/>
    <cellStyle name="@_laroux_제트베인_1_마창VMS1EA-2_성남시 불법주정차자동_견적서_견적서_ 한일에스티엠" xfId="12487"/>
    <cellStyle name="@_laroux_제트베인_1_성남시 불법주정차자동_견적서" xfId="12488"/>
    <cellStyle name="@_laroux_제트베인_1_성남시 불법주정차자동_견적서_견적서_ 한일에스티엠" xfId="12489"/>
    <cellStyle name="@_견적실적용간접공사비" xfId="191"/>
    <cellStyle name="@_결제용시행대비표" xfId="192"/>
    <cellStyle name="@_고속국도1공구간접공사비" xfId="193"/>
    <cellStyle name="@_복사본 03. 부대입찰결과" xfId="194"/>
    <cellStyle name="@_시화1공구BD" xfId="195"/>
    <cellStyle name="@_지역업체결재" xfId="196"/>
    <cellStyle name="@_춘천동홍천2공구BD" xfId="197"/>
    <cellStyle name="]_^[꺞_x0008_?" xfId="6500"/>
    <cellStyle name="]_Sheet1_FY96" xfId="6501"/>
    <cellStyle name="]_Sheet1_PRODUCT DETAIL_x0013_Comma [0]_Sheet1_Q1" xfId="6502"/>
    <cellStyle name="_----" xfId="198"/>
    <cellStyle name="_(01-14)광양항인건비" xfId="6503"/>
    <cellStyle name="_(030312)오남리 아파트" xfId="6504"/>
    <cellStyle name="_(06-07-11) UPIS DB 설계내역서(우대)" xfId="199"/>
    <cellStyle name="_(2007년)포스텍(STXHI)_UG-ME&amp;S-견적서" xfId="12490"/>
    <cellStyle name="_(3)(제출용)STX PLM 구축 외 견적서" xfId="12491"/>
    <cellStyle name="_(B지구택지개발사업)_원용역_충북개발공사수행분포함" xfId="200"/>
    <cellStyle name="_(NT서버)소비자가" xfId="6505"/>
    <cellStyle name="_(견)메리츠_증권-IC_카드_발급_시스템_예가_산정_견적__20081020-최종본" xfId="6506"/>
    <cellStyle name="_(붙임1)ATM 구매요청서" xfId="6507"/>
    <cellStyle name="_(붙임5)소요예산산출근거(1)" xfId="6508"/>
    <cellStyle name="_(이젠씨에스티)투비던 040608 김도범님" xfId="12492"/>
    <cellStyle name="_(진성ENC) SKT 대명리(기) - 개통확인서 (050303)" xfId="6509"/>
    <cellStyle name="_(진성ENC) SKT 대포리(기) - 개통확인서 (050303)" xfId="6510"/>
    <cellStyle name="_(최종IBM)050826_STX지주회사 Erp Server 견적서" xfId="12493"/>
    <cellStyle name="_(한국농촌경제연구원)퍼스트클래스솔루션_견적서(v2.2)" xfId="6511"/>
    <cellStyle name="_~9675215" xfId="6512"/>
    <cellStyle name="_0.실시설계-총괄" xfId="201"/>
    <cellStyle name="_00 예정지 항공측량용역_총괄표" xfId="202"/>
    <cellStyle name="_00.연도별_장비예산요구견적종합_제출용_v1.1" xfId="6513"/>
    <cellStyle name="_00.총괄표" xfId="203"/>
    <cellStyle name="_000" xfId="6514"/>
    <cellStyle name="_0000.천안아산통합방범시스템 설계변경(20070418_최종수정_조달제출 수정분)" xfId="6515"/>
    <cellStyle name="_0001217375" xfId="6516"/>
    <cellStyle name="_00-04-구조물총괄" xfId="204"/>
    <cellStyle name="_00-04-구조물총괄_강관압입구조물공" xfId="205"/>
    <cellStyle name="_00-04-구조물총괄_강관압입구조물공_내지농로(변경)" xfId="206"/>
    <cellStyle name="_00-04-구조물총괄_강관압입구조물공_내지농로(변경)_돈지수량산출" xfId="207"/>
    <cellStyle name="_00-04-구조물총괄_강관압입구조물공_능양수량산출" xfId="208"/>
    <cellStyle name="_00-04-구조물총괄_강관압입구조물공_능양수량산출_돈지수량산출" xfId="209"/>
    <cellStyle name="_00-04-구조물총괄_강관압입구조물공_돈지안길" xfId="210"/>
    <cellStyle name="_00-04-구조물총괄_강관압입구조물공_돈지안길_배수로" xfId="211"/>
    <cellStyle name="_00-04-구조물총괄_강관압입구조물공_돈지안길1000" xfId="212"/>
    <cellStyle name="_00-04-구조물총괄_강관압입구조물공_돈지안길1000_배수로" xfId="213"/>
    <cellStyle name="_00-04-구조물총괄_강관압입구조물공_배수로" xfId="214"/>
    <cellStyle name="_00-04-구조물총괄_강관압입구조물공_배수로_배수로" xfId="215"/>
    <cellStyle name="_00-04-구조물총괄_강관압입구조물공_석축쌓기" xfId="216"/>
    <cellStyle name="_00-04-구조물총괄_강관압입구조물공_석축쌓기_내지농로(변경)" xfId="217"/>
    <cellStyle name="_00-04-구조물총괄_강관압입구조물공_석축쌓기_내지농로(변경)_돈지수량산출" xfId="218"/>
    <cellStyle name="_00-04-구조물총괄_강관압입구조물공_석축쌓기_능양수량산출" xfId="219"/>
    <cellStyle name="_00-04-구조물총괄_강관압입구조물공_석축쌓기_능양수량산출_돈지수량산출" xfId="220"/>
    <cellStyle name="_00-04-구조물총괄_강관압입구조물공_석축쌓기_돈지안길" xfId="221"/>
    <cellStyle name="_00-04-구조물총괄_강관압입구조물공_석축쌓기_돈지안길_배수로" xfId="222"/>
    <cellStyle name="_00-04-구조물총괄_강관압입구조물공_석축쌓기_돈지안길1000" xfId="223"/>
    <cellStyle name="_00-04-구조물총괄_강관압입구조물공_석축쌓기_돈지안길1000_배수로" xfId="224"/>
    <cellStyle name="_00-04-구조물총괄_강관압입구조물공_석축쌓기_배수공(명품센터)" xfId="225"/>
    <cellStyle name="_00-04-구조물총괄_강관압입구조물공_석축쌓기_배수공(명품센터)_내지농로(변경)" xfId="226"/>
    <cellStyle name="_00-04-구조물총괄_강관압입구조물공_석축쌓기_배수공(명품센터)_내지농로(변경)_돈지수량산출" xfId="227"/>
    <cellStyle name="_00-04-구조물총괄_강관압입구조물공_석축쌓기_배수공(명품센터)_능양수량산출" xfId="228"/>
    <cellStyle name="_00-04-구조물총괄_강관압입구조물공_석축쌓기_배수공(명품센터)_능양수량산출_돈지수량산출" xfId="229"/>
    <cellStyle name="_00-04-구조물총괄_강관압입구조물공_석축쌓기_배수공(명품센터)_돈지안길" xfId="230"/>
    <cellStyle name="_00-04-구조물총괄_강관압입구조물공_석축쌓기_배수공(명품센터)_돈지안길_배수로" xfId="231"/>
    <cellStyle name="_00-04-구조물총괄_강관압입구조물공_석축쌓기_배수공(명품센터)_돈지안길1000" xfId="232"/>
    <cellStyle name="_00-04-구조물총괄_강관압입구조물공_석축쌓기_배수공(명품센터)_돈지안길1000_배수로" xfId="233"/>
    <cellStyle name="_00-04-구조물총괄_강관압입구조물공_석축쌓기_배수공(명품센터)_배수로" xfId="234"/>
    <cellStyle name="_00-04-구조물총괄_강관압입구조물공_석축쌓기_배수공(명품센터)_배수로_배수로" xfId="235"/>
    <cellStyle name="_00-04-구조물총괄_강관압입구조물공_석축쌓기_배수로" xfId="236"/>
    <cellStyle name="_00-04-구조물총괄_강관압입구조물공_석축쌓기_배수로_배수로" xfId="237"/>
    <cellStyle name="_00-04-구조물총괄_강관압입구조물공_석축쌓기_수량(전안수해복구)" xfId="238"/>
    <cellStyle name="_00-04-구조물총괄_강관압입구조물공_석축쌓기_수량(전안수해복구)_내지농로(변경)" xfId="239"/>
    <cellStyle name="_00-04-구조물총괄_강관압입구조물공_석축쌓기_수량(전안수해복구)_내지농로(변경)_돈지수량산출" xfId="240"/>
    <cellStyle name="_00-04-구조물총괄_강관압입구조물공_석축쌓기_수량(전안수해복구)_능양수량산출" xfId="241"/>
    <cellStyle name="_00-04-구조물총괄_강관압입구조물공_석축쌓기_수량(전안수해복구)_능양수량산출_돈지수량산출" xfId="242"/>
    <cellStyle name="_00-04-구조물총괄_강관압입구조물공_석축쌓기_수량(전안수해복구)_돈지안길" xfId="243"/>
    <cellStyle name="_00-04-구조물총괄_강관압입구조물공_석축쌓기_수량(전안수해복구)_돈지안길_배수로" xfId="244"/>
    <cellStyle name="_00-04-구조물총괄_강관압입구조물공_석축쌓기_수량(전안수해복구)_돈지안길1000" xfId="245"/>
    <cellStyle name="_00-04-구조물총괄_강관압입구조물공_석축쌓기_수량(전안수해복구)_돈지안길1000_배수로" xfId="246"/>
    <cellStyle name="_00-04-구조물총괄_강관압입구조물공_석축쌓기_수량(전안수해복구)_배수로" xfId="247"/>
    <cellStyle name="_00-04-구조물총괄_강관압입구조물공_석축쌓기_수량(전안수해복구)_배수로_배수로" xfId="248"/>
    <cellStyle name="_00-04-구조물총괄_강관압입구조물공_석축쌓기_우수공(k2)" xfId="249"/>
    <cellStyle name="_00-04-구조물총괄_강관압입구조물공_석축쌓기_우수공(k2)_내지농로(변경)" xfId="250"/>
    <cellStyle name="_00-04-구조물총괄_강관압입구조물공_석축쌓기_우수공(k2)_내지농로(변경)_돈지수량산출" xfId="251"/>
    <cellStyle name="_00-04-구조물총괄_강관압입구조물공_석축쌓기_우수공(k2)_능양수량산출" xfId="252"/>
    <cellStyle name="_00-04-구조물총괄_강관압입구조물공_석축쌓기_우수공(k2)_능양수량산출_돈지수량산출" xfId="253"/>
    <cellStyle name="_00-04-구조물총괄_강관압입구조물공_석축쌓기_우수공(k2)_돈지안길" xfId="254"/>
    <cellStyle name="_00-04-구조물총괄_강관압입구조물공_석축쌓기_우수공(k2)_돈지안길_배수로" xfId="255"/>
    <cellStyle name="_00-04-구조물총괄_강관압입구조물공_석축쌓기_우수공(k2)_돈지안길1000" xfId="256"/>
    <cellStyle name="_00-04-구조물총괄_강관압입구조물공_석축쌓기_우수공(k2)_돈지안길1000_배수로" xfId="257"/>
    <cellStyle name="_00-04-구조물총괄_강관압입구조물공_석축쌓기_우수공(k2)_배수로" xfId="258"/>
    <cellStyle name="_00-04-구조물총괄_강관압입구조물공_석축쌓기_우수공(k2)_배수로_배수로" xfId="259"/>
    <cellStyle name="_00-04-구조물총괄_내지농로(변경)" xfId="260"/>
    <cellStyle name="_00-04-구조물총괄_내지농로(변경)_돈지수량산출" xfId="261"/>
    <cellStyle name="_00-04-구조물총괄_능양수량산출" xfId="262"/>
    <cellStyle name="_00-04-구조물총괄_능양수량산출_돈지수량산출" xfId="263"/>
    <cellStyle name="_00-04-구조물총괄_돈지안길" xfId="264"/>
    <cellStyle name="_00-04-구조물총괄_돈지안길_배수로" xfId="265"/>
    <cellStyle name="_00-04-구조물총괄_돈지안길1000" xfId="266"/>
    <cellStyle name="_00-04-구조물총괄_돈지안길1000_배수로" xfId="267"/>
    <cellStyle name="_00-04-구조물총괄_배수로" xfId="268"/>
    <cellStyle name="_00-04-구조물총괄_배수로_배수로" xfId="269"/>
    <cellStyle name="_00-04-구조물총괄_석축쌓기" xfId="270"/>
    <cellStyle name="_00-04-구조물총괄_석축쌓기_내지농로(변경)" xfId="271"/>
    <cellStyle name="_00-04-구조물총괄_석축쌓기_내지농로(변경)_돈지수량산출" xfId="272"/>
    <cellStyle name="_00-04-구조물총괄_석축쌓기_능양수량산출" xfId="273"/>
    <cellStyle name="_00-04-구조물총괄_석축쌓기_능양수량산출_돈지수량산출" xfId="274"/>
    <cellStyle name="_00-04-구조물총괄_석축쌓기_돈지안길" xfId="275"/>
    <cellStyle name="_00-04-구조물총괄_석축쌓기_돈지안길_배수로" xfId="276"/>
    <cellStyle name="_00-04-구조물총괄_석축쌓기_돈지안길1000" xfId="277"/>
    <cellStyle name="_00-04-구조물총괄_석축쌓기_돈지안길1000_배수로" xfId="278"/>
    <cellStyle name="_00-04-구조물총괄_석축쌓기_배수공(명품센터)" xfId="279"/>
    <cellStyle name="_00-04-구조물총괄_석축쌓기_배수공(명품센터)_내지농로(변경)" xfId="280"/>
    <cellStyle name="_00-04-구조물총괄_석축쌓기_배수공(명품센터)_내지농로(변경)_돈지수량산출" xfId="281"/>
    <cellStyle name="_00-04-구조물총괄_석축쌓기_배수공(명품센터)_능양수량산출" xfId="282"/>
    <cellStyle name="_00-04-구조물총괄_석축쌓기_배수공(명품센터)_능양수량산출_돈지수량산출" xfId="283"/>
    <cellStyle name="_00-04-구조물총괄_석축쌓기_배수공(명품센터)_돈지안길" xfId="284"/>
    <cellStyle name="_00-04-구조물총괄_석축쌓기_배수공(명품센터)_돈지안길_배수로" xfId="285"/>
    <cellStyle name="_00-04-구조물총괄_석축쌓기_배수공(명품센터)_돈지안길1000" xfId="286"/>
    <cellStyle name="_00-04-구조물총괄_석축쌓기_배수공(명품센터)_돈지안길1000_배수로" xfId="287"/>
    <cellStyle name="_00-04-구조물총괄_석축쌓기_배수공(명품센터)_배수로" xfId="288"/>
    <cellStyle name="_00-04-구조물총괄_석축쌓기_배수공(명품센터)_배수로_배수로" xfId="289"/>
    <cellStyle name="_00-04-구조물총괄_석축쌓기_배수로" xfId="290"/>
    <cellStyle name="_00-04-구조물총괄_석축쌓기_배수로_배수로" xfId="291"/>
    <cellStyle name="_00-04-구조물총괄_석축쌓기_수량(전안수해복구)" xfId="292"/>
    <cellStyle name="_00-04-구조물총괄_석축쌓기_수량(전안수해복구)_내지농로(변경)" xfId="293"/>
    <cellStyle name="_00-04-구조물총괄_석축쌓기_수량(전안수해복구)_내지농로(변경)_돈지수량산출" xfId="294"/>
    <cellStyle name="_00-04-구조물총괄_석축쌓기_수량(전안수해복구)_능양수량산출" xfId="295"/>
    <cellStyle name="_00-04-구조물총괄_석축쌓기_수량(전안수해복구)_능양수량산출_돈지수량산출" xfId="296"/>
    <cellStyle name="_00-04-구조물총괄_석축쌓기_수량(전안수해복구)_돈지안길" xfId="297"/>
    <cellStyle name="_00-04-구조물총괄_석축쌓기_수량(전안수해복구)_돈지안길_배수로" xfId="298"/>
    <cellStyle name="_00-04-구조물총괄_석축쌓기_수량(전안수해복구)_돈지안길1000" xfId="299"/>
    <cellStyle name="_00-04-구조물총괄_석축쌓기_수량(전안수해복구)_돈지안길1000_배수로" xfId="300"/>
    <cellStyle name="_00-04-구조물총괄_석축쌓기_수량(전안수해복구)_배수로" xfId="301"/>
    <cellStyle name="_00-04-구조물총괄_석축쌓기_수량(전안수해복구)_배수로_배수로" xfId="302"/>
    <cellStyle name="_00-04-구조물총괄_석축쌓기_우수공(k2)" xfId="303"/>
    <cellStyle name="_00-04-구조물총괄_석축쌓기_우수공(k2)_내지농로(변경)" xfId="304"/>
    <cellStyle name="_00-04-구조물총괄_석축쌓기_우수공(k2)_내지농로(변경)_돈지수량산출" xfId="305"/>
    <cellStyle name="_00-04-구조물총괄_석축쌓기_우수공(k2)_능양수량산출" xfId="306"/>
    <cellStyle name="_00-04-구조물총괄_석축쌓기_우수공(k2)_능양수량산출_돈지수량산출" xfId="307"/>
    <cellStyle name="_00-04-구조물총괄_석축쌓기_우수공(k2)_돈지안길" xfId="308"/>
    <cellStyle name="_00-04-구조물총괄_석축쌓기_우수공(k2)_돈지안길_배수로" xfId="309"/>
    <cellStyle name="_00-04-구조물총괄_석축쌓기_우수공(k2)_돈지안길1000" xfId="310"/>
    <cellStyle name="_00-04-구조물총괄_석축쌓기_우수공(k2)_돈지안길1000_배수로" xfId="311"/>
    <cellStyle name="_00-04-구조물총괄_석축쌓기_우수공(k2)_배수로" xfId="312"/>
    <cellStyle name="_00-04-구조물총괄_석축쌓기_우수공(k2)_배수로_배수로" xfId="313"/>
    <cellStyle name="_000-명동-삼포간 해안관광도로(8-14)" xfId="6517"/>
    <cellStyle name="_000-명동-삼포간 해안관광도로(8-14)_2004년 완선공사(최종본)" xfId="6518"/>
    <cellStyle name="_000-명동-삼포간 해안관광도로(8-14)_안동전통문화콘텐츠박물관전시영상물구축(전시시설물)" xfId="6519"/>
    <cellStyle name="_000-명동-삼포간 해안관광도로(8-14)_안동전통문화콘텐츠박물관전시영상물구축(전시시설물)_원가보고서(종합)-조달" xfId="6520"/>
    <cellStyle name="_000-명동-삼포간 해안관광도로(8-14)_안동전통문화콘텐츠박물관전시영상물구축(전시시설물)_원가보고서(흑색)-조달" xfId="6521"/>
    <cellStyle name="_000-명동-삼포간 해안관광도로(8-14)_원가계산서(화성상록)" xfId="6522"/>
    <cellStyle name="_000-명동-삼포간 해안관광도로(8-14)_원가계산서(화성상록) (version 1)" xfId="6523"/>
    <cellStyle name="_000-명동-삼포간 해안관광도로(8-14)_원가계산서(화성상록) (version 1)_원가보고서(종합)-조달" xfId="6524"/>
    <cellStyle name="_000-명동-삼포간 해안관광도로(8-14)_원가계산서(화성상록) (version 1)_원가보고서(흑색)-조달" xfId="6525"/>
    <cellStyle name="_000-명동-삼포간 해안관광도로(8-14)_원가계산서(화성상록)_원가보고서(종합)-조달" xfId="6526"/>
    <cellStyle name="_000-명동-삼포간 해안관광도로(8-14)_원가계산서(화성상록)_원가보고서(흑색)-조달" xfId="6527"/>
    <cellStyle name="_000-용호고(최종)" xfId="6528"/>
    <cellStyle name="_000-용호고(최종)_000-용호고(최종)" xfId="6529"/>
    <cellStyle name="_000-용호고(최종)_000-용호고(최종)_00-명동-삼포간 해안관광도로" xfId="6530"/>
    <cellStyle name="_000-용호고(최종)_000-용호고(최종)_00-명동-삼포간 해안관광도로_2004년 완선공사(최종본)" xfId="6531"/>
    <cellStyle name="_000-용호고(최종)_000-용호고(최종)_00-명동-삼포간 해안관광도로_안동전통문화콘텐츠박물관전시영상물구축(전시시설물)" xfId="6532"/>
    <cellStyle name="_000-용호고(최종)_000-용호고(최종)_00-명동-삼포간 해안관광도로_안동전통문화콘텐츠박물관전시영상물구축(전시시설물)_원가보고서(종합)-조달" xfId="6533"/>
    <cellStyle name="_000-용호고(최종)_000-용호고(최종)_00-명동-삼포간 해안관광도로_안동전통문화콘텐츠박물관전시영상물구축(전시시설물)_원가보고서(흑색)-조달" xfId="6534"/>
    <cellStyle name="_000-용호고(최종)_000-용호고(최종)_00-명동-삼포간 해안관광도로_원가계산서(화성상록)" xfId="6535"/>
    <cellStyle name="_000-용호고(최종)_000-용호고(최종)_00-명동-삼포간 해안관광도로_원가계산서(화성상록) (version 1)" xfId="6536"/>
    <cellStyle name="_000-용호고(최종)_000-용호고(최종)_00-명동-삼포간 해안관광도로_원가계산서(화성상록) (version 1)_원가보고서(종합)-조달" xfId="6537"/>
    <cellStyle name="_000-용호고(최종)_000-용호고(최종)_00-명동-삼포간 해안관광도로_원가계산서(화성상록) (version 1)_원가보고서(흑색)-조달" xfId="6538"/>
    <cellStyle name="_000-용호고(최종)_000-용호고(최종)_00-명동-삼포간 해안관광도로_원가계산서(화성상록)_원가보고서(종합)-조달" xfId="6539"/>
    <cellStyle name="_000-용호고(최종)_000-용호고(최종)_00-명동-삼포간 해안관광도로_원가계산서(화성상록)_원가보고서(흑색)-조달" xfId="6540"/>
    <cellStyle name="_000-용호고(최종)_000-용호고(최종)_00-미점-정서간도로확.포장공사(서)-12-14" xfId="6541"/>
    <cellStyle name="_000-용호고(최종)_000-용호고(최종)_00-미점-정서간도로확.포장공사(서)-12-14_2004년 완선공사(최종본)" xfId="6542"/>
    <cellStyle name="_000-용호고(최종)_000-용호고(최종)_00-미점-정서간도로확.포장공사(서)-12-14_안동전통문화콘텐츠박물관전시영상물구축(전시시설물)" xfId="6543"/>
    <cellStyle name="_000-용호고(최종)_000-용호고(최종)_00-미점-정서간도로확.포장공사(서)-12-14_안동전통문화콘텐츠박물관전시영상물구축(전시시설물)_원가보고서(종합)-조달" xfId="6544"/>
    <cellStyle name="_000-용호고(최종)_000-용호고(최종)_00-미점-정서간도로확.포장공사(서)-12-14_안동전통문화콘텐츠박물관전시영상물구축(전시시설물)_원가보고서(흑색)-조달" xfId="6545"/>
    <cellStyle name="_000-용호고(최종)_000-용호고(최종)_00-미점-정서간도로확.포장공사(서)-12-14_원가계산서(화성상록)" xfId="6546"/>
    <cellStyle name="_000-용호고(최종)_000-용호고(최종)_00-미점-정서간도로확.포장공사(서)-12-14_원가계산서(화성상록) (version 1)" xfId="6547"/>
    <cellStyle name="_000-용호고(최종)_000-용호고(최종)_00-미점-정서간도로확.포장공사(서)-12-14_원가계산서(화성상록) (version 1)_원가보고서(종합)-조달" xfId="6548"/>
    <cellStyle name="_000-용호고(최종)_000-용호고(최종)_00-미점-정서간도로확.포장공사(서)-12-14_원가계산서(화성상록) (version 1)_원가보고서(흑색)-조달" xfId="6549"/>
    <cellStyle name="_000-용호고(최종)_000-용호고(최종)_00-미점-정서간도로확.포장공사(서)-12-14_원가계산서(화성상록)_원가보고서(종합)-조달" xfId="6550"/>
    <cellStyle name="_000-용호고(최종)_000-용호고(최종)_00-미점-정서간도로확.포장공사(서)-12-14_원가계산서(화성상록)_원가보고서(흑색)-조달" xfId="6551"/>
    <cellStyle name="_000-용호고(최종)_000-용호고(최종)_00-미점-정서간도로확.포장공사-12-17일 기준" xfId="6552"/>
    <cellStyle name="_000-용호고(최종)_000-용호고(최종)_00-미점-정서간도로확.포장공사-12-17일 기준_2004년 완선공사(최종본)" xfId="6553"/>
    <cellStyle name="_000-용호고(최종)_000-용호고(최종)_00-미점-정서간도로확.포장공사-12-17일 기준_안동전통문화콘텐츠박물관전시영상물구축(전시시설물)" xfId="6554"/>
    <cellStyle name="_000-용호고(최종)_000-용호고(최종)_00-미점-정서간도로확.포장공사-12-17일 기준_안동전통문화콘텐츠박물관전시영상물구축(전시시설물)_원가보고서(종합)-조달" xfId="6555"/>
    <cellStyle name="_000-용호고(최종)_000-용호고(최종)_00-미점-정서간도로확.포장공사-12-17일 기준_안동전통문화콘텐츠박물관전시영상물구축(전시시설물)_원가보고서(흑색)-조달" xfId="6556"/>
    <cellStyle name="_000-용호고(최종)_000-용호고(최종)_00-미점-정서간도로확.포장공사-12-17일 기준_원가계산서(화성상록)" xfId="6557"/>
    <cellStyle name="_000-용호고(최종)_000-용호고(최종)_00-미점-정서간도로확.포장공사-12-17일 기준_원가계산서(화성상록) (version 1)" xfId="6558"/>
    <cellStyle name="_000-용호고(최종)_000-용호고(최종)_00-미점-정서간도로확.포장공사-12-17일 기준_원가계산서(화성상록) (version 1)_원가보고서(종합)-조달" xfId="6559"/>
    <cellStyle name="_000-용호고(최종)_000-용호고(최종)_00-미점-정서간도로확.포장공사-12-17일 기준_원가계산서(화성상록) (version 1)_원가보고서(흑색)-조달" xfId="6560"/>
    <cellStyle name="_000-용호고(최종)_000-용호고(최종)_00-미점-정서간도로확.포장공사-12-17일 기준_원가계산서(화성상록)_원가보고서(종합)-조달" xfId="6561"/>
    <cellStyle name="_000-용호고(최종)_000-용호고(최종)_00-미점-정서간도로확.포장공사-12-17일 기준_원가계산서(화성상록)_원가보고서(흑색)-조달" xfId="6562"/>
    <cellStyle name="_000-용호고(최종)_000-용호고(최종)_01-미점-정서간도로확.포장공사" xfId="6563"/>
    <cellStyle name="_000-용호고(최종)_000-용호고(최종)_01-미점-정서간도로확.포장공사_2004년 완선공사(최종본)" xfId="6564"/>
    <cellStyle name="_000-용호고(최종)_000-용호고(최종)_01-미점-정서간도로확.포장공사_안동전통문화콘텐츠박물관전시영상물구축(전시시설물)" xfId="6565"/>
    <cellStyle name="_000-용호고(최종)_000-용호고(최종)_01-미점-정서간도로확.포장공사_안동전통문화콘텐츠박물관전시영상물구축(전시시설물)_원가보고서(종합)-조달" xfId="6566"/>
    <cellStyle name="_000-용호고(최종)_000-용호고(최종)_01-미점-정서간도로확.포장공사_안동전통문화콘텐츠박물관전시영상물구축(전시시설물)_원가보고서(흑색)-조달" xfId="6567"/>
    <cellStyle name="_000-용호고(최종)_000-용호고(최종)_01-미점-정서간도로확.포장공사_원가계산서(화성상록)" xfId="6568"/>
    <cellStyle name="_000-용호고(최종)_000-용호고(최종)_01-미점-정서간도로확.포장공사_원가계산서(화성상록) (version 1)" xfId="6569"/>
    <cellStyle name="_000-용호고(최종)_000-용호고(최종)_01-미점-정서간도로확.포장공사_원가계산서(화성상록) (version 1)_원가보고서(종합)-조달" xfId="6570"/>
    <cellStyle name="_000-용호고(최종)_000-용호고(최종)_01-미점-정서간도로확.포장공사_원가계산서(화성상록) (version 1)_원가보고서(흑색)-조달" xfId="6571"/>
    <cellStyle name="_000-용호고(최종)_000-용호고(최종)_01-미점-정서간도로확.포장공사_원가계산서(화성상록)_원가보고서(종합)-조달" xfId="6572"/>
    <cellStyle name="_000-용호고(최종)_000-용호고(최종)_01-미점-정서간도로확.포장공사_원가계산서(화성상록)_원가보고서(흑색)-조달" xfId="6573"/>
    <cellStyle name="_000-용호고(최종)_000-용호고(최종)_2004년 완선공사(최종본)" xfId="6574"/>
    <cellStyle name="_000-용호고(최종)_000-용호고(최종)_안동전통문화콘텐츠박물관전시영상물구축(전시시설물)" xfId="6575"/>
    <cellStyle name="_000-용호고(최종)_000-용호고(최종)_안동전통문화콘텐츠박물관전시영상물구축(전시시설물)_원가보고서(종합)-조달" xfId="6576"/>
    <cellStyle name="_000-용호고(최종)_000-용호고(최종)_안동전통문화콘텐츠박물관전시영상물구축(전시시설물)_원가보고서(흑색)-조달" xfId="6577"/>
    <cellStyle name="_000-용호고(최종)_000-용호고(최종)_원가계산서(화성상록)" xfId="6578"/>
    <cellStyle name="_000-용호고(최종)_000-용호고(최종)_원가계산서(화성상록) (version 1)" xfId="6579"/>
    <cellStyle name="_000-용호고(최종)_000-용호고(최종)_원가계산서(화성상록) (version 1)_원가보고서(종합)-조달" xfId="6580"/>
    <cellStyle name="_000-용호고(최종)_000-용호고(최종)_원가계산서(화성상록) (version 1)_원가보고서(흑색)-조달" xfId="6581"/>
    <cellStyle name="_000-용호고(최종)_000-용호고(최종)_원가계산서(화성상록)_원가보고서(종합)-조달" xfId="6582"/>
    <cellStyle name="_000-용호고(최종)_000-용호고(최종)_원가계산서(화성상록)_원가보고서(흑색)-조달" xfId="6583"/>
    <cellStyle name="_000-용호고(최종)_1" xfId="6584"/>
    <cellStyle name="_000-용호고(최종)_1_00-명동-삼포간 해안관광도로" xfId="6585"/>
    <cellStyle name="_000-용호고(최종)_1_00-명동-삼포간 해안관광도로_2004년 완선공사(최종본)" xfId="6586"/>
    <cellStyle name="_000-용호고(최종)_1_00-명동-삼포간 해안관광도로_안동전통문화콘텐츠박물관전시영상물구축(전시시설물)" xfId="6587"/>
    <cellStyle name="_000-용호고(최종)_1_00-명동-삼포간 해안관광도로_안동전통문화콘텐츠박물관전시영상물구축(전시시설물)_원가보고서(종합)-조달" xfId="6588"/>
    <cellStyle name="_000-용호고(최종)_1_00-명동-삼포간 해안관광도로_안동전통문화콘텐츠박물관전시영상물구축(전시시설물)_원가보고서(흑색)-조달" xfId="6589"/>
    <cellStyle name="_000-용호고(최종)_1_00-명동-삼포간 해안관광도로_원가계산서(화성상록)" xfId="6590"/>
    <cellStyle name="_000-용호고(최종)_1_00-명동-삼포간 해안관광도로_원가계산서(화성상록) (version 1)" xfId="6591"/>
    <cellStyle name="_000-용호고(최종)_1_00-명동-삼포간 해안관광도로_원가계산서(화성상록) (version 1)_원가보고서(종합)-조달" xfId="6592"/>
    <cellStyle name="_000-용호고(최종)_1_00-명동-삼포간 해안관광도로_원가계산서(화성상록) (version 1)_원가보고서(흑색)-조달" xfId="6593"/>
    <cellStyle name="_000-용호고(최종)_1_00-명동-삼포간 해안관광도로_원가계산서(화성상록)_원가보고서(종합)-조달" xfId="6594"/>
    <cellStyle name="_000-용호고(최종)_1_00-명동-삼포간 해안관광도로_원가계산서(화성상록)_원가보고서(흑색)-조달" xfId="6595"/>
    <cellStyle name="_000-용호고(최종)_1_00-미점-정서간도로확.포장공사(서)-12-14" xfId="6596"/>
    <cellStyle name="_000-용호고(최종)_1_00-미점-정서간도로확.포장공사(서)-12-14_2004년 완선공사(최종본)" xfId="6597"/>
    <cellStyle name="_000-용호고(최종)_1_00-미점-정서간도로확.포장공사(서)-12-14_안동전통문화콘텐츠박물관전시영상물구축(전시시설물)" xfId="6598"/>
    <cellStyle name="_000-용호고(최종)_1_00-미점-정서간도로확.포장공사(서)-12-14_안동전통문화콘텐츠박물관전시영상물구축(전시시설물)_원가보고서(종합)-조달" xfId="6599"/>
    <cellStyle name="_000-용호고(최종)_1_00-미점-정서간도로확.포장공사(서)-12-14_안동전통문화콘텐츠박물관전시영상물구축(전시시설물)_원가보고서(흑색)-조달" xfId="6600"/>
    <cellStyle name="_000-용호고(최종)_1_00-미점-정서간도로확.포장공사(서)-12-14_원가계산서(화성상록)" xfId="6601"/>
    <cellStyle name="_000-용호고(최종)_1_00-미점-정서간도로확.포장공사(서)-12-14_원가계산서(화성상록) (version 1)" xfId="6602"/>
    <cellStyle name="_000-용호고(최종)_1_00-미점-정서간도로확.포장공사(서)-12-14_원가계산서(화성상록) (version 1)_원가보고서(종합)-조달" xfId="6603"/>
    <cellStyle name="_000-용호고(최종)_1_00-미점-정서간도로확.포장공사(서)-12-14_원가계산서(화성상록) (version 1)_원가보고서(흑색)-조달" xfId="6604"/>
    <cellStyle name="_000-용호고(최종)_1_00-미점-정서간도로확.포장공사(서)-12-14_원가계산서(화성상록)_원가보고서(종합)-조달" xfId="6605"/>
    <cellStyle name="_000-용호고(최종)_1_00-미점-정서간도로확.포장공사(서)-12-14_원가계산서(화성상록)_원가보고서(흑색)-조달" xfId="6606"/>
    <cellStyle name="_000-용호고(최종)_1_00-미점-정서간도로확.포장공사-12-17일 기준" xfId="6607"/>
    <cellStyle name="_000-용호고(최종)_1_00-미점-정서간도로확.포장공사-12-17일 기준_2004년 완선공사(최종본)" xfId="6608"/>
    <cellStyle name="_000-용호고(최종)_1_00-미점-정서간도로확.포장공사-12-17일 기준_안동전통문화콘텐츠박물관전시영상물구축(전시시설물)" xfId="6609"/>
    <cellStyle name="_000-용호고(최종)_1_00-미점-정서간도로확.포장공사-12-17일 기준_안동전통문화콘텐츠박물관전시영상물구축(전시시설물)_원가보고서(종합)-조달" xfId="6610"/>
    <cellStyle name="_000-용호고(최종)_1_00-미점-정서간도로확.포장공사-12-17일 기준_안동전통문화콘텐츠박물관전시영상물구축(전시시설물)_원가보고서(흑색)-조달" xfId="6611"/>
    <cellStyle name="_000-용호고(최종)_1_00-미점-정서간도로확.포장공사-12-17일 기준_원가계산서(화성상록)" xfId="6612"/>
    <cellStyle name="_000-용호고(최종)_1_00-미점-정서간도로확.포장공사-12-17일 기준_원가계산서(화성상록) (version 1)" xfId="6613"/>
    <cellStyle name="_000-용호고(최종)_1_00-미점-정서간도로확.포장공사-12-17일 기준_원가계산서(화성상록) (version 1)_원가보고서(종합)-조달" xfId="6614"/>
    <cellStyle name="_000-용호고(최종)_1_00-미점-정서간도로확.포장공사-12-17일 기준_원가계산서(화성상록) (version 1)_원가보고서(흑색)-조달" xfId="6615"/>
    <cellStyle name="_000-용호고(최종)_1_00-미점-정서간도로확.포장공사-12-17일 기준_원가계산서(화성상록)_원가보고서(종합)-조달" xfId="6616"/>
    <cellStyle name="_000-용호고(최종)_1_00-미점-정서간도로확.포장공사-12-17일 기준_원가계산서(화성상록)_원가보고서(흑색)-조달" xfId="6617"/>
    <cellStyle name="_000-용호고(최종)_1_01-미점-정서간도로확.포장공사" xfId="6618"/>
    <cellStyle name="_000-용호고(최종)_1_01-미점-정서간도로확.포장공사_2004년 완선공사(최종본)" xfId="6619"/>
    <cellStyle name="_000-용호고(최종)_1_01-미점-정서간도로확.포장공사_안동전통문화콘텐츠박물관전시영상물구축(전시시설물)" xfId="6620"/>
    <cellStyle name="_000-용호고(최종)_1_01-미점-정서간도로확.포장공사_안동전통문화콘텐츠박물관전시영상물구축(전시시설물)_원가보고서(종합)-조달" xfId="6621"/>
    <cellStyle name="_000-용호고(최종)_1_01-미점-정서간도로확.포장공사_안동전통문화콘텐츠박물관전시영상물구축(전시시설물)_원가보고서(흑색)-조달" xfId="6622"/>
    <cellStyle name="_000-용호고(최종)_1_01-미점-정서간도로확.포장공사_원가계산서(화성상록)" xfId="6623"/>
    <cellStyle name="_000-용호고(최종)_1_01-미점-정서간도로확.포장공사_원가계산서(화성상록) (version 1)" xfId="6624"/>
    <cellStyle name="_000-용호고(최종)_1_01-미점-정서간도로확.포장공사_원가계산서(화성상록) (version 1)_원가보고서(종합)-조달" xfId="6625"/>
    <cellStyle name="_000-용호고(최종)_1_01-미점-정서간도로확.포장공사_원가계산서(화성상록) (version 1)_원가보고서(흑색)-조달" xfId="6626"/>
    <cellStyle name="_000-용호고(최종)_1_01-미점-정서간도로확.포장공사_원가계산서(화성상록)_원가보고서(종합)-조달" xfId="6627"/>
    <cellStyle name="_000-용호고(최종)_1_01-미점-정서간도로확.포장공사_원가계산서(화성상록)_원가보고서(흑색)-조달" xfId="6628"/>
    <cellStyle name="_000-용호고(최종)_1_2004년 완선공사(최종본)" xfId="6629"/>
    <cellStyle name="_000-용호고(최종)_1_안동전통문화콘텐츠박물관전시영상물구축(전시시설물)" xfId="6630"/>
    <cellStyle name="_000-용호고(최종)_1_안동전통문화콘텐츠박물관전시영상물구축(전시시설물)_원가보고서(종합)-조달" xfId="6631"/>
    <cellStyle name="_000-용호고(최종)_1_안동전통문화콘텐츠박물관전시영상물구축(전시시설물)_원가보고서(흑색)-조달" xfId="6632"/>
    <cellStyle name="_000-용호고(최종)_1_원가계산서(화성상록)" xfId="6633"/>
    <cellStyle name="_000-용호고(최종)_1_원가계산서(화성상록) (version 1)" xfId="6634"/>
    <cellStyle name="_000-용호고(최종)_1_원가계산서(화성상록) (version 1)_원가보고서(종합)-조달" xfId="6635"/>
    <cellStyle name="_000-용호고(최종)_1_원가계산서(화성상록) (version 1)_원가보고서(흑색)-조달" xfId="6636"/>
    <cellStyle name="_000-용호고(최종)_1_원가계산서(화성상록)_원가보고서(종합)-조달" xfId="6637"/>
    <cellStyle name="_000-용호고(최종)_1_원가계산서(화성상록)_원가보고서(흑색)-조달" xfId="6638"/>
    <cellStyle name="_000-용호고(최종)_2004년 완선공사(최종본)" xfId="6639"/>
    <cellStyle name="_000-용호고(최종)_안동전통문화콘텐츠박물관전시영상물구축(전시시설물)" xfId="6640"/>
    <cellStyle name="_000-용호고(최종)_안동전통문화콘텐츠박물관전시영상물구축(전시시설물)_원가보고서(종합)-조달" xfId="6641"/>
    <cellStyle name="_000-용호고(최종)_안동전통문화콘텐츠박물관전시영상물구축(전시시설물)_원가보고서(흑색)-조달" xfId="6642"/>
    <cellStyle name="_000-용호고(최종)_원가계산서(화성상록)" xfId="6643"/>
    <cellStyle name="_000-용호고(최종)_원가계산서(화성상록) (version 1)" xfId="6644"/>
    <cellStyle name="_000-용호고(최종)_원가계산서(화성상록) (version 1)_원가보고서(종합)-조달" xfId="6645"/>
    <cellStyle name="_000-용호고(최종)_원가계산서(화성상록) (version 1)_원가보고서(흑색)-조달" xfId="6646"/>
    <cellStyle name="_000-용호고(최종)_원가계산서(화성상록)_원가보고서(종합)-조달" xfId="6647"/>
    <cellStyle name="_000-용호고(최종)_원가계산서(화성상록)_원가보고서(흑색)-조달" xfId="6648"/>
    <cellStyle name="_001_교통영향평가" xfId="314"/>
    <cellStyle name="_001_지형측량(항공)" xfId="315"/>
    <cellStyle name="_004 - 환경기초 민간위탁(공동오수-개별오수-하수관로) " xfId="6649"/>
    <cellStyle name="_004 - 환경기초 민간위탁(공동오수-개별오수-하수관로) _1-(금액상승)변경-아치텐트-PVDF-(3mx3mx2.5m)" xfId="6650"/>
    <cellStyle name="_004 - 환경기초 민간위탁(공동오수-개별오수-하수관로) _1-(금액상승)변경-아치텐트-PVDF-(3mx3mx2.5m)_(조폐공사발송) 약품처리시설" xfId="6651"/>
    <cellStyle name="_004 - 환경기초 민간위탁(공동오수-개별오수-하수관로) _1-(금액상승)변경-아치텐트-PVDF-(3mx3mx2.5m)_(조폐공사발송) 약품처리시설_2004년 완선공사(최종본)" xfId="6652"/>
    <cellStyle name="_004 - 환경기초 민간위탁(공동오수-개별오수-하수관로) _1-(금액상승)변경-아치텐트-PVDF-(3mx3mx2.5m)_(조폐공사발송) 약품처리시설_안동전통문화콘텐츠박물관전시영상물구축(전시시설물)" xfId="6653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종합)-조달" xfId="6654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흑색)-조달" xfId="6655"/>
    <cellStyle name="_004 - 환경기초 민간위탁(공동오수-개별오수-하수관로) _1-(금액상승)변경-아치텐트-PVDF-(3mx3mx2.5m)_(조폐공사발송) 약품처리시설_원가계산서(화성상록)" xfId="6656"/>
    <cellStyle name="_004 - 환경기초 민간위탁(공동오수-개별오수-하수관로) _1-(금액상승)변경-아치텐트-PVDF-(3mx3mx2.5m)_(조폐공사발송) 약품처리시설_원가계산서(화성상록) (version 1)" xfId="6657"/>
    <cellStyle name="_004 - 환경기초 민간위탁(공동오수-개별오수-하수관로) _1-(금액상승)변경-아치텐트-PVDF-(3mx3mx2.5m)_(조폐공사발송) 약품처리시설_원가계산서(화성상록) (version 1)_원가보고서(종합)-조달" xfId="6658"/>
    <cellStyle name="_004 - 환경기초 민간위탁(공동오수-개별오수-하수관로) _1-(금액상승)변경-아치텐트-PVDF-(3mx3mx2.5m)_(조폐공사발송) 약품처리시설_원가계산서(화성상록) (version 1)_원가보고서(흑색)-조달" xfId="6659"/>
    <cellStyle name="_004 - 환경기초 민간위탁(공동오수-개별오수-하수관로) _1-(금액상승)변경-아치텐트-PVDF-(3mx3mx2.5m)_(조폐공사발송) 약품처리시설_원가계산서(화성상록)_원가보고서(종합)-조달" xfId="6660"/>
    <cellStyle name="_004 - 환경기초 민간위탁(공동오수-개별오수-하수관로) _1-(금액상승)변경-아치텐트-PVDF-(3mx3mx2.5m)_(조폐공사발송) 약품처리시설_원가계산서(화성상록)_원가보고서(흑색)-조달" xfId="6661"/>
    <cellStyle name="_004 - 환경기초 민간위탁(공동오수-개별오수-하수관로) _1-(금액상승)변경-아치텐트-PVDF-(3mx3mx2.5m)_2004년 완선공사(최종본)" xfId="6662"/>
    <cellStyle name="_004 - 환경기초 민간위탁(공동오수-개별오수-하수관로) _1-(금액상승)변경-아치텐트-PVDF-(3mx3mx2.5m)_안동전통문화콘텐츠박물관전시영상물구축(전시시설물)" xfId="6663"/>
    <cellStyle name="_004 - 환경기초 민간위탁(공동오수-개별오수-하수관로) _1-(금액상승)변경-아치텐트-PVDF-(3mx3mx2.5m)_안동전통문화콘텐츠박물관전시영상물구축(전시시설물)_원가보고서(종합)-조달" xfId="6664"/>
    <cellStyle name="_004 - 환경기초 민간위탁(공동오수-개별오수-하수관로) _1-(금액상승)변경-아치텐트-PVDF-(3mx3mx2.5m)_안동전통문화콘텐츠박물관전시영상물구축(전시시설물)_원가보고서(흑색)-조달" xfId="6665"/>
    <cellStyle name="_004 - 환경기초 민간위탁(공동오수-개별오수-하수관로) _1-(금액상승)변경-아치텐트-PVDF-(3mx3mx2.5m)_원가계산서(화성상록)" xfId="6666"/>
    <cellStyle name="_004 - 환경기초 민간위탁(공동오수-개별오수-하수관로) _1-(금액상승)변경-아치텐트-PVDF-(3mx3mx2.5m)_원가계산서(화성상록) (version 1)" xfId="6667"/>
    <cellStyle name="_004 - 환경기초 민간위탁(공동오수-개별오수-하수관로) _1-(금액상승)변경-아치텐트-PVDF-(3mx3mx2.5m)_원가계산서(화성상록) (version 1)_원가보고서(종합)-조달" xfId="6668"/>
    <cellStyle name="_004 - 환경기초 민간위탁(공동오수-개별오수-하수관로) _1-(금액상승)변경-아치텐트-PVDF-(3mx3mx2.5m)_원가계산서(화성상록) (version 1)_원가보고서(흑색)-조달" xfId="6669"/>
    <cellStyle name="_004 - 환경기초 민간위탁(공동오수-개별오수-하수관로) _1-(금액상승)변경-아치텐트-PVDF-(3mx3mx2.5m)_원가계산서(화성상록)_원가보고서(종합)-조달" xfId="6670"/>
    <cellStyle name="_004 - 환경기초 민간위탁(공동오수-개별오수-하수관로) _1-(금액상승)변경-아치텐트-PVDF-(3mx3mx2.5m)_원가계산서(화성상록)_원가보고서(흑색)-조달" xfId="6671"/>
    <cellStyle name="_004 - 환경기초 민간위탁(공동오수-개별오수-하수관로) _1.컴퓨터용 책상" xfId="6672"/>
    <cellStyle name="_004 - 환경기초 민간위탁(공동오수-개별오수-하수관로) _1.컴퓨터용 책상_2004년 완선공사(최종본)" xfId="6673"/>
    <cellStyle name="_004 - 환경기초 민간위탁(공동오수-개별오수-하수관로) _1.컴퓨터용 책상_안동전통문화콘텐츠박물관전시영상물구축(전시시설물)" xfId="6674"/>
    <cellStyle name="_004 - 환경기초 민간위탁(공동오수-개별오수-하수관로) _1.컴퓨터용 책상_안동전통문화콘텐츠박물관전시영상물구축(전시시설물)_원가보고서(종합)-조달" xfId="6675"/>
    <cellStyle name="_004 - 환경기초 민간위탁(공동오수-개별오수-하수관로) _1.컴퓨터용 책상_안동전통문화콘텐츠박물관전시영상물구축(전시시설물)_원가보고서(흑색)-조달" xfId="6676"/>
    <cellStyle name="_004 - 환경기초 민간위탁(공동오수-개별오수-하수관로) _1.컴퓨터용 책상_원가계산서(화성상록)" xfId="6677"/>
    <cellStyle name="_004 - 환경기초 민간위탁(공동오수-개별오수-하수관로) _1.컴퓨터용 책상_원가계산서(화성상록) (version 1)" xfId="6678"/>
    <cellStyle name="_004 - 환경기초 민간위탁(공동오수-개별오수-하수관로) _1.컴퓨터용 책상_원가계산서(화성상록) (version 1)_원가보고서(종합)-조달" xfId="6679"/>
    <cellStyle name="_004 - 환경기초 민간위탁(공동오수-개별오수-하수관로) _1.컴퓨터용 책상_원가계산서(화성상록) (version 1)_원가보고서(흑색)-조달" xfId="6680"/>
    <cellStyle name="_004 - 환경기초 민간위탁(공동오수-개별오수-하수관로) _1.컴퓨터용 책상_원가계산서(화성상록)_원가보고서(종합)-조달" xfId="6681"/>
    <cellStyle name="_004 - 환경기초 민간위탁(공동오수-개별오수-하수관로) _1.컴퓨터용 책상_원가계산서(화성상록)_원가보고서(흑색)-조달" xfId="6682"/>
    <cellStyle name="_004 - 환경기초 민간위탁(공동오수-개별오수-하수관로) _2004년 완선공사(최종본)" xfId="6683"/>
    <cellStyle name="_004 - 환경기초 민간위탁(공동오수-개별오수-하수관로) _발안천교(수정)" xfId="6684"/>
    <cellStyle name="_004 - 환경기초 민간위탁(공동오수-개별오수-하수관로) _안동전통문화콘텐츠박물관전시영상물구축(전시시설물)" xfId="6685"/>
    <cellStyle name="_004 - 환경기초 민간위탁(공동오수-개별오수-하수관로) _안동전통문화콘텐츠박물관전시영상물구축(전시시설물)_원가보고서(종합)-조달" xfId="6686"/>
    <cellStyle name="_004 - 환경기초 민간위탁(공동오수-개별오수-하수관로) _안동전통문화콘텐츠박물관전시영상물구축(전시시설물)_원가보고서(흑색)-조달" xfId="6687"/>
    <cellStyle name="_004 - 환경기초 민간위탁(공동오수-개별오수-하수관로) _원가계산서(화성상록)" xfId="6688"/>
    <cellStyle name="_004 - 환경기초 민간위탁(공동오수-개별오수-하수관로) _원가계산서(화성상록) (version 1)" xfId="6689"/>
    <cellStyle name="_004 - 환경기초 민간위탁(공동오수-개별오수-하수관로) _원가계산서(화성상록) (version 1)_원가보고서(종합)-조달" xfId="6690"/>
    <cellStyle name="_004 - 환경기초 민간위탁(공동오수-개별오수-하수관로) _원가계산서(화성상록) (version 1)_원가보고서(흑색)-조달" xfId="6691"/>
    <cellStyle name="_004 - 환경기초 민간위탁(공동오수-개별오수-하수관로) _원가계산서(화성상록)_원가보고서(종합)-조달" xfId="6692"/>
    <cellStyle name="_004 - 환경기초 민간위탁(공동오수-개별오수-하수관로) _원가계산서(화성상록)_원가보고서(흑색)-조달" xfId="6693"/>
    <cellStyle name="_004 - 환경기초 민간위탁(공동오수-개별오수-하수관로) _초지기 2라인 광택시설 보완" xfId="6694"/>
    <cellStyle name="_004 - 환경기초 민간위탁(공동오수-개별오수-하수관로) _초지기 2라인 광택시설 보완_2004년 완선공사(최종본)" xfId="6695"/>
    <cellStyle name="_004 - 환경기초 민간위탁(공동오수-개별오수-하수관로) _초지기 2라인 광택시설 보완_안동전통문화콘텐츠박물관전시영상물구축(전시시설물)" xfId="6696"/>
    <cellStyle name="_004 - 환경기초 민간위탁(공동오수-개별오수-하수관로) _초지기 2라인 광택시설 보완_안동전통문화콘텐츠박물관전시영상물구축(전시시설물)_원가보고서(종합)-조달" xfId="6697"/>
    <cellStyle name="_004 - 환경기초 민간위탁(공동오수-개별오수-하수관로) _초지기 2라인 광택시설 보완_안동전통문화콘텐츠박물관전시영상물구축(전시시설물)_원가보고서(흑색)-조달" xfId="6698"/>
    <cellStyle name="_004 - 환경기초 민간위탁(공동오수-개별오수-하수관로) _초지기 2라인 광택시설 보완_원가계산서(화성상록)" xfId="6699"/>
    <cellStyle name="_004 - 환경기초 민간위탁(공동오수-개별오수-하수관로) _초지기 2라인 광택시설 보완_원가계산서(화성상록) (version 1)" xfId="6700"/>
    <cellStyle name="_004 - 환경기초 민간위탁(공동오수-개별오수-하수관로) _초지기 2라인 광택시설 보완_원가계산서(화성상록) (version 1)_원가보고서(종합)-조달" xfId="6701"/>
    <cellStyle name="_004 - 환경기초 민간위탁(공동오수-개별오수-하수관로) _초지기 2라인 광택시설 보완_원가계산서(화성상록) (version 1)_원가보고서(흑색)-조달" xfId="6702"/>
    <cellStyle name="_004 - 환경기초 민간위탁(공동오수-개별오수-하수관로) _초지기 2라인 광택시설 보완_원가계산서(화성상록)_원가보고서(종합)-조달" xfId="6703"/>
    <cellStyle name="_004 - 환경기초 민간위탁(공동오수-개별오수-하수관로) _초지기 2라인 광택시설 보완_원가계산서(화성상록)_원가보고서(흑색)-조달" xfId="6704"/>
    <cellStyle name="_009_사전재해영향성검토" xfId="316"/>
    <cellStyle name="_00title " xfId="6705"/>
    <cellStyle name="_00관광지내역서(계획,설계)" xfId="317"/>
    <cellStyle name="_00납골시설용역비산출-시설결정" xfId="318"/>
    <cellStyle name="_00-내역서(명진초등학교)" xfId="6706"/>
    <cellStyle name="_00-내역서(명진초등학교)_000-용호고(최종)" xfId="6707"/>
    <cellStyle name="_00-내역서(명진초등학교)_000-용호고(최종)_00-명동-삼포간 해안관광도로" xfId="6708"/>
    <cellStyle name="_00-내역서(명진초등학교)_000-용호고(최종)_00-명동-삼포간 해안관광도로_2004년 완선공사(최종본)" xfId="6709"/>
    <cellStyle name="_00-내역서(명진초등학교)_000-용호고(최종)_00-명동-삼포간 해안관광도로_안동전통문화콘텐츠박물관전시영상물구축(전시시설물)" xfId="6710"/>
    <cellStyle name="_00-내역서(명진초등학교)_000-용호고(최종)_00-명동-삼포간 해안관광도로_안동전통문화콘텐츠박물관전시영상물구축(전시시설물)_원가보고서(종합)-조달" xfId="6711"/>
    <cellStyle name="_00-내역서(명진초등학교)_000-용호고(최종)_00-명동-삼포간 해안관광도로_안동전통문화콘텐츠박물관전시영상물구축(전시시설물)_원가보고서(흑색)-조달" xfId="6712"/>
    <cellStyle name="_00-내역서(명진초등학교)_000-용호고(최종)_00-명동-삼포간 해안관광도로_원가계산서(화성상록)" xfId="6713"/>
    <cellStyle name="_00-내역서(명진초등학교)_000-용호고(최종)_00-명동-삼포간 해안관광도로_원가계산서(화성상록) (version 1)" xfId="6714"/>
    <cellStyle name="_00-내역서(명진초등학교)_000-용호고(최종)_00-명동-삼포간 해안관광도로_원가계산서(화성상록) (version 1)_원가보고서(종합)-조달" xfId="6715"/>
    <cellStyle name="_00-내역서(명진초등학교)_000-용호고(최종)_00-명동-삼포간 해안관광도로_원가계산서(화성상록) (version 1)_원가보고서(흑색)-조달" xfId="6716"/>
    <cellStyle name="_00-내역서(명진초등학교)_000-용호고(최종)_00-명동-삼포간 해안관광도로_원가계산서(화성상록)_원가보고서(종합)-조달" xfId="6717"/>
    <cellStyle name="_00-내역서(명진초등학교)_000-용호고(최종)_00-명동-삼포간 해안관광도로_원가계산서(화성상록)_원가보고서(흑색)-조달" xfId="6718"/>
    <cellStyle name="_00-내역서(명진초등학교)_000-용호고(최종)_00-미점-정서간도로확.포장공사(서)-12-14" xfId="6719"/>
    <cellStyle name="_00-내역서(명진초등학교)_000-용호고(최종)_00-미점-정서간도로확.포장공사(서)-12-14_2004년 완선공사(최종본)" xfId="6720"/>
    <cellStyle name="_00-내역서(명진초등학교)_000-용호고(최종)_00-미점-정서간도로확.포장공사(서)-12-14_안동전통문화콘텐츠박물관전시영상물구축(전시시설물)" xfId="6721"/>
    <cellStyle name="_00-내역서(명진초등학교)_000-용호고(최종)_00-미점-정서간도로확.포장공사(서)-12-14_안동전통문화콘텐츠박물관전시영상물구축(전시시설물)_원가보고서(종합)-조달" xfId="6722"/>
    <cellStyle name="_00-내역서(명진초등학교)_000-용호고(최종)_00-미점-정서간도로확.포장공사(서)-12-14_안동전통문화콘텐츠박물관전시영상물구축(전시시설물)_원가보고서(흑색)-조달" xfId="6723"/>
    <cellStyle name="_00-내역서(명진초등학교)_000-용호고(최종)_00-미점-정서간도로확.포장공사(서)-12-14_원가계산서(화성상록)" xfId="6724"/>
    <cellStyle name="_00-내역서(명진초등학교)_000-용호고(최종)_00-미점-정서간도로확.포장공사(서)-12-14_원가계산서(화성상록) (version 1)" xfId="6725"/>
    <cellStyle name="_00-내역서(명진초등학교)_000-용호고(최종)_00-미점-정서간도로확.포장공사(서)-12-14_원가계산서(화성상록) (version 1)_원가보고서(종합)-조달" xfId="6726"/>
    <cellStyle name="_00-내역서(명진초등학교)_000-용호고(최종)_00-미점-정서간도로확.포장공사(서)-12-14_원가계산서(화성상록) (version 1)_원가보고서(흑색)-조달" xfId="6727"/>
    <cellStyle name="_00-내역서(명진초등학교)_000-용호고(최종)_00-미점-정서간도로확.포장공사(서)-12-14_원가계산서(화성상록)_원가보고서(종합)-조달" xfId="6728"/>
    <cellStyle name="_00-내역서(명진초등학교)_000-용호고(최종)_00-미점-정서간도로확.포장공사(서)-12-14_원가계산서(화성상록)_원가보고서(흑색)-조달" xfId="6729"/>
    <cellStyle name="_00-내역서(명진초등학교)_000-용호고(최종)_00-미점-정서간도로확.포장공사-12-17일 기준" xfId="6730"/>
    <cellStyle name="_00-내역서(명진초등학교)_000-용호고(최종)_00-미점-정서간도로확.포장공사-12-17일 기준_2004년 완선공사(최종본)" xfId="6731"/>
    <cellStyle name="_00-내역서(명진초등학교)_000-용호고(최종)_00-미점-정서간도로확.포장공사-12-17일 기준_안동전통문화콘텐츠박물관전시영상물구축(전시시설물)" xfId="6732"/>
    <cellStyle name="_00-내역서(명진초등학교)_000-용호고(최종)_00-미점-정서간도로확.포장공사-12-17일 기준_안동전통문화콘텐츠박물관전시영상물구축(전시시설물)_원가보고서(종합)-조달" xfId="6733"/>
    <cellStyle name="_00-내역서(명진초등학교)_000-용호고(최종)_00-미점-정서간도로확.포장공사-12-17일 기준_안동전통문화콘텐츠박물관전시영상물구축(전시시설물)_원가보고서(흑색)-조달" xfId="6734"/>
    <cellStyle name="_00-내역서(명진초등학교)_000-용호고(최종)_00-미점-정서간도로확.포장공사-12-17일 기준_원가계산서(화성상록)" xfId="6735"/>
    <cellStyle name="_00-내역서(명진초등학교)_000-용호고(최종)_00-미점-정서간도로확.포장공사-12-17일 기준_원가계산서(화성상록) (version 1)" xfId="6736"/>
    <cellStyle name="_00-내역서(명진초등학교)_000-용호고(최종)_00-미점-정서간도로확.포장공사-12-17일 기준_원가계산서(화성상록) (version 1)_원가보고서(종합)-조달" xfId="6737"/>
    <cellStyle name="_00-내역서(명진초등학교)_000-용호고(최종)_00-미점-정서간도로확.포장공사-12-17일 기준_원가계산서(화성상록) (version 1)_원가보고서(흑색)-조달" xfId="6738"/>
    <cellStyle name="_00-내역서(명진초등학교)_000-용호고(최종)_00-미점-정서간도로확.포장공사-12-17일 기준_원가계산서(화성상록)_원가보고서(종합)-조달" xfId="6739"/>
    <cellStyle name="_00-내역서(명진초등학교)_000-용호고(최종)_00-미점-정서간도로확.포장공사-12-17일 기준_원가계산서(화성상록)_원가보고서(흑색)-조달" xfId="6740"/>
    <cellStyle name="_00-내역서(명진초등학교)_000-용호고(최종)_01-미점-정서간도로확.포장공사" xfId="6741"/>
    <cellStyle name="_00-내역서(명진초등학교)_000-용호고(최종)_01-미점-정서간도로확.포장공사_2004년 완선공사(최종본)" xfId="6742"/>
    <cellStyle name="_00-내역서(명진초등학교)_000-용호고(최종)_01-미점-정서간도로확.포장공사_안동전통문화콘텐츠박물관전시영상물구축(전시시설물)" xfId="6743"/>
    <cellStyle name="_00-내역서(명진초등학교)_000-용호고(최종)_01-미점-정서간도로확.포장공사_안동전통문화콘텐츠박물관전시영상물구축(전시시설물)_원가보고서(종합)-조달" xfId="6744"/>
    <cellStyle name="_00-내역서(명진초등학교)_000-용호고(최종)_01-미점-정서간도로확.포장공사_안동전통문화콘텐츠박물관전시영상물구축(전시시설물)_원가보고서(흑색)-조달" xfId="6745"/>
    <cellStyle name="_00-내역서(명진초등학교)_000-용호고(최종)_01-미점-정서간도로확.포장공사_원가계산서(화성상록)" xfId="6746"/>
    <cellStyle name="_00-내역서(명진초등학교)_000-용호고(최종)_01-미점-정서간도로확.포장공사_원가계산서(화성상록) (version 1)" xfId="6747"/>
    <cellStyle name="_00-내역서(명진초등학교)_000-용호고(최종)_01-미점-정서간도로확.포장공사_원가계산서(화성상록) (version 1)_원가보고서(종합)-조달" xfId="6748"/>
    <cellStyle name="_00-내역서(명진초등학교)_000-용호고(최종)_01-미점-정서간도로확.포장공사_원가계산서(화성상록) (version 1)_원가보고서(흑색)-조달" xfId="6749"/>
    <cellStyle name="_00-내역서(명진초등학교)_000-용호고(최종)_01-미점-정서간도로확.포장공사_원가계산서(화성상록)_원가보고서(종합)-조달" xfId="6750"/>
    <cellStyle name="_00-내역서(명진초등학교)_000-용호고(최종)_01-미점-정서간도로확.포장공사_원가계산서(화성상록)_원가보고서(흑색)-조달" xfId="6751"/>
    <cellStyle name="_00-내역서(명진초등학교)_000-용호고(최종)_2004년 완선공사(최종본)" xfId="6752"/>
    <cellStyle name="_00-내역서(명진초등학교)_000-용호고(최종)_안동전통문화콘텐츠박물관전시영상물구축(전시시설물)" xfId="6753"/>
    <cellStyle name="_00-내역서(명진초등학교)_000-용호고(최종)_안동전통문화콘텐츠박물관전시영상물구축(전시시설물)_원가보고서(종합)-조달" xfId="6754"/>
    <cellStyle name="_00-내역서(명진초등학교)_000-용호고(최종)_안동전통문화콘텐츠박물관전시영상물구축(전시시설물)_원가보고서(흑색)-조달" xfId="6755"/>
    <cellStyle name="_00-내역서(명진초등학교)_000-용호고(최종)_원가계산서(화성상록)" xfId="6756"/>
    <cellStyle name="_00-내역서(명진초등학교)_000-용호고(최종)_원가계산서(화성상록) (version 1)" xfId="6757"/>
    <cellStyle name="_00-내역서(명진초등학교)_000-용호고(최종)_원가계산서(화성상록) (version 1)_원가보고서(종합)-조달" xfId="6758"/>
    <cellStyle name="_00-내역서(명진초등학교)_000-용호고(최종)_원가계산서(화성상록) (version 1)_원가보고서(흑색)-조달" xfId="6759"/>
    <cellStyle name="_00-내역서(명진초등학교)_000-용호고(최종)_원가계산서(화성상록)_원가보고서(종합)-조달" xfId="6760"/>
    <cellStyle name="_00-내역서(명진초등학교)_000-용호고(최종)_원가계산서(화성상록)_원가보고서(흑색)-조달" xfId="6761"/>
    <cellStyle name="_00-내역서(명진초등학교)_2004년 완선공사(최종본)" xfId="6762"/>
    <cellStyle name="_00-내역서(명진초등학교)_안동전통문화콘텐츠박물관전시영상물구축(전시시설물)" xfId="6763"/>
    <cellStyle name="_00-내역서(명진초등학교)_안동전통문화콘텐츠박물관전시영상물구축(전시시설물)_원가보고서(종합)-조달" xfId="6764"/>
    <cellStyle name="_00-내역서(명진초등학교)_안동전통문화콘텐츠박물관전시영상물구축(전시시설물)_원가보고서(흑색)-조달" xfId="6765"/>
    <cellStyle name="_00-내역서(명진초등학교)_원가계산서(화성상록)" xfId="6766"/>
    <cellStyle name="_00-내역서(명진초등학교)_원가계산서(화성상록) (version 1)" xfId="6767"/>
    <cellStyle name="_00-내역서(명진초등학교)_원가계산서(화성상록) (version 1)_원가보고서(종합)-조달" xfId="6768"/>
    <cellStyle name="_00-내역서(명진초등학교)_원가계산서(화성상록) (version 1)_원가보고서(흑색)-조달" xfId="6769"/>
    <cellStyle name="_00-내역서(명진초등학교)_원가계산서(화성상록)_원가보고서(종합)-조달" xfId="6770"/>
    <cellStyle name="_00-내역서(명진초등학교)_원가계산서(화성상록)_원가보고서(흑색)-조달" xfId="6771"/>
    <cellStyle name="_00-매암(최종완료)-02-10-24" xfId="6772"/>
    <cellStyle name="_00-매암(최종완료)-02-10-24_000-용호고(최종)" xfId="6773"/>
    <cellStyle name="_00-매암(최종완료)-02-10-24_000-용호고(최종)_00-명동-삼포간 해안관광도로" xfId="6774"/>
    <cellStyle name="_00-매암(최종완료)-02-10-24_000-용호고(최종)_00-명동-삼포간 해안관광도로_2004년 완선공사(최종본)" xfId="6775"/>
    <cellStyle name="_00-매암(최종완료)-02-10-24_000-용호고(최종)_00-명동-삼포간 해안관광도로_안동전통문화콘텐츠박물관전시영상물구축(전시시설물)" xfId="6776"/>
    <cellStyle name="_00-매암(최종완료)-02-10-24_000-용호고(최종)_00-명동-삼포간 해안관광도로_안동전통문화콘텐츠박물관전시영상물구축(전시시설물)_원가보고서(종합)-조달" xfId="6777"/>
    <cellStyle name="_00-매암(최종완료)-02-10-24_000-용호고(최종)_00-명동-삼포간 해안관광도로_안동전통문화콘텐츠박물관전시영상물구축(전시시설물)_원가보고서(흑색)-조달" xfId="6778"/>
    <cellStyle name="_00-매암(최종완료)-02-10-24_000-용호고(최종)_00-명동-삼포간 해안관광도로_원가계산서(화성상록)" xfId="6779"/>
    <cellStyle name="_00-매암(최종완료)-02-10-24_000-용호고(최종)_00-명동-삼포간 해안관광도로_원가계산서(화성상록) (version 1)" xfId="6780"/>
    <cellStyle name="_00-매암(최종완료)-02-10-24_000-용호고(최종)_00-명동-삼포간 해안관광도로_원가계산서(화성상록) (version 1)_원가보고서(종합)-조달" xfId="6781"/>
    <cellStyle name="_00-매암(최종완료)-02-10-24_000-용호고(최종)_00-명동-삼포간 해안관광도로_원가계산서(화성상록) (version 1)_원가보고서(흑색)-조달" xfId="6782"/>
    <cellStyle name="_00-매암(최종완료)-02-10-24_000-용호고(최종)_00-명동-삼포간 해안관광도로_원가계산서(화성상록)_원가보고서(종합)-조달" xfId="6783"/>
    <cellStyle name="_00-매암(최종완료)-02-10-24_000-용호고(최종)_00-명동-삼포간 해안관광도로_원가계산서(화성상록)_원가보고서(흑색)-조달" xfId="6784"/>
    <cellStyle name="_00-매암(최종완료)-02-10-24_000-용호고(최종)_00-미점-정서간도로확.포장공사(서)-12-14" xfId="6785"/>
    <cellStyle name="_00-매암(최종완료)-02-10-24_000-용호고(최종)_00-미점-정서간도로확.포장공사(서)-12-14_2004년 완선공사(최종본)" xfId="6786"/>
    <cellStyle name="_00-매암(최종완료)-02-10-24_000-용호고(최종)_00-미점-정서간도로확.포장공사(서)-12-14_안동전통문화콘텐츠박물관전시영상물구축(전시시설물)" xfId="6787"/>
    <cellStyle name="_00-매암(최종완료)-02-10-24_000-용호고(최종)_00-미점-정서간도로확.포장공사(서)-12-14_안동전통문화콘텐츠박물관전시영상물구축(전시시설물)_원가보고서(종합)-조달" xfId="6788"/>
    <cellStyle name="_00-매암(최종완료)-02-10-24_000-용호고(최종)_00-미점-정서간도로확.포장공사(서)-12-14_안동전통문화콘텐츠박물관전시영상물구축(전시시설물)_원가보고서(흑색)-조달" xfId="6789"/>
    <cellStyle name="_00-매암(최종완료)-02-10-24_000-용호고(최종)_00-미점-정서간도로확.포장공사(서)-12-14_원가계산서(화성상록)" xfId="6790"/>
    <cellStyle name="_00-매암(최종완료)-02-10-24_000-용호고(최종)_00-미점-정서간도로확.포장공사(서)-12-14_원가계산서(화성상록) (version 1)" xfId="6791"/>
    <cellStyle name="_00-매암(최종완료)-02-10-24_000-용호고(최종)_00-미점-정서간도로확.포장공사(서)-12-14_원가계산서(화성상록) (version 1)_원가보고서(종합)-조달" xfId="6792"/>
    <cellStyle name="_00-매암(최종완료)-02-10-24_000-용호고(최종)_00-미점-정서간도로확.포장공사(서)-12-14_원가계산서(화성상록) (version 1)_원가보고서(흑색)-조달" xfId="6793"/>
    <cellStyle name="_00-매암(최종완료)-02-10-24_000-용호고(최종)_00-미점-정서간도로확.포장공사(서)-12-14_원가계산서(화성상록)_원가보고서(종합)-조달" xfId="6794"/>
    <cellStyle name="_00-매암(최종완료)-02-10-24_000-용호고(최종)_00-미점-정서간도로확.포장공사(서)-12-14_원가계산서(화성상록)_원가보고서(흑색)-조달" xfId="6795"/>
    <cellStyle name="_00-매암(최종완료)-02-10-24_000-용호고(최종)_00-미점-정서간도로확.포장공사-12-17일 기준" xfId="6796"/>
    <cellStyle name="_00-매암(최종완료)-02-10-24_000-용호고(최종)_00-미점-정서간도로확.포장공사-12-17일 기준_2004년 완선공사(최종본)" xfId="6797"/>
    <cellStyle name="_00-매암(최종완료)-02-10-24_000-용호고(최종)_00-미점-정서간도로확.포장공사-12-17일 기준_안동전통문화콘텐츠박물관전시영상물구축(전시시설물)" xfId="6798"/>
    <cellStyle name="_00-매암(최종완료)-02-10-24_000-용호고(최종)_00-미점-정서간도로확.포장공사-12-17일 기준_안동전통문화콘텐츠박물관전시영상물구축(전시시설물)_원가보고서(종합)-조달" xfId="6799"/>
    <cellStyle name="_00-매암(최종완료)-02-10-24_000-용호고(최종)_00-미점-정서간도로확.포장공사-12-17일 기준_안동전통문화콘텐츠박물관전시영상물구축(전시시설물)_원가보고서(흑색)-조달" xfId="6800"/>
    <cellStyle name="_00-매암(최종완료)-02-10-24_000-용호고(최종)_00-미점-정서간도로확.포장공사-12-17일 기준_원가계산서(화성상록)" xfId="6801"/>
    <cellStyle name="_00-매암(최종완료)-02-10-24_000-용호고(최종)_00-미점-정서간도로확.포장공사-12-17일 기준_원가계산서(화성상록) (version 1)" xfId="6802"/>
    <cellStyle name="_00-매암(최종완료)-02-10-24_000-용호고(최종)_00-미점-정서간도로확.포장공사-12-17일 기준_원가계산서(화성상록) (version 1)_원가보고서(종합)-조달" xfId="6803"/>
    <cellStyle name="_00-매암(최종완료)-02-10-24_000-용호고(최종)_00-미점-정서간도로확.포장공사-12-17일 기준_원가계산서(화성상록) (version 1)_원가보고서(흑색)-조달" xfId="6804"/>
    <cellStyle name="_00-매암(최종완료)-02-10-24_000-용호고(최종)_00-미점-정서간도로확.포장공사-12-17일 기준_원가계산서(화성상록)_원가보고서(종합)-조달" xfId="6805"/>
    <cellStyle name="_00-매암(최종완료)-02-10-24_000-용호고(최종)_00-미점-정서간도로확.포장공사-12-17일 기준_원가계산서(화성상록)_원가보고서(흑색)-조달" xfId="6806"/>
    <cellStyle name="_00-매암(최종완료)-02-10-24_000-용호고(최종)_01-미점-정서간도로확.포장공사" xfId="6807"/>
    <cellStyle name="_00-매암(최종완료)-02-10-24_000-용호고(최종)_01-미점-정서간도로확.포장공사_2004년 완선공사(최종본)" xfId="6808"/>
    <cellStyle name="_00-매암(최종완료)-02-10-24_000-용호고(최종)_01-미점-정서간도로확.포장공사_안동전통문화콘텐츠박물관전시영상물구축(전시시설물)" xfId="6809"/>
    <cellStyle name="_00-매암(최종완료)-02-10-24_000-용호고(최종)_01-미점-정서간도로확.포장공사_안동전통문화콘텐츠박물관전시영상물구축(전시시설물)_원가보고서(종합)-조달" xfId="6810"/>
    <cellStyle name="_00-매암(최종완료)-02-10-24_000-용호고(최종)_01-미점-정서간도로확.포장공사_안동전통문화콘텐츠박물관전시영상물구축(전시시설물)_원가보고서(흑색)-조달" xfId="6811"/>
    <cellStyle name="_00-매암(최종완료)-02-10-24_000-용호고(최종)_01-미점-정서간도로확.포장공사_원가계산서(화성상록)" xfId="6812"/>
    <cellStyle name="_00-매암(최종완료)-02-10-24_000-용호고(최종)_01-미점-정서간도로확.포장공사_원가계산서(화성상록) (version 1)" xfId="6813"/>
    <cellStyle name="_00-매암(최종완료)-02-10-24_000-용호고(최종)_01-미점-정서간도로확.포장공사_원가계산서(화성상록) (version 1)_원가보고서(종합)-조달" xfId="6814"/>
    <cellStyle name="_00-매암(최종완료)-02-10-24_000-용호고(최종)_01-미점-정서간도로확.포장공사_원가계산서(화성상록) (version 1)_원가보고서(흑색)-조달" xfId="6815"/>
    <cellStyle name="_00-매암(최종완료)-02-10-24_000-용호고(최종)_01-미점-정서간도로확.포장공사_원가계산서(화성상록)_원가보고서(종합)-조달" xfId="6816"/>
    <cellStyle name="_00-매암(최종완료)-02-10-24_000-용호고(최종)_01-미점-정서간도로확.포장공사_원가계산서(화성상록)_원가보고서(흑색)-조달" xfId="6817"/>
    <cellStyle name="_00-매암(최종완료)-02-10-24_000-용호고(최종)_2004년 완선공사(최종본)" xfId="6818"/>
    <cellStyle name="_00-매암(최종완료)-02-10-24_000-용호고(최종)_안동전통문화콘텐츠박물관전시영상물구축(전시시설물)" xfId="6819"/>
    <cellStyle name="_00-매암(최종완료)-02-10-24_000-용호고(최종)_안동전통문화콘텐츠박물관전시영상물구축(전시시설물)_원가보고서(종합)-조달" xfId="6820"/>
    <cellStyle name="_00-매암(최종완료)-02-10-24_000-용호고(최종)_안동전통문화콘텐츠박물관전시영상물구축(전시시설물)_원가보고서(흑색)-조달" xfId="6821"/>
    <cellStyle name="_00-매암(최종완료)-02-10-24_000-용호고(최종)_원가계산서(화성상록)" xfId="6822"/>
    <cellStyle name="_00-매암(최종완료)-02-10-24_000-용호고(최종)_원가계산서(화성상록) (version 1)" xfId="6823"/>
    <cellStyle name="_00-매암(최종완료)-02-10-24_000-용호고(최종)_원가계산서(화성상록) (version 1)_원가보고서(종합)-조달" xfId="6824"/>
    <cellStyle name="_00-매암(최종완료)-02-10-24_000-용호고(최종)_원가계산서(화성상록) (version 1)_원가보고서(흑색)-조달" xfId="6825"/>
    <cellStyle name="_00-매암(최종완료)-02-10-24_000-용호고(최종)_원가계산서(화성상록)_원가보고서(종합)-조달" xfId="6826"/>
    <cellStyle name="_00-매암(최종완료)-02-10-24_000-용호고(최종)_원가계산서(화성상록)_원가보고서(흑색)-조달" xfId="6827"/>
    <cellStyle name="_00-매암(최종완료)-02-10-24_2004년 완선공사(최종본)" xfId="6828"/>
    <cellStyle name="_00-매암(최종완료)-02-10-24_안동전통문화콘텐츠박물관전시영상물구축(전시시설물)" xfId="6829"/>
    <cellStyle name="_00-매암(최종완료)-02-10-24_안동전통문화콘텐츠박물관전시영상물구축(전시시설물)_원가보고서(종합)-조달" xfId="6830"/>
    <cellStyle name="_00-매암(최종완료)-02-10-24_안동전통문화콘텐츠박물관전시영상물구축(전시시설물)_원가보고서(흑색)-조달" xfId="6831"/>
    <cellStyle name="_00-매암(최종완료)-02-10-24_원가계산서(화성상록)" xfId="6832"/>
    <cellStyle name="_00-매암(최종완료)-02-10-24_원가계산서(화성상록) (version 1)" xfId="6833"/>
    <cellStyle name="_00-매암(최종완료)-02-10-24_원가계산서(화성상록) (version 1)_원가보고서(종합)-조달" xfId="6834"/>
    <cellStyle name="_00-매암(최종완료)-02-10-24_원가계산서(화성상록) (version 1)_원가보고서(흑색)-조달" xfId="6835"/>
    <cellStyle name="_00-매암(최종완료)-02-10-24_원가계산서(화성상록)_원가보고서(종합)-조달" xfId="6836"/>
    <cellStyle name="_00-매암(최종완료)-02-10-24_원가계산서(화성상록)_원가보고서(흑색)-조달" xfId="6837"/>
    <cellStyle name="_00시관리계획내역서1-2" xfId="319"/>
    <cellStyle name="_00시기본계획내역서1-1" xfId="320"/>
    <cellStyle name="_00-제적부 전산화사업 원가산출(최종)-334원" xfId="6838"/>
    <cellStyle name="_00지구 일반산업단지 조성사업(50만평)" xfId="321"/>
    <cellStyle name="_01 실행(군장산단) Rev00" xfId="322"/>
    <cellStyle name="_01 실행(군장산단) Rev00_01 실행(부산남컨가호안109-원안분) REV04" xfId="323"/>
    <cellStyle name="_01 투찰(원안-최종)-050817작업" xfId="324"/>
    <cellStyle name="_01(1).산업단지개발계획" xfId="325"/>
    <cellStyle name="_01.견적서-강릉시청_한글과컴퓨터아시아눅스및워크데스크_유파트너_20070628" xfId="6839"/>
    <cellStyle name="_01.산림항공관리본부-도시계획시설결정내역서(전체분)" xfId="326"/>
    <cellStyle name="_01.산업단지개발계획" xfId="327"/>
    <cellStyle name="_01.설계(울타리감시설비)_20070329" xfId="6840"/>
    <cellStyle name="_01.설계내역2" xfId="328"/>
    <cellStyle name="_01.설계내역서_20070926" xfId="6841"/>
    <cellStyle name="_01_지형현황측량(0.823㎢)" xfId="329"/>
    <cellStyle name="_010227 DL360 CJ드림 이영진" xfId="12494"/>
    <cellStyle name="_0106-06-007 금속 및 수장공사 단가견적- 대림" xfId="6842"/>
    <cellStyle name="_0112-대구상고" xfId="6843"/>
    <cellStyle name="_0118-영천시_SI분야설계내역서" xfId="12495"/>
    <cellStyle name="_0145326625" xfId="6844"/>
    <cellStyle name="_015_LGPOWER" xfId="330"/>
    <cellStyle name="_01구미레포츠용역비산출" xfId="331"/>
    <cellStyle name="_01년춘천광손실기록표(01하반기)" xfId="6845"/>
    <cellStyle name="_01설변내역서" xfId="6846"/>
    <cellStyle name="_01토공" xfId="332"/>
    <cellStyle name="_01토공_01.설계내역2" xfId="333"/>
    <cellStyle name="_01토공_라멘교 토공" xfId="334"/>
    <cellStyle name="_01토공_라멘교 토공_01.설계내역2" xfId="335"/>
    <cellStyle name="_01토공_라멘교 토공_제2종지구단위계획_선바위관광지" xfId="336"/>
    <cellStyle name="_01토공_라멘교 토공_제2종지구단위계획_선바위관광지_20090609_영덕농공단지내역서" xfId="337"/>
    <cellStyle name="_01토공_라멘교 토공_제2종지구단위계획_선바위관광지_총괄내역서(090223)" xfId="338"/>
    <cellStyle name="_01토공_라멘교 토공_총괄내역서_도시관리계획결정(070907)_계약" xfId="339"/>
    <cellStyle name="_01토공_라멘교 토공_총괄내역서_타당성조사및도시관리계획결정(090115)" xfId="340"/>
    <cellStyle name="_01토공_라멘교 토공_총괄내역서_타당성조사및도시관리계획결정(090115)_20090609_영덕농공단지내역서" xfId="341"/>
    <cellStyle name="_01토공_라멘교 토공_총괄내역서_타당성조사및도시관리계획결정(090115)_총괄내역서(090223)" xfId="342"/>
    <cellStyle name="_01토공_제2종지구단위계획_선바위관광지" xfId="343"/>
    <cellStyle name="_01토공_제2종지구단위계획_선바위관광지_20090609_영덕농공단지내역서" xfId="344"/>
    <cellStyle name="_01토공_제2종지구단위계획_선바위관광지_총괄내역서(090223)" xfId="345"/>
    <cellStyle name="_01토공_철거" xfId="346"/>
    <cellStyle name="_01토공_철거_01.설계내역2" xfId="347"/>
    <cellStyle name="_01토공_철거_라멘교 토공" xfId="348"/>
    <cellStyle name="_01토공_철거_라멘교 토공_01.설계내역2" xfId="349"/>
    <cellStyle name="_01토공_철거_라멘교 토공_제2종지구단위계획_선바위관광지" xfId="350"/>
    <cellStyle name="_01토공_철거_라멘교 토공_제2종지구단위계획_선바위관광지_20090609_영덕농공단지내역서" xfId="351"/>
    <cellStyle name="_01토공_철거_라멘교 토공_제2종지구단위계획_선바위관광지_총괄내역서(090223)" xfId="352"/>
    <cellStyle name="_01토공_철거_라멘교 토공_총괄내역서_도시관리계획결정(070907)_계약" xfId="353"/>
    <cellStyle name="_01토공_철거_라멘교 토공_총괄내역서_타당성조사및도시관리계획결정(090115)" xfId="354"/>
    <cellStyle name="_01토공_철거_라멘교 토공_총괄내역서_타당성조사및도시관리계획결정(090115)_20090609_영덕농공단지내역서" xfId="355"/>
    <cellStyle name="_01토공_철거_라멘교 토공_총괄내역서_타당성조사및도시관리계획결정(090115)_총괄내역서(090223)" xfId="356"/>
    <cellStyle name="_01토공_철거_제2종지구단위계획_선바위관광지" xfId="357"/>
    <cellStyle name="_01토공_철거_제2종지구단위계획_선바위관광지_20090609_영덕농공단지내역서" xfId="358"/>
    <cellStyle name="_01토공_철거_제2종지구단위계획_선바위관광지_총괄내역서(090223)" xfId="359"/>
    <cellStyle name="_01토공_철거_총괄내역서_도시관리계획결정(070907)_계약" xfId="360"/>
    <cellStyle name="_01토공_철거_총괄내역서_타당성조사및도시관리계획결정(090115)" xfId="361"/>
    <cellStyle name="_01토공_철거_총괄내역서_타당성조사및도시관리계획결정(090115)_20090609_영덕농공단지내역서" xfId="362"/>
    <cellStyle name="_01토공_철거_총괄내역서_타당성조사및도시관리계획결정(090115)_총괄내역서(090223)" xfId="363"/>
    <cellStyle name="_01토공_총괄내역서_도시관리계획결정(070907)_계약" xfId="364"/>
    <cellStyle name="_01토공_총괄내역서_타당성조사및도시관리계획결정(090115)" xfId="365"/>
    <cellStyle name="_01토공_총괄내역서_타당성조사및도시관리계획결정(090115)_20090609_영덕농공단지내역서" xfId="366"/>
    <cellStyle name="_01토공_총괄내역서_타당성조사및도시관리계획결정(090115)_총괄내역서(090223)" xfId="367"/>
    <cellStyle name="_02(1).지구단위계획" xfId="368"/>
    <cellStyle name="_02.지구단위계획" xfId="369"/>
    <cellStyle name="_02_토질조사(823천)" xfId="370"/>
    <cellStyle name="_02-02-맨홀토공" xfId="371"/>
    <cellStyle name="_02-02-맨홀토공_내지농로(변경)" xfId="372"/>
    <cellStyle name="_02-02-맨홀토공_내지농로(변경)_돈지수량산출" xfId="373"/>
    <cellStyle name="_02-02-맨홀토공_능양수량산출" xfId="374"/>
    <cellStyle name="_02-02-맨홀토공_능양수량산출_돈지수량산출" xfId="375"/>
    <cellStyle name="_02-02-맨홀토공_돈지안길" xfId="376"/>
    <cellStyle name="_02-02-맨홀토공_돈지안길_배수로" xfId="377"/>
    <cellStyle name="_02-02-맨홀토공_돈지안길1000" xfId="378"/>
    <cellStyle name="_02-02-맨홀토공_돈지안길1000_배수로" xfId="379"/>
    <cellStyle name="_02-02-맨홀토공_배수로" xfId="380"/>
    <cellStyle name="_02-02-맨홀토공_배수로_배수로" xfId="381"/>
    <cellStyle name="_02-02-맨홀토공_석축쌓기" xfId="382"/>
    <cellStyle name="_02-02-맨홀토공_석축쌓기_내지농로(변경)" xfId="383"/>
    <cellStyle name="_02-02-맨홀토공_석축쌓기_내지농로(변경)_돈지수량산출" xfId="384"/>
    <cellStyle name="_02-02-맨홀토공_석축쌓기_능양수량산출" xfId="385"/>
    <cellStyle name="_02-02-맨홀토공_석축쌓기_능양수량산출_돈지수량산출" xfId="386"/>
    <cellStyle name="_02-02-맨홀토공_석축쌓기_돈지안길" xfId="387"/>
    <cellStyle name="_02-02-맨홀토공_석축쌓기_돈지안길_배수로" xfId="388"/>
    <cellStyle name="_02-02-맨홀토공_석축쌓기_돈지안길1000" xfId="389"/>
    <cellStyle name="_02-02-맨홀토공_석축쌓기_돈지안길1000_배수로" xfId="390"/>
    <cellStyle name="_02-02-맨홀토공_석축쌓기_배수공(명품센터)" xfId="391"/>
    <cellStyle name="_02-02-맨홀토공_석축쌓기_배수공(명품센터)_내지농로(변경)" xfId="392"/>
    <cellStyle name="_02-02-맨홀토공_석축쌓기_배수공(명품센터)_내지농로(변경)_돈지수량산출" xfId="393"/>
    <cellStyle name="_02-02-맨홀토공_석축쌓기_배수공(명품센터)_능양수량산출" xfId="394"/>
    <cellStyle name="_02-02-맨홀토공_석축쌓기_배수공(명품센터)_능양수량산출_돈지수량산출" xfId="395"/>
    <cellStyle name="_02-02-맨홀토공_석축쌓기_배수공(명품센터)_돈지안길" xfId="396"/>
    <cellStyle name="_02-02-맨홀토공_석축쌓기_배수공(명품센터)_돈지안길_배수로" xfId="397"/>
    <cellStyle name="_02-02-맨홀토공_석축쌓기_배수공(명품센터)_돈지안길1000" xfId="398"/>
    <cellStyle name="_02-02-맨홀토공_석축쌓기_배수공(명품센터)_돈지안길1000_배수로" xfId="399"/>
    <cellStyle name="_02-02-맨홀토공_석축쌓기_배수공(명품센터)_배수로" xfId="400"/>
    <cellStyle name="_02-02-맨홀토공_석축쌓기_배수공(명품센터)_배수로_배수로" xfId="401"/>
    <cellStyle name="_02-02-맨홀토공_석축쌓기_배수로" xfId="402"/>
    <cellStyle name="_02-02-맨홀토공_석축쌓기_배수로_배수로" xfId="403"/>
    <cellStyle name="_02-02-맨홀토공_석축쌓기_수량(전안수해복구)" xfId="404"/>
    <cellStyle name="_02-02-맨홀토공_석축쌓기_수량(전안수해복구)_내지농로(변경)" xfId="405"/>
    <cellStyle name="_02-02-맨홀토공_석축쌓기_수량(전안수해복구)_내지농로(변경)_돈지수량산출" xfId="406"/>
    <cellStyle name="_02-02-맨홀토공_석축쌓기_수량(전안수해복구)_능양수량산출" xfId="407"/>
    <cellStyle name="_02-02-맨홀토공_석축쌓기_수량(전안수해복구)_능양수량산출_돈지수량산출" xfId="408"/>
    <cellStyle name="_02-02-맨홀토공_석축쌓기_수량(전안수해복구)_돈지안길" xfId="409"/>
    <cellStyle name="_02-02-맨홀토공_석축쌓기_수량(전안수해복구)_돈지안길_배수로" xfId="410"/>
    <cellStyle name="_02-02-맨홀토공_석축쌓기_수량(전안수해복구)_돈지안길1000" xfId="411"/>
    <cellStyle name="_02-02-맨홀토공_석축쌓기_수량(전안수해복구)_돈지안길1000_배수로" xfId="412"/>
    <cellStyle name="_02-02-맨홀토공_석축쌓기_수량(전안수해복구)_배수로" xfId="413"/>
    <cellStyle name="_02-02-맨홀토공_석축쌓기_수량(전안수해복구)_배수로_배수로" xfId="414"/>
    <cellStyle name="_02-02-맨홀토공_석축쌓기_우수공(k2)" xfId="415"/>
    <cellStyle name="_02-02-맨홀토공_석축쌓기_우수공(k2)_내지농로(변경)" xfId="416"/>
    <cellStyle name="_02-02-맨홀토공_석축쌓기_우수공(k2)_내지농로(변경)_돈지수량산출" xfId="417"/>
    <cellStyle name="_02-02-맨홀토공_석축쌓기_우수공(k2)_능양수량산출" xfId="418"/>
    <cellStyle name="_02-02-맨홀토공_석축쌓기_우수공(k2)_능양수량산출_돈지수량산출" xfId="419"/>
    <cellStyle name="_02-02-맨홀토공_석축쌓기_우수공(k2)_돈지안길" xfId="420"/>
    <cellStyle name="_02-02-맨홀토공_석축쌓기_우수공(k2)_돈지안길_배수로" xfId="421"/>
    <cellStyle name="_02-02-맨홀토공_석축쌓기_우수공(k2)_돈지안길1000" xfId="422"/>
    <cellStyle name="_02-02-맨홀토공_석축쌓기_우수공(k2)_돈지안길1000_배수로" xfId="423"/>
    <cellStyle name="_02-02-맨홀토공_석축쌓기_우수공(k2)_배수로" xfId="424"/>
    <cellStyle name="_02-02-맨홀토공_석축쌓기_우수공(k2)_배수로_배수로" xfId="425"/>
    <cellStyle name="_021126_목포시청(총괄)" xfId="426"/>
    <cellStyle name="_02-15작업(건총)" xfId="427"/>
    <cellStyle name="_02년1차(수정)" xfId="428"/>
    <cellStyle name="_02용역내역서060306" xfId="429"/>
    <cellStyle name="_02-충남도청이전내역서" xfId="430"/>
    <cellStyle name="_02토공" xfId="6847"/>
    <cellStyle name="_03 항공측량(L=36.0)" xfId="431"/>
    <cellStyle name="_03.배수공(서달)" xfId="6848"/>
    <cellStyle name="_030127 전기공사내역발송" xfId="6849"/>
    <cellStyle name="_030128_STX조선 ES45 Server 견적서(텔콤)" xfId="12496"/>
    <cellStyle name="_030424서울위생병원제출" xfId="6850"/>
    <cellStyle name="_0306_HS20외" xfId="6851"/>
    <cellStyle name="_030623 ml350 CDS 유형석(1)" xfId="6852"/>
    <cellStyle name="_030818천안성모병원견적서" xfId="6853"/>
    <cellStyle name="_03기본및실시설계" xfId="432"/>
    <cellStyle name="_04 설계내역서(도시계획정보체계)" xfId="6854"/>
    <cellStyle name="_04.배수구조물(서달령)" xfId="6855"/>
    <cellStyle name="_04.차선도색" xfId="6856"/>
    <cellStyle name="_04.차선도색_1차변경수량" xfId="6857"/>
    <cellStyle name="_04.차선도색_1차변경수량_1차변경수량" xfId="6858"/>
    <cellStyle name="_04_사전환경영향성검토" xfId="433"/>
    <cellStyle name="_040212_분당병원_DL580G2_원가" xfId="6859"/>
    <cellStyle name="_0409(CJ)3" xfId="12497"/>
    <cellStyle name="_040914_STX중공업 전산 유지보수 견적서(텔콤)2" xfId="12498"/>
    <cellStyle name="_040917 ML350" xfId="6860"/>
    <cellStyle name="_04인도설치" xfId="6861"/>
    <cellStyle name="_04인도설치_04포장공" xfId="6862"/>
    <cellStyle name="_04제일기술" xfId="6863"/>
    <cellStyle name="_04포장공" xfId="6864"/>
    <cellStyle name="_05.SEM2_유파트너_강릉시청_견적서" xfId="6865"/>
    <cellStyle name="_05.토공" xfId="6866"/>
    <cellStyle name="_050810_STX ERP 견적서" xfId="12499"/>
    <cellStyle name="_050818_STX지주 rx4640-eva3000(디지탈마린)" xfId="12500"/>
    <cellStyle name="_050822_STX ERP Server(코오롱정보통신)" xfId="12501"/>
    <cellStyle name="_050823_STX ERP Server (ML570-33) 견적서(디지탈마린)" xfId="12502"/>
    <cellStyle name="_050823_STX ERP Server (ML570-33) 견적서(디지탈마린)1" xfId="12503"/>
    <cellStyle name="_050824_STX ERP Server(HP)" xfId="12504"/>
    <cellStyle name="_051014_데이타베이스진흥센터_XWEB" xfId="6867"/>
    <cellStyle name="_051128_STX중공업 PDM 구축 견적서(포스텍)V2" xfId="12505"/>
    <cellStyle name="_05년데이콤시설공사(대우자판전남본부서광주지점)시험성적서" xfId="6868"/>
    <cellStyle name="_06.컨텐츠목록" xfId="6869"/>
    <cellStyle name="_060213_Cisco1721_견적" xfId="6870"/>
    <cellStyle name="_060324_방화벽 견적서" xfId="6871"/>
    <cellStyle name="_060517대신체육공원실시설계용역_낙찰가조정" xfId="434"/>
    <cellStyle name="_060803-1" xfId="6872"/>
    <cellStyle name="_060811-화이트정보(인포데이타)-x346외" xfId="6873"/>
    <cellStyle name="_0621_용역비설계내역서(수변공원_경기도반영)" xfId="6874"/>
    <cellStyle name="_06-부대공" xfId="6875"/>
    <cellStyle name="_06포항시" xfId="6876"/>
    <cellStyle name="_0702_6_중앙배수로 원설계 공사비(조경,호안,관로)최종v1" xfId="6877"/>
    <cellStyle name="_070718_산자부G4B_한국데이터베이스진흥센터_견적서" xfId="6878"/>
    <cellStyle name="_07-096_견적서(농촌경제연구원 E KP 업그레이드_070703)" xfId="6879"/>
    <cellStyle name="_071214_견적서_한국수출보험공사_차세대통합정보시스템(EAI)_DB진흥센터" xfId="6880"/>
    <cellStyle name="_0728_인천공항(매출관리)" xfId="6881"/>
    <cellStyle name="_0728_인천공항(매출관리)- 비교견적" xfId="6882"/>
    <cellStyle name="_080108-서산시 운석근린공원 환경교통재해영향영가용역" xfId="435"/>
    <cellStyle name="_080111-웰빙공원 환경재해교통영향평가용역비 산출-수정" xfId="436"/>
    <cellStyle name="_080826_문경골프아카데미" xfId="437"/>
    <cellStyle name="_0821_설계변경내역서(고창성송최종)" xfId="6883"/>
    <cellStyle name="_0829_V440외 견적서" xfId="6884"/>
    <cellStyle name="_08한국데이터베이스진흥센터" xfId="6885"/>
    <cellStyle name="_09 군관리계획_적성-전산화내역서" xfId="438"/>
    <cellStyle name="_09 군관리계획_적성-전산화내역서(최종)" xfId="439"/>
    <cellStyle name="_0재릉내역서(원내역서)" xfId="440"/>
    <cellStyle name="_1-(금액상승)변경-아치텐트-PVDF-(3mx3mx2.5m)" xfId="6886"/>
    <cellStyle name="_1-(금액상승)변경-아치텐트-PVDF-(3mx3mx2.5m)_(조폐공사발송) 약품처리시설" xfId="6887"/>
    <cellStyle name="_1-(금액상승)변경-아치텐트-PVDF-(3mx3mx2.5m)_(조폐공사발송) 약품처리시설_2004년 완선공사(최종본)" xfId="6888"/>
    <cellStyle name="_1-(금액상승)변경-아치텐트-PVDF-(3mx3mx2.5m)_(조폐공사발송) 약품처리시설_안동전통문화콘텐츠박물관전시영상물구축(전시시설물)" xfId="6889"/>
    <cellStyle name="_1-(금액상승)변경-아치텐트-PVDF-(3mx3mx2.5m)_(조폐공사발송) 약품처리시설_안동전통문화콘텐츠박물관전시영상물구축(전시시설물)_원가보고서(종합)-조달" xfId="6890"/>
    <cellStyle name="_1-(금액상승)변경-아치텐트-PVDF-(3mx3mx2.5m)_(조폐공사발송) 약품처리시설_안동전통문화콘텐츠박물관전시영상물구축(전시시설물)_원가보고서(흑색)-조달" xfId="6891"/>
    <cellStyle name="_1-(금액상승)변경-아치텐트-PVDF-(3mx3mx2.5m)_(조폐공사발송) 약품처리시설_원가계산서(화성상록)" xfId="6892"/>
    <cellStyle name="_1-(금액상승)변경-아치텐트-PVDF-(3mx3mx2.5m)_(조폐공사발송) 약품처리시설_원가계산서(화성상록) (version 1)" xfId="6893"/>
    <cellStyle name="_1-(금액상승)변경-아치텐트-PVDF-(3mx3mx2.5m)_(조폐공사발송) 약품처리시설_원가계산서(화성상록) (version 1)_원가보고서(종합)-조달" xfId="6894"/>
    <cellStyle name="_1-(금액상승)변경-아치텐트-PVDF-(3mx3mx2.5m)_(조폐공사발송) 약품처리시설_원가계산서(화성상록) (version 1)_원가보고서(흑색)-조달" xfId="6895"/>
    <cellStyle name="_1-(금액상승)변경-아치텐트-PVDF-(3mx3mx2.5m)_(조폐공사발송) 약품처리시설_원가계산서(화성상록)_원가보고서(종합)-조달" xfId="6896"/>
    <cellStyle name="_1-(금액상승)변경-아치텐트-PVDF-(3mx3mx2.5m)_(조폐공사발송) 약품처리시설_원가계산서(화성상록)_원가보고서(흑색)-조달" xfId="6897"/>
    <cellStyle name="_1-(금액상승)변경-아치텐트-PVDF-(3mx3mx2.5m)_2004년 완선공사(최종본)" xfId="6898"/>
    <cellStyle name="_1-(금액상승)변경-아치텐트-PVDF-(3mx3mx2.5m)_안동전통문화콘텐츠박물관전시영상물구축(전시시설물)" xfId="6899"/>
    <cellStyle name="_1-(금액상승)변경-아치텐트-PVDF-(3mx3mx2.5m)_안동전통문화콘텐츠박물관전시영상물구축(전시시설물)_원가보고서(종합)-조달" xfId="6900"/>
    <cellStyle name="_1-(금액상승)변경-아치텐트-PVDF-(3mx3mx2.5m)_안동전통문화콘텐츠박물관전시영상물구축(전시시설물)_원가보고서(흑색)-조달" xfId="6901"/>
    <cellStyle name="_1-(금액상승)변경-아치텐트-PVDF-(3mx3mx2.5m)_원가계산서(화성상록)" xfId="6902"/>
    <cellStyle name="_1-(금액상승)변경-아치텐트-PVDF-(3mx3mx2.5m)_원가계산서(화성상록) (version 1)" xfId="6903"/>
    <cellStyle name="_1-(금액상승)변경-아치텐트-PVDF-(3mx3mx2.5m)_원가계산서(화성상록) (version 1)_원가보고서(종합)-조달" xfId="6904"/>
    <cellStyle name="_1-(금액상승)변경-아치텐트-PVDF-(3mx3mx2.5m)_원가계산서(화성상록) (version 1)_원가보고서(흑색)-조달" xfId="6905"/>
    <cellStyle name="_1-(금액상승)변경-아치텐트-PVDF-(3mx3mx2.5m)_원가계산서(화성상록)_원가보고서(종합)-조달" xfId="6906"/>
    <cellStyle name="_1-(금액상승)변경-아치텐트-PVDF-(3mx3mx2.5m)_원가계산서(화성상록)_원가보고서(흑색)-조달" xfId="6907"/>
    <cellStyle name="_1) 교대토공수량" xfId="6908"/>
    <cellStyle name="_1) 교대토공수량_1) 교대토공수량" xfId="6909"/>
    <cellStyle name="_1) 교대토공수량_1) 교대토공수량_1.여주JCT6교" xfId="6910"/>
    <cellStyle name="_1) 교대토공수량_1) 교대토공수량_2.여주jc7교" xfId="6911"/>
    <cellStyle name="_1) 교대토공수량_1) 대토공수량" xfId="6912"/>
    <cellStyle name="_1) 교대토공수량_1) 대토공수량_1.여주JCT6교" xfId="6913"/>
    <cellStyle name="_1) 교대토공수량_1) 대토공수량_2.여주jc7교" xfId="6914"/>
    <cellStyle name="_1) 교대토공수량_1.여주JCT6교" xfId="6915"/>
    <cellStyle name="_1) 교대토공수량_2.여주jc7교" xfId="6916"/>
    <cellStyle name="_1,2공구 깨기 집계표" xfId="6917"/>
    <cellStyle name="_1. ○○적성평가관리계획내역서" xfId="441"/>
    <cellStyle name="_1. 시험성적서_광주봉선A4B4" xfId="6918"/>
    <cellStyle name="_1.기성내역서" xfId="442"/>
    <cellStyle name="_1.실시설계비" xfId="6919"/>
    <cellStyle name="_1.여주JCT6교" xfId="6920"/>
    <cellStyle name="_1.토공" xfId="6921"/>
    <cellStyle name="_1_광복60주년 은소전(최종발송)" xfId="6922"/>
    <cellStyle name="_1_광복60주년 은소전(최종발송)_2004년 완선공사(최종본)" xfId="6923"/>
    <cellStyle name="_1_광복60주년 은소전(최종발송)_안동전통문화콘텐츠박물관전시영상물구축(전시시설물)" xfId="6924"/>
    <cellStyle name="_1_광복60주년 은소전(최종발송)_안동전통문화콘텐츠박물관전시영상물구축(전시시설물)_원가보고서(종합)-조달" xfId="6925"/>
    <cellStyle name="_1_광복60주년 은소전(최종발송)_안동전통문화콘텐츠박물관전시영상물구축(전시시설물)_원가보고서(흑색)-조달" xfId="6926"/>
    <cellStyle name="_1_광복60주년 은소전(최종발송)_원가계산서(화성상록)" xfId="6927"/>
    <cellStyle name="_1_광복60주년 은소전(최종발송)_원가계산서(화성상록) (version 1)" xfId="6928"/>
    <cellStyle name="_1_광복60주년 은소전(최종발송)_원가계산서(화성상록) (version 1)_원가보고서(종합)-조달" xfId="6929"/>
    <cellStyle name="_1_광복60주년 은소전(최종발송)_원가계산서(화성상록) (version 1)_원가보고서(흑색)-조달" xfId="6930"/>
    <cellStyle name="_1_광복60주년 은소전(최종발송)_원가계산서(화성상록)_원가보고서(종합)-조달" xfId="6931"/>
    <cellStyle name="_1_광복60주년 은소전(최종발송)_원가계산서(화성상록)_원가보고서(흑색)-조달" xfId="6932"/>
    <cellStyle name="_10.역T형옹벽(H=5.0),개거(0.5X0.5)" xfId="443"/>
    <cellStyle name="_1000억(공사비)기본및실시설계-1" xfId="444"/>
    <cellStyle name="_100121_영주한국문화테마파크(최종본)" xfId="445"/>
    <cellStyle name="_1018_국민연금(홈페이지)" xfId="6933"/>
    <cellStyle name="_10CELL(OK)" xfId="6934"/>
    <cellStyle name="_10만평기준(토지적성평가)" xfId="446"/>
    <cellStyle name="_11. 석축" xfId="447"/>
    <cellStyle name="_11. 석축_2(변경)-토공" xfId="448"/>
    <cellStyle name="_1-1. 센터장비구매설치세부내역" xfId="12506"/>
    <cellStyle name="_1-1-1(1).인허가용역비세부(06,12재조정-진짜최종)" xfId="449"/>
    <cellStyle name="_11월 가격표 hp workstation" xfId="6935"/>
    <cellStyle name="_11월2차" xfId="6936"/>
    <cellStyle name="_1220-원가조사-전자지불" xfId="6937"/>
    <cellStyle name="_13(석축)" xfId="450"/>
    <cellStyle name="_13(석축)_2(변경)-토공" xfId="451"/>
    <cellStyle name="_14.2 토공(배수관로-중복)" xfId="6938"/>
    <cellStyle name="_18-건축설계(별도)" xfId="452"/>
    <cellStyle name="_19.수중보(옹벽포함)" xfId="453"/>
    <cellStyle name="_19.수중보(옹벽포함)_2(변경)-토공" xfId="454"/>
    <cellStyle name="_1공구" xfId="6939"/>
    <cellStyle name="_1공구 깨기" xfId="6940"/>
    <cellStyle name="_1공구_1" xfId="6941"/>
    <cellStyle name="_1변경내역서(ESC)" xfId="6942"/>
    <cellStyle name="_1-상평통보-10돈(최종)" xfId="6943"/>
    <cellStyle name="_1-상평통보-10돈(최종)_2004년 완선공사(최종본)" xfId="6944"/>
    <cellStyle name="_1-상평통보-10돈(최종)_안동전통문화콘텐츠박물관전시영상물구축(전시시설물)" xfId="6945"/>
    <cellStyle name="_1-상평통보-10돈(최종)_안동전통문화콘텐츠박물관전시영상물구축(전시시설물)_원가보고서(종합)-조달" xfId="6946"/>
    <cellStyle name="_1-상평통보-10돈(최종)_안동전통문화콘텐츠박물관전시영상물구축(전시시설물)_원가보고서(흑색)-조달" xfId="6947"/>
    <cellStyle name="_1-상평통보-10돈(최종)_원가계산서(화성상록)" xfId="6948"/>
    <cellStyle name="_1-상평통보-10돈(최종)_원가계산서(화성상록) (version 1)" xfId="6949"/>
    <cellStyle name="_1-상평통보-10돈(최종)_원가계산서(화성상록) (version 1)_원가보고서(종합)-조달" xfId="6950"/>
    <cellStyle name="_1-상평통보-10돈(최종)_원가계산서(화성상록) (version 1)_원가보고서(흑색)-조달" xfId="6951"/>
    <cellStyle name="_1-상평통보-10돈(최종)_원가계산서(화성상록)_원가보고서(종합)-조달" xfId="6952"/>
    <cellStyle name="_1-상평통보-10돈(최종)_원가계산서(화성상록)_원가보고서(흑색)-조달" xfId="6953"/>
    <cellStyle name="_1안" xfId="6954"/>
    <cellStyle name="_1원가계산,2총괄내역서xls" xfId="12507"/>
    <cellStyle name="_1월-4월" xfId="6955"/>
    <cellStyle name="_1차도로(통영1105)" xfId="6956"/>
    <cellStyle name="_1차변경계약분" xfId="6957"/>
    <cellStyle name="_1차변경내역" xfId="6958"/>
    <cellStyle name="_1차변경내역-변경" xfId="6959"/>
    <cellStyle name="_1차변경수량" xfId="6960"/>
    <cellStyle name="_1차변경수량_1차변경수량" xfId="6961"/>
    <cellStyle name="_1차분설계변경2차" xfId="6962"/>
    <cellStyle name="_1-토공" xfId="455"/>
    <cellStyle name="_2) 교대일반수량2" xfId="6963"/>
    <cellStyle name="_2) 교대일반수량2_1) 교대토공수량" xfId="6964"/>
    <cellStyle name="_2) 교대일반수량2_1) 교대토공수량_1.여주JCT6교" xfId="6965"/>
    <cellStyle name="_2) 교대일반수량2_1) 교대토공수량_2.여주jc7교" xfId="6966"/>
    <cellStyle name="_2) 교대일반수량2_1) 대토공수량" xfId="6967"/>
    <cellStyle name="_2) 교대일반수량2_1) 대토공수량_1.여주JCT6교" xfId="6968"/>
    <cellStyle name="_2) 교대일반수량2_1) 대토공수량_2.여주jc7교" xfId="6969"/>
    <cellStyle name="_2) 교대일반수량2_1.여주JCT6교" xfId="6970"/>
    <cellStyle name="_2) 교대일반수량2_2.여주jc7교" xfId="6971"/>
    <cellStyle name="_2) 교대토공수량" xfId="6972"/>
    <cellStyle name="_2) 교대토공수량_1) 교대토공수량" xfId="6973"/>
    <cellStyle name="_2) 교대토공수량_1) 교대토공수량_1.여주JCT6교" xfId="6974"/>
    <cellStyle name="_2) 교대토공수량_1) 교대토공수량_2.여주jc7교" xfId="6975"/>
    <cellStyle name="_2) 교대토공수량_1) 대토공수량" xfId="6976"/>
    <cellStyle name="_2) 교대토공수량_1) 대토공수량_1.여주JCT6교" xfId="6977"/>
    <cellStyle name="_2) 교대토공수량_1) 대토공수량_2.여주jc7교" xfId="6978"/>
    <cellStyle name="_2) 교대토공수량_1.여주JCT6교" xfId="6979"/>
    <cellStyle name="_2) 교대토공수량_2.여주jc7교" xfId="6980"/>
    <cellStyle name="_2. ○○도면제작지적고시" xfId="456"/>
    <cellStyle name="_2.0X1.5(개거)" xfId="6981"/>
    <cellStyle name="_2.24받은기성(울산교육청사)(26.91%)" xfId="457"/>
    <cellStyle name="_2.남양주진관산단변경내역서" xfId="458"/>
    <cellStyle name="_2.실시설계총괄내역서_vds(loop)_최종_이상훈" xfId="12508"/>
    <cellStyle name="_2.실시설계총괄내역서_교통정보수집" xfId="12509"/>
    <cellStyle name="_2.실시설계총괄내역서_신호제어" xfId="12510"/>
    <cellStyle name="_2.여주jc7교" xfId="6982"/>
    <cellStyle name="_2.측량비" xfId="6983"/>
    <cellStyle name="_2000년(공사완료)" xfId="6984"/>
    <cellStyle name="_2001 장애조치" xfId="6985"/>
    <cellStyle name="_2001상반기설계서(교동A2)" xfId="6986"/>
    <cellStyle name="_2001상반기설계서(노암B4외)" xfId="6987"/>
    <cellStyle name="_2001상반기통신노무임" xfId="6988"/>
    <cellStyle name="_2001예방계획(강원)" xfId="6989"/>
    <cellStyle name="_2002결과표1" xfId="6990"/>
    <cellStyle name="_2002년 환경기초 민간위탁(2003년 물가상승적용) " xfId="6991"/>
    <cellStyle name="_2002년 환경기초 민간위탁(2003년 물가상승적용) _1-(금액상승)변경-아치텐트-PVDF-(3mx3mx2.5m)" xfId="6992"/>
    <cellStyle name="_2002년 환경기초 민간위탁(2003년 물가상승적용) _1-(금액상승)변경-아치텐트-PVDF-(3mx3mx2.5m)_(조폐공사발송) 약품처리시설" xfId="6993"/>
    <cellStyle name="_2002년 환경기초 민간위탁(2003년 물가상승적용) _1-(금액상승)변경-아치텐트-PVDF-(3mx3mx2.5m)_(조폐공사발송) 약품처리시설_2004년 완선공사(최종본)" xfId="6994"/>
    <cellStyle name="_2002년 환경기초 민간위탁(2003년 물가상승적용) _1-(금액상승)변경-아치텐트-PVDF-(3mx3mx2.5m)_(조폐공사발송) 약품처리시설_안동전통문화콘텐츠박물관전시영상물구축(전시시설물)" xfId="6995"/>
    <cellStyle name="_2002년 환경기초 민간위탁(2003년 물가상승적용) _1-(금액상승)변경-아치텐트-PVDF-(3mx3mx2.5m)_(조폐공사발송) 약품처리시설_안동전통문화콘텐츠박물관전시영상물구축(전시시설물)_원가보고서(종합)-조달" xfId="6996"/>
    <cellStyle name="_2002년 환경기초 민간위탁(2003년 물가상승적용) _1-(금액상승)변경-아치텐트-PVDF-(3mx3mx2.5m)_(조폐공사발송) 약품처리시설_안동전통문화콘텐츠박물관전시영상물구축(전시시설물)_원가보고서(흑색)-조달" xfId="6997"/>
    <cellStyle name="_2002년 환경기초 민간위탁(2003년 물가상승적용) _1-(금액상승)변경-아치텐트-PVDF-(3mx3mx2.5m)_(조폐공사발송) 약품처리시설_원가계산서(화성상록)" xfId="6998"/>
    <cellStyle name="_2002년 환경기초 민간위탁(2003년 물가상승적용) _1-(금액상승)변경-아치텐트-PVDF-(3mx3mx2.5m)_(조폐공사발송) 약품처리시설_원가계산서(화성상록) (version 1)" xfId="6999"/>
    <cellStyle name="_2002년 환경기초 민간위탁(2003년 물가상승적용) _1-(금액상승)변경-아치텐트-PVDF-(3mx3mx2.5m)_(조폐공사발송) 약품처리시설_원가계산서(화성상록) (version 1)_원가보고서(종합)-조달" xfId="7000"/>
    <cellStyle name="_2002년 환경기초 민간위탁(2003년 물가상승적용) _1-(금액상승)변경-아치텐트-PVDF-(3mx3mx2.5m)_(조폐공사발송) 약품처리시설_원가계산서(화성상록) (version 1)_원가보고서(흑색)-조달" xfId="7001"/>
    <cellStyle name="_2002년 환경기초 민간위탁(2003년 물가상승적용) _1-(금액상승)변경-아치텐트-PVDF-(3mx3mx2.5m)_(조폐공사발송) 약품처리시설_원가계산서(화성상록)_원가보고서(종합)-조달" xfId="7002"/>
    <cellStyle name="_2002년 환경기초 민간위탁(2003년 물가상승적용) _1-(금액상승)변경-아치텐트-PVDF-(3mx3mx2.5m)_(조폐공사발송) 약품처리시설_원가계산서(화성상록)_원가보고서(흑색)-조달" xfId="7003"/>
    <cellStyle name="_2002년 환경기초 민간위탁(2003년 물가상승적용) _1-(금액상승)변경-아치텐트-PVDF-(3mx3mx2.5m)_2004년 완선공사(최종본)" xfId="7004"/>
    <cellStyle name="_2002년 환경기초 민간위탁(2003년 물가상승적용) _1-(금액상승)변경-아치텐트-PVDF-(3mx3mx2.5m)_안동전통문화콘텐츠박물관전시영상물구축(전시시설물)" xfId="7005"/>
    <cellStyle name="_2002년 환경기초 민간위탁(2003년 물가상승적용) _1-(금액상승)변경-아치텐트-PVDF-(3mx3mx2.5m)_안동전통문화콘텐츠박물관전시영상물구축(전시시설물)_원가보고서(종합)-조달" xfId="7006"/>
    <cellStyle name="_2002년 환경기초 민간위탁(2003년 물가상승적용) _1-(금액상승)변경-아치텐트-PVDF-(3mx3mx2.5m)_안동전통문화콘텐츠박물관전시영상물구축(전시시설물)_원가보고서(흑색)-조달" xfId="7007"/>
    <cellStyle name="_2002년 환경기초 민간위탁(2003년 물가상승적용) _1-(금액상승)변경-아치텐트-PVDF-(3mx3mx2.5m)_원가계산서(화성상록)" xfId="7008"/>
    <cellStyle name="_2002년 환경기초 민간위탁(2003년 물가상승적용) _1-(금액상승)변경-아치텐트-PVDF-(3mx3mx2.5m)_원가계산서(화성상록) (version 1)" xfId="7009"/>
    <cellStyle name="_2002년 환경기초 민간위탁(2003년 물가상승적용) _1-(금액상승)변경-아치텐트-PVDF-(3mx3mx2.5m)_원가계산서(화성상록) (version 1)_원가보고서(종합)-조달" xfId="7010"/>
    <cellStyle name="_2002년 환경기초 민간위탁(2003년 물가상승적용) _1-(금액상승)변경-아치텐트-PVDF-(3mx3mx2.5m)_원가계산서(화성상록) (version 1)_원가보고서(흑색)-조달" xfId="7011"/>
    <cellStyle name="_2002년 환경기초 민간위탁(2003년 물가상승적용) _1-(금액상승)변경-아치텐트-PVDF-(3mx3mx2.5m)_원가계산서(화성상록)_원가보고서(종합)-조달" xfId="7012"/>
    <cellStyle name="_2002년 환경기초 민간위탁(2003년 물가상승적용) _1-(금액상승)변경-아치텐트-PVDF-(3mx3mx2.5m)_원가계산서(화성상록)_원가보고서(흑색)-조달" xfId="7013"/>
    <cellStyle name="_2002년 환경기초 민간위탁(2003년 물가상승적용) _1.컴퓨터용 책상" xfId="7014"/>
    <cellStyle name="_2002년 환경기초 민간위탁(2003년 물가상승적용) _1.컴퓨터용 책상_2004년 완선공사(최종본)" xfId="7015"/>
    <cellStyle name="_2002년 환경기초 민간위탁(2003년 물가상승적용) _1.컴퓨터용 책상_안동전통문화콘텐츠박물관전시영상물구축(전시시설물)" xfId="7016"/>
    <cellStyle name="_2002년 환경기초 민간위탁(2003년 물가상승적용) _1.컴퓨터용 책상_안동전통문화콘텐츠박물관전시영상물구축(전시시설물)_원가보고서(종합)-조달" xfId="7017"/>
    <cellStyle name="_2002년 환경기초 민간위탁(2003년 물가상승적용) _1.컴퓨터용 책상_안동전통문화콘텐츠박물관전시영상물구축(전시시설물)_원가보고서(흑색)-조달" xfId="7018"/>
    <cellStyle name="_2002년 환경기초 민간위탁(2003년 물가상승적용) _1.컴퓨터용 책상_원가계산서(화성상록)" xfId="7019"/>
    <cellStyle name="_2002년 환경기초 민간위탁(2003년 물가상승적용) _1.컴퓨터용 책상_원가계산서(화성상록) (version 1)" xfId="7020"/>
    <cellStyle name="_2002년 환경기초 민간위탁(2003년 물가상승적용) _1.컴퓨터용 책상_원가계산서(화성상록) (version 1)_원가보고서(종합)-조달" xfId="7021"/>
    <cellStyle name="_2002년 환경기초 민간위탁(2003년 물가상승적용) _1.컴퓨터용 책상_원가계산서(화성상록) (version 1)_원가보고서(흑색)-조달" xfId="7022"/>
    <cellStyle name="_2002년 환경기초 민간위탁(2003년 물가상승적용) _1.컴퓨터용 책상_원가계산서(화성상록)_원가보고서(종합)-조달" xfId="7023"/>
    <cellStyle name="_2002년 환경기초 민간위탁(2003년 물가상승적용) _1.컴퓨터용 책상_원가계산서(화성상록)_원가보고서(흑색)-조달" xfId="7024"/>
    <cellStyle name="_2002년 환경기초 민간위탁(2003년 물가상승적용) _2004년 완선공사(최종본)" xfId="7025"/>
    <cellStyle name="_2002년 환경기초 민간위탁(2003년 물가상승적용) _발안천교(수정)" xfId="7026"/>
    <cellStyle name="_2002년 환경기초 민간위탁(2003년 물가상승적용) _안동전통문화콘텐츠박물관전시영상물구축(전시시설물)" xfId="7027"/>
    <cellStyle name="_2002년 환경기초 민간위탁(2003년 물가상승적용) _안동전통문화콘텐츠박물관전시영상물구축(전시시설물)_원가보고서(종합)-조달" xfId="7028"/>
    <cellStyle name="_2002년 환경기초 민간위탁(2003년 물가상승적용) _안동전통문화콘텐츠박물관전시영상물구축(전시시설물)_원가보고서(흑색)-조달" xfId="7029"/>
    <cellStyle name="_2002년 환경기초 민간위탁(2003년 물가상승적용) _원가계산서(화성상록)" xfId="7030"/>
    <cellStyle name="_2002년 환경기초 민간위탁(2003년 물가상승적용) _원가계산서(화성상록) (version 1)" xfId="7031"/>
    <cellStyle name="_2002년 환경기초 민간위탁(2003년 물가상승적용) _원가계산서(화성상록) (version 1)_원가보고서(종합)-조달" xfId="7032"/>
    <cellStyle name="_2002년 환경기초 민간위탁(2003년 물가상승적용) _원가계산서(화성상록) (version 1)_원가보고서(흑색)-조달" xfId="7033"/>
    <cellStyle name="_2002년 환경기초 민간위탁(2003년 물가상승적용) _원가계산서(화성상록)_원가보고서(종합)-조달" xfId="7034"/>
    <cellStyle name="_2002년 환경기초 민간위탁(2003년 물가상승적용) _원가계산서(화성상록)_원가보고서(흑색)-조달" xfId="7035"/>
    <cellStyle name="_2002년 환경기초 민간위탁(2003년 물가상승적용) _초지기 2라인 광택시설 보완" xfId="7036"/>
    <cellStyle name="_2002년 환경기초 민간위탁(2003년 물가상승적용) _초지기 2라인 광택시설 보완_2004년 완선공사(최종본)" xfId="7037"/>
    <cellStyle name="_2002년 환경기초 민간위탁(2003년 물가상승적용) _초지기 2라인 광택시설 보완_안동전통문화콘텐츠박물관전시영상물구축(전시시설물)" xfId="7038"/>
    <cellStyle name="_2002년 환경기초 민간위탁(2003년 물가상승적용) _초지기 2라인 광택시설 보완_안동전통문화콘텐츠박물관전시영상물구축(전시시설물)_원가보고서(종합)-조달" xfId="7039"/>
    <cellStyle name="_2002년 환경기초 민간위탁(2003년 물가상승적용) _초지기 2라인 광택시설 보완_안동전통문화콘텐츠박물관전시영상물구축(전시시설물)_원가보고서(흑색)-조달" xfId="7040"/>
    <cellStyle name="_2002년 환경기초 민간위탁(2003년 물가상승적용) _초지기 2라인 광택시설 보완_원가계산서(화성상록)" xfId="7041"/>
    <cellStyle name="_2002년 환경기초 민간위탁(2003년 물가상승적용) _초지기 2라인 광택시설 보완_원가계산서(화성상록) (version 1)" xfId="7042"/>
    <cellStyle name="_2002년 환경기초 민간위탁(2003년 물가상승적용) _초지기 2라인 광택시설 보완_원가계산서(화성상록) (version 1)_원가보고서(종합)-조달" xfId="7043"/>
    <cellStyle name="_2002년 환경기초 민간위탁(2003년 물가상승적용) _초지기 2라인 광택시설 보완_원가계산서(화성상록) (version 1)_원가보고서(흑색)-조달" xfId="7044"/>
    <cellStyle name="_2002년 환경기초 민간위탁(2003년 물가상승적용) _초지기 2라인 광택시설 보완_원가계산서(화성상록)_원가보고서(종합)-조달" xfId="7045"/>
    <cellStyle name="_2002년 환경기초 민간위탁(2003년 물가상승적용) _초지기 2라인 광택시설 보완_원가계산서(화성상록)_원가보고서(흑색)-조달" xfId="7046"/>
    <cellStyle name="_2002년도 SKT 판대3중계기 광코아 제공공사" xfId="7047"/>
    <cellStyle name="_2002년도 SKT 판대3중계기 광코아 제공공사-준공서류" xfId="7048"/>
    <cellStyle name="_20030807-TGIF견적" xfId="7049"/>
    <cellStyle name="_20030926_설계내역(심사결과반영)" xfId="12511"/>
    <cellStyle name="_2003광코아측정계획(10월)" xfId="7050"/>
    <cellStyle name="_2003년 설계서(서울시-기준점측량1)" xfId="12512"/>
    <cellStyle name="_2003년 춘천#1링 설비교체공사" xfId="7051"/>
    <cellStyle name="_2003년설계품v2.1" xfId="459"/>
    <cellStyle name="_2004(하반기)단가서" xfId="460"/>
    <cellStyle name="_2004(하반기)단가서_간이배수펌프장설치에 따른 타당성용역내역" xfId="461"/>
    <cellStyle name="_2004_가격산출 근거서" xfId="462"/>
    <cellStyle name="_2004_가격산출 근거서_수정" xfId="463"/>
    <cellStyle name="_2004_산출내역서(최종)_검토_041013" xfId="7052"/>
    <cellStyle name="_20040413_견적_V480_280_조영호과장" xfId="7053"/>
    <cellStyle name="_2004년 도로와 지하시설물 공동구축 제1회 설계변경내역서(기환형작업)" xfId="7054"/>
    <cellStyle name="_2004년 설계내역서-추경" xfId="7055"/>
    <cellStyle name="_2004년 추경예산 도로와 지하시설물 공동구축 설계내역서" xfId="7056"/>
    <cellStyle name="_2004년도상수,하수,도로내역(기본폼)" xfId="464"/>
    <cellStyle name="_2004년도상수,하수,도로내역(물량조정완료218)" xfId="7057"/>
    <cellStyle name="_2004년도상수,하수,도로내역(물량조정중)" xfId="7058"/>
    <cellStyle name="_2004년도상수,하수,도로설계변경내역(예정3)" xfId="7059"/>
    <cellStyle name="_2004년총집행액(가설AS점퍼분야, 부산본부 2004 수정반영)" xfId="7060"/>
    <cellStyle name="_2005_11_21_도시개발_이익창실장_(p550_1.65Ghz)" xfId="7061"/>
    <cellStyle name="_20050126_p550" xfId="7062"/>
    <cellStyle name="_20050510(지노시스템_서울시청 도로 굴착,복구)" xfId="465"/>
    <cellStyle name="_2005년 가로등 시설물 복구공사(송파)" xfId="466"/>
    <cellStyle name="_2005년 가로등(연간단가)원본" xfId="467"/>
    <cellStyle name="_2005년 가로등공사(공통대가)" xfId="468"/>
    <cellStyle name="_2005년 사업 시스템 부문 설계내역서_2.0" xfId="469"/>
    <cellStyle name="_2005년대개체목표(제주계획_김익수)" xfId="7063"/>
    <cellStyle name="_2005년도 9차 공급목표" xfId="7064"/>
    <cellStyle name="_2005년신축아파트 초고속세부구간(자료_김익수)" xfId="7065"/>
    <cellStyle name="_20060829_화이트정보통신(대웅제약)" xfId="7066"/>
    <cellStyle name="_2006년 유사 FTTH 공급 계획(동래금정)" xfId="7067"/>
    <cellStyle name="_2006년 유사 FTTH 공급 계획(동진주-060227)" xfId="7068"/>
    <cellStyle name="_2006년 초고속 시설 및 가입자 현황 ~ 4월말" xfId="7069"/>
    <cellStyle name="_2006년4분기공급계획자료(본부0912)" xfId="7070"/>
    <cellStyle name="_2006년사업관리부산본부(08월실적)" xfId="7071"/>
    <cellStyle name="_2006수위계설치계약내역서(5월17일)" xfId="7072"/>
    <cellStyle name="_2006수해복구수위계설치설계예산서" xfId="7073"/>
    <cellStyle name="_2006유지보수견적" xfId="7074"/>
    <cellStyle name="_2006홍천군관리계획설계예산서060223" xfId="470"/>
    <cellStyle name="_2007 알고가 유지보수 견적(070124_1억삼천)" xfId="12513"/>
    <cellStyle name="_2007-06-19-x3850-이종서연구원님-verA" xfId="7075"/>
    <cellStyle name="_20071121_한국DB진흥센터_견적" xfId="7076"/>
    <cellStyle name="_2007년 항공사진측량_설계품_흑백" xfId="471"/>
    <cellStyle name="_2007년 항공사진측량_흑백" xfId="472"/>
    <cellStyle name="_2007년_하반기_ 모뎀 집중화 현황(최정석)" xfId="7077"/>
    <cellStyle name="_2008.12.30_가평군기본계획변경및관리계획변경설계내역서" xfId="473"/>
    <cellStyle name="_20080321 메리츠증권 운영리스크 관리시스템 구축 견적" xfId="7078"/>
    <cellStyle name="_2008050855500-2" xfId="7079"/>
    <cellStyle name="_2008년신설영업점-통신장비내역" xfId="7080"/>
    <cellStyle name="_20100402내역-도시개발사업조사설계용역" xfId="474"/>
    <cellStyle name="_2-1.VDS일위대가" xfId="12514"/>
    <cellStyle name="_21083195200001-3" xfId="7081"/>
    <cellStyle name="_22CELL(광-동부아파트)" xfId="7082"/>
    <cellStyle name="_2-4.상반기실적부문별요약" xfId="475"/>
    <cellStyle name="_2-4.상반기실적부문별요약(표지및목차포함)" xfId="476"/>
    <cellStyle name="_2-4.상반기실적부문별요약(표지및목차포함)_1" xfId="477"/>
    <cellStyle name="_2-4.상반기실적부문별요약_1" xfId="478"/>
    <cellStyle name="_2500정사사진(2005년도2차물량 위성과 통합)" xfId="479"/>
    <cellStyle name="_251Q-339(지오투정보기술_토지적성평가용)" xfId="7083"/>
    <cellStyle name="_2공구" xfId="7084"/>
    <cellStyle name="_2공구 깨기" xfId="7085"/>
    <cellStyle name="_2공구_1" xfId="7086"/>
    <cellStyle name="_2옥련동도로확장으로인한광케이블이설공사(설계)" xfId="7087"/>
    <cellStyle name="_2차계약설계서" xfId="480"/>
    <cellStyle name="_2차변경내역서(ESC)" xfId="7088"/>
    <cellStyle name="_2차분설계변경" xfId="7089"/>
    <cellStyle name="_2차분설계변경_loos map관련폼" xfId="7090"/>
    <cellStyle name="_2차설계서" xfId="7091"/>
    <cellStyle name="_3(석축,con포장)" xfId="481"/>
    <cellStyle name="_3(석축,con포장)_2(변경)-토공" xfId="482"/>
    <cellStyle name="_3)기산약목 배수,포장공" xfId="7092"/>
    <cellStyle name="_3. ○○주거개발진흥지구" xfId="483"/>
    <cellStyle name="_3.1 제1배수문(1.5×1.5×1련)" xfId="7093"/>
    <cellStyle name="_3.1제1배수통관(시례우안3제)" xfId="7094"/>
    <cellStyle name="_3.2 제2배수통관" xfId="7095"/>
    <cellStyle name="_3.3 제3배수통관" xfId="7096"/>
    <cellStyle name="_3.6 부대공(배수관로-단독)" xfId="7097"/>
    <cellStyle name="_3.교통영향평가" xfId="484"/>
    <cellStyle name="_3.구조물공" xfId="485"/>
    <cellStyle name="_3.구조물공(시례우안2제)" xfId="7098"/>
    <cellStyle name="_3.구조물공_01.설계내역2" xfId="486"/>
    <cellStyle name="_3.구조물공_04포장공" xfId="7099"/>
    <cellStyle name="_3.구조물공_3.구조물공" xfId="7100"/>
    <cellStyle name="_3.구조물공_3.구조물공_04포장공" xfId="7101"/>
    <cellStyle name="_3.구조물공_3.물공" xfId="7102"/>
    <cellStyle name="_3.구조물공_3.물공_04포장공" xfId="7103"/>
    <cellStyle name="_3.구조물공_보수량집계(우근)" xfId="7104"/>
    <cellStyle name="_3.구조물공_보수량집계(우근)_04포장공" xfId="7105"/>
    <cellStyle name="_3.구조물공_석축" xfId="7106"/>
    <cellStyle name="_3.구조물공_석축_04포장공" xfId="7107"/>
    <cellStyle name="_3.구조물공_제2종지구단위계획_선바위관광지" xfId="487"/>
    <cellStyle name="_3.구조물공_제2종지구단위계획_선바위관광지_20090609_영덕농공단지내역서" xfId="488"/>
    <cellStyle name="_3.구조물공_제2종지구단위계획_선바위관광지_총괄내역서(090223)" xfId="489"/>
    <cellStyle name="_3.구조물공_총괄내역서_도시관리계획결정(070907)_계약" xfId="490"/>
    <cellStyle name="_3.구조물공_총괄내역서_타당성조사및도시관리계획결정(090115)" xfId="491"/>
    <cellStyle name="_3.구조물공_총괄내역서_타당성조사및도시관리계획결정(090115)_20090609_영덕농공단지내역서" xfId="492"/>
    <cellStyle name="_3.구조물공_총괄내역서_타당성조사및도시관리계획결정(090115)_총괄내역서(090223)" xfId="493"/>
    <cellStyle name="_300_합성계산서" xfId="7108"/>
    <cellStyle name="_3셀시행내역" xfId="7109"/>
    <cellStyle name="_3월청구" xfId="7110"/>
    <cellStyle name="_3차ES단가(04년9월)" xfId="12515"/>
    <cellStyle name="_3차원(총괄표)" xfId="12516"/>
    <cellStyle name="_4)기산약목 부대공" xfId="7111"/>
    <cellStyle name="_4506-델코레미-최종" xfId="7112"/>
    <cellStyle name="_4단지내역및수량산출서" xfId="494"/>
    <cellStyle name="_4차발주" xfId="495"/>
    <cellStyle name="_4차사업설계서(계약가)" xfId="496"/>
    <cellStyle name="_5.0 부대공(송산 2리)" xfId="7113"/>
    <cellStyle name="_540004-STX조선_IBM 유지보수료bhku1" xfId="12517"/>
    <cellStyle name="_5옹벽공" xfId="7114"/>
    <cellStyle name="_5옹벽공_개봉TL수량산출서-1" xfId="7115"/>
    <cellStyle name="_5월정산" xfId="7116"/>
    <cellStyle name="_6 항공사진측량" xfId="497"/>
    <cellStyle name="_6월 가격표 hp workstation(수정중)" xfId="7117"/>
    <cellStyle name="_6차사진" xfId="7118"/>
    <cellStyle name="_7.PC" xfId="12518"/>
    <cellStyle name="_7.수량산출서" xfId="12519"/>
    <cellStyle name="_7월 가격표 hp workstation" xfId="7119"/>
    <cellStyle name="_8월 가격표 hp workstation" xfId="7120"/>
    <cellStyle name="_99-07-P003 서초쉐르빌설변-2" xfId="12520"/>
    <cellStyle name="_99광통신간석외1개소" xfId="7121"/>
    <cellStyle name="_99광통신간석외1개소_1" xfId="7122"/>
    <cellStyle name="_99광통신간석외1개소_LGT춘천조양3" xfId="7123"/>
    <cellStyle name="_99광통신간석외1개소_LGT춘천조양3_Book1" xfId="7124"/>
    <cellStyle name="_99광통신간석외1개소_LGT춘천조양3_Book1_실사" xfId="7125"/>
    <cellStyle name="_99광통신간석외1개소_LGT춘천조양3_Book1_실사_조남학 - 테마별 예방점검표" xfId="7126"/>
    <cellStyle name="_99광통신간석외1개소_LGT춘천조양3_Book1_실사_조남학 - 테마별 예방점검표_준공서류(신독산~롯데아이티캐슬(흥진데이터서비스)하나로임차)" xfId="7127"/>
    <cellStyle name="_99광통신간석외1개소_LGT춘천조양3_Book1_실사_준공서류(신독산~롯데아이티캐슬(흥진데이터서비스)하나로임차)" xfId="7128"/>
    <cellStyle name="_99광통신간석외1개소_LGT춘천조양3_Book1_조남학 - 테마별 예방점검표" xfId="7129"/>
    <cellStyle name="_99광통신간석외1개소_LGT춘천조양3_Book1_조남학 - 테마별 예방점검표_준공서류(신독산~롯데아이티캐슬(흥진데이터서비스)하나로임차)" xfId="7130"/>
    <cellStyle name="_99광통신간석외1개소_LGT춘천조양3_Book1_준공서류(신독산~롯데아이티캐슬(흥진데이터서비스)하나로임차)" xfId="7131"/>
    <cellStyle name="_99광통신간석외1개소_LGT춘천조양3_LG중계기실사보고서(안보온의팔미)KDN제출용" xfId="7132"/>
    <cellStyle name="_99광통신간석외1개소_LGT춘천조양3_LG중계기실사보고서(안보온의팔미)KDN제출용_실사" xfId="7133"/>
    <cellStyle name="_99광통신간석외1개소_LGT춘천조양3_LG중계기실사보고서(안보온의팔미)KDN제출용_실사_조남학 - 테마별 예방점검표" xfId="7134"/>
    <cellStyle name="_99광통신간석외1개소_LGT춘천조양3_LG중계기실사보고서(안보온의팔미)KDN제출용_실사_조남학 - 테마별 예방점검표_준공서류(신독산~롯데아이티캐슬(흥진데이터서비스)하나로임차)" xfId="7135"/>
    <cellStyle name="_99광통신간석외1개소_LGT춘천조양3_LG중계기실사보고서(안보온의팔미)KDN제출용_실사_준공서류(신독산~롯데아이티캐슬(흥진데이터서비스)하나로임차)" xfId="7136"/>
    <cellStyle name="_99광통신간석외1개소_LGT춘천조양3_LG중계기실사보고서(안보온의팔미)KDN제출용_조남학 - 테마별 예방점검표" xfId="7137"/>
    <cellStyle name="_99광통신간석외1개소_LGT춘천조양3_LG중계기실사보고서(안보온의팔미)KDN제출용_조남학 - 테마별 예방점검표_준공서류(신독산~롯데아이티캐슬(흥진데이터서비스)하나로임차)" xfId="7138"/>
    <cellStyle name="_99광통신간석외1개소_LGT춘천조양3_LG중계기실사보고서(안보온의팔미)KDN제출용_준공서류(신독산~롯데아이티캐슬(흥진데이터서비스)하나로임차)" xfId="7139"/>
    <cellStyle name="_99광통신간석외1개소_LGT춘천조양3_개통확인서(유포)" xfId="7140"/>
    <cellStyle name="_99광통신간석외1개소_LGT춘천조양3_개통확인서(유포)_실사" xfId="7141"/>
    <cellStyle name="_99광통신간석외1개소_LGT춘천조양3_개통확인서(유포)_실사_조남학 - 테마별 예방점검표" xfId="7142"/>
    <cellStyle name="_99광통신간석외1개소_LGT춘천조양3_개통확인서(유포)_실사_조남학 - 테마별 예방점검표_준공서류(신독산~롯데아이티캐슬(흥진데이터서비스)하나로임차)" xfId="7143"/>
    <cellStyle name="_99광통신간석외1개소_LGT춘천조양3_개통확인서(유포)_실사_준공서류(신독산~롯데아이티캐슬(흥진데이터서비스)하나로임차)" xfId="7144"/>
    <cellStyle name="_99광통신간석외1개소_LGT춘천조양3_개통확인서(유포)_조남학 - 테마별 예방점검표" xfId="7145"/>
    <cellStyle name="_99광통신간석외1개소_LGT춘천조양3_개통확인서(유포)_조남학 - 테마별 예방점검표_준공서류(신독산~롯데아이티캐슬(흥진데이터서비스)하나로임차)" xfId="7146"/>
    <cellStyle name="_99광통신간석외1개소_LGT춘천조양3_개통확인서(유포)_준공서류(신독산~롯데아이티캐슬(흥진데이터서비스)하나로임차)" xfId="7147"/>
    <cellStyle name="_99광통신간석외1개소_LGT춘천조양3_실사" xfId="7148"/>
    <cellStyle name="_99광통신간석외1개소_LGT춘천조양3_실사_조남학 - 테마별 예방점검표" xfId="7149"/>
    <cellStyle name="_99광통신간석외1개소_LGT춘천조양3_실사_조남학 - 테마별 예방점검표_준공서류(신독산~롯데아이티캐슬(흥진데이터서비스)하나로임차)" xfId="7150"/>
    <cellStyle name="_99광통신간석외1개소_LGT춘천조양3_실사_준공서류(신독산~롯데아이티캐슬(흥진데이터서비스)하나로임차)" xfId="7151"/>
    <cellStyle name="_99광통신간석외1개소_LGT춘천조양3_조남학 - 테마별 예방점검표" xfId="7152"/>
    <cellStyle name="_99광통신간석외1개소_LGT춘천조양3_조남학 - 테마별 예방점검표_준공서류(신독산~롯데아이티캐슬(흥진데이터서비스)하나로임차)" xfId="7153"/>
    <cellStyle name="_99광통신간석외1개소_LGT춘천조양3_준공서류(신독산~롯데아이티캐슬(흥진데이터서비스)하나로임차)" xfId="7154"/>
    <cellStyle name="_99광통신간석외1개소_LGT춘천조양3_춘처LGT중계기(팔미)" xfId="7155"/>
    <cellStyle name="_99광통신간석외1개소_LGT춘천조양3_춘처LGT중계기(팔미)_실사" xfId="7156"/>
    <cellStyle name="_99광통신간석외1개소_LGT춘천조양3_춘처LGT중계기(팔미)_실사_조남학 - 테마별 예방점검표" xfId="7157"/>
    <cellStyle name="_99광통신간석외1개소_LGT춘천조양3_춘처LGT중계기(팔미)_실사_조남학 - 테마별 예방점검표_준공서류(신독산~롯데아이티캐슬(흥진데이터서비스)하나로임차)" xfId="7158"/>
    <cellStyle name="_99광통신간석외1개소_LGT춘천조양3_춘처LGT중계기(팔미)_실사_준공서류(신독산~롯데아이티캐슬(흥진데이터서비스)하나로임차)" xfId="7159"/>
    <cellStyle name="_99광통신간석외1개소_LGT춘천조양3_춘처LGT중계기(팔미)_조남학 - 테마별 예방점검표" xfId="7160"/>
    <cellStyle name="_99광통신간석외1개소_LGT춘천조양3_춘처LGT중계기(팔미)_조남학 - 테마별 예방점검표_준공서류(신독산~롯데아이티캐슬(흥진데이터서비스)하나로임차)" xfId="7161"/>
    <cellStyle name="_99광통신간석외1개소_LGT춘천조양3_춘처LGT중계기(팔미)_준공서류(신독산~롯데아이티캐슬(흥진데이터서비스)하나로임차)" xfId="7162"/>
    <cellStyle name="_99광통신간석외1개소_데이콤(네티즌21호)정산서0119 " xfId="7163"/>
    <cellStyle name="_99광통신간석외1개소_데이콤(네티즌21호)정산서0119 _(0515688)데이콤 심곡동 싸이버칸 플러스 IP제공 공사" xfId="7164"/>
    <cellStyle name="_99광통신간석외1개소_데이콤(네티즌21호)정산서0119 _(0515688)데이콤 심곡동 싸이버칸 플러스 IP제공 공사_준공서류(신독산~롯데아이티캐슬(흥진데이터서비스)하나로임차)" xfId="7165"/>
    <cellStyle name="_99광통신간석외1개소_데이콤(네티즌21호)정산서0119 _STAR NET" xfId="7166"/>
    <cellStyle name="_99광통신간석외1개소_데이콤(네티즌21호)정산서0119 _STAR NET_(0515688)데이콤 심곡동 싸이버칸 플러스 IP제공 공사" xfId="7167"/>
    <cellStyle name="_99광통신간석외1개소_데이콤(네티즌21호)정산서0119 _STAR NET_(0515688)데이콤 심곡동 싸이버칸 플러스 IP제공 공사_준공서류(신독산~롯데아이티캐슬(흥진데이터서비스)하나로임차)" xfId="7168"/>
    <cellStyle name="_99광통신간석외1개소_데이콤(네티즌21호)정산서0119 _STAR NET_179G4(트리디아)" xfId="7169"/>
    <cellStyle name="_99광통신간석외1개소_데이콤(네티즌21호)정산서0119 _STAR NET_179G4(트리디아)_준공서류(신독산~롯데아이티캐슬(흥진데이터서비스)하나로임차)" xfId="7170"/>
    <cellStyle name="_99광통신간석외1개소_데이콤(네티즌21호)정산서0119 _STAR NET_SKT작전2동중계기" xfId="7171"/>
    <cellStyle name="_99광통신간석외1개소_데이콤(네티즌21호)정산서0119 _STAR NET_SKT작전2동중계기_준공서류(신독산~롯데아이티캐슬(흥진데이터서비스)하나로임차)" xfId="7172"/>
    <cellStyle name="_99광통신간석외1개소_데이콤(네티즌21호)정산서0119 _STAR NET_준공서류(신독산~롯데아이티캐슬(흥진데이터서비스)하나로임차)" xfId="7173"/>
    <cellStyle name="_99광통신간석외1개소_데이콤(네티즌21호)정산서0119 _데이콤 김포소방서개통확인서" xfId="7174"/>
    <cellStyle name="_99광통신간석외1개소_데이콤(네티즌21호)정산서0119 _데이콤 김포소방서개통확인서_준공서류(신독산~롯데아이티캐슬(흥진데이터서비스)하나로임차)" xfId="7175"/>
    <cellStyle name="_99광통신간석외1개소_데이콤(네티즌21호)정산서0119 _종합기별" xfId="7176"/>
    <cellStyle name="_99광통신간석외1개소_데이콤(네티즌21호)정산서0119 _종합기별_179G4(트리디아)" xfId="7177"/>
    <cellStyle name="_99광통신간석외1개소_데이콤(네티즌21호)정산서0119 _종합기별_179G4(트리디아)_준공서류(신독산~롯데아이티캐슬(흥진데이터서비스)하나로임차)" xfId="7178"/>
    <cellStyle name="_99광통신간석외1개소_데이콤(네티즌21호)정산서0119 _종합기별_준공서류(신독산~롯데아이티캐슬(흥진데이터서비스)하나로임차)" xfId="7179"/>
    <cellStyle name="_99광통신간석외1개소_데이콤(네티즌21호)정산서0119 _준공서류(신독산~롯데아이티캐슬(흥진데이터서비스)하나로임차)" xfId="7180"/>
    <cellStyle name="_99광통신간석외1개소_동양비원컴" xfId="7181"/>
    <cellStyle name="_99광통신간석외1개소_두산오토2" xfId="7182"/>
    <cellStyle name="_99광통신간석외1개소_봅시다장비내역서" xfId="7183"/>
    <cellStyle name="_99광통신간석외1개소_봅시다장비내역서_동양비원컴" xfId="7184"/>
    <cellStyle name="_99광통신간석외1개소_봅시다장비내역서_두산오토2" xfId="7185"/>
    <cellStyle name="_99광통신간석외1개소_봅시다장비내역서_의정부" xfId="7186"/>
    <cellStyle name="_99광통신간석외1개소_봅시다장비내역서_의정부_동양비원컴" xfId="7187"/>
    <cellStyle name="_99광통신간석외1개소_봅시다장비내역서_의정부_두산오토2" xfId="7188"/>
    <cellStyle name="_99광통신간석외1개소_봅시다장비내역서_의정부_중구청소년수련관" xfId="7189"/>
    <cellStyle name="_99광통신간석외1개소_봅시다장비내역서_의정부_파워콤기별" xfId="7190"/>
    <cellStyle name="_99광통신간석외1개소_봅시다장비내역서_의정부_파워콤기별_파워콤기별" xfId="7191"/>
    <cellStyle name="_99광통신간석외1개소_봅시다장비내역서_중구청소년수련관" xfId="7192"/>
    <cellStyle name="_99광통신간석외1개소_봅시다장비내역서_파워콤기별" xfId="7193"/>
    <cellStyle name="_99광통신간석외1개소_봅시다장비내역서_파워콤기별_파워콤기별" xfId="7194"/>
    <cellStyle name="_99광통신간석외1개소_신호현자재내역 의정부" xfId="7195"/>
    <cellStyle name="_99광통신간석외1개소_신호현자재내역 의정부_동양비원컴" xfId="7196"/>
    <cellStyle name="_99광통신간석외1개소_신호현자재내역 의정부_두산오토2" xfId="7197"/>
    <cellStyle name="_99광통신간석외1개소_신호현자재내역 의정부_의정부" xfId="7198"/>
    <cellStyle name="_99광통신간석외1개소_신호현자재내역 의정부_의정부_동양비원컴" xfId="7199"/>
    <cellStyle name="_99광통신간석외1개소_신호현자재내역 의정부_의정부_두산오토2" xfId="7200"/>
    <cellStyle name="_99광통신간석외1개소_신호현자재내역 의정부_의정부_중구청소년수련관" xfId="7201"/>
    <cellStyle name="_99광통신간석외1개소_신호현자재내역 의정부_의정부_파워콤기별" xfId="7202"/>
    <cellStyle name="_99광통신간석외1개소_신호현자재내역 의정부_의정부_파워콤기별_파워콤기별" xfId="7203"/>
    <cellStyle name="_99광통신간석외1개소_신호현자재내역 의정부_중구청소년수련관" xfId="7204"/>
    <cellStyle name="_99광통신간석외1개소_신호현자재내역 의정부_파워콤기별" xfId="7205"/>
    <cellStyle name="_99광통신간석외1개소_신호현자재내역 의정부_파워콤기별_파워콤기별" xfId="7206"/>
    <cellStyle name="_99광통신간석외1개소_실사" xfId="7207"/>
    <cellStyle name="_99광통신간석외1개소_실사_조남학 - 테마별 예방점검표" xfId="7208"/>
    <cellStyle name="_99광통신간석외1개소_실사_조남학 - 테마별 예방점검표_준공서류(신독산~롯데아이티캐슬(흥진데이터서비스)하나로임차)" xfId="7209"/>
    <cellStyle name="_99광통신간석외1개소_실사_준공서류(신독산~롯데아이티캐슬(흥진데이터서비스)하나로임차)" xfId="7210"/>
    <cellStyle name="_99광통신간석외1개소_의정부장비내역서" xfId="7211"/>
    <cellStyle name="_99광통신간석외1개소_의정부장비내역서_동양비원컴" xfId="7212"/>
    <cellStyle name="_99광통신간석외1개소_의정부장비내역서_두산오토2" xfId="7213"/>
    <cellStyle name="_99광통신간석외1개소_의정부장비내역서_의정부" xfId="7214"/>
    <cellStyle name="_99광통신간석외1개소_의정부장비내역서_의정부_동양비원컴" xfId="7215"/>
    <cellStyle name="_99광통신간석외1개소_의정부장비내역서_의정부_두산오토2" xfId="7216"/>
    <cellStyle name="_99광통신간석외1개소_의정부장비내역서_의정부_중구청소년수련관" xfId="7217"/>
    <cellStyle name="_99광통신간석외1개소_의정부장비내역서_의정부_파워콤기별" xfId="7218"/>
    <cellStyle name="_99광통신간석외1개소_의정부장비내역서_의정부_파워콤기별_파워콤기별" xfId="7219"/>
    <cellStyle name="_99광통신간석외1개소_의정부장비내역서_중구청소년수련관" xfId="7220"/>
    <cellStyle name="_99광통신간석외1개소_의정부장비내역서_파워콤기별" xfId="7221"/>
    <cellStyle name="_99광통신간석외1개소_의정부장비내역서_파워콤기별_파워콤기별" xfId="7222"/>
    <cellStyle name="_99광통신간석외1개소_조남학 - 테마별 예방점검표" xfId="7223"/>
    <cellStyle name="_99광통신간석외1개소_조남학 - 테마별 예방점검표_준공서류(신독산~롯데아이티캐슬(흥진데이터서비스)하나로임차)" xfId="7224"/>
    <cellStyle name="_99광통신간석외1개소_준공서류(신독산~롯데아이티캐슬(흥진데이터서비스)하나로임차)" xfId="7225"/>
    <cellStyle name="_99광통신간석외1개소_중구청소년수련관" xfId="7226"/>
    <cellStyle name="_99광통신간석외1개소_파워콤기별" xfId="7227"/>
    <cellStyle name="_99광통신간석외1개소_파워콤기별_파워콤기별" xfId="7228"/>
    <cellStyle name="_99광통신네트워크 중구 연안지역 보강공사" xfId="7229"/>
    <cellStyle name="_99광통신네트워크 중구 연안지역 보강공사_1" xfId="7230"/>
    <cellStyle name="_99광통신네트워크 중구 연안지역 보강공사_LGT춘천조양3" xfId="7231"/>
    <cellStyle name="_99광통신네트워크 중구 연안지역 보강공사_LGT춘천조양3_Book1" xfId="7232"/>
    <cellStyle name="_99광통신네트워크 중구 연안지역 보강공사_LGT춘천조양3_Book1_실사" xfId="7233"/>
    <cellStyle name="_99광통신네트워크 중구 연안지역 보강공사_LGT춘천조양3_Book1_실사_조남학 - 테마별 예방점검표" xfId="7234"/>
    <cellStyle name="_99광통신네트워크 중구 연안지역 보강공사_LGT춘천조양3_Book1_실사_조남학 - 테마별 예방점검표_준공서류(신독산~롯데아이티캐슬(흥진데이터서비스)하나로임차)" xfId="7235"/>
    <cellStyle name="_99광통신네트워크 중구 연안지역 보강공사_LGT춘천조양3_Book1_실사_준공서류(신독산~롯데아이티캐슬(흥진데이터서비스)하나로임차)" xfId="7236"/>
    <cellStyle name="_99광통신네트워크 중구 연안지역 보강공사_LGT춘천조양3_Book1_조남학 - 테마별 예방점검표" xfId="7237"/>
    <cellStyle name="_99광통신네트워크 중구 연안지역 보강공사_LGT춘천조양3_Book1_조남학 - 테마별 예방점검표_준공서류(신독산~롯데아이티캐슬(흥진데이터서비스)하나로임차)" xfId="7238"/>
    <cellStyle name="_99광통신네트워크 중구 연안지역 보강공사_LGT춘천조양3_Book1_준공서류(신독산~롯데아이티캐슬(흥진데이터서비스)하나로임차)" xfId="7239"/>
    <cellStyle name="_99광통신네트워크 중구 연안지역 보강공사_LGT춘천조양3_LG중계기실사보고서(안보온의팔미)KDN제출용" xfId="7240"/>
    <cellStyle name="_99광통신네트워크 중구 연안지역 보강공사_LGT춘천조양3_LG중계기실사보고서(안보온의팔미)KDN제출용_실사" xfId="7241"/>
    <cellStyle name="_99광통신네트워크 중구 연안지역 보강공사_LGT춘천조양3_LG중계기실사보고서(안보온의팔미)KDN제출용_실사_조남학 - 테마별 예방점검표" xfId="7242"/>
    <cellStyle name="_99광통신네트워크 중구 연안지역 보강공사_LGT춘천조양3_LG중계기실사보고서(안보온의팔미)KDN제출용_실사_조남학 - 테마별 예방점검표_준공서류(신독산~롯데아이티캐슬(흥진데이터서비스)하나로임차)" xfId="7243"/>
    <cellStyle name="_99광통신네트워크 중구 연안지역 보강공사_LGT춘천조양3_LG중계기실사보고서(안보온의팔미)KDN제출용_실사_준공서류(신독산~롯데아이티캐슬(흥진데이터서비스)하나로임차)" xfId="7244"/>
    <cellStyle name="_99광통신네트워크 중구 연안지역 보강공사_LGT춘천조양3_LG중계기실사보고서(안보온의팔미)KDN제출용_조남학 - 테마별 예방점검표" xfId="7245"/>
    <cellStyle name="_99광통신네트워크 중구 연안지역 보강공사_LGT춘천조양3_LG중계기실사보고서(안보온의팔미)KDN제출용_조남학 - 테마별 예방점검표_준공서류(신독산~롯데아이티캐슬(흥진데이터서비스)하나로임차)" xfId="7246"/>
    <cellStyle name="_99광통신네트워크 중구 연안지역 보강공사_LGT춘천조양3_LG중계기실사보고서(안보온의팔미)KDN제출용_준공서류(신독산~롯데아이티캐슬(흥진데이터서비스)하나로임차)" xfId="7247"/>
    <cellStyle name="_99광통신네트워크 중구 연안지역 보강공사_LGT춘천조양3_개통확인서(유포)" xfId="7248"/>
    <cellStyle name="_99광통신네트워크 중구 연안지역 보강공사_LGT춘천조양3_개통확인서(유포)_실사" xfId="7249"/>
    <cellStyle name="_99광통신네트워크 중구 연안지역 보강공사_LGT춘천조양3_개통확인서(유포)_실사_조남학 - 테마별 예방점검표" xfId="7250"/>
    <cellStyle name="_99광통신네트워크 중구 연안지역 보강공사_LGT춘천조양3_개통확인서(유포)_실사_조남학 - 테마별 예방점검표_준공서류(신독산~롯데아이티캐슬(흥진데이터서비스)하나로임차)" xfId="7251"/>
    <cellStyle name="_99광통신네트워크 중구 연안지역 보강공사_LGT춘천조양3_개통확인서(유포)_실사_준공서류(신독산~롯데아이티캐슬(흥진데이터서비스)하나로임차)" xfId="7252"/>
    <cellStyle name="_99광통신네트워크 중구 연안지역 보강공사_LGT춘천조양3_개통확인서(유포)_조남학 - 테마별 예방점검표" xfId="7253"/>
    <cellStyle name="_99광통신네트워크 중구 연안지역 보강공사_LGT춘천조양3_개통확인서(유포)_조남학 - 테마별 예방점검표_준공서류(신독산~롯데아이티캐슬(흥진데이터서비스)하나로임차)" xfId="7254"/>
    <cellStyle name="_99광통신네트워크 중구 연안지역 보강공사_LGT춘천조양3_개통확인서(유포)_준공서류(신독산~롯데아이티캐슬(흥진데이터서비스)하나로임차)" xfId="7255"/>
    <cellStyle name="_99광통신네트워크 중구 연안지역 보강공사_LGT춘천조양3_실사" xfId="7256"/>
    <cellStyle name="_99광통신네트워크 중구 연안지역 보강공사_LGT춘천조양3_실사_조남학 - 테마별 예방점검표" xfId="7257"/>
    <cellStyle name="_99광통신네트워크 중구 연안지역 보강공사_LGT춘천조양3_실사_조남학 - 테마별 예방점검표_준공서류(신독산~롯데아이티캐슬(흥진데이터서비스)하나로임차)" xfId="7258"/>
    <cellStyle name="_99광통신네트워크 중구 연안지역 보강공사_LGT춘천조양3_실사_준공서류(신독산~롯데아이티캐슬(흥진데이터서비스)하나로임차)" xfId="7259"/>
    <cellStyle name="_99광통신네트워크 중구 연안지역 보강공사_LGT춘천조양3_조남학 - 테마별 예방점검표" xfId="7260"/>
    <cellStyle name="_99광통신네트워크 중구 연안지역 보강공사_LGT춘천조양3_조남학 - 테마별 예방점검표_준공서류(신독산~롯데아이티캐슬(흥진데이터서비스)하나로임차)" xfId="7261"/>
    <cellStyle name="_99광통신네트워크 중구 연안지역 보강공사_LGT춘천조양3_준공서류(신독산~롯데아이티캐슬(흥진데이터서비스)하나로임차)" xfId="7262"/>
    <cellStyle name="_99광통신네트워크 중구 연안지역 보강공사_LGT춘천조양3_춘처LGT중계기(팔미)" xfId="7263"/>
    <cellStyle name="_99광통신네트워크 중구 연안지역 보강공사_LGT춘천조양3_춘처LGT중계기(팔미)_실사" xfId="7264"/>
    <cellStyle name="_99광통신네트워크 중구 연안지역 보강공사_LGT춘천조양3_춘처LGT중계기(팔미)_실사_조남학 - 테마별 예방점검표" xfId="7265"/>
    <cellStyle name="_99광통신네트워크 중구 연안지역 보강공사_LGT춘천조양3_춘처LGT중계기(팔미)_실사_조남학 - 테마별 예방점검표_준공서류(신독산~롯데아이티캐슬(흥진데이터서비스)하나로임차)" xfId="7266"/>
    <cellStyle name="_99광통신네트워크 중구 연안지역 보강공사_LGT춘천조양3_춘처LGT중계기(팔미)_실사_준공서류(신독산~롯데아이티캐슬(흥진데이터서비스)하나로임차)" xfId="7267"/>
    <cellStyle name="_99광통신네트워크 중구 연안지역 보강공사_LGT춘천조양3_춘처LGT중계기(팔미)_조남학 - 테마별 예방점검표" xfId="7268"/>
    <cellStyle name="_99광통신네트워크 중구 연안지역 보강공사_LGT춘천조양3_춘처LGT중계기(팔미)_조남학 - 테마별 예방점검표_준공서류(신독산~롯데아이티캐슬(흥진데이터서비스)하나로임차)" xfId="7269"/>
    <cellStyle name="_99광통신네트워크 중구 연안지역 보강공사_LGT춘천조양3_춘처LGT중계기(팔미)_준공서류(신독산~롯데아이티캐슬(흥진데이터서비스)하나로임차)" xfId="7270"/>
    <cellStyle name="_99광통신네트워크 중구 연안지역 보강공사_데이콤(네티즌21호)정산서0119 " xfId="7271"/>
    <cellStyle name="_99광통신네트워크 중구 연안지역 보강공사_데이콤(네티즌21호)정산서0119 _(0515688)데이콤 심곡동 싸이버칸 플러스 IP제공 공사" xfId="7272"/>
    <cellStyle name="_99광통신네트워크 중구 연안지역 보강공사_데이콤(네티즌21호)정산서0119 _(0515688)데이콤 심곡동 싸이버칸 플러스 IP제공 공사_준공서류(신독산~롯데아이티캐슬(흥진데이터서비스)하나로임차)" xfId="7273"/>
    <cellStyle name="_99광통신네트워크 중구 연안지역 보강공사_데이콤(네티즌21호)정산서0119 _STAR NET" xfId="7274"/>
    <cellStyle name="_99광통신네트워크 중구 연안지역 보강공사_데이콤(네티즌21호)정산서0119 _STAR NET_(0515688)데이콤 심곡동 싸이버칸 플러스 IP제공 공사" xfId="7275"/>
    <cellStyle name="_99광통신네트워크 중구 연안지역 보강공사_데이콤(네티즌21호)정산서0119 _STAR NET_(0515688)데이콤 심곡동 싸이버칸 플러스 IP제공 공사_준공서류(신독산~롯데아이티캐슬(흥진데이터서비스)하나로임차)" xfId="7276"/>
    <cellStyle name="_99광통신네트워크 중구 연안지역 보강공사_데이콤(네티즌21호)정산서0119 _STAR NET_179G4(트리디아)" xfId="7277"/>
    <cellStyle name="_99광통신네트워크 중구 연안지역 보강공사_데이콤(네티즌21호)정산서0119 _STAR NET_179G4(트리디아)_준공서류(신독산~롯데아이티캐슬(흥진데이터서비스)하나로임차)" xfId="7278"/>
    <cellStyle name="_99광통신네트워크 중구 연안지역 보강공사_데이콤(네티즌21호)정산서0119 _STAR NET_SKT작전2동중계기" xfId="7279"/>
    <cellStyle name="_99광통신네트워크 중구 연안지역 보강공사_데이콤(네티즌21호)정산서0119 _STAR NET_SKT작전2동중계기_준공서류(신독산~롯데아이티캐슬(흥진데이터서비스)하나로임차)" xfId="7280"/>
    <cellStyle name="_99광통신네트워크 중구 연안지역 보강공사_데이콤(네티즌21호)정산서0119 _STAR NET_준공서류(신독산~롯데아이티캐슬(흥진데이터서비스)하나로임차)" xfId="7281"/>
    <cellStyle name="_99광통신네트워크 중구 연안지역 보강공사_데이콤(네티즌21호)정산서0119 _데이콤 김포소방서개통확인서" xfId="7282"/>
    <cellStyle name="_99광통신네트워크 중구 연안지역 보강공사_데이콤(네티즌21호)정산서0119 _데이콤 김포소방서개통확인서_준공서류(신독산~롯데아이티캐슬(흥진데이터서비스)하나로임차)" xfId="7283"/>
    <cellStyle name="_99광통신네트워크 중구 연안지역 보강공사_데이콤(네티즌21호)정산서0119 _종합기별" xfId="7284"/>
    <cellStyle name="_99광통신네트워크 중구 연안지역 보강공사_데이콤(네티즌21호)정산서0119 _종합기별_179G4(트리디아)" xfId="7285"/>
    <cellStyle name="_99광통신네트워크 중구 연안지역 보강공사_데이콤(네티즌21호)정산서0119 _종합기별_179G4(트리디아)_준공서류(신독산~롯데아이티캐슬(흥진데이터서비스)하나로임차)" xfId="7286"/>
    <cellStyle name="_99광통신네트워크 중구 연안지역 보강공사_데이콤(네티즌21호)정산서0119 _종합기별_준공서류(신독산~롯데아이티캐슬(흥진데이터서비스)하나로임차)" xfId="7287"/>
    <cellStyle name="_99광통신네트워크 중구 연안지역 보강공사_데이콤(네티즌21호)정산서0119 _준공서류(신독산~롯데아이티캐슬(흥진데이터서비스)하나로임차)" xfId="7288"/>
    <cellStyle name="_99광통신네트워크 중구 연안지역 보강공사_동양비원컴" xfId="7289"/>
    <cellStyle name="_99광통신네트워크 중구 연안지역 보강공사_두산오토2" xfId="7290"/>
    <cellStyle name="_99광통신네트워크 중구 연안지역 보강공사_봅시다장비내역서" xfId="7291"/>
    <cellStyle name="_99광통신네트워크 중구 연안지역 보강공사_봅시다장비내역서_동양비원컴" xfId="7292"/>
    <cellStyle name="_99광통신네트워크 중구 연안지역 보강공사_봅시다장비내역서_두산오토2" xfId="7293"/>
    <cellStyle name="_99광통신네트워크 중구 연안지역 보강공사_봅시다장비내역서_의정부" xfId="7294"/>
    <cellStyle name="_99광통신네트워크 중구 연안지역 보강공사_봅시다장비내역서_의정부_동양비원컴" xfId="7295"/>
    <cellStyle name="_99광통신네트워크 중구 연안지역 보강공사_봅시다장비내역서_의정부_두산오토2" xfId="7296"/>
    <cellStyle name="_99광통신네트워크 중구 연안지역 보강공사_봅시다장비내역서_의정부_중구청소년수련관" xfId="7297"/>
    <cellStyle name="_99광통신네트워크 중구 연안지역 보강공사_봅시다장비내역서_의정부_파워콤기별" xfId="7298"/>
    <cellStyle name="_99광통신네트워크 중구 연안지역 보강공사_봅시다장비내역서_의정부_파워콤기별_파워콤기별" xfId="7299"/>
    <cellStyle name="_99광통신네트워크 중구 연안지역 보강공사_봅시다장비내역서_중구청소년수련관" xfId="7300"/>
    <cellStyle name="_99광통신네트워크 중구 연안지역 보강공사_봅시다장비내역서_파워콤기별" xfId="7301"/>
    <cellStyle name="_99광통신네트워크 중구 연안지역 보강공사_봅시다장비내역서_파워콤기별_파워콤기별" xfId="7302"/>
    <cellStyle name="_99광통신네트워크 중구 연안지역 보강공사_신호현자재내역 의정부" xfId="7303"/>
    <cellStyle name="_99광통신네트워크 중구 연안지역 보강공사_신호현자재내역 의정부_동양비원컴" xfId="7304"/>
    <cellStyle name="_99광통신네트워크 중구 연안지역 보강공사_신호현자재내역 의정부_두산오토2" xfId="7305"/>
    <cellStyle name="_99광통신네트워크 중구 연안지역 보강공사_신호현자재내역 의정부_의정부" xfId="7306"/>
    <cellStyle name="_99광통신네트워크 중구 연안지역 보강공사_신호현자재내역 의정부_의정부_동양비원컴" xfId="7307"/>
    <cellStyle name="_99광통신네트워크 중구 연안지역 보강공사_신호현자재내역 의정부_의정부_두산오토2" xfId="7308"/>
    <cellStyle name="_99광통신네트워크 중구 연안지역 보강공사_신호현자재내역 의정부_의정부_중구청소년수련관" xfId="7309"/>
    <cellStyle name="_99광통신네트워크 중구 연안지역 보강공사_신호현자재내역 의정부_의정부_파워콤기별" xfId="7310"/>
    <cellStyle name="_99광통신네트워크 중구 연안지역 보강공사_신호현자재내역 의정부_의정부_파워콤기별_파워콤기별" xfId="7311"/>
    <cellStyle name="_99광통신네트워크 중구 연안지역 보강공사_신호현자재내역 의정부_중구청소년수련관" xfId="7312"/>
    <cellStyle name="_99광통신네트워크 중구 연안지역 보강공사_신호현자재내역 의정부_파워콤기별" xfId="7313"/>
    <cellStyle name="_99광통신네트워크 중구 연안지역 보강공사_신호현자재내역 의정부_파워콤기별_파워콤기별" xfId="7314"/>
    <cellStyle name="_99광통신네트워크 중구 연안지역 보강공사_실사" xfId="7315"/>
    <cellStyle name="_99광통신네트워크 중구 연안지역 보강공사_실사_조남학 - 테마별 예방점검표" xfId="7316"/>
    <cellStyle name="_99광통신네트워크 중구 연안지역 보강공사_실사_조남학 - 테마별 예방점검표_준공서류(신독산~롯데아이티캐슬(흥진데이터서비스)하나로임차)" xfId="7317"/>
    <cellStyle name="_99광통신네트워크 중구 연안지역 보강공사_실사_준공서류(신독산~롯데아이티캐슬(흥진데이터서비스)하나로임차)" xfId="7318"/>
    <cellStyle name="_99광통신네트워크 중구 연안지역 보강공사_의정부장비내역서" xfId="7319"/>
    <cellStyle name="_99광통신네트워크 중구 연안지역 보강공사_의정부장비내역서_동양비원컴" xfId="7320"/>
    <cellStyle name="_99광통신네트워크 중구 연안지역 보강공사_의정부장비내역서_두산오토2" xfId="7321"/>
    <cellStyle name="_99광통신네트워크 중구 연안지역 보강공사_의정부장비내역서_의정부" xfId="7322"/>
    <cellStyle name="_99광통신네트워크 중구 연안지역 보강공사_의정부장비내역서_의정부_동양비원컴" xfId="7323"/>
    <cellStyle name="_99광통신네트워크 중구 연안지역 보강공사_의정부장비내역서_의정부_두산오토2" xfId="7324"/>
    <cellStyle name="_99광통신네트워크 중구 연안지역 보강공사_의정부장비내역서_의정부_중구청소년수련관" xfId="7325"/>
    <cellStyle name="_99광통신네트워크 중구 연안지역 보강공사_의정부장비내역서_의정부_파워콤기별" xfId="7326"/>
    <cellStyle name="_99광통신네트워크 중구 연안지역 보강공사_의정부장비내역서_의정부_파워콤기별_파워콤기별" xfId="7327"/>
    <cellStyle name="_99광통신네트워크 중구 연안지역 보강공사_의정부장비내역서_중구청소년수련관" xfId="7328"/>
    <cellStyle name="_99광통신네트워크 중구 연안지역 보강공사_의정부장비내역서_파워콤기별" xfId="7329"/>
    <cellStyle name="_99광통신네트워크 중구 연안지역 보강공사_의정부장비내역서_파워콤기별_파워콤기별" xfId="7330"/>
    <cellStyle name="_99광통신네트워크 중구 연안지역 보강공사_조남학 - 테마별 예방점검표" xfId="7331"/>
    <cellStyle name="_99광통신네트워크 중구 연안지역 보강공사_조남학 - 테마별 예방점검표_준공서류(신독산~롯데아이티캐슬(흥진데이터서비스)하나로임차)" xfId="7332"/>
    <cellStyle name="_99광통신네트워크 중구 연안지역 보강공사_준공서류(신독산~롯데아이티캐슬(흥진데이터서비스)하나로임차)" xfId="7333"/>
    <cellStyle name="_99광통신네트워크 중구 연안지역 보강공사_중구청소년수련관" xfId="7334"/>
    <cellStyle name="_99광통신네트워크 중구 연안지역 보강공사_파워콤기별" xfId="7335"/>
    <cellStyle name="_99광통신네트워크 중구 연안지역 보강공사_파워콤기별_파워콤기별" xfId="7336"/>
    <cellStyle name="_99광통신네트워크남구용현외1개소" xfId="7337"/>
    <cellStyle name="_99광통신네트워크남구용현외1개소_1" xfId="7338"/>
    <cellStyle name="_99광통신네트워크남구용현외1개소_1_LGT춘천조양3" xfId="7339"/>
    <cellStyle name="_99광통신네트워크남구용현외1개소_1_LGT춘천조양3_Book1" xfId="7340"/>
    <cellStyle name="_99광통신네트워크남구용현외1개소_1_LGT춘천조양3_Book1_실사" xfId="7341"/>
    <cellStyle name="_99광통신네트워크남구용현외1개소_1_LGT춘천조양3_Book1_실사_조남학 - 테마별 예방점검표" xfId="7342"/>
    <cellStyle name="_99광통신네트워크남구용현외1개소_1_LGT춘천조양3_Book1_실사_조남학 - 테마별 예방점검표_준공서류(신독산~롯데아이티캐슬(흥진데이터서비스)하나로임차)" xfId="7343"/>
    <cellStyle name="_99광통신네트워크남구용현외1개소_1_LGT춘천조양3_Book1_실사_준공서류(신독산~롯데아이티캐슬(흥진데이터서비스)하나로임차)" xfId="7344"/>
    <cellStyle name="_99광통신네트워크남구용현외1개소_1_LGT춘천조양3_Book1_조남학 - 테마별 예방점검표" xfId="7345"/>
    <cellStyle name="_99광통신네트워크남구용현외1개소_1_LGT춘천조양3_Book1_조남학 - 테마별 예방점검표_준공서류(신독산~롯데아이티캐슬(흥진데이터서비스)하나로임차)" xfId="7346"/>
    <cellStyle name="_99광통신네트워크남구용현외1개소_1_LGT춘천조양3_Book1_준공서류(신독산~롯데아이티캐슬(흥진데이터서비스)하나로임차)" xfId="7347"/>
    <cellStyle name="_99광통신네트워크남구용현외1개소_1_LGT춘천조양3_LG중계기실사보고서(안보온의팔미)KDN제출용" xfId="7348"/>
    <cellStyle name="_99광통신네트워크남구용현외1개소_1_LGT춘천조양3_LG중계기실사보고서(안보온의팔미)KDN제출용_실사" xfId="7349"/>
    <cellStyle name="_99광통신네트워크남구용현외1개소_1_LGT춘천조양3_LG중계기실사보고서(안보온의팔미)KDN제출용_실사_조남학 - 테마별 예방점검표" xfId="7350"/>
    <cellStyle name="_99광통신네트워크남구용현외1개소_1_LGT춘천조양3_LG중계기실사보고서(안보온의팔미)KDN제출용_실사_조남학 - 테마별 예방점검표_준공서류(신독산~롯데아이티캐슬(흥진데이터서비스)하나로임차)" xfId="7351"/>
    <cellStyle name="_99광통신네트워크남구용현외1개소_1_LGT춘천조양3_LG중계기실사보고서(안보온의팔미)KDN제출용_실사_준공서류(신독산~롯데아이티캐슬(흥진데이터서비스)하나로임차)" xfId="7352"/>
    <cellStyle name="_99광통신네트워크남구용현외1개소_1_LGT춘천조양3_LG중계기실사보고서(안보온의팔미)KDN제출용_조남학 - 테마별 예방점검표" xfId="7353"/>
    <cellStyle name="_99광통신네트워크남구용현외1개소_1_LGT춘천조양3_LG중계기실사보고서(안보온의팔미)KDN제출용_조남학 - 테마별 예방점검표_준공서류(신독산~롯데아이티캐슬(흥진데이터서비스)하나로임차)" xfId="7354"/>
    <cellStyle name="_99광통신네트워크남구용현외1개소_1_LGT춘천조양3_LG중계기실사보고서(안보온의팔미)KDN제출용_준공서류(신독산~롯데아이티캐슬(흥진데이터서비스)하나로임차)" xfId="7355"/>
    <cellStyle name="_99광통신네트워크남구용현외1개소_1_LGT춘천조양3_개통확인서(유포)" xfId="7356"/>
    <cellStyle name="_99광통신네트워크남구용현외1개소_1_LGT춘천조양3_개통확인서(유포)_실사" xfId="7357"/>
    <cellStyle name="_99광통신네트워크남구용현외1개소_1_LGT춘천조양3_개통확인서(유포)_실사_조남학 - 테마별 예방점검표" xfId="7358"/>
    <cellStyle name="_99광통신네트워크남구용현외1개소_1_LGT춘천조양3_개통확인서(유포)_실사_조남학 - 테마별 예방점검표_준공서류(신독산~롯데아이티캐슬(흥진데이터서비스)하나로임차)" xfId="7359"/>
    <cellStyle name="_99광통신네트워크남구용현외1개소_1_LGT춘천조양3_개통확인서(유포)_실사_준공서류(신독산~롯데아이티캐슬(흥진데이터서비스)하나로임차)" xfId="7360"/>
    <cellStyle name="_99광통신네트워크남구용현외1개소_1_LGT춘천조양3_개통확인서(유포)_조남학 - 테마별 예방점검표" xfId="7361"/>
    <cellStyle name="_99광통신네트워크남구용현외1개소_1_LGT춘천조양3_개통확인서(유포)_조남학 - 테마별 예방점검표_준공서류(신독산~롯데아이티캐슬(흥진데이터서비스)하나로임차)" xfId="7362"/>
    <cellStyle name="_99광통신네트워크남구용현외1개소_1_LGT춘천조양3_개통확인서(유포)_준공서류(신독산~롯데아이티캐슬(흥진데이터서비스)하나로임차)" xfId="7363"/>
    <cellStyle name="_99광통신네트워크남구용현외1개소_1_LGT춘천조양3_실사" xfId="7364"/>
    <cellStyle name="_99광통신네트워크남구용현외1개소_1_LGT춘천조양3_실사_조남학 - 테마별 예방점검표" xfId="7365"/>
    <cellStyle name="_99광통신네트워크남구용현외1개소_1_LGT춘천조양3_실사_조남학 - 테마별 예방점검표_준공서류(신독산~롯데아이티캐슬(흥진데이터서비스)하나로임차)" xfId="7366"/>
    <cellStyle name="_99광통신네트워크남구용현외1개소_1_LGT춘천조양3_실사_준공서류(신독산~롯데아이티캐슬(흥진데이터서비스)하나로임차)" xfId="7367"/>
    <cellStyle name="_99광통신네트워크남구용현외1개소_1_LGT춘천조양3_조남학 - 테마별 예방점검표" xfId="7368"/>
    <cellStyle name="_99광통신네트워크남구용현외1개소_1_LGT춘천조양3_조남학 - 테마별 예방점검표_준공서류(신독산~롯데아이티캐슬(흥진데이터서비스)하나로임차)" xfId="7369"/>
    <cellStyle name="_99광통신네트워크남구용현외1개소_1_LGT춘천조양3_준공서류(신독산~롯데아이티캐슬(흥진데이터서비스)하나로임차)" xfId="7370"/>
    <cellStyle name="_99광통신네트워크남구용현외1개소_1_LGT춘천조양3_춘처LGT중계기(팔미)" xfId="7371"/>
    <cellStyle name="_99광통신네트워크남구용현외1개소_1_LGT춘천조양3_춘처LGT중계기(팔미)_실사" xfId="7372"/>
    <cellStyle name="_99광통신네트워크남구용현외1개소_1_LGT춘천조양3_춘처LGT중계기(팔미)_실사_조남학 - 테마별 예방점검표" xfId="7373"/>
    <cellStyle name="_99광통신네트워크남구용현외1개소_1_LGT춘천조양3_춘처LGT중계기(팔미)_실사_조남학 - 테마별 예방점검표_준공서류(신독산~롯데아이티캐슬(흥진데이터서비스)하나로임차)" xfId="7374"/>
    <cellStyle name="_99광통신네트워크남구용현외1개소_1_LGT춘천조양3_춘처LGT중계기(팔미)_실사_준공서류(신독산~롯데아이티캐슬(흥진데이터서비스)하나로임차)" xfId="7375"/>
    <cellStyle name="_99광통신네트워크남구용현외1개소_1_LGT춘천조양3_춘처LGT중계기(팔미)_조남학 - 테마별 예방점검표" xfId="7376"/>
    <cellStyle name="_99광통신네트워크남구용현외1개소_1_LGT춘천조양3_춘처LGT중계기(팔미)_조남학 - 테마별 예방점검표_준공서류(신독산~롯데아이티캐슬(흥진데이터서비스)하나로임차)" xfId="7377"/>
    <cellStyle name="_99광통신네트워크남구용현외1개소_1_LGT춘천조양3_춘처LGT중계기(팔미)_준공서류(신독산~롯데아이티캐슬(흥진데이터서비스)하나로임차)" xfId="7378"/>
    <cellStyle name="_99광통신네트워크남구용현외1개소_1_동양비원컴" xfId="7379"/>
    <cellStyle name="_99광통신네트워크남구용현외1개소_1_두산오토2" xfId="7380"/>
    <cellStyle name="_99광통신네트워크남구용현외1개소_1_봅시다장비내역서" xfId="7381"/>
    <cellStyle name="_99광통신네트워크남구용현외1개소_1_봅시다장비내역서_동양비원컴" xfId="7382"/>
    <cellStyle name="_99광통신네트워크남구용현외1개소_1_봅시다장비내역서_두산오토2" xfId="7383"/>
    <cellStyle name="_99광통신네트워크남구용현외1개소_1_봅시다장비내역서_의정부" xfId="7384"/>
    <cellStyle name="_99광통신네트워크남구용현외1개소_1_봅시다장비내역서_의정부_동양비원컴" xfId="7385"/>
    <cellStyle name="_99광통신네트워크남구용현외1개소_1_봅시다장비내역서_의정부_두산오토2" xfId="7386"/>
    <cellStyle name="_99광통신네트워크남구용현외1개소_1_봅시다장비내역서_의정부_중구청소년수련관" xfId="7387"/>
    <cellStyle name="_99광통신네트워크남구용현외1개소_1_봅시다장비내역서_의정부_파워콤기별" xfId="7388"/>
    <cellStyle name="_99광통신네트워크남구용현외1개소_1_봅시다장비내역서_의정부_파워콤기별_파워콤기별" xfId="7389"/>
    <cellStyle name="_99광통신네트워크남구용현외1개소_1_봅시다장비내역서_중구청소년수련관" xfId="7390"/>
    <cellStyle name="_99광통신네트워크남구용현외1개소_1_봅시다장비내역서_파워콤기별" xfId="7391"/>
    <cellStyle name="_99광통신네트워크남구용현외1개소_1_봅시다장비내역서_파워콤기별_파워콤기별" xfId="7392"/>
    <cellStyle name="_99광통신네트워크남구용현외1개소_1_신호현자재내역 의정부" xfId="7393"/>
    <cellStyle name="_99광통신네트워크남구용현외1개소_1_신호현자재내역 의정부_동양비원컴" xfId="7394"/>
    <cellStyle name="_99광통신네트워크남구용현외1개소_1_신호현자재내역 의정부_두산오토2" xfId="7395"/>
    <cellStyle name="_99광통신네트워크남구용현외1개소_1_신호현자재내역 의정부_의정부" xfId="7396"/>
    <cellStyle name="_99광통신네트워크남구용현외1개소_1_신호현자재내역 의정부_의정부_동양비원컴" xfId="7397"/>
    <cellStyle name="_99광통신네트워크남구용현외1개소_1_신호현자재내역 의정부_의정부_두산오토2" xfId="7398"/>
    <cellStyle name="_99광통신네트워크남구용현외1개소_1_신호현자재내역 의정부_의정부_중구청소년수련관" xfId="7399"/>
    <cellStyle name="_99광통신네트워크남구용현외1개소_1_신호현자재내역 의정부_의정부_파워콤기별" xfId="7400"/>
    <cellStyle name="_99광통신네트워크남구용현외1개소_1_신호현자재내역 의정부_의정부_파워콤기별_파워콤기별" xfId="7401"/>
    <cellStyle name="_99광통신네트워크남구용현외1개소_1_신호현자재내역 의정부_중구청소년수련관" xfId="7402"/>
    <cellStyle name="_99광통신네트워크남구용현외1개소_1_신호현자재내역 의정부_파워콤기별" xfId="7403"/>
    <cellStyle name="_99광통신네트워크남구용현외1개소_1_신호현자재내역 의정부_파워콤기별_파워콤기별" xfId="7404"/>
    <cellStyle name="_99광통신네트워크남구용현외1개소_1_실사" xfId="7405"/>
    <cellStyle name="_99광통신네트워크남구용현외1개소_1_실사_조남학 - 테마별 예방점검표" xfId="7406"/>
    <cellStyle name="_99광통신네트워크남구용현외1개소_1_실사_조남학 - 테마별 예방점검표_준공서류(신독산~롯데아이티캐슬(흥진데이터서비스)하나로임차)" xfId="7407"/>
    <cellStyle name="_99광통신네트워크남구용현외1개소_1_실사_준공서류(신독산~롯데아이티캐슬(흥진데이터서비스)하나로임차)" xfId="7408"/>
    <cellStyle name="_99광통신네트워크남구용현외1개소_1_용현한양외계약및준공관련" xfId="7409"/>
    <cellStyle name="_99광통신네트워크남구용현외1개소_1_의정부장비내역서" xfId="7410"/>
    <cellStyle name="_99광통신네트워크남구용현외1개소_1_의정부장비내역서_동양비원컴" xfId="7411"/>
    <cellStyle name="_99광통신네트워크남구용현외1개소_1_의정부장비내역서_두산오토2" xfId="7412"/>
    <cellStyle name="_99광통신네트워크남구용현외1개소_1_의정부장비내역서_의정부" xfId="7413"/>
    <cellStyle name="_99광통신네트워크남구용현외1개소_1_의정부장비내역서_의정부_동양비원컴" xfId="7414"/>
    <cellStyle name="_99광통신네트워크남구용현외1개소_1_의정부장비내역서_의정부_두산오토2" xfId="7415"/>
    <cellStyle name="_99광통신네트워크남구용현외1개소_1_의정부장비내역서_의정부_중구청소년수련관" xfId="7416"/>
    <cellStyle name="_99광통신네트워크남구용현외1개소_1_의정부장비내역서_의정부_파워콤기별" xfId="7417"/>
    <cellStyle name="_99광통신네트워크남구용현외1개소_1_의정부장비내역서_의정부_파워콤기별_파워콤기별" xfId="7418"/>
    <cellStyle name="_99광통신네트워크남구용현외1개소_1_의정부장비내역서_중구청소년수련관" xfId="7419"/>
    <cellStyle name="_99광통신네트워크남구용현외1개소_1_의정부장비내역서_파워콤기별" xfId="7420"/>
    <cellStyle name="_99광통신네트워크남구용현외1개소_1_의정부장비내역서_파워콤기별_파워콤기별" xfId="7421"/>
    <cellStyle name="_99광통신네트워크남구용현외1개소_1_조남학 - 테마별 예방점검표" xfId="7422"/>
    <cellStyle name="_99광통신네트워크남구용현외1개소_1_조남학 - 테마별 예방점검표_준공서류(신독산~롯데아이티캐슬(흥진데이터서비스)하나로임차)" xfId="7423"/>
    <cellStyle name="_99광통신네트워크남구용현외1개소_1_준공서류(신독산~롯데아이티캐슬(흥진데이터서비스)하나로임차)" xfId="7424"/>
    <cellStyle name="_99광통신네트워크남구용현외1개소_1_중구청소년수련관" xfId="7425"/>
    <cellStyle name="_99광통신네트워크남구용현외1개소_1_파워콤간이공사관련" xfId="7426"/>
    <cellStyle name="_99광통신네트워크남구용현외1개소_1_파워콤기별" xfId="7427"/>
    <cellStyle name="_99광통신네트워크남구용현외1개소_1_파워콤기별_파워콤기별" xfId="7428"/>
    <cellStyle name="_99광통신네트워크남구용현외1개소_용현한양외계약및준공관련" xfId="7429"/>
    <cellStyle name="_99광통신네트워크남구용현외1개소_용현한양외계약및준공관련_동양비원컴" xfId="7430"/>
    <cellStyle name="_99광통신네트워크남구용현외1개소_용현한양외계약및준공관련_두산오토2" xfId="7431"/>
    <cellStyle name="_99광통신네트워크남구용현외1개소_용현한양외계약및준공관련_봅시다장비내역서" xfId="7432"/>
    <cellStyle name="_99광통신네트워크남구용현외1개소_용현한양외계약및준공관련_봅시다장비내역서_동양비원컴" xfId="7433"/>
    <cellStyle name="_99광통신네트워크남구용현외1개소_용현한양외계약및준공관련_봅시다장비내역서_두산오토2" xfId="7434"/>
    <cellStyle name="_99광통신네트워크남구용현외1개소_용현한양외계약및준공관련_봅시다장비내역서_의정부" xfId="7435"/>
    <cellStyle name="_99광통신네트워크남구용현외1개소_용현한양외계약및준공관련_봅시다장비내역서_의정부_동양비원컴" xfId="7436"/>
    <cellStyle name="_99광통신네트워크남구용현외1개소_용현한양외계약및준공관련_봅시다장비내역서_의정부_두산오토2" xfId="7437"/>
    <cellStyle name="_99광통신네트워크남구용현외1개소_용현한양외계약및준공관련_봅시다장비내역서_의정부_중구청소년수련관" xfId="7438"/>
    <cellStyle name="_99광통신네트워크남구용현외1개소_용현한양외계약및준공관련_봅시다장비내역서_의정부_파워콤기별" xfId="7439"/>
    <cellStyle name="_99광통신네트워크남구용현외1개소_용현한양외계약및준공관련_봅시다장비내역서_의정부_파워콤기별_파워콤기별" xfId="7440"/>
    <cellStyle name="_99광통신네트워크남구용현외1개소_용현한양외계약및준공관련_봅시다장비내역서_중구청소년수련관" xfId="7441"/>
    <cellStyle name="_99광통신네트워크남구용현외1개소_용현한양외계약및준공관련_봅시다장비내역서_파워콤기별" xfId="7442"/>
    <cellStyle name="_99광통신네트워크남구용현외1개소_용현한양외계약및준공관련_봅시다장비내역서_파워콤기별_파워콤기별" xfId="7443"/>
    <cellStyle name="_99광통신네트워크남구용현외1개소_용현한양외계약및준공관련_신호현자재내역 의정부" xfId="7444"/>
    <cellStyle name="_99광통신네트워크남구용현외1개소_용현한양외계약및준공관련_신호현자재내역 의정부_동양비원컴" xfId="7445"/>
    <cellStyle name="_99광통신네트워크남구용현외1개소_용현한양외계약및준공관련_신호현자재내역 의정부_두산오토2" xfId="7446"/>
    <cellStyle name="_99광통신네트워크남구용현외1개소_용현한양외계약및준공관련_신호현자재내역 의정부_의정부" xfId="7447"/>
    <cellStyle name="_99광통신네트워크남구용현외1개소_용현한양외계약및준공관련_신호현자재내역 의정부_의정부_동양비원컴" xfId="7448"/>
    <cellStyle name="_99광통신네트워크남구용현외1개소_용현한양외계약및준공관련_신호현자재내역 의정부_의정부_두산오토2" xfId="7449"/>
    <cellStyle name="_99광통신네트워크남구용현외1개소_용현한양외계약및준공관련_신호현자재내역 의정부_의정부_중구청소년수련관" xfId="7450"/>
    <cellStyle name="_99광통신네트워크남구용현외1개소_용현한양외계약및준공관련_신호현자재내역 의정부_의정부_파워콤기별" xfId="7451"/>
    <cellStyle name="_99광통신네트워크남구용현외1개소_용현한양외계약및준공관련_신호현자재내역 의정부_의정부_파워콤기별_파워콤기별" xfId="7452"/>
    <cellStyle name="_99광통신네트워크남구용현외1개소_용현한양외계약및준공관련_신호현자재내역 의정부_중구청소년수련관" xfId="7453"/>
    <cellStyle name="_99광통신네트워크남구용현외1개소_용현한양외계약및준공관련_신호현자재내역 의정부_파워콤기별" xfId="7454"/>
    <cellStyle name="_99광통신네트워크남구용현외1개소_용현한양외계약및준공관련_신호현자재내역 의정부_파워콤기별_파워콤기별" xfId="7455"/>
    <cellStyle name="_99광통신네트워크남구용현외1개소_용현한양외계약및준공관련_의정부장비내역서" xfId="7456"/>
    <cellStyle name="_99광통신네트워크남구용현외1개소_용현한양외계약및준공관련_의정부장비내역서_동양비원컴" xfId="7457"/>
    <cellStyle name="_99광통신네트워크남구용현외1개소_용현한양외계약및준공관련_의정부장비내역서_두산오토2" xfId="7458"/>
    <cellStyle name="_99광통신네트워크남구용현외1개소_용현한양외계약및준공관련_의정부장비내역서_의정부" xfId="7459"/>
    <cellStyle name="_99광통신네트워크남구용현외1개소_용현한양외계약및준공관련_의정부장비내역서_의정부_동양비원컴" xfId="7460"/>
    <cellStyle name="_99광통신네트워크남구용현외1개소_용현한양외계약및준공관련_의정부장비내역서_의정부_두산오토2" xfId="7461"/>
    <cellStyle name="_99광통신네트워크남구용현외1개소_용현한양외계약및준공관련_의정부장비내역서_의정부_중구청소년수련관" xfId="7462"/>
    <cellStyle name="_99광통신네트워크남구용현외1개소_용현한양외계약및준공관련_의정부장비내역서_의정부_파워콤기별" xfId="7463"/>
    <cellStyle name="_99광통신네트워크남구용현외1개소_용현한양외계약및준공관련_의정부장비내역서_의정부_파워콤기별_파워콤기별" xfId="7464"/>
    <cellStyle name="_99광통신네트워크남구용현외1개소_용현한양외계약및준공관련_의정부장비내역서_중구청소년수련관" xfId="7465"/>
    <cellStyle name="_99광통신네트워크남구용현외1개소_용현한양외계약및준공관련_의정부장비내역서_파워콤기별" xfId="7466"/>
    <cellStyle name="_99광통신네트워크남구용현외1개소_용현한양외계약및준공관련_의정부장비내역서_파워콤기별_파워콤기별" xfId="7467"/>
    <cellStyle name="_99광통신네트워크남구용현외1개소_용현한양외계약및준공관련_중구청소년수련관" xfId="7468"/>
    <cellStyle name="_99광통신네트워크남구용현외1개소_용현한양외계약및준공관련_파워콤기별" xfId="7469"/>
    <cellStyle name="_99광통신네트워크남구용현외1개소_용현한양외계약및준공관련_파워콤기별_파워콤기별" xfId="7470"/>
    <cellStyle name="_99광통신네트워크남구용현외1개소_파워콤간이공사관련" xfId="7471"/>
    <cellStyle name="_99광통신네트워크남구용현외1개소_파워콤간이공사관련_동양비원컴" xfId="7472"/>
    <cellStyle name="_99광통신네트워크남구용현외1개소_파워콤간이공사관련_두산오토2" xfId="7473"/>
    <cellStyle name="_99광통신네트워크남구용현외1개소_파워콤간이공사관련_봅시다장비내역서" xfId="7474"/>
    <cellStyle name="_99광통신네트워크남구용현외1개소_파워콤간이공사관련_봅시다장비내역서_동양비원컴" xfId="7475"/>
    <cellStyle name="_99광통신네트워크남구용현외1개소_파워콤간이공사관련_봅시다장비내역서_두산오토2" xfId="7476"/>
    <cellStyle name="_99광통신네트워크남구용현외1개소_파워콤간이공사관련_봅시다장비내역서_의정부" xfId="7477"/>
    <cellStyle name="_99광통신네트워크남구용현외1개소_파워콤간이공사관련_봅시다장비내역서_의정부_동양비원컴" xfId="7478"/>
    <cellStyle name="_99광통신네트워크남구용현외1개소_파워콤간이공사관련_봅시다장비내역서_의정부_두산오토2" xfId="7479"/>
    <cellStyle name="_99광통신네트워크남구용현외1개소_파워콤간이공사관련_봅시다장비내역서_의정부_중구청소년수련관" xfId="7480"/>
    <cellStyle name="_99광통신네트워크남구용현외1개소_파워콤간이공사관련_봅시다장비내역서_의정부_파워콤기별" xfId="7481"/>
    <cellStyle name="_99광통신네트워크남구용현외1개소_파워콤간이공사관련_봅시다장비내역서_의정부_파워콤기별_파워콤기별" xfId="7482"/>
    <cellStyle name="_99광통신네트워크남구용현외1개소_파워콤간이공사관련_봅시다장비내역서_중구청소년수련관" xfId="7483"/>
    <cellStyle name="_99광통신네트워크남구용현외1개소_파워콤간이공사관련_봅시다장비내역서_파워콤기별" xfId="7484"/>
    <cellStyle name="_99광통신네트워크남구용현외1개소_파워콤간이공사관련_봅시다장비내역서_파워콤기별_파워콤기별" xfId="7485"/>
    <cellStyle name="_99광통신네트워크남구용현외1개소_파워콤간이공사관련_신호현자재내역 의정부" xfId="7486"/>
    <cellStyle name="_99광통신네트워크남구용현외1개소_파워콤간이공사관련_신호현자재내역 의정부_동양비원컴" xfId="7487"/>
    <cellStyle name="_99광통신네트워크남구용현외1개소_파워콤간이공사관련_신호현자재내역 의정부_두산오토2" xfId="7488"/>
    <cellStyle name="_99광통신네트워크남구용현외1개소_파워콤간이공사관련_신호현자재내역 의정부_의정부" xfId="7489"/>
    <cellStyle name="_99광통신네트워크남구용현외1개소_파워콤간이공사관련_신호현자재내역 의정부_의정부_동양비원컴" xfId="7490"/>
    <cellStyle name="_99광통신네트워크남구용현외1개소_파워콤간이공사관련_신호현자재내역 의정부_의정부_두산오토2" xfId="7491"/>
    <cellStyle name="_99광통신네트워크남구용현외1개소_파워콤간이공사관련_신호현자재내역 의정부_의정부_중구청소년수련관" xfId="7492"/>
    <cellStyle name="_99광통신네트워크남구용현외1개소_파워콤간이공사관련_신호현자재내역 의정부_의정부_파워콤기별" xfId="7493"/>
    <cellStyle name="_99광통신네트워크남구용현외1개소_파워콤간이공사관련_신호현자재내역 의정부_의정부_파워콤기별_파워콤기별" xfId="7494"/>
    <cellStyle name="_99광통신네트워크남구용현외1개소_파워콤간이공사관련_신호현자재내역 의정부_중구청소년수련관" xfId="7495"/>
    <cellStyle name="_99광통신네트워크남구용현외1개소_파워콤간이공사관련_신호현자재내역 의정부_파워콤기별" xfId="7496"/>
    <cellStyle name="_99광통신네트워크남구용현외1개소_파워콤간이공사관련_신호현자재내역 의정부_파워콤기별_파워콤기별" xfId="7497"/>
    <cellStyle name="_99광통신네트워크남구용현외1개소_파워콤간이공사관련_의정부장비내역서" xfId="7498"/>
    <cellStyle name="_99광통신네트워크남구용현외1개소_파워콤간이공사관련_의정부장비내역서_동양비원컴" xfId="7499"/>
    <cellStyle name="_99광통신네트워크남구용현외1개소_파워콤간이공사관련_의정부장비내역서_두산오토2" xfId="7500"/>
    <cellStyle name="_99광통신네트워크남구용현외1개소_파워콤간이공사관련_의정부장비내역서_의정부" xfId="7501"/>
    <cellStyle name="_99광통신네트워크남구용현외1개소_파워콤간이공사관련_의정부장비내역서_의정부_동양비원컴" xfId="7502"/>
    <cellStyle name="_99광통신네트워크남구용현외1개소_파워콤간이공사관련_의정부장비내역서_의정부_두산오토2" xfId="7503"/>
    <cellStyle name="_99광통신네트워크남구용현외1개소_파워콤간이공사관련_의정부장비내역서_의정부_중구청소년수련관" xfId="7504"/>
    <cellStyle name="_99광통신네트워크남구용현외1개소_파워콤간이공사관련_의정부장비내역서_의정부_파워콤기별" xfId="7505"/>
    <cellStyle name="_99광통신네트워크남구용현외1개소_파워콤간이공사관련_의정부장비내역서_의정부_파워콤기별_파워콤기별" xfId="7506"/>
    <cellStyle name="_99광통신네트워크남구용현외1개소_파워콤간이공사관련_의정부장비내역서_중구청소년수련관" xfId="7507"/>
    <cellStyle name="_99광통신네트워크남구용현외1개소_파워콤간이공사관련_의정부장비내역서_파워콤기별" xfId="7508"/>
    <cellStyle name="_99광통신네트워크남구용현외1개소_파워콤간이공사관련_의정부장비내역서_파워콤기별_파워콤기별" xfId="7509"/>
    <cellStyle name="_99광통신네트워크남구용현외1개소_파워콤간이공사관련_중구청소년수련관" xfId="7510"/>
    <cellStyle name="_99광통신네트워크남구용현외1개소_파워콤간이공사관련_파워콤기별" xfId="7511"/>
    <cellStyle name="_99광통신네트워크남구용현외1개소_파워콤간이공사관련_파워콤기별_파워콤기별" xfId="7512"/>
    <cellStyle name="_99광통신시흥방산" xfId="7513"/>
    <cellStyle name="_99광통신시흥방산_1" xfId="7514"/>
    <cellStyle name="_99광통신시흥방산_1_LGT춘천조양3" xfId="7515"/>
    <cellStyle name="_99광통신시흥방산_1_LGT춘천조양3_Book1" xfId="7516"/>
    <cellStyle name="_99광통신시흥방산_1_LGT춘천조양3_Book1_실사" xfId="7517"/>
    <cellStyle name="_99광통신시흥방산_1_LGT춘천조양3_Book1_실사_조남학 - 테마별 예방점검표" xfId="7518"/>
    <cellStyle name="_99광통신시흥방산_1_LGT춘천조양3_Book1_실사_조남학 - 테마별 예방점검표_준공서류(신독산~롯데아이티캐슬(흥진데이터서비스)하나로임차)" xfId="7519"/>
    <cellStyle name="_99광통신시흥방산_1_LGT춘천조양3_Book1_실사_준공서류(신독산~롯데아이티캐슬(흥진데이터서비스)하나로임차)" xfId="7520"/>
    <cellStyle name="_99광통신시흥방산_1_LGT춘천조양3_Book1_조남학 - 테마별 예방점검표" xfId="7521"/>
    <cellStyle name="_99광통신시흥방산_1_LGT춘천조양3_Book1_조남학 - 테마별 예방점검표_준공서류(신독산~롯데아이티캐슬(흥진데이터서비스)하나로임차)" xfId="7522"/>
    <cellStyle name="_99광통신시흥방산_1_LGT춘천조양3_Book1_준공서류(신독산~롯데아이티캐슬(흥진데이터서비스)하나로임차)" xfId="7523"/>
    <cellStyle name="_99광통신시흥방산_1_LGT춘천조양3_LG중계기실사보고서(안보온의팔미)KDN제출용" xfId="7524"/>
    <cellStyle name="_99광통신시흥방산_1_LGT춘천조양3_LG중계기실사보고서(안보온의팔미)KDN제출용_실사" xfId="7525"/>
    <cellStyle name="_99광통신시흥방산_1_LGT춘천조양3_LG중계기실사보고서(안보온의팔미)KDN제출용_실사_조남학 - 테마별 예방점검표" xfId="7526"/>
    <cellStyle name="_99광통신시흥방산_1_LGT춘천조양3_LG중계기실사보고서(안보온의팔미)KDN제출용_실사_조남학 - 테마별 예방점검표_준공서류(신독산~롯데아이티캐슬(흥진데이터서비스)하나로임차)" xfId="7527"/>
    <cellStyle name="_99광통신시흥방산_1_LGT춘천조양3_LG중계기실사보고서(안보온의팔미)KDN제출용_실사_준공서류(신독산~롯데아이티캐슬(흥진데이터서비스)하나로임차)" xfId="7528"/>
    <cellStyle name="_99광통신시흥방산_1_LGT춘천조양3_LG중계기실사보고서(안보온의팔미)KDN제출용_조남학 - 테마별 예방점검표" xfId="7529"/>
    <cellStyle name="_99광통신시흥방산_1_LGT춘천조양3_LG중계기실사보고서(안보온의팔미)KDN제출용_조남학 - 테마별 예방점검표_준공서류(신독산~롯데아이티캐슬(흥진데이터서비스)하나로임차)" xfId="7530"/>
    <cellStyle name="_99광통신시흥방산_1_LGT춘천조양3_LG중계기실사보고서(안보온의팔미)KDN제출용_준공서류(신독산~롯데아이티캐슬(흥진데이터서비스)하나로임차)" xfId="7531"/>
    <cellStyle name="_99광통신시흥방산_1_LGT춘천조양3_개통확인서(유포)" xfId="7532"/>
    <cellStyle name="_99광통신시흥방산_1_LGT춘천조양3_개통확인서(유포)_실사" xfId="7533"/>
    <cellStyle name="_99광통신시흥방산_1_LGT춘천조양3_개통확인서(유포)_실사_조남학 - 테마별 예방점검표" xfId="7534"/>
    <cellStyle name="_99광통신시흥방산_1_LGT춘천조양3_개통확인서(유포)_실사_조남학 - 테마별 예방점검표_준공서류(신독산~롯데아이티캐슬(흥진데이터서비스)하나로임차)" xfId="7535"/>
    <cellStyle name="_99광통신시흥방산_1_LGT춘천조양3_개통확인서(유포)_실사_준공서류(신독산~롯데아이티캐슬(흥진데이터서비스)하나로임차)" xfId="7536"/>
    <cellStyle name="_99광통신시흥방산_1_LGT춘천조양3_개통확인서(유포)_조남학 - 테마별 예방점검표" xfId="7537"/>
    <cellStyle name="_99광통신시흥방산_1_LGT춘천조양3_개통확인서(유포)_조남학 - 테마별 예방점검표_준공서류(신독산~롯데아이티캐슬(흥진데이터서비스)하나로임차)" xfId="7538"/>
    <cellStyle name="_99광통신시흥방산_1_LGT춘천조양3_개통확인서(유포)_준공서류(신독산~롯데아이티캐슬(흥진데이터서비스)하나로임차)" xfId="7539"/>
    <cellStyle name="_99광통신시흥방산_1_LGT춘천조양3_실사" xfId="7540"/>
    <cellStyle name="_99광통신시흥방산_1_LGT춘천조양3_실사_조남학 - 테마별 예방점검표" xfId="7541"/>
    <cellStyle name="_99광통신시흥방산_1_LGT춘천조양3_실사_조남학 - 테마별 예방점검표_준공서류(신독산~롯데아이티캐슬(흥진데이터서비스)하나로임차)" xfId="7542"/>
    <cellStyle name="_99광통신시흥방산_1_LGT춘천조양3_실사_준공서류(신독산~롯데아이티캐슬(흥진데이터서비스)하나로임차)" xfId="7543"/>
    <cellStyle name="_99광통신시흥방산_1_LGT춘천조양3_조남학 - 테마별 예방점검표" xfId="7544"/>
    <cellStyle name="_99광통신시흥방산_1_LGT춘천조양3_조남학 - 테마별 예방점검표_준공서류(신독산~롯데아이티캐슬(흥진데이터서비스)하나로임차)" xfId="7545"/>
    <cellStyle name="_99광통신시흥방산_1_LGT춘천조양3_준공서류(신독산~롯데아이티캐슬(흥진데이터서비스)하나로임차)" xfId="7546"/>
    <cellStyle name="_99광통신시흥방산_1_LGT춘천조양3_춘처LGT중계기(팔미)" xfId="7547"/>
    <cellStyle name="_99광통신시흥방산_1_LGT춘천조양3_춘처LGT중계기(팔미)_실사" xfId="7548"/>
    <cellStyle name="_99광통신시흥방산_1_LGT춘천조양3_춘처LGT중계기(팔미)_실사_조남학 - 테마별 예방점검표" xfId="7549"/>
    <cellStyle name="_99광통신시흥방산_1_LGT춘천조양3_춘처LGT중계기(팔미)_실사_조남학 - 테마별 예방점검표_준공서류(신독산~롯데아이티캐슬(흥진데이터서비스)하나로임차)" xfId="7550"/>
    <cellStyle name="_99광통신시흥방산_1_LGT춘천조양3_춘처LGT중계기(팔미)_실사_준공서류(신독산~롯데아이티캐슬(흥진데이터서비스)하나로임차)" xfId="7551"/>
    <cellStyle name="_99광통신시흥방산_1_LGT춘천조양3_춘처LGT중계기(팔미)_조남학 - 테마별 예방점검표" xfId="7552"/>
    <cellStyle name="_99광통신시흥방산_1_LGT춘천조양3_춘처LGT중계기(팔미)_조남학 - 테마별 예방점검표_준공서류(신독산~롯데아이티캐슬(흥진데이터서비스)하나로임차)" xfId="7553"/>
    <cellStyle name="_99광통신시흥방산_1_LGT춘천조양3_춘처LGT중계기(팔미)_준공서류(신독산~롯데아이티캐슬(흥진데이터서비스)하나로임차)" xfId="7554"/>
    <cellStyle name="_99광통신시흥방산_1_데이콤(네티즌21호)정산서0119 " xfId="7555"/>
    <cellStyle name="_99광통신시흥방산_1_데이콤(네티즌21호)정산서0119 _(0515688)데이콤 심곡동 싸이버칸 플러스 IP제공 공사" xfId="7556"/>
    <cellStyle name="_99광통신시흥방산_1_데이콤(네티즌21호)정산서0119 _(0515688)데이콤 심곡동 싸이버칸 플러스 IP제공 공사_준공서류(신독산~롯데아이티캐슬(흥진데이터서비스)하나로임차)" xfId="7557"/>
    <cellStyle name="_99광통신시흥방산_1_데이콤(네티즌21호)정산서0119 _STAR NET" xfId="7558"/>
    <cellStyle name="_99광통신시흥방산_1_데이콤(네티즌21호)정산서0119 _STAR NET_(0515688)데이콤 심곡동 싸이버칸 플러스 IP제공 공사" xfId="7559"/>
    <cellStyle name="_99광통신시흥방산_1_데이콤(네티즌21호)정산서0119 _STAR NET_(0515688)데이콤 심곡동 싸이버칸 플러스 IP제공 공사_준공서류(신독산~롯데아이티캐슬(흥진데이터서비스)하나로임차)" xfId="7560"/>
    <cellStyle name="_99광통신시흥방산_1_데이콤(네티즌21호)정산서0119 _STAR NET_179G4(트리디아)" xfId="7561"/>
    <cellStyle name="_99광통신시흥방산_1_데이콤(네티즌21호)정산서0119 _STAR NET_179G4(트리디아)_준공서류(신독산~롯데아이티캐슬(흥진데이터서비스)하나로임차)" xfId="7562"/>
    <cellStyle name="_99광통신시흥방산_1_데이콤(네티즌21호)정산서0119 _STAR NET_SKT작전2동중계기" xfId="7563"/>
    <cellStyle name="_99광통신시흥방산_1_데이콤(네티즌21호)정산서0119 _STAR NET_SKT작전2동중계기_준공서류(신독산~롯데아이티캐슬(흥진데이터서비스)하나로임차)" xfId="7564"/>
    <cellStyle name="_99광통신시흥방산_1_데이콤(네티즌21호)정산서0119 _STAR NET_준공서류(신독산~롯데아이티캐슬(흥진데이터서비스)하나로임차)" xfId="7565"/>
    <cellStyle name="_99광통신시흥방산_1_데이콤(네티즌21호)정산서0119 _데이콤 김포소방서개통확인서" xfId="7566"/>
    <cellStyle name="_99광통신시흥방산_1_데이콤(네티즌21호)정산서0119 _데이콤 김포소방서개통확인서_준공서류(신독산~롯데아이티캐슬(흥진데이터서비스)하나로임차)" xfId="7567"/>
    <cellStyle name="_99광통신시흥방산_1_데이콤(네티즌21호)정산서0119 _종합기별" xfId="7568"/>
    <cellStyle name="_99광통신시흥방산_1_데이콤(네티즌21호)정산서0119 _종합기별_179G4(트리디아)" xfId="7569"/>
    <cellStyle name="_99광통신시흥방산_1_데이콤(네티즌21호)정산서0119 _종합기별_179G4(트리디아)_준공서류(신독산~롯데아이티캐슬(흥진데이터서비스)하나로임차)" xfId="7570"/>
    <cellStyle name="_99광통신시흥방산_1_데이콤(네티즌21호)정산서0119 _종합기별_준공서류(신독산~롯데아이티캐슬(흥진데이터서비스)하나로임차)" xfId="7571"/>
    <cellStyle name="_99광통신시흥방산_1_데이콤(네티즌21호)정산서0119 _준공서류(신독산~롯데아이티캐슬(흥진데이터서비스)하나로임차)" xfId="7572"/>
    <cellStyle name="_99광통신시흥방산_1_동양비원컴" xfId="7573"/>
    <cellStyle name="_99광통신시흥방산_1_두산오토2" xfId="7574"/>
    <cellStyle name="_99광통신시흥방산_1_봅시다장비내역서" xfId="7575"/>
    <cellStyle name="_99광통신시흥방산_1_봅시다장비내역서_동양비원컴" xfId="7576"/>
    <cellStyle name="_99광통신시흥방산_1_봅시다장비내역서_두산오토2" xfId="7577"/>
    <cellStyle name="_99광통신시흥방산_1_봅시다장비내역서_의정부" xfId="7578"/>
    <cellStyle name="_99광통신시흥방산_1_봅시다장비내역서_의정부_동양비원컴" xfId="7579"/>
    <cellStyle name="_99광통신시흥방산_1_봅시다장비내역서_의정부_두산오토2" xfId="7580"/>
    <cellStyle name="_99광통신시흥방산_1_봅시다장비내역서_의정부_중구청소년수련관" xfId="7581"/>
    <cellStyle name="_99광통신시흥방산_1_봅시다장비내역서_의정부_파워콤기별" xfId="7582"/>
    <cellStyle name="_99광통신시흥방산_1_봅시다장비내역서_의정부_파워콤기별_파워콤기별" xfId="7583"/>
    <cellStyle name="_99광통신시흥방산_1_봅시다장비내역서_중구청소년수련관" xfId="7584"/>
    <cellStyle name="_99광통신시흥방산_1_봅시다장비내역서_파워콤기별" xfId="7585"/>
    <cellStyle name="_99광통신시흥방산_1_봅시다장비내역서_파워콤기별_파워콤기별" xfId="7586"/>
    <cellStyle name="_99광통신시흥방산_1_신호현자재내역 의정부" xfId="7587"/>
    <cellStyle name="_99광통신시흥방산_1_신호현자재내역 의정부_동양비원컴" xfId="7588"/>
    <cellStyle name="_99광통신시흥방산_1_신호현자재내역 의정부_두산오토2" xfId="7589"/>
    <cellStyle name="_99광통신시흥방산_1_신호현자재내역 의정부_의정부" xfId="7590"/>
    <cellStyle name="_99광통신시흥방산_1_신호현자재내역 의정부_의정부_동양비원컴" xfId="7591"/>
    <cellStyle name="_99광통신시흥방산_1_신호현자재내역 의정부_의정부_두산오토2" xfId="7592"/>
    <cellStyle name="_99광통신시흥방산_1_신호현자재내역 의정부_의정부_중구청소년수련관" xfId="7593"/>
    <cellStyle name="_99광통신시흥방산_1_신호현자재내역 의정부_의정부_파워콤기별" xfId="7594"/>
    <cellStyle name="_99광통신시흥방산_1_신호현자재내역 의정부_의정부_파워콤기별_파워콤기별" xfId="7595"/>
    <cellStyle name="_99광통신시흥방산_1_신호현자재내역 의정부_중구청소년수련관" xfId="7596"/>
    <cellStyle name="_99광통신시흥방산_1_신호현자재내역 의정부_파워콤기별" xfId="7597"/>
    <cellStyle name="_99광통신시흥방산_1_신호현자재내역 의정부_파워콤기별_파워콤기별" xfId="7598"/>
    <cellStyle name="_99광통신시흥방산_1_실사" xfId="7599"/>
    <cellStyle name="_99광통신시흥방산_1_실사_조남학 - 테마별 예방점검표" xfId="7600"/>
    <cellStyle name="_99광통신시흥방산_1_실사_조남학 - 테마별 예방점검표_준공서류(신독산~롯데아이티캐슬(흥진데이터서비스)하나로임차)" xfId="7601"/>
    <cellStyle name="_99광통신시흥방산_1_실사_준공서류(신독산~롯데아이티캐슬(흥진데이터서비스)하나로임차)" xfId="7602"/>
    <cellStyle name="_99광통신시흥방산_1_의정부장비내역서" xfId="7603"/>
    <cellStyle name="_99광통신시흥방산_1_의정부장비내역서_동양비원컴" xfId="7604"/>
    <cellStyle name="_99광통신시흥방산_1_의정부장비내역서_두산오토2" xfId="7605"/>
    <cellStyle name="_99광통신시흥방산_1_의정부장비내역서_의정부" xfId="7606"/>
    <cellStyle name="_99광통신시흥방산_1_의정부장비내역서_의정부_동양비원컴" xfId="7607"/>
    <cellStyle name="_99광통신시흥방산_1_의정부장비내역서_의정부_두산오토2" xfId="7608"/>
    <cellStyle name="_99광통신시흥방산_1_의정부장비내역서_의정부_중구청소년수련관" xfId="7609"/>
    <cellStyle name="_99광통신시흥방산_1_의정부장비내역서_의정부_파워콤기별" xfId="7610"/>
    <cellStyle name="_99광통신시흥방산_1_의정부장비내역서_의정부_파워콤기별_파워콤기별" xfId="7611"/>
    <cellStyle name="_99광통신시흥방산_1_의정부장비내역서_중구청소년수련관" xfId="7612"/>
    <cellStyle name="_99광통신시흥방산_1_의정부장비내역서_파워콤기별" xfId="7613"/>
    <cellStyle name="_99광통신시흥방산_1_의정부장비내역서_파워콤기별_파워콤기별" xfId="7614"/>
    <cellStyle name="_99광통신시흥방산_1_조남학 - 테마별 예방점검표" xfId="7615"/>
    <cellStyle name="_99광통신시흥방산_1_조남학 - 테마별 예방점검표_준공서류(신독산~롯데아이티캐슬(흥진데이터서비스)하나로임차)" xfId="7616"/>
    <cellStyle name="_99광통신시흥방산_1_준공서류(신독산~롯데아이티캐슬(흥진데이터서비스)하나로임차)" xfId="7617"/>
    <cellStyle name="_99광통신시흥방산_1_중구청소년수련관" xfId="7618"/>
    <cellStyle name="_99광통신시흥방산_1_파워콤기별" xfId="7619"/>
    <cellStyle name="_99광통신시흥방산_1_파워콤기별_파워콤기별" xfId="7620"/>
    <cellStyle name="_99광통신시흥방산_2" xfId="7621"/>
    <cellStyle name="_'99상반기경영개선활동결과(게시용)" xfId="498"/>
    <cellStyle name="_99신현외1개소보강" xfId="7622"/>
    <cellStyle name="_A1-토공-유점1L-1" xfId="499"/>
    <cellStyle name="_Account Total" xfId="7623"/>
    <cellStyle name="_ACQ 서버 DL580G2 MSA1000_0205" xfId="7624"/>
    <cellStyle name="_AIR HANDLING UNIT" xfId="7625"/>
    <cellStyle name="_AIR HANDLING UNIT_01.20090507_설계내역서_1개소_2차로용_2개소_1차로용_원가산정_운암내부" xfId="7626"/>
    <cellStyle name="_BIS내역서 안형기 작성지원" xfId="12521"/>
    <cellStyle name="_Book1" xfId="500"/>
    <cellStyle name="_Book1 2" xfId="12522"/>
    <cellStyle name="_Book1_0808 FY08Q4 HP Low end server 가격표(WS)" xfId="7627"/>
    <cellStyle name="_Book1_1" xfId="501"/>
    <cellStyle name="_Book1_1_임목축적조사견적서" xfId="502"/>
    <cellStyle name="_Book1_1차변경수량" xfId="7628"/>
    <cellStyle name="_Book1_1차변경수량_1차변경수량" xfId="7629"/>
    <cellStyle name="_Book1_2008_5월 100시리즈 HP Low end server 가격표(WS)v1" xfId="7630"/>
    <cellStyle name="_Book1_Book1" xfId="7631"/>
    <cellStyle name="_Book1_ISS_FY08_8월가격표" xfId="7632"/>
    <cellStyle name="_Book1_조달청 수수료" xfId="7633"/>
    <cellStyle name="_Book13" xfId="7634"/>
    <cellStyle name="_Book13_0808 FY08Q4 HP Low end server 가격표(WS)" xfId="7635"/>
    <cellStyle name="_Book13_2008_5월 100시리즈 HP Low end server 가격표(WS)v1" xfId="7636"/>
    <cellStyle name="_Book13_Book1" xfId="7637"/>
    <cellStyle name="_Book13_ISS_FY08_8월가격표" xfId="7638"/>
    <cellStyle name="_Book2" xfId="7639"/>
    <cellStyle name="_Book2_조달청 수수료" xfId="7640"/>
    <cellStyle name="_Book3" xfId="503"/>
    <cellStyle name="_catv(실)" xfId="7641"/>
    <cellStyle name="_catv(실)_2003광코아측정계획(10월)" xfId="7642"/>
    <cellStyle name="_catv(실)_서화69설계" xfId="7643"/>
    <cellStyle name="_CDS_ML350_견적서_030623_곽효길(1)" xfId="7644"/>
    <cellStyle name="_CDS235견적(1)" xfId="7645"/>
    <cellStyle name="_CH부지" xfId="504"/>
    <cellStyle name="_Cisco 6509 원가분석 Sample" xfId="7646"/>
    <cellStyle name="_Cisco 견적" xfId="7647"/>
    <cellStyle name="_CISCO4003-0205" xfId="12523"/>
    <cellStyle name="_CNTECH_견적서(1)" xfId="7648"/>
    <cellStyle name="_Compaq ML530_20040218" xfId="7649"/>
    <cellStyle name="_CPQRC_Storage_Dec05" xfId="505"/>
    <cellStyle name="_cx500(1TB)" xfId="7650"/>
    <cellStyle name="_C앤C" xfId="7651"/>
    <cellStyle name="_C앤C(네트웍)" xfId="7652"/>
    <cellStyle name="_C앤C원가계산" xfId="7653"/>
    <cellStyle name="_Data Size(보바스병원)" xfId="7654"/>
    <cellStyle name="_DB구축설계서(남양주0816)" xfId="15"/>
    <cellStyle name="_DB설계" xfId="506"/>
    <cellStyle name="_DCS-IIA현황(DMAS자료)" xfId="7655"/>
    <cellStyle name="_DL580G2 (11.11)" xfId="7656"/>
    <cellStyle name="_DPC(080219)_DL580G5 X7320" xfId="7657"/>
    <cellStyle name="_D공사진측량용역 설계서(20만평)_내역수정" xfId="507"/>
    <cellStyle name="_Eclipse approval" xfId="7658"/>
    <cellStyle name="_Eclipse approval_0808 FY08Q4 HP Low end server 가격표(WS)" xfId="7659"/>
    <cellStyle name="_Eclipse approval_2008_5월 100시리즈 HP Low end server 가격표(WS)v1" xfId="7660"/>
    <cellStyle name="_Eclipse approval_Book1" xfId="7661"/>
    <cellStyle name="_Eclipse approval_ISS_FY08_8월가격표" xfId="7662"/>
    <cellStyle name="_eclipse-1110" xfId="7663"/>
    <cellStyle name="_EDMS_성우시스템" xfId="7664"/>
    <cellStyle name="_EMC" xfId="7665"/>
    <cellStyle name="_EMC_10121" xfId="7666"/>
    <cellStyle name="_EMC_견적" xfId="7667"/>
    <cellStyle name="_EMC소프트_Order(New)" xfId="7668"/>
    <cellStyle name="_e-Notis 기능개선 견적_마음정보(20050304)" xfId="7669"/>
    <cellStyle name="_e-검사지원시스템개발" xfId="12524"/>
    <cellStyle name="_FAX1" xfId="508"/>
    <cellStyle name="_FAX1_간이배수펌프장설치에 따른 타당성용역내역" xfId="509"/>
    <cellStyle name="_FAX1_선정안(삼산)" xfId="510"/>
    <cellStyle name="_FAX1_선정안(삼산)_간이배수펌프장설치에 따른 타당성용역내역" xfId="511"/>
    <cellStyle name="_FAX1_추풍령" xfId="512"/>
    <cellStyle name="_FAX1_추풍령_간이배수펌프장설치에 따른 타당성용역내역" xfId="513"/>
    <cellStyle name="_FAX1_추풍령-1" xfId="514"/>
    <cellStyle name="_FAX1_추풍령-1_간이배수펌프장설치에 따른 타당성용역내역" xfId="515"/>
    <cellStyle name="_FAX2" xfId="516"/>
    <cellStyle name="_FAX2_간이배수펌프장설치에 따른 타당성용역내역" xfId="517"/>
    <cellStyle name="_FAX2_선정안(삼산)" xfId="518"/>
    <cellStyle name="_FAX2_선정안(삼산)_간이배수펌프장설치에 따른 타당성용역내역" xfId="519"/>
    <cellStyle name="_FAX2_추풍령" xfId="520"/>
    <cellStyle name="_FAX2_추풍령_간이배수펌프장설치에 따른 타당성용역내역" xfId="521"/>
    <cellStyle name="_FAX2_추풍령-1" xfId="522"/>
    <cellStyle name="_FAX2_추풍령-1_간이배수펌프장설치에 따른 타당성용역내역" xfId="523"/>
    <cellStyle name="_FCR관련 0926(100%)_1단2조" xfId="7670"/>
    <cellStyle name="_FCR-외곽감시설비(추가분설계서)0907" xfId="7671"/>
    <cellStyle name="_FCST (2)" xfId="524"/>
    <cellStyle name="_FCST TTL" xfId="7672"/>
    <cellStyle name="_FORM" xfId="12525"/>
    <cellStyle name="_FP_설계내역샘플_(가중치직접산정방식)_New" xfId="525"/>
    <cellStyle name="_FP_설계내역샘플_(평균가중치방식)_New" xfId="526"/>
    <cellStyle name="_fsm3_2007_035_v04_1_종합견적서" xfId="12526"/>
    <cellStyle name="_FTTH-N 요청(20060324)" xfId="7673"/>
    <cellStyle name="_FY05 1X Weekly Stock Report(as of Aug 28)" xfId="7674"/>
    <cellStyle name="_FY05 1X Weekly Stock Report(as of Dec.12)" xfId="7675"/>
    <cellStyle name="_FY05 1X Weekly Stock Report(as of Dec.19)" xfId="7676"/>
    <cellStyle name="_FY05 1X Weekly Stock Report(as of Feb 13)" xfId="7677"/>
    <cellStyle name="_FY05 1X Weekly Stock Report(as of Nov.30)" xfId="7678"/>
    <cellStyle name="_FY05 1X Weekly Stock Report(as of Sep 18)" xfId="7679"/>
    <cellStyle name="_fy051H quota_v3" xfId="7680"/>
    <cellStyle name="_FY05'2H ISS WOS(0812)1" xfId="7681"/>
    <cellStyle name="_FY05'2H ISS WOS(0821)1 (2)" xfId="7682"/>
    <cellStyle name="_FY06 1X Weekly Stock Report(as of Dec 18)" xfId="7683"/>
    <cellStyle name="_FY06 1X Weekly Stock Status Report(as of Apr 30) (2)" xfId="7684"/>
    <cellStyle name="_FY06 1X Weekly Stock Status Report(as of Feb.5)1" xfId="7685"/>
    <cellStyle name="_FY06 1X Weekly Stock Status Report(as of Jan 29)" xfId="7686"/>
    <cellStyle name="_G26A1(주수)" xfId="7687"/>
    <cellStyle name="_GIS총괄설계서(Version3.0)" xfId="7688"/>
    <cellStyle name="_GIS포털시스템기능고도화 용역예산설계서(050406)" xfId="7689"/>
    <cellStyle name="_GM fcst OCT06" xfId="7690"/>
    <cellStyle name="_GM fcst OCT06_0808 FY08Q4 HP Low end server 가격표(WS)" xfId="7691"/>
    <cellStyle name="_GM fcst OCT06_2008_5월 100시리즈 HP Low end server 가격표(WS)v1" xfId="7692"/>
    <cellStyle name="_GM fcst OCT06_Book1" xfId="7693"/>
    <cellStyle name="_GM fcst OCT06_ISS_FY08_8월가격표" xfId="7694"/>
    <cellStyle name="_gr 신풍-우성간" xfId="527"/>
    <cellStyle name="_gr 신풍-우성간_부대공1" xfId="528"/>
    <cellStyle name="_GS140CPU 가격" xfId="7695"/>
    <cellStyle name="_HIT(5월21일,MSL5030L1,이재근,원가)" xfId="7696"/>
    <cellStyle name="_HP" xfId="7697"/>
    <cellStyle name="_HP_UX(hardware)" xfId="7698"/>
    <cellStyle name="_HP모델별 원가산정0412" xfId="7699"/>
    <cellStyle name="_HW_PLM_테크윈" xfId="7700"/>
    <cellStyle name="_HW견적" xfId="7701"/>
    <cellStyle name="_i2006-020(토지공사_용인시문화유적분포지도제작)" xfId="7702"/>
    <cellStyle name="_IBM" xfId="529"/>
    <cellStyle name="_IBM서버(p570,p550,x366)" xfId="7703"/>
    <cellStyle name="_Intel" xfId="7704"/>
    <cellStyle name="_inventory-Dec5_04" xfId="7705"/>
    <cellStyle name="_ITSM_Remedy_BMC_0319" xfId="7706"/>
    <cellStyle name="_KB_IC카드발급시스템_050613_김승일" xfId="7707"/>
    <cellStyle name="_KB_운영시스템확장_20031212" xfId="7708"/>
    <cellStyle name="_KB_콜센터이전_20040119_2(final)" xfId="7709"/>
    <cellStyle name="_KCB 링네트 견적-2" xfId="7710"/>
    <cellStyle name="_KCB_SI_가격제안서_Infra_v2.1_최종" xfId="7711"/>
    <cellStyle name="_KCB_SI_가격제안서_SI_v2.2_이경진수정" xfId="7712"/>
    <cellStyle name="_KCB_SI_가격제안서_SI_v2.2_최종" xfId="7713"/>
    <cellStyle name="_KSIC(조원제님,연세의료원)" xfId="12527"/>
    <cellStyle name="_KT-05-001 외곽감시설비(100%)" xfId="7714"/>
    <cellStyle name="_L50703(인천국제공항공사)" xfId="7715"/>
    <cellStyle name="_L50703(인천국제공항공사)-0801" xfId="7716"/>
    <cellStyle name="_L50802(기상청)" xfId="7717"/>
    <cellStyle name="_L51003(국민연금관리공단)" xfId="7718"/>
    <cellStyle name="_L60204(한국데이타 IBM)" xfId="7719"/>
    <cellStyle name="_L70212(한국데이타베이스진흥센터)" xfId="7720"/>
    <cellStyle name="_L70213(한국데이타베이스진흥센터)" xfId="7721"/>
    <cellStyle name="_L70301(dpc)" xfId="7722"/>
    <cellStyle name="_L70401(한국데이타베이스진흥센터) 2007 04 10" xfId="7723"/>
    <cellStyle name="_L70501(dpc)" xfId="7724"/>
    <cellStyle name="_L70508(DPCV440)" xfId="7725"/>
    <cellStyle name="_L70702(DPC V440)" xfId="7726"/>
    <cellStyle name="_L71115(한국데이타베이스진흥센터)" xfId="7727"/>
    <cellStyle name="_L71202(한국데이타베이스진흥센터)" xfId="7728"/>
    <cellStyle name="_L80204(dbs)" xfId="7729"/>
    <cellStyle name="_L80908(한국데이타베이스진흥센터)1" xfId="7730"/>
    <cellStyle name="_L81010%28DBS%29(1)" xfId="7731"/>
    <cellStyle name="_L90402(한국DBS)" xfId="7732"/>
    <cellStyle name="_LG CNS-041102-서울고속도로법인(6)_p630" xfId="7733"/>
    <cellStyle name="_LGT 구월5(기) (050217) - 정산" xfId="7734"/>
    <cellStyle name="_Log Book 0930" xfId="7735"/>
    <cellStyle name="_Log Book 0930_0808 FY08Q4 HP Low end server 가격표(WS)" xfId="7736"/>
    <cellStyle name="_Log Book 0930_2008_5월 100시리즈 HP Low end server 가격표(WS)v1" xfId="7737"/>
    <cellStyle name="_Log Book 0930_Book1" xfId="7738"/>
    <cellStyle name="_Log Book 0930_ISS_FY08_8월가격표" xfId="7739"/>
    <cellStyle name="_Log Book_050805" xfId="7740"/>
    <cellStyle name="_Log Book_050805_0808 FY08Q4 HP Low end server 가격표(WS)" xfId="7741"/>
    <cellStyle name="_Log Book_050805_2008_5월 100시리즈 HP Low end server 가격표(WS)v1" xfId="7742"/>
    <cellStyle name="_Log Book_050805_Book1" xfId="7743"/>
    <cellStyle name="_Log Book_050805_ISS_FY08_8월가격표" xfId="7744"/>
    <cellStyle name="_Log Book_050822" xfId="7745"/>
    <cellStyle name="_Log Book_050822_0808 FY08Q4 HP Low end server 가격표(WS)" xfId="7746"/>
    <cellStyle name="_Log Book_050822_2008_5월 100시리즈 HP Low end server 가격표(WS)v1" xfId="7747"/>
    <cellStyle name="_Log Book_050822_Book1" xfId="7748"/>
    <cellStyle name="_Log Book_050822_ISS_FY08_8월가격표" xfId="7749"/>
    <cellStyle name="_Log Book_050905" xfId="7750"/>
    <cellStyle name="_Log Book_050905_0808 FY08Q4 HP Low end server 가격표(WS)" xfId="7751"/>
    <cellStyle name="_Log Book_050905_2008_5월 100시리즈 HP Low end server 가격표(WS)v1" xfId="7752"/>
    <cellStyle name="_Log Book_050905_Book1" xfId="7753"/>
    <cellStyle name="_Log Book_050905_ISS_FY08_8월가격표" xfId="7754"/>
    <cellStyle name="_Log Book_050906" xfId="7755"/>
    <cellStyle name="_Log Book_050906_0808 FY08Q4 HP Low end server 가격표(WS)" xfId="7756"/>
    <cellStyle name="_Log Book_050906_2008_5월 100시리즈 HP Low end server 가격표(WS)v1" xfId="7757"/>
    <cellStyle name="_Log Book_050906_Book1" xfId="7758"/>
    <cellStyle name="_Log Book_050906_ISS_FY08_8월가격표" xfId="7759"/>
    <cellStyle name="_Log Book_050930" xfId="7760"/>
    <cellStyle name="_Log Book_050930_0808 FY08Q4 HP Low end server 가격표(WS)" xfId="7761"/>
    <cellStyle name="_Log Book_050930_2008_5월 100시리즈 HP Low end server 가격표(WS)v1" xfId="7762"/>
    <cellStyle name="_Log Book_050930_Book1" xfId="7763"/>
    <cellStyle name="_Log Book_050930_ISS_FY08_8월가격표" xfId="7764"/>
    <cellStyle name="_Log Book_051107" xfId="7765"/>
    <cellStyle name="_Log Book_051107_0808 FY08Q4 HP Low end server 가격표(WS)" xfId="7766"/>
    <cellStyle name="_Log Book_051107_2008_5월 100시리즈 HP Low end server 가격표(WS)v1" xfId="7767"/>
    <cellStyle name="_Log Book_051107_Book1" xfId="7768"/>
    <cellStyle name="_Log Book_051107_ISS_FY08_8월가격표" xfId="7769"/>
    <cellStyle name="_Log Book_060301" xfId="7770"/>
    <cellStyle name="_Log Book_060301_0808 FY08Q4 HP Low end server 가격표(WS)" xfId="7771"/>
    <cellStyle name="_Log Book_060301_2008_5월 100시리즈 HP Low end server 가격표(WS)v1" xfId="7772"/>
    <cellStyle name="_Log Book_060301_Book1" xfId="7773"/>
    <cellStyle name="_Log Book_060301_ISS_FY08_8월가격표" xfId="7774"/>
    <cellStyle name="_Log Book_060601" xfId="7775"/>
    <cellStyle name="_Log Book_060601_0808 FY08Q4 HP Low end server 가격표(WS)" xfId="7776"/>
    <cellStyle name="_Log Book_060601_2008_5월 100시리즈 HP Low end server 가격표(WS)v1" xfId="7777"/>
    <cellStyle name="_Log Book_060601_Book1" xfId="7778"/>
    <cellStyle name="_Log Book_060601_ISS_FY08_8월가격표" xfId="7779"/>
    <cellStyle name="_loos map관련폼" xfId="7780"/>
    <cellStyle name="_LOSSMAP-로스맵(SAMPLE)" xfId="7781"/>
    <cellStyle name="_mas155M구성공사" xfId="7782"/>
    <cellStyle name="_MISP부대간이공사(파워콤)" xfId="7783"/>
    <cellStyle name="_ML570T02(040218)A영우" xfId="7784"/>
    <cellStyle name="_MM" xfId="530"/>
    <cellStyle name="_molp양식(강동구청)" xfId="7785"/>
    <cellStyle name="_MS3월_가격표(다우)" xfId="7786"/>
    <cellStyle name="_NCRPOS견적(3(1).26)" xfId="7787"/>
    <cellStyle name="_new_FY05 1X Weekly Stock Report(as of July 31)" xfId="7788"/>
    <cellStyle name="_NT 서버외 부분" xfId="12528"/>
    <cellStyle name="_NTspec" xfId="12529"/>
    <cellStyle name="_P" xfId="7789"/>
    <cellStyle name="_p660_6H1_4월15일" xfId="7790"/>
    <cellStyle name="_PERSONAL" xfId="7791"/>
    <cellStyle name="_PIT COVER" xfId="7792"/>
    <cellStyle name="_PNC24-299-003" xfId="7793"/>
    <cellStyle name="_PNC45-007-009 충남도청-(DB 진흥원)" xfId="7794"/>
    <cellStyle name="_Portal 시스템연계 및 K-Bank 기능개선 견적(20040823)_마음정보" xfId="7795"/>
    <cellStyle name="_ProCurve Quick Reference Card - April 2006" xfId="7796"/>
    <cellStyle name="_ProCurve Quick Reference Card - August 2006" xfId="7797"/>
    <cellStyle name="_ProCurve Quick Reference Card - December 2005" xfId="531"/>
    <cellStyle name="_ProCurve Quick Reference Card - December 2006" xfId="7798"/>
    <cellStyle name="_ProCurve Quick Reference Card - February 2007" xfId="7799"/>
    <cellStyle name="_ProCurve Quick Reference Card - January 2006" xfId="532"/>
    <cellStyle name="_ProCurve Quick Reference Card - July 1 2005" xfId="533"/>
    <cellStyle name="_ProCurve Quick Reference Card - July 1 2005_Book1" xfId="534"/>
    <cellStyle name="_ProCurve Quick Reference Card - July 1 2005_HP_Care_Pack_Aug05" xfId="535"/>
    <cellStyle name="_ProCurve Quick Reference Card - July 1 2005_HP_Care_Pack_Dec06" xfId="7800"/>
    <cellStyle name="_ProCurve Quick Reference Card - July 1 2005_HP_Care_Pack_July05" xfId="536"/>
    <cellStyle name="_ProCurve Quick Reference Card - July 2006" xfId="7801"/>
    <cellStyle name="_ProCurve Quick Reference Card - July 2007" xfId="7802"/>
    <cellStyle name="_ProCurve Quick Reference Card - June 2006" xfId="7803"/>
    <cellStyle name="_ProCurve Quick Reference Card - March 2007" xfId="7804"/>
    <cellStyle name="_ProCurve Quick Reference Card - May 2006" xfId="7805"/>
    <cellStyle name="_ProCurve Quick Reference Card - May 2007" xfId="7806"/>
    <cellStyle name="_ProCurve Quick Reference Card - October 1  2005" xfId="537"/>
    <cellStyle name="_ProCurve Quick Reference Card - October 2005 v2" xfId="538"/>
    <cellStyle name="_psd설계참고자료" xfId="7807"/>
    <cellStyle name="_PSG inventory_14.Dec" xfId="7808"/>
    <cellStyle name="_PSG inventory_23.Dec" xfId="7809"/>
    <cellStyle name="_PSG inventory_28.Dec" xfId="7810"/>
    <cellStyle name="_psg stock" xfId="7811"/>
    <cellStyle name="_Pum_2006" xfId="539"/>
    <cellStyle name="_R8_CPQRC Storage 7-29-05" xfId="540"/>
    <cellStyle name="_RAMP-E교-최종000" xfId="541"/>
    <cellStyle name="_RAMP-E교-최종000_공유수면매립도시관리계획및실시설계용역" xfId="542"/>
    <cellStyle name="_RAMP-E교-최종000_로하스변경내역서-5(06.6.7)" xfId="543"/>
    <cellStyle name="_RAMP-E교-최종000_로하스변경내역서-5(06.6.7)_로하스변경내역서-6(06(1).6.27 당초변경)" xfId="544"/>
    <cellStyle name="_RAMP-E교-최종000_로하스변경내역서-6(06.6.21)" xfId="545"/>
    <cellStyle name="_RAMP-E교-최종000_로하스변경내역서-6(06.6.21)_로하스변경내역서-6(06(1).6.27 당초변경)" xfId="546"/>
    <cellStyle name="_RAMP-E교-최종000_시방서" xfId="547"/>
    <cellStyle name="_RAMP-E교-최종000_시방서_공유수면매립도시관리계획및실시설계용역" xfId="548"/>
    <cellStyle name="_RAMP-E교-최종000_시방서_로하스변경내역서-5(06.6.7)" xfId="549"/>
    <cellStyle name="_RAMP-E교-최종000_시방서_로하스변경내역서-5(06.6.7)_로하스변경내역서-6(06(1).6.27 당초변경)" xfId="550"/>
    <cellStyle name="_RAMP-E교-최종000_시방서_로하스변경내역서-6(06.6.21)" xfId="551"/>
    <cellStyle name="_RAMP-E교-최종000_시방서_로하스변경내역서-6(06.6.21)_로하스변경내역서-6(06(1).6.27 당초변경)" xfId="552"/>
    <cellStyle name="_RAMP-E교-최종000_파도 - 모항선 횡배수관 확장" xfId="553"/>
    <cellStyle name="_RAMP-E교-최종000_파도 - 모항선 횡배수관 확장_공유수면매립도시관리계획및실시설계용역" xfId="554"/>
    <cellStyle name="_RAMP-E교-최종000_파도 - 모항선 횡배수관 확장_로하스변경내역서-5(06.6.7)" xfId="555"/>
    <cellStyle name="_RAMP-E교-최종000_파도 - 모항선 횡배수관 확장_로하스변경내역서-5(06.6.7)_로하스변경내역서-6(06(1).6.27 당초변경)" xfId="556"/>
    <cellStyle name="_RAMP-E교-최종000_파도 - 모항선 횡배수관 확장_로하스변경내역서-6(06.6.21)" xfId="557"/>
    <cellStyle name="_RAMP-E교-최종000_파도 - 모항선 횡배수관 확장_로하스변경내역서-6(06.6.21)_로하스변경내역서-6(06(1).6.27 당초변경)" xfId="558"/>
    <cellStyle name="_RAMP-E교-최종000_파도 - 모항선 횡배수관 확장_시방서" xfId="559"/>
    <cellStyle name="_RAMP-E교-최종000_파도 - 모항선 횡배수관 확장_시방서_공유수면매립도시관리계획및실시설계용역" xfId="560"/>
    <cellStyle name="_RAMP-E교-최종000_파도 - 모항선 횡배수관 확장_시방서_로하스변경내역서-5(06.6.7)" xfId="561"/>
    <cellStyle name="_RAMP-E교-최종000_파도 - 모항선 횡배수관 확장_시방서_로하스변경내역서-5(06.6.7)_로하스변경내역서-6(06(1).6.27 당초변경)" xfId="562"/>
    <cellStyle name="_RAMP-E교-최종000_파도 - 모항선 횡배수관 확장_시방서_로하스변경내역서-6(06.6.21)" xfId="563"/>
    <cellStyle name="_RAMP-E교-최종000_파도 - 모항선 횡배수관 확장_시방서_로하스변경내역서-6(06.6.21)_로하스변경내역서-6(06(1).6.27 당초변경)" xfId="564"/>
    <cellStyle name="_RE" xfId="7812"/>
    <cellStyle name="_RESULTS" xfId="565"/>
    <cellStyle name="_RESULTS_조달청 수수료" xfId="7813"/>
    <cellStyle name="_SA-08009-446한국DB진흥센타(IGM Public)" xfId="7814"/>
    <cellStyle name="_SC제일_개인신용여신부(부산+광주+잠실서+대전+광나루대한제지)견적서_V1.2" xfId="7815"/>
    <cellStyle name="_SC제일_목동 PRB 견적서_V1.1" xfId="7816"/>
    <cellStyle name="_SDQ031036캐드랜드(거제시청)" xfId="566"/>
    <cellStyle name="_Server" xfId="7817"/>
    <cellStyle name="_Sheet1" xfId="7818"/>
    <cellStyle name="_Sheet1_1" xfId="7819"/>
    <cellStyle name="_Sheet2" xfId="7820"/>
    <cellStyle name="_Sheet2_1" xfId="7821"/>
    <cellStyle name="_Sheet3" xfId="7822"/>
    <cellStyle name="_Sheet3_1" xfId="7823"/>
    <cellStyle name="_SI+DB-파주시_총괄050912" xfId="12530"/>
    <cellStyle name="_SI부문_김천시" xfId="567"/>
    <cellStyle name="_SKT 강릉공항중계기" xfId="7824"/>
    <cellStyle name="_SKT 삼화중계기" xfId="7825"/>
    <cellStyle name="_SKT(대구D)-공가" xfId="7826"/>
    <cellStyle name="_SKT광태" xfId="7827"/>
    <cellStyle name="_SKT광태중계기(80%)" xfId="7828"/>
    <cellStyle name="_SKT교황-SKT강원도립대중계기" xfId="7829"/>
    <cellStyle name="_SKT남양기지국" xfId="7830"/>
    <cellStyle name="_SKT-대구D" xfId="7831"/>
    <cellStyle name="_SKT동양시멘트" xfId="7832"/>
    <cellStyle name="_SKT-동해대" xfId="7833"/>
    <cellStyle name="_SKT두구중계기" xfId="7834"/>
    <cellStyle name="_SKT-삼포,논화,하조대" xfId="7835"/>
    <cellStyle name="_SKT석교(D)-(R)중계기" xfId="7836"/>
    <cellStyle name="_SKT-우지2" xfId="7837"/>
    <cellStyle name="_SKT원일전(D)~(R)중계기" xfId="7838"/>
    <cellStyle name="_SKT전수망시설정산" xfId="7839"/>
    <cellStyle name="_SKT조양주공중계기" xfId="7840"/>
    <cellStyle name="_SKT중계기제공(광태중계기)-" xfId="7841"/>
    <cellStyle name="_SKT평릉동중계기" xfId="7842"/>
    <cellStyle name="_SMS_ITOP" xfId="7843"/>
    <cellStyle name="_ss" xfId="7844"/>
    <cellStyle name="_SSG0520 견적서(061025)" xfId="7845"/>
    <cellStyle name="_SSO  견적-대한지적공사" xfId="7846"/>
    <cellStyle name="_STA. 1+160.000_개략수량산출서" xfId="12531"/>
    <cellStyle name="_STI 심곡중계기1" xfId="7847"/>
    <cellStyle name="_STI남항진기지국" xfId="7848"/>
    <cellStyle name="_STI-삼척MBC" xfId="7849"/>
    <cellStyle name="_STI-삼척대" xfId="7850"/>
    <cellStyle name="_STI운산중계기모국변경" xfId="7851"/>
    <cellStyle name="_STX_Maint_견적_060927" xfId="12532"/>
    <cellStyle name="_STX_price_050527" xfId="12533"/>
    <cellStyle name="_stx_rmms_schedule_v10" xfId="12534"/>
    <cellStyle name="_STX견적서-2차버젼" xfId="12535"/>
    <cellStyle name="_STX에너지(주)_열요금견적서" xfId="12536"/>
    <cellStyle name="_STX조선" xfId="12537"/>
    <cellStyle name="_SUN(유닉스계열)" xfId="7852"/>
    <cellStyle name="_TGIF견적(AS및개발비,20030307)" xfId="7853"/>
    <cellStyle name="_TGIF견적(POS,20030307)" xfId="7854"/>
    <cellStyle name="_THP관설치" xfId="568"/>
    <cellStyle name="_THP관설치_04포장공" xfId="7855"/>
    <cellStyle name="_THP관설치_3.구조물공" xfId="7856"/>
    <cellStyle name="_THP관설치_3.구조물공_04포장공" xfId="7857"/>
    <cellStyle name="_THP관설치_3.구조물공_3.구조물공" xfId="7858"/>
    <cellStyle name="_THP관설치_3.구조물공_3.구조물공_04포장공" xfId="7859"/>
    <cellStyle name="_THP관설치_3.구조물공_3.물공" xfId="7860"/>
    <cellStyle name="_THP관설치_3.구조물공_3.물공_04포장공" xfId="7861"/>
    <cellStyle name="_THP관설치_3.구조물공_보수량집계(우근)" xfId="7862"/>
    <cellStyle name="_THP관설치_3.구조물공_보수량집계(우근)_04포장공" xfId="7863"/>
    <cellStyle name="_THP관설치_3.구조물공_석축" xfId="7864"/>
    <cellStyle name="_THP관설치_3.구조물공_석축_04포장공" xfId="7865"/>
    <cellStyle name="_THP관설치_두릉1제 수량산출서" xfId="569"/>
    <cellStyle name="_THP관설치_배수구조물공" xfId="7866"/>
    <cellStyle name="_THP관설치_배수구조물공_04포장공" xfId="7867"/>
    <cellStyle name="_THP관설치_배수구조물공_3.구조물공" xfId="7868"/>
    <cellStyle name="_THP관설치_배수구조물공_3.구조물공_04포장공" xfId="7869"/>
    <cellStyle name="_THP관설치_배수구조물공_3.구조물공_3.구조물공" xfId="7870"/>
    <cellStyle name="_THP관설치_배수구조물공_3.구조물공_3.구조물공_04포장공" xfId="7871"/>
    <cellStyle name="_THP관설치_배수구조물공_3.구조물공_3.물공" xfId="7872"/>
    <cellStyle name="_THP관설치_배수구조물공_3.구조물공_3.물공_04포장공" xfId="7873"/>
    <cellStyle name="_THP관설치_배수구조물공_3.구조물공_보수량집계(우근)" xfId="7874"/>
    <cellStyle name="_THP관설치_배수구조물공_3.구조물공_보수량집계(우근)_04포장공" xfId="7875"/>
    <cellStyle name="_THP관설치_배수구조물공_3.구조물공_석축" xfId="7876"/>
    <cellStyle name="_THP관설치_배수구조물공_3.구조물공_석축_04포장공" xfId="7877"/>
    <cellStyle name="_THP관설치_우수집수정U형집계" xfId="7878"/>
    <cellStyle name="_THP관설치_우수집수정U형집계_04포장공" xfId="7879"/>
    <cellStyle name="_THP관설치_우수집수정U형집계_3.구조물공" xfId="7880"/>
    <cellStyle name="_THP관설치_우수집수정U형집계_3.구조물공_04포장공" xfId="7881"/>
    <cellStyle name="_THP관설치_우수집수정U형집계_3.구조물공_3.구조물공" xfId="7882"/>
    <cellStyle name="_THP관설치_우수집수정U형집계_3.구조물공_3.구조물공_04포장공" xfId="7883"/>
    <cellStyle name="_THP관설치_우수집수정U형집계_3.구조물공_3.물공" xfId="7884"/>
    <cellStyle name="_THP관설치_우수집수정U형집계_3.구조물공_3.물공_04포장공" xfId="7885"/>
    <cellStyle name="_THP관설치_우수집수정U형집계_3.구조물공_보수량집계(우근)" xfId="7886"/>
    <cellStyle name="_THP관설치_우수집수정U형집계_3.구조물공_보수량집계(우근)_04포장공" xfId="7887"/>
    <cellStyle name="_THP관설치_우수집수정U형집계_3.구조물공_석축" xfId="7888"/>
    <cellStyle name="_THP관설치_우수집수정U형집계_3.구조물공_석축_04포장공" xfId="7889"/>
    <cellStyle name="_THP관설치_인계1공구 수량산출" xfId="570"/>
    <cellStyle name="_THP관설치_총자재집계표" xfId="571"/>
    <cellStyle name="_THP관설치_콘크리트포장공" xfId="7890"/>
    <cellStyle name="_THP관설치_콘크리트포장공_03포장공" xfId="7891"/>
    <cellStyle name="_THP관설치_콘크리트포장공_03포장공_04포장공" xfId="7892"/>
    <cellStyle name="_THP관설치_콘크리트포장공_04포장공" xfId="7893"/>
    <cellStyle name="_THP관설치_콘크리트포장공_14수량산출서" xfId="7894"/>
    <cellStyle name="_THP관설치_콘크리트포장공_14수량산출서_04포장공" xfId="7895"/>
    <cellStyle name="_THP관설치_콘크리트포장공_수량산출서" xfId="7896"/>
    <cellStyle name="_TmaxSoft견적_080619" xfId="7897"/>
    <cellStyle name="_to_IBK_COLD_HP7405_HP2405_EMC_TMAX" xfId="7898"/>
    <cellStyle name="_to_IBK_EFPS_030326" xfId="7899"/>
    <cellStyle name="_to_IBK_eFPS-혁성030109_수정" xfId="7900"/>
    <cellStyle name="_to_IBK_eFPS-혁성030113" xfId="7901"/>
    <cellStyle name="_to_ibk_IBKPOINT(031008)_1" xfId="7902"/>
    <cellStyle name="_to_IBK_IBS증설4차_030423" xfId="7903"/>
    <cellStyle name="_to_IBK_국외점포망(030212)" xfId="7904"/>
    <cellStyle name="_to_IBK_방카2차증설_DB2_WAS2_테스트_채널(031001)_제출용_수정" xfId="7905"/>
    <cellStyle name="_to_ibk_방카최종견적(031009)" xfId="7906"/>
    <cellStyle name="_to_sds_방카(030605)" xfId="7907"/>
    <cellStyle name="_to_강재훈과장_Bankon_4way(031209)_수정" xfId="7908"/>
    <cellStyle name="_to_김경수kj_뱅킹SAN구성(031009)" xfId="7909"/>
    <cellStyle name="_to_노윤규cj_IBS5th증설_최종낙찰견적(031125)" xfId="7910"/>
    <cellStyle name="_to_노윤규cj_최종낙찰견적(030731)" xfId="7911"/>
    <cellStyle name="_to_손인표과장_뱅크온(031203)" xfId="7912"/>
    <cellStyle name="_to_이병남cj_방카(030318)제출용" xfId="7913"/>
    <cellStyle name="_UIS설계내역서_1차년도(우대칼스_041029_v1)" xfId="7914"/>
    <cellStyle name="_UPIS(B)" xfId="572"/>
    <cellStyle name="_UTILITY-계약B" xfId="12538"/>
    <cellStyle name="_U수량" xfId="7915"/>
    <cellStyle name="_U수량_01.토공-월암교차로" xfId="7916"/>
    <cellStyle name="_U수량_01.토공-월암교차로_깨기수량샘플1" xfId="7917"/>
    <cellStyle name="_U수량_01.토공-월암교차로_깨기수량샘플1_변경내역" xfId="7918"/>
    <cellStyle name="_U수량_01.토공-월암교차로_깨기수량샘플1_신규단가및표지" xfId="7919"/>
    <cellStyle name="_U수량_01.토공-월암교차로_깨기수량샘플1_신규단산" xfId="7920"/>
    <cellStyle name="_U수량_01.토공-월암교차로_변경내역" xfId="7921"/>
    <cellStyle name="_U수량_01.토공-월암교차로_신규단가및표지" xfId="7922"/>
    <cellStyle name="_U수량_01.토공-월암교차로_신규단산" xfId="7923"/>
    <cellStyle name="_U수량_02.배수공" xfId="7924"/>
    <cellStyle name="_U수량_02.배수공_변경내역" xfId="7925"/>
    <cellStyle name="_U수량_02.배수공_신규단가및표지" xfId="7926"/>
    <cellStyle name="_U수량_02.배수공_신규단산" xfId="7927"/>
    <cellStyle name="_U수량_강경읍염천리" xfId="7928"/>
    <cellStyle name="_U수량_강경읍염천리_01.토공-월암교차로" xfId="7929"/>
    <cellStyle name="_U수량_강경읍염천리_01.토공-월암교차로_깨기수량샘플1" xfId="7930"/>
    <cellStyle name="_U수량_강경읍염천리_01.토공-월암교차로_깨기수량샘플1_변경내역" xfId="7931"/>
    <cellStyle name="_U수량_강경읍염천리_01.토공-월암교차로_깨기수량샘플1_신규단가및표지" xfId="7932"/>
    <cellStyle name="_U수량_강경읍염천리_01.토공-월암교차로_깨기수량샘플1_신규단산" xfId="7933"/>
    <cellStyle name="_U수량_강경읍염천리_01.토공-월암교차로_변경내역" xfId="7934"/>
    <cellStyle name="_U수량_강경읍염천리_01.토공-월암교차로_신규단가및표지" xfId="7935"/>
    <cellStyle name="_U수량_강경읍염천리_01.토공-월암교차로_신규단산" xfId="7936"/>
    <cellStyle name="_U수량_강경읍염천리_02.배수공" xfId="7937"/>
    <cellStyle name="_U수량_강경읍염천리_02.배수공_변경내역" xfId="7938"/>
    <cellStyle name="_U수량_강경읍염천리_02.배수공_신규단가및표지" xfId="7939"/>
    <cellStyle name="_U수량_강경읍염천리_02.배수공_신규단산" xfId="7940"/>
    <cellStyle name="_U수량_강경읍염천리_깨기수량(38호선)" xfId="7941"/>
    <cellStyle name="_U수량_강경읍염천리_깨기수량(38호선)_깨기수량샘플1" xfId="7942"/>
    <cellStyle name="_U수량_강경읍염천리_깨기수량(38호선)_깨기수량샘플1_변경내역" xfId="7943"/>
    <cellStyle name="_U수량_강경읍염천리_깨기수량(38호선)_깨기수량샘플1_신규단가및표지" xfId="7944"/>
    <cellStyle name="_U수량_강경읍염천리_깨기수량(38호선)_깨기수량샘플1_신규단산" xfId="7945"/>
    <cellStyle name="_U수량_강경읍염천리_깨기수량(38호선)_변경내역" xfId="7946"/>
    <cellStyle name="_U수량_강경읍염천리_깨기수량(38호선)_신규단가및표지" xfId="7947"/>
    <cellStyle name="_U수량_강경읍염천리_깨기수량(38호선)_신규단산" xfId="7948"/>
    <cellStyle name="_U수량_강경읍염천리_대야포장공" xfId="7949"/>
    <cellStyle name="_U수량_강경읍염천리_대야포장공_01.토공-월암교차로" xfId="7950"/>
    <cellStyle name="_U수량_강경읍염천리_대야포장공_01.토공-월암교차로_깨기수량샘플1" xfId="7951"/>
    <cellStyle name="_U수량_강경읍염천리_대야포장공_01.토공-월암교차로_깨기수량샘플1_변경내역" xfId="7952"/>
    <cellStyle name="_U수량_강경읍염천리_대야포장공_01.토공-월암교차로_깨기수량샘플1_신규단가및표지" xfId="7953"/>
    <cellStyle name="_U수량_강경읍염천리_대야포장공_01.토공-월암교차로_깨기수량샘플1_신규단산" xfId="7954"/>
    <cellStyle name="_U수량_강경읍염천리_대야포장공_01.토공-월암교차로_변경내역" xfId="7955"/>
    <cellStyle name="_U수량_강경읍염천리_대야포장공_01.토공-월암교차로_신규단가및표지" xfId="7956"/>
    <cellStyle name="_U수량_강경읍염천리_대야포장공_01.토공-월암교차로_신규단산" xfId="7957"/>
    <cellStyle name="_U수량_강경읍염천리_대야포장공_02.배수공" xfId="7958"/>
    <cellStyle name="_U수량_강경읍염천리_대야포장공_02.배수공_변경내역" xfId="7959"/>
    <cellStyle name="_U수량_강경읍염천리_대야포장공_02.배수공_신규단가및표지" xfId="7960"/>
    <cellStyle name="_U수량_강경읍염천리_대야포장공_02.배수공_신규단산" xfId="7961"/>
    <cellStyle name="_U수량_강경읍염천리_대야포장공_깨기수량(38호선)" xfId="7962"/>
    <cellStyle name="_U수량_강경읍염천리_대야포장공_깨기수량(38호선)_깨기수량샘플1" xfId="7963"/>
    <cellStyle name="_U수량_강경읍염천리_대야포장공_깨기수량(38호선)_깨기수량샘플1_변경내역" xfId="7964"/>
    <cellStyle name="_U수량_강경읍염천리_대야포장공_깨기수량(38호선)_깨기수량샘플1_신규단가및표지" xfId="7965"/>
    <cellStyle name="_U수량_강경읍염천리_대야포장공_깨기수량(38호선)_깨기수량샘플1_신규단산" xfId="7966"/>
    <cellStyle name="_U수량_강경읍염천리_대야포장공_깨기수량(38호선)_변경내역" xfId="7967"/>
    <cellStyle name="_U수량_강경읍염천리_대야포장공_깨기수량(38호선)_신규단가및표지" xfId="7968"/>
    <cellStyle name="_U수량_강경읍염천리_대야포장공_깨기수량(38호선)_신규단산" xfId="7969"/>
    <cellStyle name="_U수량_강경읍염천리_대야포장공_배수공" xfId="7970"/>
    <cellStyle name="_U수량_강경읍염천리_대야포장공_배수공(7월30일)" xfId="7971"/>
    <cellStyle name="_U수량_강경읍염천리_대야포장공_배수공(7월30일)_깨기수량샘플1" xfId="7972"/>
    <cellStyle name="_U수량_강경읍염천리_대야포장공_배수공(7월30일)_깨기수량샘플1_변경내역" xfId="7973"/>
    <cellStyle name="_U수량_강경읍염천리_대야포장공_배수공(7월30일)_깨기수량샘플1_신규단가및표지" xfId="7974"/>
    <cellStyle name="_U수량_강경읍염천리_대야포장공_배수공(7월30일)_깨기수량샘플1_신규단산" xfId="7975"/>
    <cellStyle name="_U수량_강경읍염천리_대야포장공_배수공(7월30일)_변경내역" xfId="7976"/>
    <cellStyle name="_U수량_강경읍염천리_대야포장공_배수공(7월30일)_신규단가및표지" xfId="7977"/>
    <cellStyle name="_U수량_강경읍염천리_대야포장공_배수공(7월30일)_신규단산" xfId="7978"/>
    <cellStyle name="_U수량_강경읍염천리_대야포장공_배수공_배수공" xfId="7979"/>
    <cellStyle name="_U수량_강경읍염천리_대야포장공_배수공_배수공_변경내역" xfId="7980"/>
    <cellStyle name="_U수량_강경읍염천리_대야포장공_배수공_배수공_신규단가및표지" xfId="7981"/>
    <cellStyle name="_U수량_강경읍염천리_대야포장공_배수공_배수공_신규단산" xfId="7982"/>
    <cellStyle name="_U수량_강경읍염천리_대야포장공_배수공_변경내역" xfId="7983"/>
    <cellStyle name="_U수량_강경읍염천리_대야포장공_배수공_신규단가및표지" xfId="7984"/>
    <cellStyle name="_U수량_강경읍염천리_대야포장공_배수공_신규단산" xfId="7985"/>
    <cellStyle name="_U수량_강경읍염천리_대야포장공_변경내역" xfId="7986"/>
    <cellStyle name="_U수량_강경읍염천리_대야포장공_신규단가및표지" xfId="7987"/>
    <cellStyle name="_U수량_강경읍염천리_대야포장공_신규단산" xfId="7988"/>
    <cellStyle name="_U수량_강경읍염천리_배수공" xfId="7989"/>
    <cellStyle name="_U수량_강경읍염천리_배수공(7월30일)" xfId="7990"/>
    <cellStyle name="_U수량_강경읍염천리_배수공(7월30일)_깨기수량샘플1" xfId="7991"/>
    <cellStyle name="_U수량_강경읍염천리_배수공(7월30일)_깨기수량샘플1_변경내역" xfId="7992"/>
    <cellStyle name="_U수량_강경읍염천리_배수공(7월30일)_깨기수량샘플1_신규단가및표지" xfId="7993"/>
    <cellStyle name="_U수량_강경읍염천리_배수공(7월30일)_깨기수량샘플1_신규단산" xfId="7994"/>
    <cellStyle name="_U수량_강경읍염천리_배수공(7월30일)_변경내역" xfId="7995"/>
    <cellStyle name="_U수량_강경읍염천리_배수공(7월30일)_신규단가및표지" xfId="7996"/>
    <cellStyle name="_U수량_강경읍염천리_배수공(7월30일)_신규단산" xfId="7997"/>
    <cellStyle name="_U수량_강경읍염천리_배수공_배수공" xfId="7998"/>
    <cellStyle name="_U수량_강경읍염천리_배수공_배수공_변경내역" xfId="7999"/>
    <cellStyle name="_U수량_강경읍염천리_배수공_배수공_신규단가및표지" xfId="8000"/>
    <cellStyle name="_U수량_강경읍염천리_배수공_배수공_신규단산" xfId="8001"/>
    <cellStyle name="_U수량_강경읍염천리_배수공_변경내역" xfId="8002"/>
    <cellStyle name="_U수량_강경읍염천리_배수공_신규단가및표지" xfId="8003"/>
    <cellStyle name="_U수량_강경읍염천리_배수공_신규단산" xfId="8004"/>
    <cellStyle name="_U수량_강경읍염천리_변경내역" xfId="8005"/>
    <cellStyle name="_U수량_강경읍염천리_신규단가및표지" xfId="8006"/>
    <cellStyle name="_U수량_강경읍염천리_신규단산" xfId="8007"/>
    <cellStyle name="_U수량_공설시장내" xfId="8008"/>
    <cellStyle name="_U수량_공설시장내_01.토공-월암교차로" xfId="8009"/>
    <cellStyle name="_U수량_공설시장내_01.토공-월암교차로_깨기수량샘플1" xfId="8010"/>
    <cellStyle name="_U수량_공설시장내_01.토공-월암교차로_깨기수량샘플1_변경내역" xfId="8011"/>
    <cellStyle name="_U수량_공설시장내_01.토공-월암교차로_깨기수량샘플1_신규단가및표지" xfId="8012"/>
    <cellStyle name="_U수량_공설시장내_01.토공-월암교차로_깨기수량샘플1_신규단산" xfId="8013"/>
    <cellStyle name="_U수량_공설시장내_01.토공-월암교차로_변경내역" xfId="8014"/>
    <cellStyle name="_U수량_공설시장내_01.토공-월암교차로_신규단가및표지" xfId="8015"/>
    <cellStyle name="_U수량_공설시장내_01.토공-월암교차로_신규단산" xfId="8016"/>
    <cellStyle name="_U수량_공설시장내_02.배수공" xfId="8017"/>
    <cellStyle name="_U수량_공설시장내_02.배수공_변경내역" xfId="8018"/>
    <cellStyle name="_U수량_공설시장내_02.배수공_신규단가및표지" xfId="8019"/>
    <cellStyle name="_U수량_공설시장내_02.배수공_신규단산" xfId="8020"/>
    <cellStyle name="_U수량_공설시장내_깨기수량(38호선)" xfId="8021"/>
    <cellStyle name="_U수량_공설시장내_깨기수량(38호선)_깨기수량샘플1" xfId="8022"/>
    <cellStyle name="_U수량_공설시장내_깨기수량(38호선)_깨기수량샘플1_변경내역" xfId="8023"/>
    <cellStyle name="_U수량_공설시장내_깨기수량(38호선)_깨기수량샘플1_신규단가및표지" xfId="8024"/>
    <cellStyle name="_U수량_공설시장내_깨기수량(38호선)_깨기수량샘플1_신규단산" xfId="8025"/>
    <cellStyle name="_U수량_공설시장내_깨기수량(38호선)_변경내역" xfId="8026"/>
    <cellStyle name="_U수량_공설시장내_깨기수량(38호선)_신규단가및표지" xfId="8027"/>
    <cellStyle name="_U수량_공설시장내_깨기수량(38호선)_신규단산" xfId="8028"/>
    <cellStyle name="_U수량_공설시장내_대야포장공" xfId="8029"/>
    <cellStyle name="_U수량_공설시장내_대야포장공_01.토공-월암교차로" xfId="8030"/>
    <cellStyle name="_U수량_공설시장내_대야포장공_01.토공-월암교차로_깨기수량샘플1" xfId="8031"/>
    <cellStyle name="_U수량_공설시장내_대야포장공_01.토공-월암교차로_깨기수량샘플1_변경내역" xfId="8032"/>
    <cellStyle name="_U수량_공설시장내_대야포장공_01.토공-월암교차로_깨기수량샘플1_신규단가및표지" xfId="8033"/>
    <cellStyle name="_U수량_공설시장내_대야포장공_01.토공-월암교차로_깨기수량샘플1_신규단산" xfId="8034"/>
    <cellStyle name="_U수량_공설시장내_대야포장공_01.토공-월암교차로_변경내역" xfId="8035"/>
    <cellStyle name="_U수량_공설시장내_대야포장공_01.토공-월암교차로_신규단가및표지" xfId="8036"/>
    <cellStyle name="_U수량_공설시장내_대야포장공_01.토공-월암교차로_신규단산" xfId="8037"/>
    <cellStyle name="_U수량_공설시장내_대야포장공_02.배수공" xfId="8038"/>
    <cellStyle name="_U수량_공설시장내_대야포장공_02.배수공_변경내역" xfId="8039"/>
    <cellStyle name="_U수량_공설시장내_대야포장공_02.배수공_신규단가및표지" xfId="8040"/>
    <cellStyle name="_U수량_공설시장내_대야포장공_02.배수공_신규단산" xfId="8041"/>
    <cellStyle name="_U수량_공설시장내_대야포장공_깨기수량(38호선)" xfId="8042"/>
    <cellStyle name="_U수량_공설시장내_대야포장공_깨기수량(38호선)_깨기수량샘플1" xfId="8043"/>
    <cellStyle name="_U수량_공설시장내_대야포장공_깨기수량(38호선)_깨기수량샘플1_변경내역" xfId="8044"/>
    <cellStyle name="_U수량_공설시장내_대야포장공_깨기수량(38호선)_깨기수량샘플1_신규단가및표지" xfId="8045"/>
    <cellStyle name="_U수량_공설시장내_대야포장공_깨기수량(38호선)_깨기수량샘플1_신규단산" xfId="8046"/>
    <cellStyle name="_U수량_공설시장내_대야포장공_깨기수량(38호선)_변경내역" xfId="8047"/>
    <cellStyle name="_U수량_공설시장내_대야포장공_깨기수량(38호선)_신규단가및표지" xfId="8048"/>
    <cellStyle name="_U수량_공설시장내_대야포장공_깨기수량(38호선)_신규단산" xfId="8049"/>
    <cellStyle name="_U수량_공설시장내_대야포장공_배수공" xfId="8050"/>
    <cellStyle name="_U수량_공설시장내_대야포장공_배수공(7월30일)" xfId="8051"/>
    <cellStyle name="_U수량_공설시장내_대야포장공_배수공(7월30일)_깨기수량샘플1" xfId="8052"/>
    <cellStyle name="_U수량_공설시장내_대야포장공_배수공(7월30일)_깨기수량샘플1_변경내역" xfId="8053"/>
    <cellStyle name="_U수량_공설시장내_대야포장공_배수공(7월30일)_깨기수량샘플1_신규단가및표지" xfId="8054"/>
    <cellStyle name="_U수량_공설시장내_대야포장공_배수공(7월30일)_깨기수량샘플1_신규단산" xfId="8055"/>
    <cellStyle name="_U수량_공설시장내_대야포장공_배수공(7월30일)_변경내역" xfId="8056"/>
    <cellStyle name="_U수량_공설시장내_대야포장공_배수공(7월30일)_신규단가및표지" xfId="8057"/>
    <cellStyle name="_U수량_공설시장내_대야포장공_배수공(7월30일)_신규단산" xfId="8058"/>
    <cellStyle name="_U수량_공설시장내_대야포장공_배수공_배수공" xfId="8059"/>
    <cellStyle name="_U수량_공설시장내_대야포장공_배수공_배수공_변경내역" xfId="8060"/>
    <cellStyle name="_U수량_공설시장내_대야포장공_배수공_배수공_신규단가및표지" xfId="8061"/>
    <cellStyle name="_U수량_공설시장내_대야포장공_배수공_배수공_신규단산" xfId="8062"/>
    <cellStyle name="_U수량_공설시장내_대야포장공_배수공_변경내역" xfId="8063"/>
    <cellStyle name="_U수량_공설시장내_대야포장공_배수공_신규단가및표지" xfId="8064"/>
    <cellStyle name="_U수량_공설시장내_대야포장공_배수공_신규단산" xfId="8065"/>
    <cellStyle name="_U수량_공설시장내_대야포장공_변경내역" xfId="8066"/>
    <cellStyle name="_U수량_공설시장내_대야포장공_신규단가및표지" xfId="8067"/>
    <cellStyle name="_U수량_공설시장내_대야포장공_신규단산" xfId="8068"/>
    <cellStyle name="_U수량_공설시장내_배수공" xfId="8069"/>
    <cellStyle name="_U수량_공설시장내_배수공(7월30일)" xfId="8070"/>
    <cellStyle name="_U수량_공설시장내_배수공(7월30일)_깨기수량샘플1" xfId="8071"/>
    <cellStyle name="_U수량_공설시장내_배수공(7월30일)_깨기수량샘플1_변경내역" xfId="8072"/>
    <cellStyle name="_U수량_공설시장내_배수공(7월30일)_깨기수량샘플1_신규단가및표지" xfId="8073"/>
    <cellStyle name="_U수량_공설시장내_배수공(7월30일)_깨기수량샘플1_신규단산" xfId="8074"/>
    <cellStyle name="_U수량_공설시장내_배수공(7월30일)_변경내역" xfId="8075"/>
    <cellStyle name="_U수량_공설시장내_배수공(7월30일)_신규단가및표지" xfId="8076"/>
    <cellStyle name="_U수량_공설시장내_배수공(7월30일)_신규단산" xfId="8077"/>
    <cellStyle name="_U수량_공설시장내_배수공_배수공" xfId="8078"/>
    <cellStyle name="_U수량_공설시장내_배수공_배수공_변경내역" xfId="8079"/>
    <cellStyle name="_U수량_공설시장내_배수공_배수공_신규단가및표지" xfId="8080"/>
    <cellStyle name="_U수량_공설시장내_배수공_배수공_신규단산" xfId="8081"/>
    <cellStyle name="_U수량_공설시장내_배수공_변경내역" xfId="8082"/>
    <cellStyle name="_U수량_공설시장내_배수공_신규단가및표지" xfId="8083"/>
    <cellStyle name="_U수량_공설시장내_배수공_신규단산" xfId="8084"/>
    <cellStyle name="_U수량_공설시장내_변경내역" xfId="8085"/>
    <cellStyle name="_U수량_공설시장내_신규단가및표지" xfId="8086"/>
    <cellStyle name="_U수량_공설시장내_신규단산" xfId="8087"/>
    <cellStyle name="_U수량_깨기수량(38호선)" xfId="8088"/>
    <cellStyle name="_U수량_깨기수량(38호선)_깨기수량샘플1" xfId="8089"/>
    <cellStyle name="_U수량_깨기수량(38호선)_깨기수량샘플1_변경내역" xfId="8090"/>
    <cellStyle name="_U수량_깨기수량(38호선)_깨기수량샘플1_신규단가및표지" xfId="8091"/>
    <cellStyle name="_U수량_깨기수량(38호선)_깨기수량샘플1_신규단산" xfId="8092"/>
    <cellStyle name="_U수량_깨기수량(38호선)_변경내역" xfId="8093"/>
    <cellStyle name="_U수량_깨기수량(38호선)_신규단가및표지" xfId="8094"/>
    <cellStyle name="_U수량_깨기수량(38호선)_신규단산" xfId="8095"/>
    <cellStyle name="_U수량_대야포장공" xfId="8096"/>
    <cellStyle name="_U수량_대야포장공_01.토공-월암교차로" xfId="8097"/>
    <cellStyle name="_U수량_대야포장공_01.토공-월암교차로_깨기수량샘플1" xfId="8098"/>
    <cellStyle name="_U수량_대야포장공_01.토공-월암교차로_깨기수량샘플1_변경내역" xfId="8099"/>
    <cellStyle name="_U수량_대야포장공_01.토공-월암교차로_깨기수량샘플1_신규단가및표지" xfId="8100"/>
    <cellStyle name="_U수량_대야포장공_01.토공-월암교차로_깨기수량샘플1_신규단산" xfId="8101"/>
    <cellStyle name="_U수량_대야포장공_01.토공-월암교차로_변경내역" xfId="8102"/>
    <cellStyle name="_U수량_대야포장공_01.토공-월암교차로_신규단가및표지" xfId="8103"/>
    <cellStyle name="_U수량_대야포장공_01.토공-월암교차로_신규단산" xfId="8104"/>
    <cellStyle name="_U수량_대야포장공_02.배수공" xfId="8105"/>
    <cellStyle name="_U수량_대야포장공_02.배수공_변경내역" xfId="8106"/>
    <cellStyle name="_U수량_대야포장공_02.배수공_신규단가및표지" xfId="8107"/>
    <cellStyle name="_U수량_대야포장공_02.배수공_신규단산" xfId="8108"/>
    <cellStyle name="_U수량_대야포장공_깨기수량(38호선)" xfId="8109"/>
    <cellStyle name="_U수량_대야포장공_깨기수량(38호선)_깨기수량샘플1" xfId="8110"/>
    <cellStyle name="_U수량_대야포장공_깨기수량(38호선)_깨기수량샘플1_변경내역" xfId="8111"/>
    <cellStyle name="_U수량_대야포장공_깨기수량(38호선)_깨기수량샘플1_신규단가및표지" xfId="8112"/>
    <cellStyle name="_U수량_대야포장공_깨기수량(38호선)_깨기수량샘플1_신규단산" xfId="8113"/>
    <cellStyle name="_U수량_대야포장공_깨기수량(38호선)_변경내역" xfId="8114"/>
    <cellStyle name="_U수량_대야포장공_깨기수량(38호선)_신규단가및표지" xfId="8115"/>
    <cellStyle name="_U수량_대야포장공_깨기수량(38호선)_신규단산" xfId="8116"/>
    <cellStyle name="_U수량_대야포장공_배수공" xfId="8117"/>
    <cellStyle name="_U수량_대야포장공_배수공(7월30일)" xfId="8118"/>
    <cellStyle name="_U수량_대야포장공_배수공(7월30일)_깨기수량샘플1" xfId="8119"/>
    <cellStyle name="_U수량_대야포장공_배수공(7월30일)_깨기수량샘플1_변경내역" xfId="8120"/>
    <cellStyle name="_U수량_대야포장공_배수공(7월30일)_깨기수량샘플1_신규단가및표지" xfId="8121"/>
    <cellStyle name="_U수량_대야포장공_배수공(7월30일)_깨기수량샘플1_신규단산" xfId="8122"/>
    <cellStyle name="_U수량_대야포장공_배수공(7월30일)_변경내역" xfId="8123"/>
    <cellStyle name="_U수량_대야포장공_배수공(7월30일)_신규단가및표지" xfId="8124"/>
    <cellStyle name="_U수량_대야포장공_배수공(7월30일)_신규단산" xfId="8125"/>
    <cellStyle name="_U수량_대야포장공_배수공_배수공" xfId="8126"/>
    <cellStyle name="_U수량_대야포장공_배수공_배수공_변경내역" xfId="8127"/>
    <cellStyle name="_U수량_대야포장공_배수공_배수공_신규단가및표지" xfId="8128"/>
    <cellStyle name="_U수량_대야포장공_배수공_배수공_신규단산" xfId="8129"/>
    <cellStyle name="_U수량_대야포장공_배수공_변경내역" xfId="8130"/>
    <cellStyle name="_U수량_대야포장공_배수공_신규단가및표지" xfId="8131"/>
    <cellStyle name="_U수량_대야포장공_배수공_신규단산" xfId="8132"/>
    <cellStyle name="_U수량_대야포장공_변경내역" xfId="8133"/>
    <cellStyle name="_U수량_대야포장공_신규단가및표지" xfId="8134"/>
    <cellStyle name="_U수량_대야포장공_신규단산" xfId="8135"/>
    <cellStyle name="_U수량_배수공" xfId="8136"/>
    <cellStyle name="_U수량_배수공(7월30일)" xfId="8137"/>
    <cellStyle name="_U수량_배수공(7월30일)_깨기수량샘플1" xfId="8138"/>
    <cellStyle name="_U수량_배수공(7월30일)_깨기수량샘플1_변경내역" xfId="8139"/>
    <cellStyle name="_U수량_배수공(7월30일)_깨기수량샘플1_신규단가및표지" xfId="8140"/>
    <cellStyle name="_U수량_배수공(7월30일)_깨기수량샘플1_신규단산" xfId="8141"/>
    <cellStyle name="_U수량_배수공(7월30일)_변경내역" xfId="8142"/>
    <cellStyle name="_U수량_배수공(7월30일)_신규단가및표지" xfId="8143"/>
    <cellStyle name="_U수량_배수공(7월30일)_신규단산" xfId="8144"/>
    <cellStyle name="_U수량_배수공_배수공" xfId="8145"/>
    <cellStyle name="_U수량_배수공_배수공_변경내역" xfId="8146"/>
    <cellStyle name="_U수량_배수공_배수공_신규단가및표지" xfId="8147"/>
    <cellStyle name="_U수량_배수공_배수공_신규단산" xfId="8148"/>
    <cellStyle name="_U수량_배수공_변경내역" xfId="8149"/>
    <cellStyle name="_U수량_배수공_신규단가및표지" xfId="8150"/>
    <cellStyle name="_U수량_배수공_신규단산" xfId="8151"/>
    <cellStyle name="_U수량_변경내역" xfId="8152"/>
    <cellStyle name="_U수량_신규단가및표지" xfId="8153"/>
    <cellStyle name="_U수량_신규단산" xfId="8154"/>
    <cellStyle name="_U수량_취암sample" xfId="8155"/>
    <cellStyle name="_U수량_취암sample_01.토공-월암교차로" xfId="8156"/>
    <cellStyle name="_U수량_취암sample_01.토공-월암교차로_깨기수량샘플1" xfId="8157"/>
    <cellStyle name="_U수량_취암sample_01.토공-월암교차로_깨기수량샘플1_변경내역" xfId="8158"/>
    <cellStyle name="_U수량_취암sample_01.토공-월암교차로_깨기수량샘플1_신규단가및표지" xfId="8159"/>
    <cellStyle name="_U수량_취암sample_01.토공-월암교차로_깨기수량샘플1_신규단산" xfId="8160"/>
    <cellStyle name="_U수량_취암sample_01.토공-월암교차로_변경내역" xfId="8161"/>
    <cellStyle name="_U수량_취암sample_01.토공-월암교차로_신규단가및표지" xfId="8162"/>
    <cellStyle name="_U수량_취암sample_01.토공-월암교차로_신규단산" xfId="8163"/>
    <cellStyle name="_U수량_취암sample_02.배수공" xfId="8164"/>
    <cellStyle name="_U수량_취암sample_02.배수공_변경내역" xfId="8165"/>
    <cellStyle name="_U수량_취암sample_02.배수공_신규단가및표지" xfId="8166"/>
    <cellStyle name="_U수량_취암sample_02.배수공_신규단산" xfId="8167"/>
    <cellStyle name="_U수량_취암sample_깨기수량(38호선)" xfId="8168"/>
    <cellStyle name="_U수량_취암sample_깨기수량(38호선)_깨기수량샘플1" xfId="8169"/>
    <cellStyle name="_U수량_취암sample_깨기수량(38호선)_깨기수량샘플1_변경내역" xfId="8170"/>
    <cellStyle name="_U수량_취암sample_깨기수량(38호선)_깨기수량샘플1_신규단가및표지" xfId="8171"/>
    <cellStyle name="_U수량_취암sample_깨기수량(38호선)_깨기수량샘플1_신규단산" xfId="8172"/>
    <cellStyle name="_U수량_취암sample_깨기수량(38호선)_변경내역" xfId="8173"/>
    <cellStyle name="_U수량_취암sample_깨기수량(38호선)_신규단가및표지" xfId="8174"/>
    <cellStyle name="_U수량_취암sample_깨기수량(38호선)_신규단산" xfId="8175"/>
    <cellStyle name="_U수량_취암sample_대야포장공" xfId="8176"/>
    <cellStyle name="_U수량_취암sample_대야포장공_01.토공-월암교차로" xfId="8177"/>
    <cellStyle name="_U수량_취암sample_대야포장공_01.토공-월암교차로_깨기수량샘플1" xfId="8178"/>
    <cellStyle name="_U수량_취암sample_대야포장공_01.토공-월암교차로_깨기수량샘플1_변경내역" xfId="8179"/>
    <cellStyle name="_U수량_취암sample_대야포장공_01.토공-월암교차로_깨기수량샘플1_신규단가및표지" xfId="8180"/>
    <cellStyle name="_U수량_취암sample_대야포장공_01.토공-월암교차로_깨기수량샘플1_신규단산" xfId="8181"/>
    <cellStyle name="_U수량_취암sample_대야포장공_01.토공-월암교차로_변경내역" xfId="8182"/>
    <cellStyle name="_U수량_취암sample_대야포장공_01.토공-월암교차로_신규단가및표지" xfId="8183"/>
    <cellStyle name="_U수량_취암sample_대야포장공_01.토공-월암교차로_신규단산" xfId="8184"/>
    <cellStyle name="_U수량_취암sample_대야포장공_02.배수공" xfId="8185"/>
    <cellStyle name="_U수량_취암sample_대야포장공_02.배수공_변경내역" xfId="8186"/>
    <cellStyle name="_U수량_취암sample_대야포장공_02.배수공_신규단가및표지" xfId="8187"/>
    <cellStyle name="_U수량_취암sample_대야포장공_02.배수공_신규단산" xfId="8188"/>
    <cellStyle name="_U수량_취암sample_대야포장공_깨기수량(38호선)" xfId="8189"/>
    <cellStyle name="_U수량_취암sample_대야포장공_깨기수량(38호선)_깨기수량샘플1" xfId="8190"/>
    <cellStyle name="_U수량_취암sample_대야포장공_깨기수량(38호선)_깨기수량샘플1_변경내역" xfId="8191"/>
    <cellStyle name="_U수량_취암sample_대야포장공_깨기수량(38호선)_깨기수량샘플1_신규단가및표지" xfId="8192"/>
    <cellStyle name="_U수량_취암sample_대야포장공_깨기수량(38호선)_깨기수량샘플1_신규단산" xfId="8193"/>
    <cellStyle name="_U수량_취암sample_대야포장공_깨기수량(38호선)_변경내역" xfId="8194"/>
    <cellStyle name="_U수량_취암sample_대야포장공_깨기수량(38호선)_신규단가및표지" xfId="8195"/>
    <cellStyle name="_U수량_취암sample_대야포장공_깨기수량(38호선)_신규단산" xfId="8196"/>
    <cellStyle name="_U수량_취암sample_대야포장공_배수공" xfId="8197"/>
    <cellStyle name="_U수량_취암sample_대야포장공_배수공(7월30일)" xfId="8198"/>
    <cellStyle name="_U수량_취암sample_대야포장공_배수공(7월30일)_깨기수량샘플1" xfId="8199"/>
    <cellStyle name="_U수량_취암sample_대야포장공_배수공(7월30일)_깨기수량샘플1_변경내역" xfId="8200"/>
    <cellStyle name="_U수량_취암sample_대야포장공_배수공(7월30일)_깨기수량샘플1_신규단가및표지" xfId="8201"/>
    <cellStyle name="_U수량_취암sample_대야포장공_배수공(7월30일)_깨기수량샘플1_신규단산" xfId="8202"/>
    <cellStyle name="_U수량_취암sample_대야포장공_배수공(7월30일)_변경내역" xfId="8203"/>
    <cellStyle name="_U수량_취암sample_대야포장공_배수공(7월30일)_신규단가및표지" xfId="8204"/>
    <cellStyle name="_U수량_취암sample_대야포장공_배수공(7월30일)_신규단산" xfId="8205"/>
    <cellStyle name="_U수량_취암sample_대야포장공_배수공_배수공" xfId="8206"/>
    <cellStyle name="_U수량_취암sample_대야포장공_배수공_배수공_변경내역" xfId="8207"/>
    <cellStyle name="_U수량_취암sample_대야포장공_배수공_배수공_신규단가및표지" xfId="8208"/>
    <cellStyle name="_U수량_취암sample_대야포장공_배수공_배수공_신규단산" xfId="8209"/>
    <cellStyle name="_U수량_취암sample_대야포장공_배수공_변경내역" xfId="8210"/>
    <cellStyle name="_U수량_취암sample_대야포장공_배수공_신규단가및표지" xfId="8211"/>
    <cellStyle name="_U수량_취암sample_대야포장공_배수공_신규단산" xfId="8212"/>
    <cellStyle name="_U수량_취암sample_대야포장공_변경내역" xfId="8213"/>
    <cellStyle name="_U수량_취암sample_대야포장공_신규단가및표지" xfId="8214"/>
    <cellStyle name="_U수량_취암sample_대야포장공_신규단산" xfId="8215"/>
    <cellStyle name="_U수량_취암sample_배수공" xfId="8216"/>
    <cellStyle name="_U수량_취암sample_배수공(7월30일)" xfId="8217"/>
    <cellStyle name="_U수량_취암sample_배수공(7월30일)_깨기수량샘플1" xfId="8218"/>
    <cellStyle name="_U수량_취암sample_배수공(7월30일)_깨기수량샘플1_변경내역" xfId="8219"/>
    <cellStyle name="_U수량_취암sample_배수공(7월30일)_깨기수량샘플1_신규단가및표지" xfId="8220"/>
    <cellStyle name="_U수량_취암sample_배수공(7월30일)_깨기수량샘플1_신규단산" xfId="8221"/>
    <cellStyle name="_U수량_취암sample_배수공(7월30일)_변경내역" xfId="8222"/>
    <cellStyle name="_U수량_취암sample_배수공(7월30일)_신규단가및표지" xfId="8223"/>
    <cellStyle name="_U수량_취암sample_배수공(7월30일)_신규단산" xfId="8224"/>
    <cellStyle name="_U수량_취암sample_배수공_배수공" xfId="8225"/>
    <cellStyle name="_U수량_취암sample_배수공_배수공_변경내역" xfId="8226"/>
    <cellStyle name="_U수량_취암sample_배수공_배수공_신규단가및표지" xfId="8227"/>
    <cellStyle name="_U수량_취암sample_배수공_배수공_신규단산" xfId="8228"/>
    <cellStyle name="_U수량_취암sample_배수공_변경내역" xfId="8229"/>
    <cellStyle name="_U수량_취암sample_배수공_신규단가및표지" xfId="8230"/>
    <cellStyle name="_U수량_취암sample_배수공_신규단산" xfId="8231"/>
    <cellStyle name="_U수량_취암sample_변경내역" xfId="8232"/>
    <cellStyle name="_U수량_취암sample_신규단가및표지" xfId="8233"/>
    <cellStyle name="_U수량_취암sample_신규단산" xfId="8234"/>
    <cellStyle name="_U형측구" xfId="8235"/>
    <cellStyle name="_V2_봉화군_UPIS품셈(안)_설계내역서_이력관리_77천_최종" xfId="573"/>
    <cellStyle name="_V4_upis_서버및엔지_070529" xfId="574"/>
    <cellStyle name="_VMS내역서" xfId="12539"/>
    <cellStyle name="_WebGIS기능_본수_데이터(ver1.0)" xfId="575"/>
    <cellStyle name="_White-HMS 프로그램 목록(2007.04.05)" xfId="8236"/>
    <cellStyle name="_WS(0404)" xfId="8237"/>
    <cellStyle name="_WWW게임방" xfId="8238"/>
    <cellStyle name="_X" xfId="8239"/>
    <cellStyle name="_Y08925_대한지적공사_한국DB센터_TAS_견적서v1 0-001" xfId="8240"/>
    <cellStyle name="_Y-Project(최종)" xfId="8241"/>
    <cellStyle name="_Y-Project(최종)_창구즉시발급시스템견적서_070820(최종)" xfId="8242"/>
    <cellStyle name="_Y--PROJECT_물량산출서-0306" xfId="8243"/>
    <cellStyle name="_가격산출내역서_93" xfId="576"/>
    <cellStyle name="_가고리" xfId="577"/>
    <cellStyle name="_가공신청표준" xfId="8244"/>
    <cellStyle name="_가로등+점검등산출" xfId="12540"/>
    <cellStyle name="_가물막이수량" xfId="8245"/>
    <cellStyle name="_가산국사 ~ 목련아파트(완료)" xfId="8246"/>
    <cellStyle name="_가양-화곡내역(일위대가)" xfId="8247"/>
    <cellStyle name="_가양-화곡내역(일위대가)_5옹벽공" xfId="8248"/>
    <cellStyle name="_가양-화곡내역(일위대가)_5옹벽공_개봉TL수량산출서-1" xfId="8249"/>
    <cellStyle name="_가양-화곡내역(일위대가)_가양-화곡내역(토형100M)" xfId="8250"/>
    <cellStyle name="_가양-화곡내역(일위대가)_가양-화곡내역(토형100M)_5옹벽공" xfId="8251"/>
    <cellStyle name="_가양-화곡내역(일위대가)_가양-화곡내역(토형100M)_5옹벽공_개봉TL수량산출서-1" xfId="8252"/>
    <cellStyle name="_가양-화곡내역(일위대가)_가양-화곡내역(토형100M)_개봉TL수량산출서-1" xfId="8253"/>
    <cellStyle name="_가양-화곡내역(일위대가)_가양-화곡내역(토형100M)_수량산출" xfId="8254"/>
    <cellStyle name="_가양-화곡내역(일위대가)_가양-화곡내역(토형100M)_수량산출_5옹벽공" xfId="8255"/>
    <cellStyle name="_가양-화곡내역(일위대가)_가양-화곡내역(토형100M)_수량산출_5옹벽공_개봉TL수량산출서-1" xfId="8256"/>
    <cellStyle name="_가양-화곡내역(일위대가)_가양-화곡내역(토형100M)_수량산출_개봉TL수량산출서-1" xfId="8257"/>
    <cellStyle name="_가양-화곡내역(일위대가)_가양-화곡내역(토형100M)_수량산출_옹벽공" xfId="8258"/>
    <cellStyle name="_가양-화곡내역(일위대가)_가양-화곡내역(토형100M)_수량산출_옹벽공_개봉TL수량산출서-1" xfId="8259"/>
    <cellStyle name="_가양-화곡내역(일위대가)_가양-화곡내역(토형100M)_수량산출_옹벽수량" xfId="8260"/>
    <cellStyle name="_가양-화곡내역(일위대가)_가양-화곡내역(토형100M)_수량산출_옹벽수량_개봉TL수량산출서-1" xfId="8261"/>
    <cellStyle name="_가양-화곡내역(일위대가)_가양-화곡내역(토형100M)_옹벽공" xfId="8262"/>
    <cellStyle name="_가양-화곡내역(일위대가)_가양-화곡내역(토형100M)_옹벽공_개봉TL수량산출서-1" xfId="8263"/>
    <cellStyle name="_가양-화곡내역(일위대가)_가양-화곡내역(토형100M)_옹벽수량" xfId="8264"/>
    <cellStyle name="_가양-화곡내역(일위대가)_가양-화곡내역(토형100M)_옹벽수량_개봉TL수량산출서-1" xfId="8265"/>
    <cellStyle name="_가양-화곡내역(일위대가)_개봉TL수량산출서-1" xfId="8266"/>
    <cellStyle name="_가양-화곡내역(일위대가)_옹벽공" xfId="8267"/>
    <cellStyle name="_가양-화곡내역(일위대가)_옹벽공_개봉TL수량산출서-1" xfId="8268"/>
    <cellStyle name="_가양-화곡내역(일위대가)_옹벽수량" xfId="8269"/>
    <cellStyle name="_가양-화곡내역(일위대가)_옹벽수량_개봉TL수량산출서-1" xfId="8270"/>
    <cellStyle name="_가양-화곡내역(토형100M)" xfId="8271"/>
    <cellStyle name="_가양-화곡내역(토형100M)_5옹벽공" xfId="8272"/>
    <cellStyle name="_가양-화곡내역(토형100M)_5옹벽공_개봉TL수량산출서-1" xfId="8273"/>
    <cellStyle name="_가양-화곡내역(토형100M)_개봉TL수량산출서-1" xfId="8274"/>
    <cellStyle name="_가양-화곡내역(토형100M)_수량산출" xfId="8275"/>
    <cellStyle name="_가양-화곡내역(토형100M)_수량산출_5옹벽공" xfId="8276"/>
    <cellStyle name="_가양-화곡내역(토형100M)_수량산출_5옹벽공_개봉TL수량산출서-1" xfId="8277"/>
    <cellStyle name="_가양-화곡내역(토형100M)_수량산출_개봉TL수량산출서-1" xfId="8278"/>
    <cellStyle name="_가양-화곡내역(토형100M)_수량산출_옹벽공" xfId="8279"/>
    <cellStyle name="_가양-화곡내역(토형100M)_수량산출_옹벽공_개봉TL수량산출서-1" xfId="8280"/>
    <cellStyle name="_가양-화곡내역(토형100M)_수량산출_옹벽수량" xfId="8281"/>
    <cellStyle name="_가양-화곡내역(토형100M)_수량산출_옹벽수량_개봉TL수량산출서-1" xfId="8282"/>
    <cellStyle name="_가양-화곡내역(토형100M)_옹벽공" xfId="8283"/>
    <cellStyle name="_가양-화곡내역(토형100M)_옹벽공_개봉TL수량산출서-1" xfId="8284"/>
    <cellStyle name="_가양-화곡내역(토형100M)_옹벽수량" xfId="8285"/>
    <cellStyle name="_가양-화곡내역(토형100M)_옹벽수량_개봉TL수량산출서-1" xfId="8286"/>
    <cellStyle name="_가은배수공사" xfId="8287"/>
    <cellStyle name="_가천지방산단-사전&amp;평가" xfId="578"/>
    <cellStyle name="_간성~명파리" xfId="8288"/>
    <cellStyle name="_간지(횡)" xfId="8289"/>
    <cellStyle name="_간지,목차,페이지,표지" xfId="8290"/>
    <cellStyle name="_감가상각(01년도) (2)" xfId="8291"/>
    <cellStyle name="_감가상각(01년도) (3)" xfId="8292"/>
    <cellStyle name="_갑지(1221)" xfId="8293"/>
    <cellStyle name="_갑지(총)" xfId="8294"/>
    <cellStyle name="_갑지양식" xfId="12541"/>
    <cellStyle name="_강과장(Fronnix,설계가1126)" xfId="8295"/>
    <cellStyle name="_강구구상_내역서" xfId="579"/>
    <cellStyle name="_강남대_네트웍_컴스(시스코쓰리콤견적)" xfId="580"/>
    <cellStyle name="_강내 인도설치1" xfId="581"/>
    <cellStyle name="_강내 인도설치1_01.설계내역2" xfId="582"/>
    <cellStyle name="_강내 인도설치1_제2종지구단위계획_선바위관광지" xfId="583"/>
    <cellStyle name="_강내 인도설치1_제2종지구단위계획_선바위관광지_20090609_영덕농공단지내역서" xfId="584"/>
    <cellStyle name="_강내 인도설치1_제2종지구단위계획_선바위관광지_총괄내역서(090223)" xfId="585"/>
    <cellStyle name="_강내 인도설치1_총괄내역서_도시관리계획결정(070907)_계약" xfId="586"/>
    <cellStyle name="_강내 인도설치1_총괄내역서_타당성조사및도시관리계획결정(090115)" xfId="587"/>
    <cellStyle name="_강내 인도설치1_총괄내역서_타당성조사및도시관리계획결정(090115)_20090609_영덕농공단지내역서" xfId="588"/>
    <cellStyle name="_강내 인도설치1_총괄내역서_타당성조사및도시관리계획결정(090115)_총괄내역서(090223)" xfId="589"/>
    <cellStyle name="_강릉e-mart" xfId="12542"/>
    <cellStyle name="_강릉대학술정보지원센터총괄(월드2낙찰)" xfId="590"/>
    <cellStyle name="_강릉조달청-완료" xfId="8296"/>
    <cellStyle name="_강명산익" xfId="591"/>
    <cellStyle name="_강산FRP" xfId="8297"/>
    <cellStyle name="_강원도 정책결정지원 인트라넷 구축사업_내역서" xfId="8298"/>
    <cellStyle name="_강촌간56-72호" xfId="8299"/>
    <cellStyle name="_개  거" xfId="592"/>
    <cellStyle name="_개  거_04포장공" xfId="8300"/>
    <cellStyle name="_개  거_3.구조물공" xfId="8301"/>
    <cellStyle name="_개  거_3.구조물공_04포장공" xfId="8302"/>
    <cellStyle name="_개  거_3.구조물공_3.구조물공" xfId="8303"/>
    <cellStyle name="_개  거_3.구조물공_3.구조물공_04포장공" xfId="8304"/>
    <cellStyle name="_개  거_3.구조물공_3.물공" xfId="8305"/>
    <cellStyle name="_개  거_3.구조물공_3.물공_04포장공" xfId="8306"/>
    <cellStyle name="_개  거_3.구조물공_보수량집계(우근)" xfId="8307"/>
    <cellStyle name="_개  거_3.구조물공_보수량집계(우근)_04포장공" xfId="8308"/>
    <cellStyle name="_개  거_3.구조물공_석축" xfId="8309"/>
    <cellStyle name="_개  거_3.구조물공_석축_04포장공" xfId="8310"/>
    <cellStyle name="_개  거_두릉1제 수량산출서" xfId="593"/>
    <cellStyle name="_개  거_배수구조물공" xfId="8311"/>
    <cellStyle name="_개  거_배수구조물공_04포장공" xfId="8312"/>
    <cellStyle name="_개  거_배수구조물공_3.구조물공" xfId="8313"/>
    <cellStyle name="_개  거_배수구조물공_3.구조물공_04포장공" xfId="8314"/>
    <cellStyle name="_개  거_배수구조물공_3.구조물공_3.구조물공" xfId="8315"/>
    <cellStyle name="_개  거_배수구조물공_3.구조물공_3.구조물공_04포장공" xfId="8316"/>
    <cellStyle name="_개  거_배수구조물공_3.구조물공_3.물공" xfId="8317"/>
    <cellStyle name="_개  거_배수구조물공_3.구조물공_3.물공_04포장공" xfId="8318"/>
    <cellStyle name="_개  거_배수구조물공_3.구조물공_보수량집계(우근)" xfId="8319"/>
    <cellStyle name="_개  거_배수구조물공_3.구조물공_보수량집계(우근)_04포장공" xfId="8320"/>
    <cellStyle name="_개  거_배수구조물공_3.구조물공_석축" xfId="8321"/>
    <cellStyle name="_개  거_배수구조물공_3.구조물공_석축_04포장공" xfId="8322"/>
    <cellStyle name="_개  거_우수집수정U형집계" xfId="8323"/>
    <cellStyle name="_개  거_우수집수정U형집계_04포장공" xfId="8324"/>
    <cellStyle name="_개  거_우수집수정U형집계_3.구조물공" xfId="8325"/>
    <cellStyle name="_개  거_우수집수정U형집계_3.구조물공_04포장공" xfId="8326"/>
    <cellStyle name="_개  거_우수집수정U형집계_3.구조물공_3.구조물공" xfId="8327"/>
    <cellStyle name="_개  거_우수집수정U형집계_3.구조물공_3.구조물공_04포장공" xfId="8328"/>
    <cellStyle name="_개  거_우수집수정U형집계_3.구조물공_3.물공" xfId="8329"/>
    <cellStyle name="_개  거_우수집수정U형집계_3.구조물공_3.물공_04포장공" xfId="8330"/>
    <cellStyle name="_개  거_우수집수정U형집계_3.구조물공_보수량집계(우근)" xfId="8331"/>
    <cellStyle name="_개  거_우수집수정U형집계_3.구조물공_보수량집계(우근)_04포장공" xfId="8332"/>
    <cellStyle name="_개  거_우수집수정U형집계_3.구조물공_석축" xfId="8333"/>
    <cellStyle name="_개  거_우수집수정U형집계_3.구조물공_석축_04포장공" xfId="8334"/>
    <cellStyle name="_개  거_인계1공구 수량산출" xfId="594"/>
    <cellStyle name="_개  거_총자재집계표" xfId="595"/>
    <cellStyle name="_개  거_콘크리트포장공" xfId="8335"/>
    <cellStyle name="_개  거_콘크리트포장공_03포장공" xfId="8336"/>
    <cellStyle name="_개  거_콘크리트포장공_03포장공_04포장공" xfId="8337"/>
    <cellStyle name="_개  거_콘크리트포장공_04포장공" xfId="8338"/>
    <cellStyle name="_개  거_콘크리트포장공_14수량산출서" xfId="8339"/>
    <cellStyle name="_개  거_콘크리트포장공_14수량산출서_04포장공" xfId="8340"/>
    <cellStyle name="_개  거_콘크리트포장공_수량산출서" xfId="8341"/>
    <cellStyle name="_개거공사비" xfId="596"/>
    <cellStyle name="_개략공사비(최종)" xfId="8342"/>
    <cellStyle name="_개발계획 및 실시계획변경 내역서(검토보고서)" xfId="597"/>
    <cellStyle name="_개봉TL수량산출서-1" xfId="8343"/>
    <cellStyle name="_개요" xfId="598"/>
    <cellStyle name="_개통AS인력(2006_2007)01 " xfId="8344"/>
    <cellStyle name="_개통AS인력(2007)" xfId="8345"/>
    <cellStyle name="_개통AS인력(2007-2006) " xfId="8346"/>
    <cellStyle name="_갯벌생태공원 평가부문내역(REV01)" xfId="599"/>
    <cellStyle name="_거제도 명명식장 1차 가실행(20020718)" xfId="12543"/>
    <cellStyle name="_건국-견적통합" xfId="8347"/>
    <cellStyle name="_건국대학교 매체제작실 견적서 03.0929" xfId="600"/>
    <cellStyle name="_건축내역서(건축전기)" xfId="8348"/>
    <cellStyle name="_게다블럭" xfId="8349"/>
    <cellStyle name="_견적 051004-농림부-농림부안전관리(코오롱)" xfId="8350"/>
    <cellStyle name="_견적 제출 양식" xfId="8351"/>
    <cellStyle name="_견적 총괄표" xfId="8352"/>
    <cellStyle name="_견적_081017" xfId="8353"/>
    <cellStyle name="_견적_60_희소공동체_라듐50_신후랑" xfId="8354"/>
    <cellStyle name="_견적_검색엔진_한솔텔레컴_20070213" xfId="8355"/>
    <cellStyle name="_견적_솔루션_한솔텔레컴_20070202" xfId="8356"/>
    <cellStyle name="_견적_인프라_바이텍정보통신_20070202" xfId="8357"/>
    <cellStyle name="_견적_인프라_한솔텔레컴_20070202" xfId="8358"/>
    <cellStyle name="_견적-00321" xfId="8359"/>
    <cellStyle name="_견적-00321_01.20090507_설계내역서_1개소_2차로용_2개소_1차로용_원가산정_운암내부" xfId="8360"/>
    <cellStyle name="_견적-00422제출용" xfId="8361"/>
    <cellStyle name="_견적-00422제출용_01.20090507_설계내역서_1개소_2차로용_2개소_1차로용_원가산정_운암내부" xfId="8362"/>
    <cellStyle name="_견적21.11.16(신용리스크관리-Oracle,F4800)★" xfId="8363"/>
    <cellStyle name="_견적-NXG IPS 2000-데이터베이스진흥센타" xfId="8364"/>
    <cellStyle name="_견적결과" xfId="601"/>
    <cellStyle name="_견적결과_간이배수펌프장설치에 따른 타당성용역내역" xfId="602"/>
    <cellStyle name="_견적결과_선정안(삼산)" xfId="603"/>
    <cellStyle name="_견적결과_선정안(삼산)_간이배수펌프장설치에 따른 타당성용역내역" xfId="604"/>
    <cellStyle name="_견적결과_추풍령" xfId="605"/>
    <cellStyle name="_견적결과_추풍령_간이배수펌프장설치에 따른 타당성용역내역" xfId="606"/>
    <cellStyle name="_견적결과_추풍령-1" xfId="607"/>
    <cellStyle name="_견적결과_추풍령-1_간이배수펌프장설치에 따른 타당성용역내역" xfId="608"/>
    <cellStyle name="_견적결과보고서 양식(2002 09 04)" xfId="609"/>
    <cellStyle name="_견적상세-1" xfId="8365"/>
    <cellStyle name="_견적상세-2" xfId="8366"/>
    <cellStyle name="_견적상세-3" xfId="8367"/>
    <cellStyle name="_견적서" xfId="8368"/>
    <cellStyle name="_견적서 0528 교보생명 JuckBox" xfId="8369"/>
    <cellStyle name="_견적서 07-0220" xfId="8370"/>
    <cellStyle name="_견적서 07-0221" xfId="8371"/>
    <cellStyle name="_견적서 표준" xfId="8372"/>
    <cellStyle name="_견적서(1014)" xfId="8373"/>
    <cellStyle name="_견적서(STX)_050524" xfId="12544"/>
    <cellStyle name="_견적서(sun480V)040108-펜타시큐리티" xfId="8374"/>
    <cellStyle name="_견적서(랜장비R2)03(1).13" xfId="8375"/>
    <cellStyle name="_견적서(발송용-rp7410-원본)-20030318" xfId="8376"/>
    <cellStyle name="_견적서(서울도시개발공사, 이익창실장님  20051121)" xfId="8377"/>
    <cellStyle name="_견적서(송인정보) 07-0216" xfId="8378"/>
    <cellStyle name="_견적서(수신-서울여성-한국데이터베이스진흥센터(오라클버전 수정본))" xfId="8379"/>
    <cellStyle name="_견적서(에스비시스템) 07-0222" xfId="8380"/>
    <cellStyle name="_견적서(월성원자력발전소)_040504" xfId="8381"/>
    <cellStyle name="_견적서(이익창실장님, 기상청 20051101)" xfId="8382"/>
    <cellStyle name="_견적서(한국데이터베이스진흥센터) - 06 01" xfId="8383"/>
    <cellStyle name="_견적서_2006년 유지보수(대비)_20060306" xfId="8384"/>
    <cellStyle name="_견적서_SK네트웍스 2008 04 17" xfId="8385"/>
    <cellStyle name="_견적서_산자부G4B_한국데이터베이스진흥센터_(20070713)" xfId="8386"/>
    <cellStyle name="_견적서_수출보험공사 WLAN_071213" xfId="8387"/>
    <cellStyle name="_견적서_한강시민공원GIS_지노시스템_051207" xfId="12545"/>
    <cellStyle name="_견적서-00710" xfId="8388"/>
    <cellStyle name="_견적서4" xfId="8389"/>
    <cellStyle name="_견적서-G4B3차_한국데이터베이스진흥센터_20070716" xfId="8390"/>
    <cellStyle name="_견적서갑지양식" xfId="12546"/>
    <cellStyle name="_견적서-서의-040914" xfId="8391"/>
    <cellStyle name="_견적서양식" xfId="12547"/>
    <cellStyle name="_견적서-한국청소년상담원-x346-0323 닉스" xfId="8392"/>
    <cellStyle name="_견적요청_050412_sky" xfId="8393"/>
    <cellStyle name="_견적조건" xfId="610"/>
    <cellStyle name="_견적조건_간이배수펌프장설치에 따른 타당성용역내역" xfId="611"/>
    <cellStyle name="_견적조건_선정안(삼산)" xfId="612"/>
    <cellStyle name="_견적조건_선정안(삼산)_간이배수펌프장설치에 따른 타당성용역내역" xfId="613"/>
    <cellStyle name="_견적조건_추풍령" xfId="614"/>
    <cellStyle name="_견적조건_추풍령_간이배수펌프장설치에 따른 타당성용역내역" xfId="615"/>
    <cellStyle name="_견적조건_추풍령-1" xfId="616"/>
    <cellStyle name="_견적조건_추풍령-1_간이배수펌프장설치에 따른 타당성용역내역" xfId="617"/>
    <cellStyle name="_경계표주수량산출" xfId="618"/>
    <cellStyle name="_경계표주수량산출_내지농로(변경)" xfId="619"/>
    <cellStyle name="_경계표주수량산출_내지농로(변경)_돈지수량산출" xfId="620"/>
    <cellStyle name="_경계표주수량산출_능양수량산출" xfId="621"/>
    <cellStyle name="_경계표주수량산출_능양수량산출_돈지수량산출" xfId="622"/>
    <cellStyle name="_경계표주수량산출_돈지안길" xfId="623"/>
    <cellStyle name="_경계표주수량산출_돈지안길_배수로" xfId="624"/>
    <cellStyle name="_경계표주수량산출_돈지안길1000" xfId="625"/>
    <cellStyle name="_경계표주수량산출_돈지안길1000_배수로" xfId="626"/>
    <cellStyle name="_경계표주수량산출_배수로" xfId="627"/>
    <cellStyle name="_경계표주수량산출_배수로_배수로" xfId="628"/>
    <cellStyle name="_경계표주수량산출_석축쌓기" xfId="629"/>
    <cellStyle name="_경계표주수량산출_석축쌓기_내지농로(변경)" xfId="630"/>
    <cellStyle name="_경계표주수량산출_석축쌓기_내지농로(변경)_돈지수량산출" xfId="631"/>
    <cellStyle name="_경계표주수량산출_석축쌓기_능양수량산출" xfId="632"/>
    <cellStyle name="_경계표주수량산출_석축쌓기_능양수량산출_돈지수량산출" xfId="633"/>
    <cellStyle name="_경계표주수량산출_석축쌓기_돈지안길" xfId="634"/>
    <cellStyle name="_경계표주수량산출_석축쌓기_돈지안길_배수로" xfId="635"/>
    <cellStyle name="_경계표주수량산출_석축쌓기_돈지안길1000" xfId="636"/>
    <cellStyle name="_경계표주수량산출_석축쌓기_돈지안길1000_배수로" xfId="637"/>
    <cellStyle name="_경계표주수량산출_석축쌓기_배수공(명품센터)" xfId="638"/>
    <cellStyle name="_경계표주수량산출_석축쌓기_배수공(명품센터)_내지농로(변경)" xfId="639"/>
    <cellStyle name="_경계표주수량산출_석축쌓기_배수공(명품센터)_내지농로(변경)_돈지수량산출" xfId="640"/>
    <cellStyle name="_경계표주수량산출_석축쌓기_배수공(명품센터)_능양수량산출" xfId="641"/>
    <cellStyle name="_경계표주수량산출_석축쌓기_배수공(명품센터)_능양수량산출_돈지수량산출" xfId="642"/>
    <cellStyle name="_경계표주수량산출_석축쌓기_배수공(명품센터)_돈지안길" xfId="643"/>
    <cellStyle name="_경계표주수량산출_석축쌓기_배수공(명품센터)_돈지안길_배수로" xfId="644"/>
    <cellStyle name="_경계표주수량산출_석축쌓기_배수공(명품센터)_돈지안길1000" xfId="645"/>
    <cellStyle name="_경계표주수량산출_석축쌓기_배수공(명품센터)_돈지안길1000_배수로" xfId="646"/>
    <cellStyle name="_경계표주수량산출_석축쌓기_배수공(명품센터)_배수로" xfId="647"/>
    <cellStyle name="_경계표주수량산출_석축쌓기_배수공(명품센터)_배수로_배수로" xfId="648"/>
    <cellStyle name="_경계표주수량산출_석축쌓기_배수로" xfId="649"/>
    <cellStyle name="_경계표주수량산출_석축쌓기_배수로_배수로" xfId="650"/>
    <cellStyle name="_경계표주수량산출_석축쌓기_수량(전안수해복구)" xfId="651"/>
    <cellStyle name="_경계표주수량산출_석축쌓기_수량(전안수해복구)_내지농로(변경)" xfId="652"/>
    <cellStyle name="_경계표주수량산출_석축쌓기_수량(전안수해복구)_내지농로(변경)_돈지수량산출" xfId="653"/>
    <cellStyle name="_경계표주수량산출_석축쌓기_수량(전안수해복구)_능양수량산출" xfId="654"/>
    <cellStyle name="_경계표주수량산출_석축쌓기_수량(전안수해복구)_능양수량산출_돈지수량산출" xfId="655"/>
    <cellStyle name="_경계표주수량산출_석축쌓기_수량(전안수해복구)_돈지안길" xfId="656"/>
    <cellStyle name="_경계표주수량산출_석축쌓기_수량(전안수해복구)_돈지안길_배수로" xfId="657"/>
    <cellStyle name="_경계표주수량산출_석축쌓기_수량(전안수해복구)_돈지안길1000" xfId="658"/>
    <cellStyle name="_경계표주수량산출_석축쌓기_수량(전안수해복구)_돈지안길1000_배수로" xfId="659"/>
    <cellStyle name="_경계표주수량산출_석축쌓기_수량(전안수해복구)_배수로" xfId="660"/>
    <cellStyle name="_경계표주수량산출_석축쌓기_수량(전안수해복구)_배수로_배수로" xfId="661"/>
    <cellStyle name="_경계표주수량산출_석축쌓기_우수공(k2)" xfId="662"/>
    <cellStyle name="_경계표주수량산출_석축쌓기_우수공(k2)_내지농로(변경)" xfId="663"/>
    <cellStyle name="_경계표주수량산출_석축쌓기_우수공(k2)_내지농로(변경)_돈지수량산출" xfId="664"/>
    <cellStyle name="_경계표주수량산출_석축쌓기_우수공(k2)_능양수량산출" xfId="665"/>
    <cellStyle name="_경계표주수량산출_석축쌓기_우수공(k2)_능양수량산출_돈지수량산출" xfId="666"/>
    <cellStyle name="_경계표주수량산출_석축쌓기_우수공(k2)_돈지안길" xfId="667"/>
    <cellStyle name="_경계표주수량산출_석축쌓기_우수공(k2)_돈지안길_배수로" xfId="668"/>
    <cellStyle name="_경계표주수량산출_석축쌓기_우수공(k2)_돈지안길1000" xfId="669"/>
    <cellStyle name="_경계표주수량산출_석축쌓기_우수공(k2)_돈지안길1000_배수로" xfId="670"/>
    <cellStyle name="_경계표주수량산출_석축쌓기_우수공(k2)_배수로" xfId="671"/>
    <cellStyle name="_경계표주수량산출_석축쌓기_우수공(k2)_배수로_배수로" xfId="672"/>
    <cellStyle name="_경계확인측량" xfId="673"/>
    <cellStyle name="_경관성검토 설계예산서" xfId="674"/>
    <cellStyle name="_경기도 제2청사 통합방재시스템 연계 구축사업(설계내역서)20070305" xfId="8394"/>
    <cellStyle name="_경기청 무인교통감시장치 이설 생산지시서C" xfId="12548"/>
    <cellStyle name="_경남교통표지판" xfId="675"/>
    <cellStyle name="_경남교통표지판_문화의 거리 농로포장(김병국2차)" xfId="676"/>
    <cellStyle name="_경남교통표지판_문화의 거리 농로포장(김병국2차)_문화의 거리 농로포장(김병국2차)" xfId="677"/>
    <cellStyle name="_경대,한대,상대 (실계산) (3)" xfId="8395"/>
    <cellStyle name="_경영개선활동상반기실적(990708)" xfId="678"/>
    <cellStyle name="_경영개선활동상반기실적(990708)_1" xfId="679"/>
    <cellStyle name="_경영개선활동상반기실적(990708)_2" xfId="680"/>
    <cellStyle name="_경영개선활성화방안(990802)" xfId="681"/>
    <cellStyle name="_경영개선활성화방안(990802)_1" xfId="682"/>
    <cellStyle name="_경전선 삼랑진~진영간 광케이블 신설공사-계약내역서" xfId="8396"/>
    <cellStyle name="_경전철조사측량내역" xfId="683"/>
    <cellStyle name="_경주대학교_Order(New)기숙사" xfId="8397"/>
    <cellStyle name="_경희대병원 ABC 제안 견적" xfId="8398"/>
    <cellStyle name="_계약변경 일위대가_수정" xfId="684"/>
    <cellStyle name="_계통도2차파워콤" xfId="8399"/>
    <cellStyle name="_고대산평가용역내역(환경,교통,재해)" xfId="685"/>
    <cellStyle name="_고덕 E-MART" xfId="12549"/>
    <cellStyle name="_고려개발 통합 시스템 견적_20040204" xfId="8400"/>
    <cellStyle name="_고려-수원미네시티(작업)" xfId="12550"/>
    <cellStyle name="_고령_UPIS구축_070828" xfId="686"/>
    <cellStyle name="_고령군설계서_지형구분" xfId="687"/>
    <cellStyle name="_고무방충재" xfId="688"/>
    <cellStyle name="_고산투찰" xfId="689"/>
    <cellStyle name="_고성-Guarantee 이행 및 수요검토서(문서첨부)" xfId="8401"/>
    <cellStyle name="_고속도로 영업소 시뮬레이터 개발2" xfId="8402"/>
    <cellStyle name="_고양시(2005) 웹기반 수치지도 관리시스템 개발 용역 계약용 산출내역서_1.0" xfId="8403"/>
    <cellStyle name="_고창여고내역서" xfId="8404"/>
    <cellStyle name="_고창전기최종519" xfId="8405"/>
    <cellStyle name="_곡성 ..겸면.. 신설공사외 15건 지장광케이블 이설공사" xfId="8406"/>
    <cellStyle name="_골지2리농로(양지말)1공구" xfId="8407"/>
    <cellStyle name="_골프장27홀(3억)-체육" xfId="690"/>
    <cellStyle name="_공가신청서(속초중심국)" xfId="8408"/>
    <cellStyle name="_공가신청서(용촌)" xfId="8409"/>
    <cellStyle name="_공문 " xfId="691"/>
    <cellStyle name="_공문 _내역서" xfId="692"/>
    <cellStyle name="_공문양식" xfId="693"/>
    <cellStyle name="_공사내역서_공공정보상황실(KTN_기반공사)_20060419" xfId="8410"/>
    <cellStyle name="_공사내역서_공공정보상황실(기반공사)_20060418" xfId="8411"/>
    <cellStyle name="_공사내역서양식_인테리어_기반공사_20060418" xfId="8412"/>
    <cellStyle name="_공사시공표준공법(샘플)" xfId="8413"/>
    <cellStyle name="_공사시방서1" xfId="8414"/>
    <cellStyle name="_공사완료" xfId="8415"/>
    <cellStyle name="_공사준공제출양식" xfId="8416"/>
    <cellStyle name="_공원조성계획내역" xfId="694"/>
    <cellStyle name="_공종별공사내용(광주참고용)" xfId="8417"/>
    <cellStyle name="_공종별공사내용(평동)" xfId="8418"/>
    <cellStyle name="_공주시(자동9식)__" xfId="8419"/>
    <cellStyle name="_공통" xfId="695"/>
    <cellStyle name="_공통_MM" xfId="696"/>
    <cellStyle name="_공통_외교통상정보화 4단계 구축_2.0_장비" xfId="697"/>
    <cellStyle name="_공통단위수량(중복)" xfId="8420"/>
    <cellStyle name="_공항_3440" xfId="8421"/>
    <cellStyle name="_과기원재료비" xfId="8422"/>
    <cellStyle name="_과업내역서(변경4)" xfId="698"/>
    <cellStyle name="_곽지관광지내역서" xfId="699"/>
    <cellStyle name="_관곡역사공원 조성사업 도시계획시설결정 및 공원조성계획용역" xfId="700"/>
    <cellStyle name="_관제프로그램 기능 설정" xfId="12551"/>
    <cellStyle name="_광가입자전송장비(FLC)삼성" xfId="8423"/>
    <cellStyle name="_광고물제작협회" xfId="8424"/>
    <cellStyle name="_광고물제작협회_2004년 완선공사(최종본)" xfId="8425"/>
    <cellStyle name="_광고물제작협회_안동전통문화콘텐츠박물관전시영상물구축(전시시설물)" xfId="8426"/>
    <cellStyle name="_광고물제작협회_안동전통문화콘텐츠박물관전시영상물구축(전시시설물)_원가보고서(종합)-조달" xfId="8427"/>
    <cellStyle name="_광고물제작협회_안동전통문화콘텐츠박물관전시영상물구축(전시시설물)_원가보고서(흑색)-조달" xfId="8428"/>
    <cellStyle name="_광고물제작협회_원가계산서(화성상록)" xfId="8429"/>
    <cellStyle name="_광고물제작협회_원가계산서(화성상록) (version 1)" xfId="8430"/>
    <cellStyle name="_광고물제작협회_원가계산서(화성상록) (version 1)_원가보고서(종합)-조달" xfId="8431"/>
    <cellStyle name="_광고물제작협회_원가계산서(화성상록) (version 1)_원가보고서(흑색)-조달" xfId="8432"/>
    <cellStyle name="_광고물제작협회_원가계산서(화성상록)_원가보고서(종합)-조달" xfId="8433"/>
    <cellStyle name="_광고물제작협회_원가계산서(화성상록)_원가보고서(흑색)-조달" xfId="8434"/>
    <cellStyle name="_광기별" xfId="8435"/>
    <cellStyle name="_광릉투찰" xfId="701"/>
    <cellStyle name="_광릉투찰_무촌투찰" xfId="702"/>
    <cellStyle name="_광명시GIS_조달청_지노_2" xfId="12552"/>
    <cellStyle name="_광손실기록표(154하반기)" xfId="8436"/>
    <cellStyle name="_광안리내역서(구도)" xfId="8437"/>
    <cellStyle name="_광양시우회도로(투찰)" xfId="703"/>
    <cellStyle name="_광주광역시 UPIS ISP 설계내역서_060530_V2" xfId="8438"/>
    <cellStyle name="_광주광역시 노선개편홈페이지 견적서" xfId="12553"/>
    <cellStyle name="_광주시 2차 시스템" xfId="704"/>
    <cellStyle name="_광주시 도로와 지하시설물도 공동구축사업(2차) 설계내역서_1.0" xfId="705"/>
    <cellStyle name="_광주시 도로와 지하시설물도 공동구축사업(2차) 설계내역서_2.0" xfId="706"/>
    <cellStyle name="_광주시도로와지하시설물도공동구축사업_04072" xfId="707"/>
    <cellStyle name="_광주퇴촌면주택" xfId="12554"/>
    <cellStyle name="_교대점검계단(PRECAST콘크리트블럭)" xfId="8439"/>
    <cellStyle name="_교대토공" xfId="8440"/>
    <cellStyle name="_교대토공_1.여주JCT6교" xfId="8441"/>
    <cellStyle name="_교대토공_2.여주jc7교" xfId="8442"/>
    <cellStyle name="_교대토공수량" xfId="8443"/>
    <cellStyle name="_교대토공수량_1.여주JCT6교" xfId="8444"/>
    <cellStyle name="_교대토공수량_2.여주jc7교" xfId="8445"/>
    <cellStyle name="_교통-영덕00지역" xfId="708"/>
    <cellStyle name="_구문소철암투찰" xfId="709"/>
    <cellStyle name="_구문소철암투찰_광릉투찰" xfId="710"/>
    <cellStyle name="_구문소철암투찰_광릉투찰_무촌투찰" xfId="711"/>
    <cellStyle name="_구문소철암투찰_무창투찰" xfId="712"/>
    <cellStyle name="_구문소철암투찰_무창투찰_무촌투찰" xfId="713"/>
    <cellStyle name="_구문소철암투찰_무촌투찰" xfId="714"/>
    <cellStyle name="_구조물공" xfId="8446"/>
    <cellStyle name="_구조물공_1" xfId="8447"/>
    <cellStyle name="_구조물공-옹벽" xfId="8448"/>
    <cellStyle name="_구즉내역서" xfId="715"/>
    <cellStyle name="_국도23호선영암연소지구내역서" xfId="716"/>
    <cellStyle name="_국도28호선 의성.다인.서능 수량산출서" xfId="8449"/>
    <cellStyle name="_국도28호선 의성.다인.서능 수량산출서_04포장공" xfId="8450"/>
    <cellStyle name="_국도38호선통리지구내역서" xfId="717"/>
    <cellStyle name="_국도42호선여량지구오르막차로" xfId="718"/>
    <cellStyle name="_국도5호선 달성.현풍.원교리외1개소포장도보수공사수량산출서" xfId="8451"/>
    <cellStyle name="_국민연금관리공단 e-HR시스템 구축 견적서_동양시스템즈(2007.05.20_)" xfId="8452"/>
    <cellStyle name="_국민은행 기술지원내역" xfId="8453"/>
    <cellStyle name="_국사정비착안사항" xfId="8454"/>
    <cellStyle name="_국수교수량" xfId="8455"/>
    <cellStyle name="_국수교수량_04.차선도색" xfId="8456"/>
    <cellStyle name="_국수교수량_04.차선도색_1차변경수량" xfId="8457"/>
    <cellStyle name="_국수교수량_04.차선도색_1차변경수량_1차변경수량" xfId="8458"/>
    <cellStyle name="_국수교수량_070201  정삼각뿔형어초 설계예산서(국화도해역)-최종2" xfId="8459"/>
    <cellStyle name="_국수교수량_070201  정삼각뿔형어초 설계예산서(국화도해역)-최종2_0704" xfId="8460"/>
    <cellStyle name="_국수교수량_070201  정삼각뿔형어초 설계예산서(국화도해역)-최종2_도급내역서" xfId="8461"/>
    <cellStyle name="_국수교수량_070201  정삼각뿔형어초 설계예산서(국화도해역)-최종2_도급내역서_외파수도 정삼각뿔형 인공어초 도면수정" xfId="8462"/>
    <cellStyle name="_국수교수량_070201  정삼각뿔형어초 설계예산서(국화도해역)-최종2_도급내역서_외파수도 정삼각뿔형 인공어초 설치-20070801" xfId="8463"/>
    <cellStyle name="_국수교수량_070201  정삼각뿔형어초 설계예산서(국화도해역)-최종2_도급내역서_정삼각뿔형어초(2월29일)수정작업(1)" xfId="8464"/>
    <cellStyle name="_국수교수량_070201정삼각뿔형어초설계예산서(국화도해역)-최종2" xfId="8465"/>
    <cellStyle name="_국수교수량_1차변경수량" xfId="8466"/>
    <cellStyle name="_국수교수량_1차변경수량_1차변경수량" xfId="8467"/>
    <cellStyle name="_국수교수량_2007남해군 소규모바다목장조성사업(통합)" xfId="8468"/>
    <cellStyle name="_국수교수량_2007남해군 소규모바다목장조성사업(팔각상자,TTP)" xfId="8469"/>
    <cellStyle name="_국수교수량_2007팔각상자형설계서(1차년도)" xfId="8470"/>
    <cellStyle name="_국수교수량_2007팔각상자형설계서(1차년도)(수정작업1월14일)" xfId="8471"/>
    <cellStyle name="_국수교수량_Book1" xfId="8472"/>
    <cellStyle name="_국수교수량_Book1_1차변경수량" xfId="8473"/>
    <cellStyle name="_국수교수량_Book1_1차변경수량_1차변경수량" xfId="8474"/>
    <cellStyle name="_국수교수량_TTP및피복석시설공사설계서(5월6일)" xfId="8475"/>
    <cellStyle name="_국수교수량_TTP시설공사설계서(1차년도)(1월14일수정작업)" xfId="8476"/>
    <cellStyle name="_국수교수량_TTP시설공사설계서(2차년도)" xfId="8477"/>
    <cellStyle name="_국수교수량_거제 남부다대" xfId="8478"/>
    <cellStyle name="_국수교수량_경기도 - 도급내역서" xfId="8479"/>
    <cellStyle name="_국수교수량_남해 상주 노도해역 인공어초 제작 및 시설공사-착공내역" xfId="8480"/>
    <cellStyle name="_국수교수량_내역서" xfId="8481"/>
    <cellStyle name="_국수교수량_동서동권역 소규모바다목장 사업(정삼각뿔형어초)설계서" xfId="8482"/>
    <cellStyle name="_국수교수량_동서동권역소규모바다목장사업(정삼각뿔형어초)설계서(1)" xfId="8483"/>
    <cellStyle name="_국수교수량_동서동권역소규모바다목장사업(정삼각뿔형어초)설계서(10월)" xfId="8484"/>
    <cellStyle name="_국수교수량_사천시 소규모 바다목장사업(상자형)수정중" xfId="8485"/>
    <cellStyle name="_국수교수량_외파수도 정삼각뿔형 인공어초 도면수정" xfId="8486"/>
    <cellStyle name="_국수교수량_외파수도 정삼각뿔형 인공어초 설치-20070801" xfId="8487"/>
    <cellStyle name="_국수교수량_정삼각뿔어초 설계예산서(1월9일)" xfId="8488"/>
    <cellStyle name="_국수교수량_정삼각뿔어초 설계예산서(1월9일)_도급내역서" xfId="8489"/>
    <cellStyle name="_국수교수량_정삼각뿔어초 설계예산서(1월9일)_도급내역서_외파수도 정삼각뿔형 인공어초 도면수정" xfId="8490"/>
    <cellStyle name="_국수교수량_정삼각뿔어초 설계예산서(1월9일)_도급내역서_외파수도 정삼각뿔형 인공어초 설치-20070801" xfId="8491"/>
    <cellStyle name="_국수교수량_정삼각뿔어초 설계예산서(1월9일)_도급내역서_정삼각뿔형어초(2월29일)수정작업(1)" xfId="8492"/>
    <cellStyle name="_국수교수량_정삼각뿔어초 설계예산서(2007년)" xfId="8493"/>
    <cellStyle name="_국수교수량_정삼각뿔어초 설계예산서(2007년)_도급내역서" xfId="8494"/>
    <cellStyle name="_국수교수량_정삼각뿔어초 설계예산서(2007년)_도급내역서_외파수도 정삼각뿔형 인공어초 도면수정" xfId="8495"/>
    <cellStyle name="_국수교수량_정삼각뿔어초 설계예산서(2007년)_도급내역서_외파수도 정삼각뿔형 인공어초 설치-20070801" xfId="8496"/>
    <cellStyle name="_국수교수량_정삼각뿔어초 설계예산서(2007년)_도급내역서_정삼각뿔형어초(2월29일)수정작업(1)" xfId="8497"/>
    <cellStyle name="_국수교수량_정삼각뿔어초 설계예산서(중구소무이도.영흥외리)-관급별도" xfId="8498"/>
    <cellStyle name="_국수교수량_정삼각뿔어초 설계예산서(중구소무이도.영흥외리)-관급별도(자재단가변경)" xfId="8499"/>
    <cellStyle name="_국수교수량_정삼각뿔어초 설계예산서(중구소무이도.영흥외리)-관급별도(자재단가변경)_외파수도 정삼각뿔형 인공어초 도면수정" xfId="8500"/>
    <cellStyle name="_국수교수량_정삼각뿔어초 설계예산서(중구소무이도.영흥외리)-관급별도(자재단가변경)_외파수도 정삼각뿔형 인공어초 설치-20070801" xfId="8501"/>
    <cellStyle name="_국수교수량_정삼각뿔어초 설계예산서(중구소무이도.영흥외리)-관급별도(자재단가변경)_정삼각뿔형어초(2월29일)수정작업(1)" xfId="8502"/>
    <cellStyle name="_국수교수량_정삼각뿔어초 설계예산서(중구소무이도.영흥외리)-관급별도_도급내역서" xfId="8503"/>
    <cellStyle name="_국수교수량_정삼각뿔어초 설계예산서(중구소무이도.영흥외리)-관급별도_도급내역서_외파수도 정삼각뿔형 인공어초 도면수정" xfId="8504"/>
    <cellStyle name="_국수교수량_정삼각뿔어초 설계예산서(중구소무이도.영흥외리)-관급별도_도급내역서_외파수도 정삼각뿔형 인공어초 설치-20070801" xfId="8505"/>
    <cellStyle name="_국수교수량_정삼각뿔어초 설계예산서(중구소무이도.영흥외리)-관급별도_도급내역서_정삼각뿔형어초(2월29일)수정작업(1)" xfId="8506"/>
    <cellStyle name="_국수교수량_정삼각뿔형 인공어초 설계예산서 (전체분)" xfId="8507"/>
    <cellStyle name="_국수교수량_정삼각뿔형 인공어초 설계예산서 (전체분)_도급내역서" xfId="8508"/>
    <cellStyle name="_국수교수량_정삼각뿔형 인공어초 설계예산서 (전체분)_도급내역서_외파수도 정삼각뿔형 인공어초 도면수정" xfId="8509"/>
    <cellStyle name="_국수교수량_정삼각뿔형 인공어초 설계예산서 (전체분)_도급내역서_외파수도 정삼각뿔형 인공어초 설치-20070801" xfId="8510"/>
    <cellStyle name="_국수교수량_정삼각뿔형 인공어초 설계예산서 (전체분)_도급내역서_정삼각뿔형어초(2월29일)수정작업(1)" xfId="8511"/>
    <cellStyle name="_국수교수량_정삼각뿔형어초(2월29일)수정작업(1)" xfId="8512"/>
    <cellStyle name="_국수교수량_정삼각뿔형어초(비계공 포함시)" xfId="8513"/>
    <cellStyle name="_국수교수량_정삼각뿔형어초설계서(100개)금오도" xfId="8514"/>
    <cellStyle name="_국수교수량_정삼각뿔형어초설계서(2차년도)" xfId="8515"/>
    <cellStyle name="_국수교수량_정삼각뿔형어초설계서(2차년도)(변경 준비)" xfId="8516"/>
    <cellStyle name="_국수교수량_정삼각뿔형어초설계서(2차년도)(일상감사후)" xfId="8517"/>
    <cellStyle name="_국수교수량_정삼각뿔형어초설계서(60개)" xfId="8518"/>
    <cellStyle name="_국수교수량_정삼각뿔형어초설계서(사천시)" xfId="8519"/>
    <cellStyle name="_국수교수량_정삼각형뿔형(시설공사)" xfId="8520"/>
    <cellStyle name="_국수교수량_착공내역서" xfId="8521"/>
    <cellStyle name="_국수교수량_화성도급" xfId="8522"/>
    <cellStyle name="_국토지리정보원 홈페이지 개선용역 예산설계_v2.1" xfId="8523"/>
    <cellStyle name="_군립공원기본계획(변경)" xfId="719"/>
    <cellStyle name="_군산ITS 설계 원가 조사20031224" xfId="12555"/>
    <cellStyle name="_군산내항-품셈기준" xfId="720"/>
    <cellStyle name="_군산시_UIS설계서(0308)" xfId="721"/>
    <cellStyle name="_군산시_UIS설계서(0308) 2" xfId="722"/>
    <cellStyle name="_군포시 지하시설물통합정보시스템 구축사업 설계내역서_2.3" xfId="723"/>
    <cellStyle name="_권과장님(보완)" xfId="8524"/>
    <cellStyle name="_균촉-기본설계비변경" xfId="724"/>
    <cellStyle name="_근거1_금액비교표" xfId="12556"/>
    <cellStyle name="_금강Ⅱ지구김제2-2공구토목공사(동도)" xfId="725"/>
    <cellStyle name="_금구(과학대길)도로 포장덧씌우기공사1" xfId="8525"/>
    <cellStyle name="_금산제수량(70m)" xfId="726"/>
    <cellStyle name="_금산제수량(70m)_04포장공" xfId="8526"/>
    <cellStyle name="_금산제수량(70m)_3.구조물공" xfId="8527"/>
    <cellStyle name="_금산제수량(70m)_3.구조물공_04포장공" xfId="8528"/>
    <cellStyle name="_금산제수량(70m)_3.구조물공_3.구조물공" xfId="8529"/>
    <cellStyle name="_금산제수량(70m)_3.구조물공_3.구조물공_04포장공" xfId="8530"/>
    <cellStyle name="_금산제수량(70m)_3.구조물공_3.물공" xfId="8531"/>
    <cellStyle name="_금산제수량(70m)_3.구조물공_3.물공_04포장공" xfId="8532"/>
    <cellStyle name="_금산제수량(70m)_3.구조물공_보수량집계(우근)" xfId="8533"/>
    <cellStyle name="_금산제수량(70m)_3.구조물공_보수량집계(우근)_04포장공" xfId="8534"/>
    <cellStyle name="_금산제수량(70m)_3.구조물공_석축" xfId="8535"/>
    <cellStyle name="_금산제수량(70m)_3.구조물공_석축_04포장공" xfId="8536"/>
    <cellStyle name="_금산제수량(70m)_두릉1제 수량산출서" xfId="727"/>
    <cellStyle name="_금산제수량(70m)_배수구조물공" xfId="8537"/>
    <cellStyle name="_금산제수량(70m)_배수구조물공_04포장공" xfId="8538"/>
    <cellStyle name="_금산제수량(70m)_배수구조물공_3.구조물공" xfId="8539"/>
    <cellStyle name="_금산제수량(70m)_배수구조물공_3.구조물공_04포장공" xfId="8540"/>
    <cellStyle name="_금산제수량(70m)_배수구조물공_3.구조물공_3.구조물공" xfId="8541"/>
    <cellStyle name="_금산제수량(70m)_배수구조물공_3.구조물공_3.구조물공_04포장공" xfId="8542"/>
    <cellStyle name="_금산제수량(70m)_배수구조물공_3.구조물공_3.물공" xfId="8543"/>
    <cellStyle name="_금산제수량(70m)_배수구조물공_3.구조물공_3.물공_04포장공" xfId="8544"/>
    <cellStyle name="_금산제수량(70m)_배수구조물공_3.구조물공_보수량집계(우근)" xfId="8545"/>
    <cellStyle name="_금산제수량(70m)_배수구조물공_3.구조물공_보수량집계(우근)_04포장공" xfId="8546"/>
    <cellStyle name="_금산제수량(70m)_배수구조물공_3.구조물공_석축" xfId="8547"/>
    <cellStyle name="_금산제수량(70m)_배수구조물공_3.구조물공_석축_04포장공" xfId="8548"/>
    <cellStyle name="_금산제수량(70m)_우수집수정U형집계" xfId="8549"/>
    <cellStyle name="_금산제수량(70m)_우수집수정U형집계_04포장공" xfId="8550"/>
    <cellStyle name="_금산제수량(70m)_우수집수정U형집계_3.구조물공" xfId="8551"/>
    <cellStyle name="_금산제수량(70m)_우수집수정U형집계_3.구조물공_04포장공" xfId="8552"/>
    <cellStyle name="_금산제수량(70m)_우수집수정U형집계_3.구조물공_3.구조물공" xfId="8553"/>
    <cellStyle name="_금산제수량(70m)_우수집수정U형집계_3.구조물공_3.구조물공_04포장공" xfId="8554"/>
    <cellStyle name="_금산제수량(70m)_우수집수정U형집계_3.구조물공_3.물공" xfId="8555"/>
    <cellStyle name="_금산제수량(70m)_우수집수정U형집계_3.구조물공_3.물공_04포장공" xfId="8556"/>
    <cellStyle name="_금산제수량(70m)_우수집수정U형집계_3.구조물공_보수량집계(우근)" xfId="8557"/>
    <cellStyle name="_금산제수량(70m)_우수집수정U형집계_3.구조물공_보수량집계(우근)_04포장공" xfId="8558"/>
    <cellStyle name="_금산제수량(70m)_우수집수정U형집계_3.구조물공_석축" xfId="8559"/>
    <cellStyle name="_금산제수량(70m)_우수집수정U형집계_3.구조물공_석축_04포장공" xfId="8560"/>
    <cellStyle name="_금산제수량(70m)_인계1공구 수량산출" xfId="728"/>
    <cellStyle name="_금산제수량(70m)_총자재집계표" xfId="729"/>
    <cellStyle name="_금산제수량(70m)_콘크리트포장공" xfId="8561"/>
    <cellStyle name="_금산제수량(70m)_콘크리트포장공_03포장공" xfId="8562"/>
    <cellStyle name="_금산제수량(70m)_콘크리트포장공_03포장공_04포장공" xfId="8563"/>
    <cellStyle name="_금산제수량(70m)_콘크리트포장공_04포장공" xfId="8564"/>
    <cellStyle name="_금산제수량(70m)_콘크리트포장공_14수량산출서" xfId="8565"/>
    <cellStyle name="_금산제수량(70m)_콘크리트포장공_14수량산출서_04포장공" xfId="8566"/>
    <cellStyle name="_금산제수량(70m)_콘크리트포장공_수량산출서" xfId="8567"/>
    <cellStyle name="_금산제수량(전체최종)" xfId="730"/>
    <cellStyle name="_금산제수량(전체최종)_04포장공" xfId="8568"/>
    <cellStyle name="_금산제수량(전체최종)_3.구조물공" xfId="8569"/>
    <cellStyle name="_금산제수량(전체최종)_3.구조물공_04포장공" xfId="8570"/>
    <cellStyle name="_금산제수량(전체최종)_3.구조물공_3.구조물공" xfId="8571"/>
    <cellStyle name="_금산제수량(전체최종)_3.구조물공_3.구조물공_04포장공" xfId="8572"/>
    <cellStyle name="_금산제수량(전체최종)_3.구조물공_3.물공" xfId="8573"/>
    <cellStyle name="_금산제수량(전체최종)_3.구조물공_3.물공_04포장공" xfId="8574"/>
    <cellStyle name="_금산제수량(전체최종)_3.구조물공_보수량집계(우근)" xfId="8575"/>
    <cellStyle name="_금산제수량(전체최종)_3.구조물공_보수량집계(우근)_04포장공" xfId="8576"/>
    <cellStyle name="_금산제수량(전체최종)_3.구조물공_석축" xfId="8577"/>
    <cellStyle name="_금산제수량(전체최종)_3.구조물공_석축_04포장공" xfId="8578"/>
    <cellStyle name="_금산제수량(전체최종)_두릉1제 수량산출서" xfId="731"/>
    <cellStyle name="_금산제수량(전체최종)_배수구조물공" xfId="8579"/>
    <cellStyle name="_금산제수량(전체최종)_배수구조물공_04포장공" xfId="8580"/>
    <cellStyle name="_금산제수량(전체최종)_배수구조물공_3.구조물공" xfId="8581"/>
    <cellStyle name="_금산제수량(전체최종)_배수구조물공_3.구조물공_04포장공" xfId="8582"/>
    <cellStyle name="_금산제수량(전체최종)_배수구조물공_3.구조물공_3.구조물공" xfId="8583"/>
    <cellStyle name="_금산제수량(전체최종)_배수구조물공_3.구조물공_3.구조물공_04포장공" xfId="8584"/>
    <cellStyle name="_금산제수량(전체최종)_배수구조물공_3.구조물공_3.물공" xfId="8585"/>
    <cellStyle name="_금산제수량(전체최종)_배수구조물공_3.구조물공_3.물공_04포장공" xfId="8586"/>
    <cellStyle name="_금산제수량(전체최종)_배수구조물공_3.구조물공_보수량집계(우근)" xfId="8587"/>
    <cellStyle name="_금산제수량(전체최종)_배수구조물공_3.구조물공_보수량집계(우근)_04포장공" xfId="8588"/>
    <cellStyle name="_금산제수량(전체최종)_배수구조물공_3.구조물공_석축" xfId="8589"/>
    <cellStyle name="_금산제수량(전체최종)_배수구조물공_3.구조물공_석축_04포장공" xfId="8590"/>
    <cellStyle name="_금산제수량(전체최종)_우수집수정U형집계" xfId="8591"/>
    <cellStyle name="_금산제수량(전체최종)_우수집수정U형집계_04포장공" xfId="8592"/>
    <cellStyle name="_금산제수량(전체최종)_우수집수정U형집계_3.구조물공" xfId="8593"/>
    <cellStyle name="_금산제수량(전체최종)_우수집수정U형집계_3.구조물공_04포장공" xfId="8594"/>
    <cellStyle name="_금산제수량(전체최종)_우수집수정U형집계_3.구조물공_3.구조물공" xfId="8595"/>
    <cellStyle name="_금산제수량(전체최종)_우수집수정U형집계_3.구조물공_3.구조물공_04포장공" xfId="8596"/>
    <cellStyle name="_금산제수량(전체최종)_우수집수정U형집계_3.구조물공_3.물공" xfId="8597"/>
    <cellStyle name="_금산제수량(전체최종)_우수집수정U형집계_3.구조물공_3.물공_04포장공" xfId="8598"/>
    <cellStyle name="_금산제수량(전체최종)_우수집수정U형집계_3.구조물공_보수량집계(우근)" xfId="8599"/>
    <cellStyle name="_금산제수량(전체최종)_우수집수정U형집계_3.구조물공_보수량집계(우근)_04포장공" xfId="8600"/>
    <cellStyle name="_금산제수량(전체최종)_우수집수정U형집계_3.구조물공_석축" xfId="8601"/>
    <cellStyle name="_금산제수량(전체최종)_우수집수정U형집계_3.구조물공_석축_04포장공" xfId="8602"/>
    <cellStyle name="_금산제수량(전체최종)_인계1공구 수량산출" xfId="732"/>
    <cellStyle name="_금산제수량(전체최종)_총자재집계표" xfId="733"/>
    <cellStyle name="_금산제수량(전체최종)_콘크리트포장공" xfId="8603"/>
    <cellStyle name="_금산제수량(전체최종)_콘크리트포장공_03포장공" xfId="8604"/>
    <cellStyle name="_금산제수량(전체최종)_콘크리트포장공_03포장공_04포장공" xfId="8605"/>
    <cellStyle name="_금산제수량(전체최종)_콘크리트포장공_04포장공" xfId="8606"/>
    <cellStyle name="_금산제수량(전체최종)_콘크리트포장공_14수량산출서" xfId="8607"/>
    <cellStyle name="_금산제수량(전체최종)_콘크리트포장공_14수량산출서_04포장공" xfId="8608"/>
    <cellStyle name="_금산제수량(전체최종)_콘크리트포장공_수량산출서" xfId="8609"/>
    <cellStyle name="_금산제수량산출서" xfId="734"/>
    <cellStyle name="_금산제수량산출서_04포장공" xfId="8610"/>
    <cellStyle name="_금산제수량산출서_3.구조물공" xfId="8611"/>
    <cellStyle name="_금산제수량산출서_3.구조물공_04포장공" xfId="8612"/>
    <cellStyle name="_금산제수량산출서_3.구조물공_3.구조물공" xfId="8613"/>
    <cellStyle name="_금산제수량산출서_3.구조물공_3.구조물공_04포장공" xfId="8614"/>
    <cellStyle name="_금산제수량산출서_3.구조물공_3.물공" xfId="8615"/>
    <cellStyle name="_금산제수량산출서_3.구조물공_3.물공_04포장공" xfId="8616"/>
    <cellStyle name="_금산제수량산출서_3.구조물공_보수량집계(우근)" xfId="8617"/>
    <cellStyle name="_금산제수량산출서_3.구조물공_보수량집계(우근)_04포장공" xfId="8618"/>
    <cellStyle name="_금산제수량산출서_3.구조물공_석축" xfId="8619"/>
    <cellStyle name="_금산제수량산출서_3.구조물공_석축_04포장공" xfId="8620"/>
    <cellStyle name="_금산제수량산출서_두릉1제 수량산출서" xfId="735"/>
    <cellStyle name="_금산제수량산출서_배수구조물공" xfId="8621"/>
    <cellStyle name="_금산제수량산출서_배수구조물공_04포장공" xfId="8622"/>
    <cellStyle name="_금산제수량산출서_배수구조물공_3.구조물공" xfId="8623"/>
    <cellStyle name="_금산제수량산출서_배수구조물공_3.구조물공_04포장공" xfId="8624"/>
    <cellStyle name="_금산제수량산출서_배수구조물공_3.구조물공_3.구조물공" xfId="8625"/>
    <cellStyle name="_금산제수량산출서_배수구조물공_3.구조물공_3.구조물공_04포장공" xfId="8626"/>
    <cellStyle name="_금산제수량산출서_배수구조물공_3.구조물공_3.물공" xfId="8627"/>
    <cellStyle name="_금산제수량산출서_배수구조물공_3.구조물공_3.물공_04포장공" xfId="8628"/>
    <cellStyle name="_금산제수량산출서_배수구조물공_3.구조물공_보수량집계(우근)" xfId="8629"/>
    <cellStyle name="_금산제수량산출서_배수구조물공_3.구조물공_보수량집계(우근)_04포장공" xfId="8630"/>
    <cellStyle name="_금산제수량산출서_배수구조물공_3.구조물공_석축" xfId="8631"/>
    <cellStyle name="_금산제수량산출서_배수구조물공_3.구조물공_석축_04포장공" xfId="8632"/>
    <cellStyle name="_금산제수량산출서_우수집수정U형집계" xfId="8633"/>
    <cellStyle name="_금산제수량산출서_우수집수정U형집계_04포장공" xfId="8634"/>
    <cellStyle name="_금산제수량산출서_우수집수정U형집계_3.구조물공" xfId="8635"/>
    <cellStyle name="_금산제수량산출서_우수집수정U형집계_3.구조물공_04포장공" xfId="8636"/>
    <cellStyle name="_금산제수량산출서_우수집수정U형집계_3.구조물공_3.구조물공" xfId="8637"/>
    <cellStyle name="_금산제수량산출서_우수집수정U형집계_3.구조물공_3.구조물공_04포장공" xfId="8638"/>
    <cellStyle name="_금산제수량산출서_우수집수정U형집계_3.구조물공_3.물공" xfId="8639"/>
    <cellStyle name="_금산제수량산출서_우수집수정U형집계_3.구조물공_3.물공_04포장공" xfId="8640"/>
    <cellStyle name="_금산제수량산출서_우수집수정U형집계_3.구조물공_보수량집계(우근)" xfId="8641"/>
    <cellStyle name="_금산제수량산출서_우수집수정U형집계_3.구조물공_보수량집계(우근)_04포장공" xfId="8642"/>
    <cellStyle name="_금산제수량산출서_우수집수정U형집계_3.구조물공_석축" xfId="8643"/>
    <cellStyle name="_금산제수량산출서_우수집수정U형집계_3.구조물공_석축_04포장공" xfId="8644"/>
    <cellStyle name="_금산제수량산출서_인계1공구 수량산출" xfId="736"/>
    <cellStyle name="_금산제수량산출서_총자재집계표" xfId="737"/>
    <cellStyle name="_금산제수량산출서_콘크리트포장공" xfId="8645"/>
    <cellStyle name="_금산제수량산출서_콘크리트포장공_03포장공" xfId="8646"/>
    <cellStyle name="_금산제수량산출서_콘크리트포장공_03포장공_04포장공" xfId="8647"/>
    <cellStyle name="_금산제수량산출서_콘크리트포장공_04포장공" xfId="8648"/>
    <cellStyle name="_금산제수량산출서_콘크리트포장공_14수량산출서" xfId="8649"/>
    <cellStyle name="_금산제수량산출서_콘크리트포장공_14수량산출서_04포장공" xfId="8650"/>
    <cellStyle name="_금산제수량산출서_콘크리트포장공_수량산출서" xfId="8651"/>
    <cellStyle name="_금천청소년수련관(토목林)" xfId="738"/>
    <cellStyle name="_금호건설 견적(041223_1)" xfId="12557"/>
    <cellStyle name="_기능점수 2006 05 22-001" xfId="8652"/>
    <cellStyle name="_기반공사(토공제출자료)설계서 내역_20060325" xfId="8653"/>
    <cellStyle name="_기별" xfId="8654"/>
    <cellStyle name="_기별명세서" xfId="8655"/>
    <cellStyle name="_기별명세서(14셀증설)" xfId="8656"/>
    <cellStyle name="_기별명세서(동해1cell)" xfId="8657"/>
    <cellStyle name="_기별명세서(동해2cell)" xfId="8658"/>
    <cellStyle name="_기별명세서(동해3cell)-최종" xfId="8659"/>
    <cellStyle name="_기별명세서(동해4cell)-최종" xfId="8660"/>
    <cellStyle name="_기별명세서(동해5cell)" xfId="8661"/>
    <cellStyle name="_기별명세서(동해7cell)" xfId="8662"/>
    <cellStyle name="_기별명세서(동해8cell)" xfId="8663"/>
    <cellStyle name="_기별명세서2(17셀신설)" xfId="8664"/>
    <cellStyle name="_기본견적(2003년 01월)" xfId="8665"/>
    <cellStyle name="_기본견적(2003년 05월)" xfId="8666"/>
    <cellStyle name="_기본계획내역(단호,선어대)-계약내역" xfId="739"/>
    <cellStyle name="_기본계획산출내역서" xfId="12558"/>
    <cellStyle name="_기본계획산출내역서(최종)" xfId="740"/>
    <cellStyle name="_기본설계1" xfId="8667"/>
    <cellStyle name="_기본설계1_설계(SK일로복룡)" xfId="8668"/>
    <cellStyle name="_기본설계1_설계(SK일로복룡) 2" xfId="8669"/>
    <cellStyle name="_기본설계1_설계(SK일로복룡) 3" xfId="8670"/>
    <cellStyle name="_기본설계1_설계(SK일로복룡) 4" xfId="8671"/>
    <cellStyle name="_기본설계1_설계(SK일로복룡) 5" xfId="8672"/>
    <cellStyle name="_기본설계1_설계(SK일로복룡) 6" xfId="8673"/>
    <cellStyle name="_기본설계1_설계(SK일로복룡) 7" xfId="8674"/>
    <cellStyle name="_기본설계1_설계(SK일로복룡) 8" xfId="8675"/>
    <cellStyle name="_기본설계1_장흥관측소(설계)-장비" xfId="8676"/>
    <cellStyle name="_기본설계서1" xfId="8677"/>
    <cellStyle name="_기본형" xfId="741"/>
    <cellStyle name="_기상부분_태민" xfId="12559"/>
    <cellStyle name="_기상청 견적(한국데이타베이스진흥센터)_060223" xfId="8678"/>
    <cellStyle name="_기상청 성과관리 NT 서버 견적서(051027)" xfId="8679"/>
    <cellStyle name="_기상청_슈퍼컴_COMIS_총괄표_0320" xfId="8680"/>
    <cellStyle name="_기상청-견적산출(안)_050907" xfId="8681"/>
    <cellStyle name="_기성검사원" xfId="742"/>
    <cellStyle name="_기성검사원_내역서" xfId="743"/>
    <cellStyle name="_기지국집계" xfId="8682"/>
    <cellStyle name="_기초공사" xfId="8683"/>
    <cellStyle name="_기타경비" xfId="12560"/>
    <cellStyle name="_기흥읍청사신축공사(조원)" xfId="744"/>
    <cellStyle name="_길동배수지건설공사(구보)" xfId="745"/>
    <cellStyle name="_길드PC방" xfId="8684"/>
    <cellStyle name="_김제시 GIS 구축사업 설계내역서_시스템부문_4" xfId="746"/>
    <cellStyle name="_김제시 도로와 지하시설물 공동구축사업 설계서_계약(1차년도)_1" xfId="747"/>
    <cellStyle name="_김제시 도로와 지하시설물 공동구축사업 설계서_계약(1차년도)_1 2" xfId="748"/>
    <cellStyle name="_김제시_UIS설계서(0706)" xfId="749"/>
    <cellStyle name="_김천GIS설계서(최종1024)" xfId="12561"/>
    <cellStyle name="_김천설계내역(유니썬)" xfId="8685"/>
    <cellStyle name="_김천시설계서(제출용)" xfId="750"/>
    <cellStyle name="_김천시설계서(제출용) 2" xfId="751"/>
    <cellStyle name="_김포00지구도시개발사업내역서-109000평xls" xfId="752"/>
    <cellStyle name="_김포GIS설계1차(최종본.01.05)" xfId="8686"/>
    <cellStyle name="_김포시 UIS-설계내역서" xfId="753"/>
    <cellStyle name="_김해분성고(동성)" xfId="754"/>
    <cellStyle name="_김해시_도로와지하시설물도공동구축사업 설계내역서.2.9" xfId="755"/>
    <cellStyle name="_김해임도" xfId="756"/>
    <cellStyle name="_나노엔텍(임금)" xfId="8687"/>
    <cellStyle name="_나온소프트_ 문서관리견적서" xfId="8688"/>
    <cellStyle name="_나주시우회도로(투찰)-0.331%" xfId="757"/>
    <cellStyle name="_나주시-품셈기준" xfId="758"/>
    <cellStyle name="_낙산 E 콘도(LGT 주청기지국)-지중" xfId="8689"/>
    <cellStyle name="_낙산아파트" xfId="8690"/>
    <cellStyle name="_남산등산로" xfId="8691"/>
    <cellStyle name="_남원시_UIS설계서(0624)" xfId="759"/>
    <cellStyle name="_납품설계내역" xfId="8692"/>
    <cellStyle name="_내역(구미시)기능점수 수정" xfId="760"/>
    <cellStyle name="_내역및수량산출서(실적)" xfId="761"/>
    <cellStyle name="_내역및수량산출서(위례성길)-new" xfId="762"/>
    <cellStyle name="_내역서" xfId="763"/>
    <cellStyle name="_내역서 2" xfId="12562"/>
    <cellStyle name="_내역서(0728수정)" xfId="8693"/>
    <cellStyle name="_내역서(2003)" xfId="764"/>
    <cellStyle name="_내역서(HFC,하나로)" xfId="8694"/>
    <cellStyle name="_내역서(가로등신호등)" xfId="12563"/>
    <cellStyle name="_내역서(개발계획단계-환지)" xfId="765"/>
    <cellStyle name="_내역서(밀양시)" xfId="12564"/>
    <cellStyle name="_내역서(변경)-성주군관리전산화" xfId="766"/>
    <cellStyle name="_내역서(센터_하드웨어_v1)" xfId="12565"/>
    <cellStyle name="_내역서(센터_하드웨어_통합_V2)" xfId="12566"/>
    <cellStyle name="_내역서(실시계획)수정" xfId="767"/>
    <cellStyle name="_내역서(완주청사)" xfId="8695"/>
    <cellStyle name="_내역서(전광판)-1" xfId="8696"/>
    <cellStyle name="_내역서(제영향평가)" xfId="768"/>
    <cellStyle name="_내역서(총괄착수내역서)" xfId="8697"/>
    <cellStyle name="_내역서(최종)" xfId="8698"/>
    <cellStyle name="_내역서_1" xfId="8699"/>
    <cellStyle name="_내역서_VDS(최신11-07)" xfId="12567"/>
    <cellStyle name="_내역서_문화의 거리 농로포장(김병국2차)" xfId="769"/>
    <cellStyle name="_내역서_문화의 거리 농로포장(김병국2차)_문화의 거리 농로포장(김병국2차)" xfId="770"/>
    <cellStyle name="_내역서_옥천군청서식" xfId="8700"/>
    <cellStyle name="_내역서_조달청 수수료" xfId="8701"/>
    <cellStyle name="_내역서_충주시 생산지시서(CCTV,VDS추가)_20060807" xfId="12568"/>
    <cellStyle name="_내역서갑지" xfId="8702"/>
    <cellStyle name="_내역서-구룡지구" xfId="771"/>
    <cellStyle name="_내역서및설계서" xfId="8703"/>
    <cellStyle name="_내역서피뢰및접지" xfId="12569"/>
    <cellStyle name="_내역서합치기7(1).25" xfId="8704"/>
    <cellStyle name="_내호리수량" xfId="8705"/>
    <cellStyle name="_네트워크" xfId="12570"/>
    <cellStyle name="_노임단가표1" xfId="8706"/>
    <cellStyle name="_노천1지구1공구" xfId="772"/>
    <cellStyle name="_노천1지구2공구" xfId="773"/>
    <cellStyle name="_노천1지구2공구_2(변경)-토공" xfId="774"/>
    <cellStyle name="_노천3지구3공구" xfId="775"/>
    <cellStyle name="_노틸러스 효성 원가 분석표 v1.3" xfId="8707"/>
    <cellStyle name="_녹산기연-대비2" xfId="8708"/>
    <cellStyle name="_농경연_견적서_20070628" xfId="8709"/>
    <cellStyle name="_농수로3종외-최종" xfId="8710"/>
    <cellStyle name="_농심(서인철팀장님)-ML570외_X3.0-20040527" xfId="8711"/>
    <cellStyle name="_농악마을조성계획수립(06.10.16)" xfId="776"/>
    <cellStyle name="_농협중앙회_범용스캐너 견적_070810" xfId="8712"/>
    <cellStyle name="_다우SW(1023)" xfId="777"/>
    <cellStyle name="_단계준공정산" xfId="8713"/>
    <cellStyle name="_단계지중광조장표" xfId="8714"/>
    <cellStyle name="_단계지중설계준공" xfId="8715"/>
    <cellStyle name="_단계천(수량)" xfId="778"/>
    <cellStyle name="_단계천(수량)_04포장공" xfId="8716"/>
    <cellStyle name="_단계천(수량)_3.구조물공" xfId="8717"/>
    <cellStyle name="_단계천(수량)_3.구조물공_04포장공" xfId="8718"/>
    <cellStyle name="_단계천(수량)_3.구조물공_3.구조물공" xfId="8719"/>
    <cellStyle name="_단계천(수량)_3.구조물공_3.구조물공_04포장공" xfId="8720"/>
    <cellStyle name="_단계천(수량)_3.구조물공_3.물공" xfId="8721"/>
    <cellStyle name="_단계천(수량)_3.구조물공_3.물공_04포장공" xfId="8722"/>
    <cellStyle name="_단계천(수량)_3.구조물공_보수량집계(우근)" xfId="8723"/>
    <cellStyle name="_단계천(수량)_3.구조물공_보수량집계(우근)_04포장공" xfId="8724"/>
    <cellStyle name="_단계천(수량)_3.구조물공_석축" xfId="8725"/>
    <cellStyle name="_단계천(수량)_3.구조물공_석축_04포장공" xfId="8726"/>
    <cellStyle name="_단계천(수량)_두릉1제 수량산출서" xfId="779"/>
    <cellStyle name="_단계천(수량)_배수구조물공" xfId="8727"/>
    <cellStyle name="_단계천(수량)_배수구조물공_04포장공" xfId="8728"/>
    <cellStyle name="_단계천(수량)_배수구조물공_3.구조물공" xfId="8729"/>
    <cellStyle name="_단계천(수량)_배수구조물공_3.구조물공_04포장공" xfId="8730"/>
    <cellStyle name="_단계천(수량)_배수구조물공_3.구조물공_3.구조물공" xfId="8731"/>
    <cellStyle name="_단계천(수량)_배수구조물공_3.구조물공_3.구조물공_04포장공" xfId="8732"/>
    <cellStyle name="_단계천(수량)_배수구조물공_3.구조물공_3.물공" xfId="8733"/>
    <cellStyle name="_단계천(수량)_배수구조물공_3.구조물공_3.물공_04포장공" xfId="8734"/>
    <cellStyle name="_단계천(수량)_배수구조물공_3.구조물공_보수량집계(우근)" xfId="8735"/>
    <cellStyle name="_단계천(수량)_배수구조물공_3.구조물공_보수량집계(우근)_04포장공" xfId="8736"/>
    <cellStyle name="_단계천(수량)_배수구조물공_3.구조물공_석축" xfId="8737"/>
    <cellStyle name="_단계천(수량)_배수구조물공_3.구조물공_석축_04포장공" xfId="8738"/>
    <cellStyle name="_단계천(수량)_우수집수정U형집계" xfId="8739"/>
    <cellStyle name="_단계천(수량)_우수집수정U형집계_04포장공" xfId="8740"/>
    <cellStyle name="_단계천(수량)_우수집수정U형집계_3.구조물공" xfId="8741"/>
    <cellStyle name="_단계천(수량)_우수집수정U형집계_3.구조물공_04포장공" xfId="8742"/>
    <cellStyle name="_단계천(수량)_우수집수정U형집계_3.구조물공_3.구조물공" xfId="8743"/>
    <cellStyle name="_단계천(수량)_우수집수정U형집계_3.구조물공_3.구조물공_04포장공" xfId="8744"/>
    <cellStyle name="_단계천(수량)_우수집수정U형집계_3.구조물공_3.물공" xfId="8745"/>
    <cellStyle name="_단계천(수량)_우수집수정U형집계_3.구조물공_3.물공_04포장공" xfId="8746"/>
    <cellStyle name="_단계천(수량)_우수집수정U형집계_3.구조물공_보수량집계(우근)" xfId="8747"/>
    <cellStyle name="_단계천(수량)_우수집수정U형집계_3.구조물공_보수량집계(우근)_04포장공" xfId="8748"/>
    <cellStyle name="_단계천(수량)_우수집수정U형집계_3.구조물공_석축" xfId="8749"/>
    <cellStyle name="_단계천(수량)_우수집수정U형집계_3.구조물공_석축_04포장공" xfId="8750"/>
    <cellStyle name="_단계천(수량)_인계1공구 수량산출" xfId="780"/>
    <cellStyle name="_단계천(수량)_총자재집계표" xfId="781"/>
    <cellStyle name="_단계천(수량)_콘크리트포장공" xfId="8751"/>
    <cellStyle name="_단계천(수량)_콘크리트포장공_03포장공" xfId="8752"/>
    <cellStyle name="_단계천(수량)_콘크리트포장공_03포장공_04포장공" xfId="8753"/>
    <cellStyle name="_단계천(수량)_콘크리트포장공_04포장공" xfId="8754"/>
    <cellStyle name="_단계천(수량)_콘크리트포장공_14수량산출서" xfId="8755"/>
    <cellStyle name="_단계천(수량)_콘크리트포장공_14수량산출서_04포장공" xfId="8756"/>
    <cellStyle name="_단계천(수량)_콘크리트포장공_수량산출서" xfId="8757"/>
    <cellStyle name="_단순(지장이설)공사샘플양식" xfId="8758"/>
    <cellStyle name="_달성 3차산업단지(항측)_수정_2차(최종)" xfId="782"/>
    <cellStyle name="_담양군 수치정사영상지도 제작_최종" xfId="783"/>
    <cellStyle name="_당동(청강)" xfId="784"/>
    <cellStyle name="_당동(청강디스켓1)" xfId="785"/>
    <cellStyle name="_당진군 지역 항공측량 2㎢" xfId="786"/>
    <cellStyle name="_당평변경" xfId="8759"/>
    <cellStyle name="_대갑견적" xfId="12571"/>
    <cellStyle name="_대갑견적1" xfId="12572"/>
    <cellStyle name="_대곡리(한실도로)" xfId="787"/>
    <cellStyle name="_대곡이설(투찰)" xfId="788"/>
    <cellStyle name="_대곡이설(투찰)_01 실행(군장산단) Rev00" xfId="789"/>
    <cellStyle name="_대곡이설(투찰)_01 실행(군장산단) Rev00_01 실행(부산남컨가호안109-원안분) REV04" xfId="790"/>
    <cellStyle name="_대곡이설(투찰)_1" xfId="791"/>
    <cellStyle name="_대곡이설(투찰)_1_01 실행(군장산단) Rev00" xfId="792"/>
    <cellStyle name="_대곡이설(투찰)_1_01 실행(군장산단) Rev00_01 실행(부산남컨가호안109-원안분) REV04" xfId="793"/>
    <cellStyle name="_대곡이설(투찰)_1_경찰서-터미널간도로(투찰)②" xfId="794"/>
    <cellStyle name="_대곡이설(투찰)_1_경찰서-터미널간도로(투찰)②_01 실행(군장산단) Rev00" xfId="795"/>
    <cellStyle name="_대곡이설(투찰)_1_경찰서-터미널간도로(투찰)②_01 실행(군장산단) Rev00_01 실행(부산남컨가호안109-원안분) REV04" xfId="796"/>
    <cellStyle name="_대곡이설(투찰)_1_봉무지방산업단지도로(투찰)②" xfId="797"/>
    <cellStyle name="_대곡이설(투찰)_1_봉무지방산업단지도로(투찰)②_01 실행(군장산단) Rev00" xfId="798"/>
    <cellStyle name="_대곡이설(투찰)_1_봉무지방산업단지도로(투찰)②_01 실행(군장산단) Rev00_01 실행(부산남컨가호안109-원안분) REV04" xfId="799"/>
    <cellStyle name="_대곡이설(투찰)_1_봉무지방산업단지도로(투찰)②+0.250%" xfId="800"/>
    <cellStyle name="_대곡이설(투찰)_1_봉무지방산업단지도로(투찰)②+0.250%_01 실행(군장산단) Rev00" xfId="801"/>
    <cellStyle name="_대곡이설(투찰)_1_봉무지방산업단지도로(투찰)②+0.250%_01 실행(군장산단) Rev00_01 실행(부산남컨가호안109-원안분) REV04" xfId="802"/>
    <cellStyle name="_대곡이설(투찰)_1_합덕-신례원(2공구)투찰" xfId="803"/>
    <cellStyle name="_대곡이설(투찰)_1_합덕-신례원(2공구)투찰_01 실행(군장산단) Rev00" xfId="804"/>
    <cellStyle name="_대곡이설(투찰)_1_합덕-신례원(2공구)투찰_01 실행(군장산단) Rev00_01 실행(부산남컨가호안109-원안분) REV04" xfId="805"/>
    <cellStyle name="_대곡이설(투찰)_1_합덕-신례원(2공구)투찰_경찰서-터미널간도로(투찰)②" xfId="806"/>
    <cellStyle name="_대곡이설(투찰)_1_합덕-신례원(2공구)투찰_경찰서-터미널간도로(투찰)②_01 실행(군장산단) Rev00" xfId="807"/>
    <cellStyle name="_대곡이설(투찰)_1_합덕-신례원(2공구)투찰_경찰서-터미널간도로(투찰)②_01 실행(군장산단) Rev00_01 실행(부산남컨가호안109-원안분) REV04" xfId="808"/>
    <cellStyle name="_대곡이설(투찰)_1_합덕-신례원(2공구)투찰_봉무지방산업단지도로(투찰)②" xfId="809"/>
    <cellStyle name="_대곡이설(투찰)_1_합덕-신례원(2공구)투찰_봉무지방산업단지도로(투찰)②_01 실행(군장산단) Rev00" xfId="810"/>
    <cellStyle name="_대곡이설(투찰)_1_합덕-신례원(2공구)투찰_봉무지방산업단지도로(투찰)②_01 실행(군장산단) Rev00_01 실행(부산남컨가호안109-원안분) REV04" xfId="811"/>
    <cellStyle name="_대곡이설(투찰)_1_합덕-신례원(2공구)투찰_봉무지방산업단지도로(투찰)②+0.250%" xfId="812"/>
    <cellStyle name="_대곡이설(투찰)_1_합덕-신례원(2공구)투찰_봉무지방산업단지도로(투찰)②+0.250%_01 실행(군장산단) Rev00" xfId="813"/>
    <cellStyle name="_대곡이설(투찰)_1_합덕-신례원(2공구)투찰_봉무지방산업단지도로(투찰)②+0.250%_01 실행(군장산단) Rev00_01 실행(부산남컨가호안109-원안분) REV04" xfId="814"/>
    <cellStyle name="_대곡이설(투찰)_1_합덕-신례원(2공구)투찰_합덕-신례원(2공구)투찰" xfId="815"/>
    <cellStyle name="_대곡이설(투찰)_1_합덕-신례원(2공구)투찰_합덕-신례원(2공구)투찰_01 실행(군장산단) Rev00" xfId="816"/>
    <cellStyle name="_대곡이설(투찰)_1_합덕-신례원(2공구)투찰_합덕-신례원(2공구)투찰_01 실행(군장산단) Rev00_01 실행(부산남컨가호안109-원안분) REV04" xfId="817"/>
    <cellStyle name="_대곡이설(투찰)_1_합덕-신례원(2공구)투찰_합덕-신례원(2공구)투찰_경찰서-터미널간도로(투찰)②" xfId="818"/>
    <cellStyle name="_대곡이설(투찰)_1_합덕-신례원(2공구)투찰_합덕-신례원(2공구)투찰_경찰서-터미널간도로(투찰)②_01 실행(군장산단) Rev00" xfId="819"/>
    <cellStyle name="_대곡이설(투찰)_1_합덕-신례원(2공구)투찰_합덕-신례원(2공구)투찰_경찰서-터미널간도로(투찰)②_01 실행(군장산단) Rev00_01 실행(부산남컨가호안109-원안분) REV04" xfId="820"/>
    <cellStyle name="_대곡이설(투찰)_1_합덕-신례원(2공구)투찰_합덕-신례원(2공구)투찰_봉무지방산업단지도로(투찰)②" xfId="821"/>
    <cellStyle name="_대곡이설(투찰)_1_합덕-신례원(2공구)투찰_합덕-신례원(2공구)투찰_봉무지방산업단지도로(투찰)②_01 실행(군장산단) Rev00" xfId="822"/>
    <cellStyle name="_대곡이설(투찰)_1_합덕-신례원(2공구)투찰_합덕-신례원(2공구)투찰_봉무지방산업단지도로(투찰)②_01 실행(군장산단) Rev00_01 실행(부산남컨가호안109-원안분) REV04" xfId="823"/>
    <cellStyle name="_대곡이설(투찰)_1_합덕-신례원(2공구)투찰_합덕-신례원(2공구)투찰_봉무지방산업단지도로(투찰)②+0.250%" xfId="824"/>
    <cellStyle name="_대곡이설(투찰)_1_합덕-신례원(2공구)투찰_합덕-신례원(2공구)투찰_봉무지방산업단지도로(투찰)②+0.250%_01 실행(군장산단) Rev00" xfId="825"/>
    <cellStyle name="_대곡이설(투찰)_1_합덕-신례원(2공구)투찰_합덕-신례원(2공구)투찰_봉무지방산업단지도로(투찰)②+0.250%_01 실행(군장산단) Rev00_01 실행(부산남컨가호안109-원안분) REV04" xfId="826"/>
    <cellStyle name="_대곡이설(투찰)_경찰서-터미널간도로(투찰)②" xfId="827"/>
    <cellStyle name="_대곡이설(투찰)_경찰서-터미널간도로(투찰)②_01 실행(군장산단) Rev00" xfId="828"/>
    <cellStyle name="_대곡이설(투찰)_경찰서-터미널간도로(투찰)②_01 실행(군장산단) Rev00_01 실행(부산남컨가호안109-원안분) REV04" xfId="829"/>
    <cellStyle name="_대곡이설(투찰)_도덕-고흥도로(투찰)" xfId="830"/>
    <cellStyle name="_대곡이설(투찰)_도덕-고흥도로(투찰)_01 실행(군장산단) Rev00" xfId="831"/>
    <cellStyle name="_대곡이설(투찰)_도덕-고흥도로(투찰)_01 실행(군장산단) Rev00_01 실행(부산남컨가호안109-원안분) REV04" xfId="832"/>
    <cellStyle name="_대곡이설(투찰)_도덕-고흥도로(투찰)_경찰서-터미널간도로(투찰)②" xfId="833"/>
    <cellStyle name="_대곡이설(투찰)_도덕-고흥도로(투찰)_경찰서-터미널간도로(투찰)②_01 실행(군장산단) Rev00" xfId="834"/>
    <cellStyle name="_대곡이설(투찰)_도덕-고흥도로(투찰)_경찰서-터미널간도로(투찰)②_01 실행(군장산단) Rev00_01 실행(부산남컨가호안109-원안분) REV04" xfId="835"/>
    <cellStyle name="_대곡이설(투찰)_도덕-고흥도로(투찰)_봉무지방산업단지도로(투찰)②" xfId="836"/>
    <cellStyle name="_대곡이설(투찰)_도덕-고흥도로(투찰)_봉무지방산업단지도로(투찰)②_01 실행(군장산단) Rev00" xfId="837"/>
    <cellStyle name="_대곡이설(투찰)_도덕-고흥도로(투찰)_봉무지방산업단지도로(투찰)②_01 실행(군장산단) Rev00_01 실행(부산남컨가호안109-원안분) REV04" xfId="838"/>
    <cellStyle name="_대곡이설(투찰)_도덕-고흥도로(투찰)_봉무지방산업단지도로(투찰)②+0.250%" xfId="839"/>
    <cellStyle name="_대곡이설(투찰)_도덕-고흥도로(투찰)_봉무지방산업단지도로(투찰)②+0.250%_01 실행(군장산단) Rev00" xfId="840"/>
    <cellStyle name="_대곡이설(투찰)_도덕-고흥도로(투찰)_봉무지방산업단지도로(투찰)②+0.250%_01 실행(군장산단) Rev00_01 실행(부산남컨가호안109-원안분) REV04" xfId="841"/>
    <cellStyle name="_대곡이설(투찰)_도덕-고흥도로(투찰)_합덕-신례원(2공구)투찰" xfId="842"/>
    <cellStyle name="_대곡이설(투찰)_도덕-고흥도로(투찰)_합덕-신례원(2공구)투찰_01 실행(군장산단) Rev00" xfId="843"/>
    <cellStyle name="_대곡이설(투찰)_도덕-고흥도로(투찰)_합덕-신례원(2공구)투찰_01 실행(군장산단) Rev00_01 실행(부산남컨가호안109-원안분) REV04" xfId="844"/>
    <cellStyle name="_대곡이설(투찰)_도덕-고흥도로(투찰)_합덕-신례원(2공구)투찰_경찰서-터미널간도로(투찰)②" xfId="845"/>
    <cellStyle name="_대곡이설(투찰)_도덕-고흥도로(투찰)_합덕-신례원(2공구)투찰_경찰서-터미널간도로(투찰)②_01 실행(군장산단) Rev00" xfId="846"/>
    <cellStyle name="_대곡이설(투찰)_도덕-고흥도로(투찰)_합덕-신례원(2공구)투찰_경찰서-터미널간도로(투찰)②_01 실행(군장산단) Rev00_01 실행(부산남컨가호안109-원안분) REV04" xfId="847"/>
    <cellStyle name="_대곡이설(투찰)_도덕-고흥도로(투찰)_합덕-신례원(2공구)투찰_봉무지방산업단지도로(투찰)②" xfId="848"/>
    <cellStyle name="_대곡이설(투찰)_도덕-고흥도로(투찰)_합덕-신례원(2공구)투찰_봉무지방산업단지도로(투찰)②_01 실행(군장산단) Rev00" xfId="849"/>
    <cellStyle name="_대곡이설(투찰)_도덕-고흥도로(투찰)_합덕-신례원(2공구)투찰_봉무지방산업단지도로(투찰)②_01 실행(군장산단) Rev00_01 실행(부산남컨가호안109-원안분) REV04" xfId="850"/>
    <cellStyle name="_대곡이설(투찰)_도덕-고흥도로(투찰)_합덕-신례원(2공구)투찰_봉무지방산업단지도로(투찰)②+0.250%" xfId="851"/>
    <cellStyle name="_대곡이설(투찰)_도덕-고흥도로(투찰)_합덕-신례원(2공구)투찰_봉무지방산업단지도로(투찰)②+0.250%_01 실행(군장산단) Rev00" xfId="852"/>
    <cellStyle name="_대곡이설(투찰)_도덕-고흥도로(투찰)_합덕-신례원(2공구)투찰_봉무지방산업단지도로(투찰)②+0.250%_01 실행(군장산단) Rev00_01 실행(부산남컨가호안109-원안분) REV04" xfId="853"/>
    <cellStyle name="_대곡이설(투찰)_도덕-고흥도로(투찰)_합덕-신례원(2공구)투찰_합덕-신례원(2공구)투찰" xfId="854"/>
    <cellStyle name="_대곡이설(투찰)_도덕-고흥도로(투찰)_합덕-신례원(2공구)투찰_합덕-신례원(2공구)투찰_01 실행(군장산단) Rev00" xfId="855"/>
    <cellStyle name="_대곡이설(투찰)_도덕-고흥도로(투찰)_합덕-신례원(2공구)투찰_합덕-신례원(2공구)투찰_01 실행(군장산단) Rev00_01 실행(부산남컨가호안109-원안분) REV04" xfId="856"/>
    <cellStyle name="_대곡이설(투찰)_도덕-고흥도로(투찰)_합덕-신례원(2공구)투찰_합덕-신례원(2공구)투찰_경찰서-터미널간도로(투찰)②" xfId="857"/>
    <cellStyle name="_대곡이설(투찰)_도덕-고흥도로(투찰)_합덕-신례원(2공구)투찰_합덕-신례원(2공구)투찰_경찰서-터미널간도로(투찰)②_01 실행(군장산단) Rev00" xfId="858"/>
    <cellStyle name="_대곡이설(투찰)_도덕-고흥도로(투찰)_합덕-신례원(2공구)투찰_합덕-신례원(2공구)투찰_경찰서-터미널간도로(투찰)②_01 실행(군장산단) Rev00_01 실행(부산남컨가호안109-원안분) REV04" xfId="859"/>
    <cellStyle name="_대곡이설(투찰)_도덕-고흥도로(투찰)_합덕-신례원(2공구)투찰_합덕-신례원(2공구)투찰_봉무지방산업단지도로(투찰)②" xfId="860"/>
    <cellStyle name="_대곡이설(투찰)_도덕-고흥도로(투찰)_합덕-신례원(2공구)투찰_합덕-신례원(2공구)투찰_봉무지방산업단지도로(투찰)②_01 실행(군장산단) Rev00" xfId="861"/>
    <cellStyle name="_대곡이설(투찰)_도덕-고흥도로(투찰)_합덕-신례원(2공구)투찰_합덕-신례원(2공구)투찰_봉무지방산업단지도로(투찰)②_01 실행(군장산단) Rev00_01 실행(부산남컨가호안109-원안분) REV04" xfId="862"/>
    <cellStyle name="_대곡이설(투찰)_도덕-고흥도로(투찰)_합덕-신례원(2공구)투찰_합덕-신례원(2공구)투찰_봉무지방산업단지도로(투찰)②+0.250%" xfId="863"/>
    <cellStyle name="_대곡이설(투찰)_도덕-고흥도로(투찰)_합덕-신례원(2공구)투찰_합덕-신례원(2공구)투찰_봉무지방산업단지도로(투찰)②+0.250%_01 실행(군장산단) Rev00" xfId="864"/>
    <cellStyle name="_대곡이설(투찰)_도덕-고흥도로(투찰)_합덕-신례원(2공구)투찰_합덕-신례원(2공구)투찰_봉무지방산업단지도로(투찰)②+0.250%_01 실행(군장산단) Rev00_01 실행(부산남컨가호안109-원안분) REV04" xfId="865"/>
    <cellStyle name="_대곡이설(투찰)_봉무지방산업단지도로(투찰)②" xfId="866"/>
    <cellStyle name="_대곡이설(투찰)_봉무지방산업단지도로(투찰)②_01 실행(군장산단) Rev00" xfId="867"/>
    <cellStyle name="_대곡이설(투찰)_봉무지방산업단지도로(투찰)②_01 실행(군장산단) Rev00_01 실행(부산남컨가호안109-원안분) REV04" xfId="868"/>
    <cellStyle name="_대곡이설(투찰)_봉무지방산업단지도로(투찰)②+0.250%" xfId="869"/>
    <cellStyle name="_대곡이설(투찰)_봉무지방산업단지도로(투찰)②+0.250%_01 실행(군장산단) Rev00" xfId="870"/>
    <cellStyle name="_대곡이설(투찰)_봉무지방산업단지도로(투찰)②+0.250%_01 실행(군장산단) Rev00_01 실행(부산남컨가호안109-원안분) REV04" xfId="871"/>
    <cellStyle name="_대곡이설(투찰)_안산부대(투찰)⑤" xfId="872"/>
    <cellStyle name="_대곡이설(투찰)_안산부대(투찰)⑤_01 실행(군장산단) Rev00" xfId="873"/>
    <cellStyle name="_대곡이설(투찰)_안산부대(투찰)⑤_01 실행(군장산단) Rev00_01 실행(부산남컨가호안109-원안분) REV04" xfId="874"/>
    <cellStyle name="_대곡이설(투찰)_안산부대(투찰)⑤_경찰서-터미널간도로(투찰)②" xfId="875"/>
    <cellStyle name="_대곡이설(투찰)_안산부대(투찰)⑤_경찰서-터미널간도로(투찰)②_01 실행(군장산단) Rev00" xfId="876"/>
    <cellStyle name="_대곡이설(투찰)_안산부대(투찰)⑤_경찰서-터미널간도로(투찰)②_01 실행(군장산단) Rev00_01 실행(부산남컨가호안109-원안분) REV04" xfId="877"/>
    <cellStyle name="_대곡이설(투찰)_안산부대(투찰)⑤_봉무지방산업단지도로(투찰)②" xfId="878"/>
    <cellStyle name="_대곡이설(투찰)_안산부대(투찰)⑤_봉무지방산업단지도로(투찰)②_01 실행(군장산단) Rev00" xfId="879"/>
    <cellStyle name="_대곡이설(투찰)_안산부대(투찰)⑤_봉무지방산업단지도로(투찰)②_01 실행(군장산단) Rev00_01 실행(부산남컨가호안109-원안분) REV04" xfId="880"/>
    <cellStyle name="_대곡이설(투찰)_안산부대(투찰)⑤_봉무지방산업단지도로(투찰)②+0.250%" xfId="881"/>
    <cellStyle name="_대곡이설(투찰)_안산부대(투찰)⑤_봉무지방산업단지도로(투찰)②+0.250%_01 실행(군장산단) Rev00" xfId="882"/>
    <cellStyle name="_대곡이설(투찰)_안산부대(투찰)⑤_봉무지방산업단지도로(투찰)②+0.250%_01 실행(군장산단) Rev00_01 실행(부산남컨가호안109-원안분) REV04" xfId="883"/>
    <cellStyle name="_대곡이설(투찰)_안산부대(투찰)⑤_합덕-신례원(2공구)투찰" xfId="884"/>
    <cellStyle name="_대곡이설(투찰)_안산부대(투찰)⑤_합덕-신례원(2공구)투찰_01 실행(군장산단) Rev00" xfId="885"/>
    <cellStyle name="_대곡이설(투찰)_안산부대(투찰)⑤_합덕-신례원(2공구)투찰_01 실행(군장산단) Rev00_01 실행(부산남컨가호안109-원안분) REV04" xfId="886"/>
    <cellStyle name="_대곡이설(투찰)_안산부대(투찰)⑤_합덕-신례원(2공구)투찰_경찰서-터미널간도로(투찰)②" xfId="887"/>
    <cellStyle name="_대곡이설(투찰)_안산부대(투찰)⑤_합덕-신례원(2공구)투찰_경찰서-터미널간도로(투찰)②_01 실행(군장산단) Rev00" xfId="888"/>
    <cellStyle name="_대곡이설(투찰)_안산부대(투찰)⑤_합덕-신례원(2공구)투찰_경찰서-터미널간도로(투찰)②_01 실행(군장산단) Rev00_01 실행(부산남컨가호안109-원안분) REV04" xfId="889"/>
    <cellStyle name="_대곡이설(투찰)_안산부대(투찰)⑤_합덕-신례원(2공구)투찰_봉무지방산업단지도로(투찰)②" xfId="890"/>
    <cellStyle name="_대곡이설(투찰)_안산부대(투찰)⑤_합덕-신례원(2공구)투찰_봉무지방산업단지도로(투찰)②_01 실행(군장산단) Rev00" xfId="891"/>
    <cellStyle name="_대곡이설(투찰)_안산부대(투찰)⑤_합덕-신례원(2공구)투찰_봉무지방산업단지도로(투찰)②_01 실행(군장산단) Rev00_01 실행(부산남컨가호안109-원안분) REV04" xfId="892"/>
    <cellStyle name="_대곡이설(투찰)_안산부대(투찰)⑤_합덕-신례원(2공구)투찰_봉무지방산업단지도로(투찰)②+0.250%" xfId="893"/>
    <cellStyle name="_대곡이설(투찰)_안산부대(투찰)⑤_합덕-신례원(2공구)투찰_봉무지방산업단지도로(투찰)②+0.250%_01 실행(군장산단) Rev00" xfId="894"/>
    <cellStyle name="_대곡이설(투찰)_안산부대(투찰)⑤_합덕-신례원(2공구)투찰_봉무지방산업단지도로(투찰)②+0.250%_01 실행(군장산단) Rev00_01 실행(부산남컨가호안109-원안분) REV04" xfId="895"/>
    <cellStyle name="_대곡이설(투찰)_안산부대(투찰)⑤_합덕-신례원(2공구)투찰_합덕-신례원(2공구)투찰" xfId="896"/>
    <cellStyle name="_대곡이설(투찰)_안산부대(투찰)⑤_합덕-신례원(2공구)투찰_합덕-신례원(2공구)투찰_01 실행(군장산단) Rev00" xfId="897"/>
    <cellStyle name="_대곡이설(투찰)_안산부대(투찰)⑤_합덕-신례원(2공구)투찰_합덕-신례원(2공구)투찰_01 실행(군장산단) Rev00_01 실행(부산남컨가호안109-원안분) REV04" xfId="898"/>
    <cellStyle name="_대곡이설(투찰)_안산부대(투찰)⑤_합덕-신례원(2공구)투찰_합덕-신례원(2공구)투찰_경찰서-터미널간도로(투찰)②" xfId="899"/>
    <cellStyle name="_대곡이설(투찰)_안산부대(투찰)⑤_합덕-신례원(2공구)투찰_합덕-신례원(2공구)투찰_경찰서-터미널간도로(투찰)②_01 실행(군장산단) Rev00" xfId="900"/>
    <cellStyle name="_대곡이설(투찰)_안산부대(투찰)⑤_합덕-신례원(2공구)투찰_합덕-신례원(2공구)투찰_경찰서-터미널간도로(투찰)②_01 실행(군장산단) Rev00_01 실행(부산남컨가호안109-원안분) REV04" xfId="901"/>
    <cellStyle name="_대곡이설(투찰)_안산부대(투찰)⑤_합덕-신례원(2공구)투찰_합덕-신례원(2공구)투찰_봉무지방산업단지도로(투찰)②" xfId="902"/>
    <cellStyle name="_대곡이설(투찰)_안산부대(투찰)⑤_합덕-신례원(2공구)투찰_합덕-신례원(2공구)투찰_봉무지방산업단지도로(투찰)②_01 실행(군장산단) Rev00" xfId="903"/>
    <cellStyle name="_대곡이설(투찰)_안산부대(투찰)⑤_합덕-신례원(2공구)투찰_합덕-신례원(2공구)투찰_봉무지방산업단지도로(투찰)②_01 실행(군장산단) Rev00_01 실행(부산남컨가호안109-원안분) REV04" xfId="904"/>
    <cellStyle name="_대곡이설(투찰)_안산부대(투찰)⑤_합덕-신례원(2공구)투찰_합덕-신례원(2공구)투찰_봉무지방산업단지도로(투찰)②+0.250%" xfId="905"/>
    <cellStyle name="_대곡이설(투찰)_안산부대(투찰)⑤_합덕-신례원(2공구)투찰_합덕-신례원(2공구)투찰_봉무지방산업단지도로(투찰)②+0.250%_01 실행(군장산단) Rev00" xfId="906"/>
    <cellStyle name="_대곡이설(투찰)_안산부대(투찰)⑤_합덕-신례원(2공구)투찰_합덕-신례원(2공구)투찰_봉무지방산업단지도로(투찰)②+0.250%_01 실행(군장산단) Rev00_01 실행(부산남컨가호안109-원안분) REV04" xfId="907"/>
    <cellStyle name="_대곡이설(투찰)_양곡부두(투찰)-0.31%" xfId="908"/>
    <cellStyle name="_대곡이설(투찰)_양곡부두(투찰)-0.31%_01 실행(군장산단) Rev00" xfId="909"/>
    <cellStyle name="_대곡이설(투찰)_양곡부두(투찰)-0.31%_01 실행(군장산단) Rev00_01 실행(부산남컨가호안109-원안분) REV04" xfId="910"/>
    <cellStyle name="_대곡이설(투찰)_양곡부두(투찰)-0.31%_경찰서-터미널간도로(투찰)②" xfId="911"/>
    <cellStyle name="_대곡이설(투찰)_양곡부두(투찰)-0.31%_경찰서-터미널간도로(투찰)②_01 실행(군장산단) Rev00" xfId="912"/>
    <cellStyle name="_대곡이설(투찰)_양곡부두(투찰)-0.31%_경찰서-터미널간도로(투찰)②_01 실행(군장산단) Rev00_01 실행(부산남컨가호안109-원안분) REV04" xfId="913"/>
    <cellStyle name="_대곡이설(투찰)_양곡부두(투찰)-0.31%_봉무지방산업단지도로(투찰)②" xfId="914"/>
    <cellStyle name="_대곡이설(투찰)_양곡부두(투찰)-0.31%_봉무지방산업단지도로(투찰)②_01 실행(군장산단) Rev00" xfId="915"/>
    <cellStyle name="_대곡이설(투찰)_양곡부두(투찰)-0.31%_봉무지방산업단지도로(투찰)②_01 실행(군장산단) Rev00_01 실행(부산남컨가호안109-원안분) REV04" xfId="916"/>
    <cellStyle name="_대곡이설(투찰)_양곡부두(투찰)-0.31%_봉무지방산업단지도로(투찰)②+0.250%" xfId="917"/>
    <cellStyle name="_대곡이설(투찰)_양곡부두(투찰)-0.31%_봉무지방산업단지도로(투찰)②+0.250%_01 실행(군장산단) Rev00" xfId="918"/>
    <cellStyle name="_대곡이설(투찰)_양곡부두(투찰)-0.31%_봉무지방산업단지도로(투찰)②+0.250%_01 실행(군장산단) Rev00_01 실행(부산남컨가호안109-원안분) REV04" xfId="919"/>
    <cellStyle name="_대곡이설(투찰)_양곡부두(투찰)-0.31%_합덕-신례원(2공구)투찰" xfId="920"/>
    <cellStyle name="_대곡이설(투찰)_양곡부두(투찰)-0.31%_합덕-신례원(2공구)투찰_01 실행(군장산단) Rev00" xfId="921"/>
    <cellStyle name="_대곡이설(투찰)_양곡부두(투찰)-0.31%_합덕-신례원(2공구)투찰_01 실행(군장산단) Rev00_01 실행(부산남컨가호안109-원안분) REV04" xfId="922"/>
    <cellStyle name="_대곡이설(투찰)_양곡부두(투찰)-0.31%_합덕-신례원(2공구)투찰_경찰서-터미널간도로(투찰)②" xfId="923"/>
    <cellStyle name="_대곡이설(투찰)_양곡부두(투찰)-0.31%_합덕-신례원(2공구)투찰_경찰서-터미널간도로(투찰)②_01 실행(군장산단) Rev00" xfId="924"/>
    <cellStyle name="_대곡이설(투찰)_양곡부두(투찰)-0.31%_합덕-신례원(2공구)투찰_경찰서-터미널간도로(투찰)②_01 실행(군장산단) Rev00_01 실행(부산남컨가호안109-원안분) REV04" xfId="925"/>
    <cellStyle name="_대곡이설(투찰)_양곡부두(투찰)-0.31%_합덕-신례원(2공구)투찰_봉무지방산업단지도로(투찰)②" xfId="926"/>
    <cellStyle name="_대곡이설(투찰)_양곡부두(투찰)-0.31%_합덕-신례원(2공구)투찰_봉무지방산업단지도로(투찰)②_01 실행(군장산단) Rev00" xfId="927"/>
    <cellStyle name="_대곡이설(투찰)_양곡부두(투찰)-0.31%_합덕-신례원(2공구)투찰_봉무지방산업단지도로(투찰)②_01 실행(군장산단) Rev00_01 실행(부산남컨가호안109-원안분) REV04" xfId="928"/>
    <cellStyle name="_대곡이설(투찰)_양곡부두(투찰)-0.31%_합덕-신례원(2공구)투찰_봉무지방산업단지도로(투찰)②+0.250%" xfId="929"/>
    <cellStyle name="_대곡이설(투찰)_양곡부두(투찰)-0.31%_합덕-신례원(2공구)투찰_봉무지방산업단지도로(투찰)②+0.250%_01 실행(군장산단) Rev00" xfId="930"/>
    <cellStyle name="_대곡이설(투찰)_양곡부두(투찰)-0.31%_합덕-신례원(2공구)투찰_봉무지방산업단지도로(투찰)②+0.250%_01 실행(군장산단) Rev00_01 실행(부산남컨가호안109-원안분) REV04" xfId="931"/>
    <cellStyle name="_대곡이설(투찰)_양곡부두(투찰)-0.31%_합덕-신례원(2공구)투찰_합덕-신례원(2공구)투찰" xfId="932"/>
    <cellStyle name="_대곡이설(투찰)_양곡부두(투찰)-0.31%_합덕-신례원(2공구)투찰_합덕-신례원(2공구)투찰_01 실행(군장산단) Rev00" xfId="933"/>
    <cellStyle name="_대곡이설(투찰)_양곡부두(투찰)-0.31%_합덕-신례원(2공구)투찰_합덕-신례원(2공구)투찰_01 실행(군장산단) Rev00_01 실행(부산남컨가호안109-원안분) REV04" xfId="934"/>
    <cellStyle name="_대곡이설(투찰)_양곡부두(투찰)-0.31%_합덕-신례원(2공구)투찰_합덕-신례원(2공구)투찰_경찰서-터미널간도로(투찰)②" xfId="935"/>
    <cellStyle name="_대곡이설(투찰)_양곡부두(투찰)-0.31%_합덕-신례원(2공구)투찰_합덕-신례원(2공구)투찰_경찰서-터미널간도로(투찰)②_01 실행(군장산단) Rev00" xfId="936"/>
    <cellStyle name="_대곡이설(투찰)_양곡부두(투찰)-0.31%_합덕-신례원(2공구)투찰_합덕-신례원(2공구)투찰_경찰서-터미널간도로(투찰)②_01 실행(군장산단) Rev00_01 실행(부산남컨가호안109-원안분) REV04" xfId="937"/>
    <cellStyle name="_대곡이설(투찰)_양곡부두(투찰)-0.31%_합덕-신례원(2공구)투찰_합덕-신례원(2공구)투찰_봉무지방산업단지도로(투찰)②" xfId="938"/>
    <cellStyle name="_대곡이설(투찰)_양곡부두(투찰)-0.31%_합덕-신례원(2공구)투찰_합덕-신례원(2공구)투찰_봉무지방산업단지도로(투찰)②_01 실행(군장산단) Rev00" xfId="939"/>
    <cellStyle name="_대곡이설(투찰)_양곡부두(투찰)-0.31%_합덕-신례원(2공구)투찰_합덕-신례원(2공구)투찰_봉무지방산업단지도로(투찰)②_01 실행(군장산단) Rev00_01 실행(부산남컨가호안109-원안분) REV04" xfId="940"/>
    <cellStyle name="_대곡이설(투찰)_양곡부두(투찰)-0.31%_합덕-신례원(2공구)투찰_합덕-신례원(2공구)투찰_봉무지방산업단지도로(투찰)②+0.250%" xfId="941"/>
    <cellStyle name="_대곡이설(투찰)_양곡부두(투찰)-0.31%_합덕-신례원(2공구)투찰_합덕-신례원(2공구)투찰_봉무지방산업단지도로(투찰)②+0.250%_01 실행(군장산단) Rev00" xfId="942"/>
    <cellStyle name="_대곡이설(투찰)_양곡부두(투찰)-0.31%_합덕-신례원(2공구)투찰_합덕-신례원(2공구)투찰_봉무지방산업단지도로(투찰)②+0.250%_01 실행(군장산단) Rev00_01 실행(부산남컨가호안109-원안분) REV04" xfId="943"/>
    <cellStyle name="_대곡이설(투찰)_창원상수도(토목)투찰" xfId="944"/>
    <cellStyle name="_대곡이설(투찰)_창원상수도(토목)투찰_01 실행(군장산단) Rev00" xfId="945"/>
    <cellStyle name="_대곡이설(투찰)_창원상수도(토목)투찰_01 실행(군장산단) Rev00_01 실행(부산남컨가호안109-원안분) REV04" xfId="946"/>
    <cellStyle name="_대곡이설(투찰)_창원상수도(토목)투찰_경찰서-터미널간도로(투찰)②" xfId="947"/>
    <cellStyle name="_대곡이설(투찰)_창원상수도(토목)투찰_경찰서-터미널간도로(투찰)②_01 실행(군장산단) Rev00" xfId="948"/>
    <cellStyle name="_대곡이설(투찰)_창원상수도(토목)투찰_경찰서-터미널간도로(투찰)②_01 실행(군장산단) Rev00_01 실행(부산남컨가호안109-원안분) REV04" xfId="949"/>
    <cellStyle name="_대곡이설(투찰)_창원상수도(토목)투찰_봉무지방산업단지도로(투찰)②" xfId="950"/>
    <cellStyle name="_대곡이설(투찰)_창원상수도(토목)투찰_봉무지방산업단지도로(투찰)②_01 실행(군장산단) Rev00" xfId="951"/>
    <cellStyle name="_대곡이설(투찰)_창원상수도(토목)투찰_봉무지방산업단지도로(투찰)②_01 실행(군장산단) Rev00_01 실행(부산남컨가호안109-원안분) REV04" xfId="952"/>
    <cellStyle name="_대곡이설(투찰)_창원상수도(토목)투찰_봉무지방산업단지도로(투찰)②+0.250%" xfId="953"/>
    <cellStyle name="_대곡이설(투찰)_창원상수도(토목)투찰_봉무지방산업단지도로(투찰)②+0.250%_01 실행(군장산단) Rev00" xfId="954"/>
    <cellStyle name="_대곡이설(투찰)_창원상수도(토목)투찰_봉무지방산업단지도로(투찰)②+0.250%_01 실행(군장산단) Rev00_01 실행(부산남컨가호안109-원안분) REV04" xfId="955"/>
    <cellStyle name="_대곡이설(투찰)_창원상수도(토목)투찰_합덕-신례원(2공구)투찰" xfId="956"/>
    <cellStyle name="_대곡이설(투찰)_창원상수도(토목)투찰_합덕-신례원(2공구)투찰_01 실행(군장산단) Rev00" xfId="957"/>
    <cellStyle name="_대곡이설(투찰)_창원상수도(토목)투찰_합덕-신례원(2공구)투찰_01 실행(군장산단) Rev00_01 실행(부산남컨가호안109-원안분) REV04" xfId="958"/>
    <cellStyle name="_대곡이설(투찰)_창원상수도(토목)투찰_합덕-신례원(2공구)투찰_경찰서-터미널간도로(투찰)②" xfId="959"/>
    <cellStyle name="_대곡이설(투찰)_창원상수도(토목)투찰_합덕-신례원(2공구)투찰_경찰서-터미널간도로(투찰)②_01 실행(군장산단) Rev00" xfId="960"/>
    <cellStyle name="_대곡이설(투찰)_창원상수도(토목)투찰_합덕-신례원(2공구)투찰_경찰서-터미널간도로(투찰)②_01 실행(군장산단) Rev00_01 실행(부산남컨가호안109-원안분) REV04" xfId="961"/>
    <cellStyle name="_대곡이설(투찰)_창원상수도(토목)투찰_합덕-신례원(2공구)투찰_봉무지방산업단지도로(투찰)②" xfId="962"/>
    <cellStyle name="_대곡이설(투찰)_창원상수도(토목)투찰_합덕-신례원(2공구)투찰_봉무지방산업단지도로(투찰)②_01 실행(군장산단) Rev00" xfId="963"/>
    <cellStyle name="_대곡이설(투찰)_창원상수도(토목)투찰_합덕-신례원(2공구)투찰_봉무지방산업단지도로(투찰)②_01 실행(군장산단) Rev00_01 실행(부산남컨가호안109-원안분) REV04" xfId="964"/>
    <cellStyle name="_대곡이설(투찰)_창원상수도(토목)투찰_합덕-신례원(2공구)투찰_봉무지방산업단지도로(투찰)②+0.250%" xfId="965"/>
    <cellStyle name="_대곡이설(투찰)_창원상수도(토목)투찰_합덕-신례원(2공구)투찰_봉무지방산업단지도로(투찰)②+0.250%_01 실행(군장산단) Rev00" xfId="966"/>
    <cellStyle name="_대곡이설(투찰)_창원상수도(토목)투찰_합덕-신례원(2공구)투찰_봉무지방산업단지도로(투찰)②+0.250%_01 실행(군장산단) Rev00_01 실행(부산남컨가호안109-원안분) REV04" xfId="967"/>
    <cellStyle name="_대곡이설(투찰)_창원상수도(토목)투찰_합덕-신례원(2공구)투찰_합덕-신례원(2공구)투찰" xfId="968"/>
    <cellStyle name="_대곡이설(투찰)_창원상수도(토목)투찰_합덕-신례원(2공구)투찰_합덕-신례원(2공구)투찰_01 실행(군장산단) Rev00" xfId="969"/>
    <cellStyle name="_대곡이설(투찰)_창원상수도(토목)투찰_합덕-신례원(2공구)투찰_합덕-신례원(2공구)투찰_01 실행(군장산단) Rev00_01 실행(부산남컨가호안109-원안분) REV04" xfId="970"/>
    <cellStyle name="_대곡이설(투찰)_창원상수도(토목)투찰_합덕-신례원(2공구)투찰_합덕-신례원(2공구)투찰_경찰서-터미널간도로(투찰)②" xfId="971"/>
    <cellStyle name="_대곡이설(투찰)_창원상수도(토목)투찰_합덕-신례원(2공구)투찰_합덕-신례원(2공구)투찰_경찰서-터미널간도로(투찰)②_01 실행(군장산단) Rev00" xfId="972"/>
    <cellStyle name="_대곡이설(투찰)_창원상수도(토목)투찰_합덕-신례원(2공구)투찰_합덕-신례원(2공구)투찰_경찰서-터미널간도로(투찰)②_01 실행(군장산단) Rev00_01 실행(부산남컨가호안109-원안분) REV04" xfId="973"/>
    <cellStyle name="_대곡이설(투찰)_창원상수도(토목)투찰_합덕-신례원(2공구)투찰_합덕-신례원(2공구)투찰_봉무지방산업단지도로(투찰)②" xfId="974"/>
    <cellStyle name="_대곡이설(투찰)_창원상수도(토목)투찰_합덕-신례원(2공구)투찰_합덕-신례원(2공구)투찰_봉무지방산업단지도로(투찰)②_01 실행(군장산단) Rev00" xfId="975"/>
    <cellStyle name="_대곡이설(투찰)_창원상수도(토목)투찰_합덕-신례원(2공구)투찰_합덕-신례원(2공구)투찰_봉무지방산업단지도로(투찰)②_01 실행(군장산단) Rev00_01 실행(부산남컨가호안109-원안분) REV04" xfId="976"/>
    <cellStyle name="_대곡이설(투찰)_창원상수도(토목)투찰_합덕-신례원(2공구)투찰_합덕-신례원(2공구)투찰_봉무지방산업단지도로(투찰)②+0.250%" xfId="977"/>
    <cellStyle name="_대곡이설(투찰)_창원상수도(토목)투찰_합덕-신례원(2공구)투찰_합덕-신례원(2공구)투찰_봉무지방산업단지도로(투찰)②+0.250%_01 실행(군장산단) Rev00" xfId="978"/>
    <cellStyle name="_대곡이설(투찰)_창원상수도(토목)투찰_합덕-신례원(2공구)투찰_합덕-신례원(2공구)투찰_봉무지방산업단지도로(투찰)②+0.250%_01 실행(군장산단) Rev00_01 실행(부산남컨가호안109-원안분) REV04" xfId="979"/>
    <cellStyle name="_대곡이설(투찰)_합덕-신례원(2공구)투찰" xfId="980"/>
    <cellStyle name="_대곡이설(투찰)_합덕-신례원(2공구)투찰_01 실행(군장산단) Rev00" xfId="981"/>
    <cellStyle name="_대곡이설(투찰)_합덕-신례원(2공구)투찰_01 실행(군장산단) Rev00_01 실행(부산남컨가호안109-원안분) REV04" xfId="982"/>
    <cellStyle name="_대곡이설(투찰)_합덕-신례원(2공구)투찰_경찰서-터미널간도로(투찰)②" xfId="983"/>
    <cellStyle name="_대곡이설(투찰)_합덕-신례원(2공구)투찰_경찰서-터미널간도로(투찰)②_01 실행(군장산단) Rev00" xfId="984"/>
    <cellStyle name="_대곡이설(투찰)_합덕-신례원(2공구)투찰_경찰서-터미널간도로(투찰)②_01 실행(군장산단) Rev00_01 실행(부산남컨가호안109-원안분) REV04" xfId="985"/>
    <cellStyle name="_대곡이설(투찰)_합덕-신례원(2공구)투찰_봉무지방산업단지도로(투찰)②" xfId="986"/>
    <cellStyle name="_대곡이설(투찰)_합덕-신례원(2공구)투찰_봉무지방산업단지도로(투찰)②_01 실행(군장산단) Rev00" xfId="987"/>
    <cellStyle name="_대곡이설(투찰)_합덕-신례원(2공구)투찰_봉무지방산업단지도로(투찰)②_01 실행(군장산단) Rev00_01 실행(부산남컨가호안109-원안분) REV04" xfId="988"/>
    <cellStyle name="_대곡이설(투찰)_합덕-신례원(2공구)투찰_봉무지방산업단지도로(투찰)②+0.250%" xfId="989"/>
    <cellStyle name="_대곡이설(투찰)_합덕-신례원(2공구)투찰_봉무지방산업단지도로(투찰)②+0.250%_01 실행(군장산단) Rev00" xfId="990"/>
    <cellStyle name="_대곡이설(투찰)_합덕-신례원(2공구)투찰_봉무지방산업단지도로(투찰)②+0.250%_01 실행(군장산단) Rev00_01 실행(부산남컨가호안109-원안분) REV04" xfId="991"/>
    <cellStyle name="_대곡이설(투찰)_합덕-신례원(2공구)투찰_합덕-신례원(2공구)투찰" xfId="992"/>
    <cellStyle name="_대곡이설(투찰)_합덕-신례원(2공구)투찰_합덕-신례원(2공구)투찰_01 실행(군장산단) Rev00" xfId="993"/>
    <cellStyle name="_대곡이설(투찰)_합덕-신례원(2공구)투찰_합덕-신례원(2공구)투찰_01 실행(군장산단) Rev00_01 실행(부산남컨가호안109-원안분) REV04" xfId="994"/>
    <cellStyle name="_대곡이설(투찰)_합덕-신례원(2공구)투찰_합덕-신례원(2공구)투찰_경찰서-터미널간도로(투찰)②" xfId="995"/>
    <cellStyle name="_대곡이설(투찰)_합덕-신례원(2공구)투찰_합덕-신례원(2공구)투찰_경찰서-터미널간도로(투찰)②_01 실행(군장산단) Rev00" xfId="996"/>
    <cellStyle name="_대곡이설(투찰)_합덕-신례원(2공구)투찰_합덕-신례원(2공구)투찰_경찰서-터미널간도로(투찰)②_01 실행(군장산단) Rev00_01 실행(부산남컨가호안109-원안분) REV04" xfId="997"/>
    <cellStyle name="_대곡이설(투찰)_합덕-신례원(2공구)투찰_합덕-신례원(2공구)투찰_봉무지방산업단지도로(투찰)②" xfId="998"/>
    <cellStyle name="_대곡이설(투찰)_합덕-신례원(2공구)투찰_합덕-신례원(2공구)투찰_봉무지방산업단지도로(투찰)②_01 실행(군장산단) Rev00" xfId="999"/>
    <cellStyle name="_대곡이설(투찰)_합덕-신례원(2공구)투찰_합덕-신례원(2공구)투찰_봉무지방산업단지도로(투찰)②_01 실행(군장산단) Rev00_01 실행(부산남컨가호안109-원안분) REV04" xfId="1000"/>
    <cellStyle name="_대곡이설(투찰)_합덕-신례원(2공구)투찰_합덕-신례원(2공구)투찰_봉무지방산업단지도로(투찰)②+0.250%" xfId="1001"/>
    <cellStyle name="_대곡이설(투찰)_합덕-신례원(2공구)투찰_합덕-신례원(2공구)투찰_봉무지방산업단지도로(투찰)②+0.250%_01 실행(군장산단) Rev00" xfId="1002"/>
    <cellStyle name="_대곡이설(투찰)_합덕-신례원(2공구)투찰_합덕-신례원(2공구)투찰_봉무지방산업단지도로(투찰)②+0.250%_01 실행(군장산단) Rev00_01 실행(부산남컨가호안109-원안분) REV04" xfId="1003"/>
    <cellStyle name="_대구cc-마지막" xfId="8760"/>
    <cellStyle name="_대구논공초" xfId="8761"/>
    <cellStyle name="_대구시 일원 항공사진측량 용역" xfId="1004"/>
    <cellStyle name="_대구용산APT(견적)" xfId="12573"/>
    <cellStyle name="_대리1지구배수공사" xfId="8762"/>
    <cellStyle name="_대리2지구배수공사" xfId="8763"/>
    <cellStyle name="_대명포구개발계획내역서" xfId="1005"/>
    <cellStyle name="_대불공원" xfId="8764"/>
    <cellStyle name="_대성기연" xfId="8765"/>
    <cellStyle name="_대신체육공원실시설계용역" xfId="1006"/>
    <cellStyle name="_대안투찰내역(0221)" xfId="8766"/>
    <cellStyle name="_대안투찰내역(0221)_공종별공사내용(광주참고용)" xfId="8767"/>
    <cellStyle name="_대안투찰내역(0223)" xfId="8768"/>
    <cellStyle name="_대안투찰내역(0223)_공종별공사내용(광주참고용)" xfId="8769"/>
    <cellStyle name="_대안투찰내역(확정본0226)" xfId="8770"/>
    <cellStyle name="_대안투찰내역(확정본0226)_공종별공사내용(광주참고용)" xfId="8771"/>
    <cellStyle name="_대야늘푸른벽산 보강설계" xfId="8772"/>
    <cellStyle name="_대야성조성계획" xfId="1007"/>
    <cellStyle name="_대우정보 과천(ES40 833Mhz)" xfId="8773"/>
    <cellStyle name="_대전서붕고하도급" xfId="1008"/>
    <cellStyle name="_대한지적공사_3com웍그룹외1112" xfId="8774"/>
    <cellStyle name="_대한지적공사_한국DB진흥센터(WAPPLES1000_080923_3201)1" xfId="8775"/>
    <cellStyle name="_대한지적공사-한국데이터베이스진흥센터-080924" xfId="8776"/>
    <cellStyle name="_대호지~석문간지방도확포장공사(신일)" xfId="1009"/>
    <cellStyle name="_데이콤 선로 시설공사" xfId="8777"/>
    <cellStyle name="_데이타베이스진흥센타견적" xfId="8778"/>
    <cellStyle name="_데이타베이스진흥센타견적서" xfId="8779"/>
    <cellStyle name="_데이타헤븐_인천국제공항공사_한국DB진흥센터(20070222)" xfId="8780"/>
    <cellStyle name="_도곡1교 교대 수량" xfId="1010"/>
    <cellStyle name="_도곡1교 교대 수량_2(변경)-토공" xfId="1011"/>
    <cellStyle name="_도곡1교 교대 수량_3.1제1배수통관(시례우안3제)" xfId="8781"/>
    <cellStyle name="_도곡1교 교대 수량_3.2 제2배수통관" xfId="8782"/>
    <cellStyle name="_도곡1교 교대 수량_3.3 제3배수통관" xfId="8783"/>
    <cellStyle name="_도곡1교 교대 수량_3.구조물공(시례우안2제)" xfId="8784"/>
    <cellStyle name="_도곡1교 교대 수량_RAMP-E교-최종000" xfId="1012"/>
    <cellStyle name="_도곡1교 교대 수량_RAMP-E교-최종000_공유수면매립도시관리계획및실시설계용역" xfId="1013"/>
    <cellStyle name="_도곡1교 교대 수량_RAMP-E교-최종000_로하스변경내역서-5(06.6.7)" xfId="1014"/>
    <cellStyle name="_도곡1교 교대 수량_RAMP-E교-최종000_로하스변경내역서-5(06.6.7)_로하스변경내역서-6(06(1).6.27 당초변경)" xfId="1015"/>
    <cellStyle name="_도곡1교 교대 수량_RAMP-E교-최종000_로하스변경내역서-6(06.6.21)" xfId="1016"/>
    <cellStyle name="_도곡1교 교대 수량_RAMP-E교-최종000_로하스변경내역서-6(06.6.21)_로하스변경내역서-6(06(1).6.27 당초변경)" xfId="1017"/>
    <cellStyle name="_도곡1교 교대 수량_RAMP-E교-최종000_시방서" xfId="1018"/>
    <cellStyle name="_도곡1교 교대 수량_RAMP-E교-최종000_시방서_공유수면매립도시관리계획및실시설계용역" xfId="1019"/>
    <cellStyle name="_도곡1교 교대 수량_RAMP-E교-최종000_시방서_로하스변경내역서-5(06.6.7)" xfId="1020"/>
    <cellStyle name="_도곡1교 교대 수량_RAMP-E교-최종000_시방서_로하스변경내역서-5(06.6.7)_로하스변경내역서-6(06(1).6.27 당초변경)" xfId="1021"/>
    <cellStyle name="_도곡1교 교대 수량_RAMP-E교-최종000_시방서_로하스변경내역서-6(06.6.21)" xfId="1022"/>
    <cellStyle name="_도곡1교 교대 수량_RAMP-E교-최종000_시방서_로하스변경내역서-6(06.6.21)_로하스변경내역서-6(06(1).6.27 당초변경)" xfId="1023"/>
    <cellStyle name="_도곡1교 교대 수량_RAMP-E교-최종000_파도 - 모항선 횡배수관 확장" xfId="1024"/>
    <cellStyle name="_도곡1교 교대 수량_RAMP-E교-최종000_파도 - 모항선 횡배수관 확장_공유수면매립도시관리계획및실시설계용역" xfId="1025"/>
    <cellStyle name="_도곡1교 교대 수량_RAMP-E교-최종000_파도 - 모항선 횡배수관 확장_로하스변경내역서-5(06.6.7)" xfId="1026"/>
    <cellStyle name="_도곡1교 교대 수량_RAMP-E교-최종000_파도 - 모항선 횡배수관 확장_로하스변경내역서-5(06.6.7)_로하스변경내역서-6(06(1).6.27 당초변경)" xfId="1027"/>
    <cellStyle name="_도곡1교 교대 수량_RAMP-E교-최종000_파도 - 모항선 횡배수관 확장_로하스변경내역서-6(06.6.21)" xfId="1028"/>
    <cellStyle name="_도곡1교 교대 수량_RAMP-E교-최종000_파도 - 모항선 횡배수관 확장_로하스변경내역서-6(06.6.21)_로하스변경내역서-6(06(1).6.27 당초변경)" xfId="1029"/>
    <cellStyle name="_도곡1교 교대 수량_RAMP-E교-최종000_파도 - 모항선 횡배수관 확장_시방서" xfId="1030"/>
    <cellStyle name="_도곡1교 교대 수량_RAMP-E교-최종000_파도 - 모항선 횡배수관 확장_시방서_공유수면매립도시관리계획및실시설계용역" xfId="1031"/>
    <cellStyle name="_도곡1교 교대 수량_RAMP-E교-최종000_파도 - 모항선 횡배수관 확장_시방서_로하스변경내역서-5(06.6.7)" xfId="1032"/>
    <cellStyle name="_도곡1교 교대 수량_RAMP-E교-최종000_파도 - 모항선 횡배수관 확장_시방서_로하스변경내역서-5(06.6.7)_로하스변경내역서-6(06(1).6.27 당초변경)" xfId="1033"/>
    <cellStyle name="_도곡1교 교대 수량_RAMP-E교-최종000_파도 - 모항선 횡배수관 확장_시방서_로하스변경내역서-6(06.6.21)" xfId="1034"/>
    <cellStyle name="_도곡1교 교대 수량_RAMP-E교-최종000_파도 - 모항선 횡배수관 확장_시방서_로하스변경내역서-6(06.6.21)_로하스변경내역서-6(06(1).6.27 당초변경)" xfId="1035"/>
    <cellStyle name="_도곡1교 교대 수량_공유수면매립도시관리계획및실시설계용역" xfId="1036"/>
    <cellStyle name="_도곡1교 교대 수량_로하스변경내역서-5(06.6.7)" xfId="1037"/>
    <cellStyle name="_도곡1교 교대 수량_로하스변경내역서-5(06.6.7)_로하스변경내역서-6(06(1).6.27 당초변경)" xfId="1038"/>
    <cellStyle name="_도곡1교 교대 수량_로하스변경내역서-6(06.6.21)" xfId="1039"/>
    <cellStyle name="_도곡1교 교대 수량_로하스변경내역서-6(06.6.21)_로하스변경내역서-6(06(1).6.27 당초변경)" xfId="1040"/>
    <cellStyle name="_도곡1교 교대 수량_시방서" xfId="1041"/>
    <cellStyle name="_도곡1교 교대 수량_시방서_공유수면매립도시관리계획및실시설계용역" xfId="1042"/>
    <cellStyle name="_도곡1교 교대 수량_시방서_로하스변경내역서-5(06.6.7)" xfId="1043"/>
    <cellStyle name="_도곡1교 교대 수량_시방서_로하스변경내역서-5(06.6.7)_로하스변경내역서-6(06(1).6.27 당초변경)" xfId="1044"/>
    <cellStyle name="_도곡1교 교대 수량_시방서_로하스변경내역서-6(06.6.21)" xfId="1045"/>
    <cellStyle name="_도곡1교 교대 수량_시방서_로하스변경내역서-6(06.6.21)_로하스변경내역서-6(06(1).6.27 당초변경)" xfId="1046"/>
    <cellStyle name="_도곡1교 교대 수량_신촌-유곡(암거)" xfId="1047"/>
    <cellStyle name="_도곡1교 교대 수량_신촌-유곡(암거)_04 BOX집" xfId="1048"/>
    <cellStyle name="_도곡1교 교대 수량_암거수량" xfId="1049"/>
    <cellStyle name="_도곡1교 교대 수량_암거수량(2)" xfId="1050"/>
    <cellStyle name="_도곡1교 교대 수량_암거수량(2)_04 BOX집" xfId="1051"/>
    <cellStyle name="_도곡1교 교대 수량_암거수량(2)_1련BOX" xfId="8785"/>
    <cellStyle name="_도곡1교 교대 수량_암거수량(2)_2련BOX" xfId="8786"/>
    <cellStyle name="_도곡1교 교대 수량_암거수량(2)_3.1제1배수통관(시례우안3제)" xfId="8787"/>
    <cellStyle name="_도곡1교 교대 수량_암거수량(2)_3.2 제2배수통관" xfId="8788"/>
    <cellStyle name="_도곡1교 교대 수량_암거수량(2)_3.3 제3배수통관" xfId="8789"/>
    <cellStyle name="_도곡1교 교대 수량_암거수량(2)_3.구조물공(시례우안2제)" xfId="8790"/>
    <cellStyle name="_도곡1교 교대 수량_암거수량_04 BOX집" xfId="1052"/>
    <cellStyle name="_도곡1교 교대 수량_암거수량_1련BOX" xfId="8791"/>
    <cellStyle name="_도곡1교 교대 수량_암거수량_2련BOX" xfId="8792"/>
    <cellStyle name="_도곡1교 교대 수량_암거수량_3.1제1배수통관(시례우안3제)" xfId="8793"/>
    <cellStyle name="_도곡1교 교대 수량_암거수량_3.2 제2배수통관" xfId="8794"/>
    <cellStyle name="_도곡1교 교대 수량_암거수량_3.3 제3배수통관" xfId="8795"/>
    <cellStyle name="_도곡1교 교대 수량_암거수량_3.구조물공(시례우안2제)" xfId="8796"/>
    <cellStyle name="_도곡1교 교대(시점) 수량" xfId="1053"/>
    <cellStyle name="_도곡1교 교대(시점) 수량_2(변경)-토공" xfId="1054"/>
    <cellStyle name="_도곡1교 교대(시점) 수량_3.1제1배수통관(시례우안3제)" xfId="8797"/>
    <cellStyle name="_도곡1교 교대(시점) 수량_3.2 제2배수통관" xfId="8798"/>
    <cellStyle name="_도곡1교 교대(시점) 수량_3.3 제3배수통관" xfId="8799"/>
    <cellStyle name="_도곡1교 교대(시점) 수량_3.구조물공(시례우안2제)" xfId="8800"/>
    <cellStyle name="_도곡1교 교대(시점) 수량_RAMP-E교-최종000" xfId="1055"/>
    <cellStyle name="_도곡1교 교대(시점) 수량_RAMP-E교-최종000_공유수면매립도시관리계획및실시설계용역" xfId="1056"/>
    <cellStyle name="_도곡1교 교대(시점) 수량_RAMP-E교-최종000_로하스변경내역서-5(06.6.7)" xfId="1057"/>
    <cellStyle name="_도곡1교 교대(시점) 수량_RAMP-E교-최종000_로하스변경내역서-5(06.6.7)_로하스변경내역서-6(06(1).6.27 당초변경)" xfId="1058"/>
    <cellStyle name="_도곡1교 교대(시점) 수량_RAMP-E교-최종000_로하스변경내역서-6(06.6.21)" xfId="1059"/>
    <cellStyle name="_도곡1교 교대(시점) 수량_RAMP-E교-최종000_로하스변경내역서-6(06.6.21)_로하스변경내역서-6(06(1).6.27 당초변경)" xfId="1060"/>
    <cellStyle name="_도곡1교 교대(시점) 수량_RAMP-E교-최종000_시방서" xfId="1061"/>
    <cellStyle name="_도곡1교 교대(시점) 수량_RAMP-E교-최종000_시방서_공유수면매립도시관리계획및실시설계용역" xfId="1062"/>
    <cellStyle name="_도곡1교 교대(시점) 수량_RAMP-E교-최종000_시방서_로하스변경내역서-5(06.6.7)" xfId="1063"/>
    <cellStyle name="_도곡1교 교대(시점) 수량_RAMP-E교-최종000_시방서_로하스변경내역서-5(06.6.7)_로하스변경내역서-6(06(1).6.27 당초변경)" xfId="1064"/>
    <cellStyle name="_도곡1교 교대(시점) 수량_RAMP-E교-최종000_시방서_로하스변경내역서-6(06.6.21)" xfId="1065"/>
    <cellStyle name="_도곡1교 교대(시점) 수량_RAMP-E교-최종000_시방서_로하스변경내역서-6(06.6.21)_로하스변경내역서-6(06(1).6.27 당초변경)" xfId="1066"/>
    <cellStyle name="_도곡1교 교대(시점) 수량_RAMP-E교-최종000_파도 - 모항선 횡배수관 확장" xfId="1067"/>
    <cellStyle name="_도곡1교 교대(시점) 수량_RAMP-E교-최종000_파도 - 모항선 횡배수관 확장_공유수면매립도시관리계획및실시설계용역" xfId="1068"/>
    <cellStyle name="_도곡1교 교대(시점) 수량_RAMP-E교-최종000_파도 - 모항선 횡배수관 확장_로하스변경내역서-5(06.6.7)" xfId="1069"/>
    <cellStyle name="_도곡1교 교대(시점) 수량_RAMP-E교-최종000_파도 - 모항선 횡배수관 확장_로하스변경내역서-5(06.6.7)_로하스변경내역서-6(06(1).6.27 당초변경)" xfId="1070"/>
    <cellStyle name="_도곡1교 교대(시점) 수량_RAMP-E교-최종000_파도 - 모항선 횡배수관 확장_로하스변경내역서-6(06.6.21)" xfId="1071"/>
    <cellStyle name="_도곡1교 교대(시점) 수량_RAMP-E교-최종000_파도 - 모항선 횡배수관 확장_로하스변경내역서-6(06.6.21)_로하스변경내역서-6(06(1).6.27 당초변경)" xfId="1072"/>
    <cellStyle name="_도곡1교 교대(시점) 수량_RAMP-E교-최종000_파도 - 모항선 횡배수관 확장_시방서" xfId="1073"/>
    <cellStyle name="_도곡1교 교대(시점) 수량_RAMP-E교-최종000_파도 - 모항선 횡배수관 확장_시방서_공유수면매립도시관리계획및실시설계용역" xfId="1074"/>
    <cellStyle name="_도곡1교 교대(시점) 수량_RAMP-E교-최종000_파도 - 모항선 횡배수관 확장_시방서_로하스변경내역서-5(06.6.7)" xfId="1075"/>
    <cellStyle name="_도곡1교 교대(시점) 수량_RAMP-E교-최종000_파도 - 모항선 횡배수관 확장_시방서_로하스변경내역서-5(06.6.7)_로하스변경내역서-6(06(1).6.27 당초변경)" xfId="1076"/>
    <cellStyle name="_도곡1교 교대(시점) 수량_RAMP-E교-최종000_파도 - 모항선 횡배수관 확장_시방서_로하스변경내역서-6(06.6.21)" xfId="1077"/>
    <cellStyle name="_도곡1교 교대(시점) 수량_RAMP-E교-최종000_파도 - 모항선 횡배수관 확장_시방서_로하스변경내역서-6(06.6.21)_로하스변경내역서-6(06(1).6.27 당초변경)" xfId="1078"/>
    <cellStyle name="_도곡1교 교대(시점) 수량_공유수면매립도시관리계획및실시설계용역" xfId="1079"/>
    <cellStyle name="_도곡1교 교대(시점) 수량_로하스변경내역서-5(06.6.7)" xfId="1080"/>
    <cellStyle name="_도곡1교 교대(시점) 수량_로하스변경내역서-5(06.6.7)_로하스변경내역서-6(06(1).6.27 당초변경)" xfId="1081"/>
    <cellStyle name="_도곡1교 교대(시점) 수량_로하스변경내역서-6(06.6.21)" xfId="1082"/>
    <cellStyle name="_도곡1교 교대(시점) 수량_로하스변경내역서-6(06.6.21)_로하스변경내역서-6(06(1).6.27 당초변경)" xfId="1083"/>
    <cellStyle name="_도곡1교 교대(시점) 수량_시방서" xfId="1084"/>
    <cellStyle name="_도곡1교 교대(시점) 수량_시방서_공유수면매립도시관리계획및실시설계용역" xfId="1085"/>
    <cellStyle name="_도곡1교 교대(시점) 수량_시방서_로하스변경내역서-5(06.6.7)" xfId="1086"/>
    <cellStyle name="_도곡1교 교대(시점) 수량_시방서_로하스변경내역서-5(06.6.7)_로하스변경내역서-6(06(1).6.27 당초변경)" xfId="1087"/>
    <cellStyle name="_도곡1교 교대(시점) 수량_시방서_로하스변경내역서-6(06.6.21)" xfId="1088"/>
    <cellStyle name="_도곡1교 교대(시점) 수량_시방서_로하스변경내역서-6(06.6.21)_로하스변경내역서-6(06(1).6.27 당초변경)" xfId="1089"/>
    <cellStyle name="_도곡1교 교대(시점) 수량_신촌-유곡(암거)" xfId="1090"/>
    <cellStyle name="_도곡1교 교대(시점) 수량_신촌-유곡(암거)_04 BOX집" xfId="1091"/>
    <cellStyle name="_도곡1교 교대(시점) 수량_암거수량" xfId="1092"/>
    <cellStyle name="_도곡1교 교대(시점) 수량_암거수량(2)" xfId="1093"/>
    <cellStyle name="_도곡1교 교대(시점) 수량_암거수량(2)_04 BOX집" xfId="1094"/>
    <cellStyle name="_도곡1교 교대(시점) 수량_암거수량(2)_1련BOX" xfId="8801"/>
    <cellStyle name="_도곡1교 교대(시점) 수량_암거수량(2)_2련BOX" xfId="8802"/>
    <cellStyle name="_도곡1교 교대(시점) 수량_암거수량(2)_3.1제1배수통관(시례우안3제)" xfId="8803"/>
    <cellStyle name="_도곡1교 교대(시점) 수량_암거수량(2)_3.2 제2배수통관" xfId="8804"/>
    <cellStyle name="_도곡1교 교대(시점) 수량_암거수량(2)_3.3 제3배수통관" xfId="8805"/>
    <cellStyle name="_도곡1교 교대(시점) 수량_암거수량(2)_3.구조물공(시례우안2제)" xfId="8806"/>
    <cellStyle name="_도곡1교 교대(시점) 수량_암거수량_04 BOX집" xfId="1095"/>
    <cellStyle name="_도곡1교 교대(시점) 수량_암거수량_1련BOX" xfId="8807"/>
    <cellStyle name="_도곡1교 교대(시점) 수량_암거수량_2련BOX" xfId="8808"/>
    <cellStyle name="_도곡1교 교대(시점) 수량_암거수량_3.1제1배수통관(시례우안3제)" xfId="8809"/>
    <cellStyle name="_도곡1교 교대(시점) 수량_암거수량_3.2 제2배수통관" xfId="8810"/>
    <cellStyle name="_도곡1교 교대(시점) 수량_암거수량_3.3 제3배수통관" xfId="8811"/>
    <cellStyle name="_도곡1교 교대(시점) 수량_암거수량_3.구조물공(시례우안2제)" xfId="8812"/>
    <cellStyle name="_도곡1교 하부공 수량" xfId="1096"/>
    <cellStyle name="_도곡1교 하부공 수량_2(변경)-토공" xfId="1097"/>
    <cellStyle name="_도곡1교 하부공 수량_3.1제1배수통관(시례우안3제)" xfId="8813"/>
    <cellStyle name="_도곡1교 하부공 수량_3.2 제2배수통관" xfId="8814"/>
    <cellStyle name="_도곡1교 하부공 수량_3.3 제3배수통관" xfId="8815"/>
    <cellStyle name="_도곡1교 하부공 수량_3.구조물공(시례우안2제)" xfId="8816"/>
    <cellStyle name="_도곡1교 하부공 수량_RAMP-E교-최종000" xfId="1098"/>
    <cellStyle name="_도곡1교 하부공 수량_RAMP-E교-최종000_공유수면매립도시관리계획및실시설계용역" xfId="1099"/>
    <cellStyle name="_도곡1교 하부공 수량_RAMP-E교-최종000_로하스변경내역서-5(06.6.7)" xfId="1100"/>
    <cellStyle name="_도곡1교 하부공 수량_RAMP-E교-최종000_로하스변경내역서-5(06.6.7)_로하스변경내역서-6(06(1).6.27 당초변경)" xfId="1101"/>
    <cellStyle name="_도곡1교 하부공 수량_RAMP-E교-최종000_로하스변경내역서-6(06.6.21)" xfId="1102"/>
    <cellStyle name="_도곡1교 하부공 수량_RAMP-E교-최종000_로하스변경내역서-6(06.6.21)_로하스변경내역서-6(06(1).6.27 당초변경)" xfId="1103"/>
    <cellStyle name="_도곡1교 하부공 수량_RAMP-E교-최종000_시방서" xfId="1104"/>
    <cellStyle name="_도곡1교 하부공 수량_RAMP-E교-최종000_시방서_공유수면매립도시관리계획및실시설계용역" xfId="1105"/>
    <cellStyle name="_도곡1교 하부공 수량_RAMP-E교-최종000_시방서_로하스변경내역서-5(06.6.7)" xfId="1106"/>
    <cellStyle name="_도곡1교 하부공 수량_RAMP-E교-최종000_시방서_로하스변경내역서-5(06.6.7)_로하스변경내역서-6(06(1).6.27 당초변경)" xfId="1107"/>
    <cellStyle name="_도곡1교 하부공 수량_RAMP-E교-최종000_시방서_로하스변경내역서-6(06.6.21)" xfId="1108"/>
    <cellStyle name="_도곡1교 하부공 수량_RAMP-E교-최종000_시방서_로하스변경내역서-6(06.6.21)_로하스변경내역서-6(06(1).6.27 당초변경)" xfId="1109"/>
    <cellStyle name="_도곡1교 하부공 수량_RAMP-E교-최종000_파도 - 모항선 횡배수관 확장" xfId="1110"/>
    <cellStyle name="_도곡1교 하부공 수량_RAMP-E교-최종000_파도 - 모항선 횡배수관 확장_공유수면매립도시관리계획및실시설계용역" xfId="1111"/>
    <cellStyle name="_도곡1교 하부공 수량_RAMP-E교-최종000_파도 - 모항선 횡배수관 확장_로하스변경내역서-5(06.6.7)" xfId="1112"/>
    <cellStyle name="_도곡1교 하부공 수량_RAMP-E교-최종000_파도 - 모항선 횡배수관 확장_로하스변경내역서-5(06.6.7)_로하스변경내역서-6(06(1).6.27 당초변경)" xfId="1113"/>
    <cellStyle name="_도곡1교 하부공 수량_RAMP-E교-최종000_파도 - 모항선 횡배수관 확장_로하스변경내역서-6(06.6.21)" xfId="1114"/>
    <cellStyle name="_도곡1교 하부공 수량_RAMP-E교-최종000_파도 - 모항선 횡배수관 확장_로하스변경내역서-6(06.6.21)_로하스변경내역서-6(06(1).6.27 당초변경)" xfId="1115"/>
    <cellStyle name="_도곡1교 하부공 수량_RAMP-E교-최종000_파도 - 모항선 횡배수관 확장_시방서" xfId="1116"/>
    <cellStyle name="_도곡1교 하부공 수량_RAMP-E교-최종000_파도 - 모항선 횡배수관 확장_시방서_공유수면매립도시관리계획및실시설계용역" xfId="1117"/>
    <cellStyle name="_도곡1교 하부공 수량_RAMP-E교-최종000_파도 - 모항선 횡배수관 확장_시방서_로하스변경내역서-5(06.6.7)" xfId="1118"/>
    <cellStyle name="_도곡1교 하부공 수량_RAMP-E교-최종000_파도 - 모항선 횡배수관 확장_시방서_로하스변경내역서-5(06.6.7)_로하스변경내역서-6(06(1).6.27 당초변경)" xfId="1119"/>
    <cellStyle name="_도곡1교 하부공 수량_RAMP-E교-최종000_파도 - 모항선 횡배수관 확장_시방서_로하스변경내역서-6(06.6.21)" xfId="1120"/>
    <cellStyle name="_도곡1교 하부공 수량_RAMP-E교-최종000_파도 - 모항선 횡배수관 확장_시방서_로하스변경내역서-6(06.6.21)_로하스변경내역서-6(06(1).6.27 당초변경)" xfId="1121"/>
    <cellStyle name="_도곡1교 하부공 수량_공유수면매립도시관리계획및실시설계용역" xfId="1122"/>
    <cellStyle name="_도곡1교 하부공 수량_로하스변경내역서-5(06.6.7)" xfId="1123"/>
    <cellStyle name="_도곡1교 하부공 수량_로하스변경내역서-5(06.6.7)_로하스변경내역서-6(06(1).6.27 당초변경)" xfId="1124"/>
    <cellStyle name="_도곡1교 하부공 수량_로하스변경내역서-6(06.6.21)" xfId="1125"/>
    <cellStyle name="_도곡1교 하부공 수량_로하스변경내역서-6(06.6.21)_로하스변경내역서-6(06(1).6.27 당초변경)" xfId="1126"/>
    <cellStyle name="_도곡1교 하부공 수량_시방서" xfId="1127"/>
    <cellStyle name="_도곡1교 하부공 수량_시방서_공유수면매립도시관리계획및실시설계용역" xfId="1128"/>
    <cellStyle name="_도곡1교 하부공 수량_시방서_로하스변경내역서-5(06.6.7)" xfId="1129"/>
    <cellStyle name="_도곡1교 하부공 수량_시방서_로하스변경내역서-5(06.6.7)_로하스변경내역서-6(06(1).6.27 당초변경)" xfId="1130"/>
    <cellStyle name="_도곡1교 하부공 수량_시방서_로하스변경내역서-6(06.6.21)" xfId="1131"/>
    <cellStyle name="_도곡1교 하부공 수량_시방서_로하스변경내역서-6(06.6.21)_로하스변경내역서-6(06(1).6.27 당초변경)" xfId="1132"/>
    <cellStyle name="_도곡1교 하부공 수량_신촌-유곡(암거)" xfId="1133"/>
    <cellStyle name="_도곡1교 하부공 수량_신촌-유곡(암거)_04 BOX집" xfId="1134"/>
    <cellStyle name="_도곡1교 하부공 수량_암거수량" xfId="1135"/>
    <cellStyle name="_도곡1교 하부공 수량_암거수량(2)" xfId="1136"/>
    <cellStyle name="_도곡1교 하부공 수량_암거수량(2)_04 BOX집" xfId="1137"/>
    <cellStyle name="_도곡1교 하부공 수량_암거수량(2)_1련BOX" xfId="8817"/>
    <cellStyle name="_도곡1교 하부공 수량_암거수량(2)_2련BOX" xfId="8818"/>
    <cellStyle name="_도곡1교 하부공 수량_암거수량(2)_3.1제1배수통관(시례우안3제)" xfId="8819"/>
    <cellStyle name="_도곡1교 하부공 수량_암거수량(2)_3.2 제2배수통관" xfId="8820"/>
    <cellStyle name="_도곡1교 하부공 수량_암거수량(2)_3.3 제3배수통관" xfId="8821"/>
    <cellStyle name="_도곡1교 하부공 수량_암거수량(2)_3.구조물공(시례우안2제)" xfId="8822"/>
    <cellStyle name="_도곡1교 하부공 수량_암거수량_04 BOX집" xfId="1138"/>
    <cellStyle name="_도곡1교 하부공 수량_암거수량_1련BOX" xfId="8823"/>
    <cellStyle name="_도곡1교 하부공 수량_암거수량_2련BOX" xfId="8824"/>
    <cellStyle name="_도곡1교 하부공 수량_암거수량_3.1제1배수통관(시례우안3제)" xfId="8825"/>
    <cellStyle name="_도곡1교 하부공 수량_암거수량_3.2 제2배수통관" xfId="8826"/>
    <cellStyle name="_도곡1교 하부공 수량_암거수량_3.3 제3배수통관" xfId="8827"/>
    <cellStyle name="_도곡1교 하부공 수량_암거수량_3.구조물공(시례우안2제)" xfId="8828"/>
    <cellStyle name="_도곡2교 교대 수량" xfId="1139"/>
    <cellStyle name="_도곡2교 교대 수량_2(변경)-토공" xfId="1140"/>
    <cellStyle name="_도곡2교 교대 수량_3.1제1배수통관(시례우안3제)" xfId="8829"/>
    <cellStyle name="_도곡2교 교대 수량_3.2 제2배수통관" xfId="8830"/>
    <cellStyle name="_도곡2교 교대 수량_3.3 제3배수통관" xfId="8831"/>
    <cellStyle name="_도곡2교 교대 수량_3.구조물공(시례우안2제)" xfId="8832"/>
    <cellStyle name="_도곡2교 교대 수량_RAMP-E교-최종000" xfId="1141"/>
    <cellStyle name="_도곡2교 교대 수량_RAMP-E교-최종000_공유수면매립도시관리계획및실시설계용역" xfId="1142"/>
    <cellStyle name="_도곡2교 교대 수량_RAMP-E교-최종000_로하스변경내역서-5(06.6.7)" xfId="1143"/>
    <cellStyle name="_도곡2교 교대 수량_RAMP-E교-최종000_로하스변경내역서-5(06.6.7)_로하스변경내역서-6(06(1).6.27 당초변경)" xfId="1144"/>
    <cellStyle name="_도곡2교 교대 수량_RAMP-E교-최종000_로하스변경내역서-6(06.6.21)" xfId="1145"/>
    <cellStyle name="_도곡2교 교대 수량_RAMP-E교-최종000_로하스변경내역서-6(06.6.21)_로하스변경내역서-6(06(1).6.27 당초변경)" xfId="1146"/>
    <cellStyle name="_도곡2교 교대 수량_RAMP-E교-최종000_시방서" xfId="1147"/>
    <cellStyle name="_도곡2교 교대 수량_RAMP-E교-최종000_시방서_공유수면매립도시관리계획및실시설계용역" xfId="1148"/>
    <cellStyle name="_도곡2교 교대 수량_RAMP-E교-최종000_시방서_로하스변경내역서-5(06.6.7)" xfId="1149"/>
    <cellStyle name="_도곡2교 교대 수량_RAMP-E교-최종000_시방서_로하스변경내역서-5(06.6.7)_로하스변경내역서-6(06(1).6.27 당초변경)" xfId="1150"/>
    <cellStyle name="_도곡2교 교대 수량_RAMP-E교-최종000_시방서_로하스변경내역서-6(06.6.21)" xfId="1151"/>
    <cellStyle name="_도곡2교 교대 수량_RAMP-E교-최종000_시방서_로하스변경내역서-6(06.6.21)_로하스변경내역서-6(06(1).6.27 당초변경)" xfId="1152"/>
    <cellStyle name="_도곡2교 교대 수량_RAMP-E교-최종000_파도 - 모항선 횡배수관 확장" xfId="1153"/>
    <cellStyle name="_도곡2교 교대 수량_RAMP-E교-최종000_파도 - 모항선 횡배수관 확장_공유수면매립도시관리계획및실시설계용역" xfId="1154"/>
    <cellStyle name="_도곡2교 교대 수량_RAMP-E교-최종000_파도 - 모항선 횡배수관 확장_로하스변경내역서-5(06.6.7)" xfId="1155"/>
    <cellStyle name="_도곡2교 교대 수량_RAMP-E교-최종000_파도 - 모항선 횡배수관 확장_로하스변경내역서-5(06.6.7)_로하스변경내역서-6(06(1).6.27 당초변경)" xfId="1156"/>
    <cellStyle name="_도곡2교 교대 수량_RAMP-E교-최종000_파도 - 모항선 횡배수관 확장_로하스변경내역서-6(06.6.21)" xfId="1157"/>
    <cellStyle name="_도곡2교 교대 수량_RAMP-E교-최종000_파도 - 모항선 횡배수관 확장_로하스변경내역서-6(06.6.21)_로하스변경내역서-6(06(1).6.27 당초변경)" xfId="1158"/>
    <cellStyle name="_도곡2교 교대 수량_RAMP-E교-최종000_파도 - 모항선 횡배수관 확장_시방서" xfId="1159"/>
    <cellStyle name="_도곡2교 교대 수량_RAMP-E교-최종000_파도 - 모항선 횡배수관 확장_시방서_공유수면매립도시관리계획및실시설계용역" xfId="1160"/>
    <cellStyle name="_도곡2교 교대 수량_RAMP-E교-최종000_파도 - 모항선 횡배수관 확장_시방서_로하스변경내역서-5(06.6.7)" xfId="1161"/>
    <cellStyle name="_도곡2교 교대 수량_RAMP-E교-최종000_파도 - 모항선 횡배수관 확장_시방서_로하스변경내역서-5(06.6.7)_로하스변경내역서-6(06(1).6.27 당초변경)" xfId="1162"/>
    <cellStyle name="_도곡2교 교대 수량_RAMP-E교-최종000_파도 - 모항선 횡배수관 확장_시방서_로하스변경내역서-6(06.6.21)" xfId="1163"/>
    <cellStyle name="_도곡2교 교대 수량_RAMP-E교-최종000_파도 - 모항선 횡배수관 확장_시방서_로하스변경내역서-6(06.6.21)_로하스변경내역서-6(06(1).6.27 당초변경)" xfId="1164"/>
    <cellStyle name="_도곡2교 교대 수량_공유수면매립도시관리계획및실시설계용역" xfId="1165"/>
    <cellStyle name="_도곡2교 교대 수량_로하스변경내역서-5(06.6.7)" xfId="1166"/>
    <cellStyle name="_도곡2교 교대 수량_로하스변경내역서-5(06.6.7)_로하스변경내역서-6(06(1).6.27 당초변경)" xfId="1167"/>
    <cellStyle name="_도곡2교 교대 수량_로하스변경내역서-6(06.6.21)" xfId="1168"/>
    <cellStyle name="_도곡2교 교대 수량_로하스변경내역서-6(06.6.21)_로하스변경내역서-6(06(1).6.27 당초변경)" xfId="1169"/>
    <cellStyle name="_도곡2교 교대 수량_시방서" xfId="1170"/>
    <cellStyle name="_도곡2교 교대 수량_시방서_공유수면매립도시관리계획및실시설계용역" xfId="1171"/>
    <cellStyle name="_도곡2교 교대 수량_시방서_로하스변경내역서-5(06.6.7)" xfId="1172"/>
    <cellStyle name="_도곡2교 교대 수량_시방서_로하스변경내역서-5(06.6.7)_로하스변경내역서-6(06(1).6.27 당초변경)" xfId="1173"/>
    <cellStyle name="_도곡2교 교대 수량_시방서_로하스변경내역서-6(06.6.21)" xfId="1174"/>
    <cellStyle name="_도곡2교 교대 수량_시방서_로하스변경내역서-6(06.6.21)_로하스변경내역서-6(06(1).6.27 당초변경)" xfId="1175"/>
    <cellStyle name="_도곡2교 교대 수량_신촌-유곡(암거)" xfId="1176"/>
    <cellStyle name="_도곡2교 교대 수량_신촌-유곡(암거)_04 BOX집" xfId="1177"/>
    <cellStyle name="_도곡2교 교대 수량_암거수량" xfId="1178"/>
    <cellStyle name="_도곡2교 교대 수량_암거수량(2)" xfId="1179"/>
    <cellStyle name="_도곡2교 교대 수량_암거수량(2)_04 BOX집" xfId="1180"/>
    <cellStyle name="_도곡2교 교대 수량_암거수량(2)_1련BOX" xfId="8833"/>
    <cellStyle name="_도곡2교 교대 수량_암거수량(2)_2련BOX" xfId="8834"/>
    <cellStyle name="_도곡2교 교대 수량_암거수량(2)_3.1제1배수통관(시례우안3제)" xfId="8835"/>
    <cellStyle name="_도곡2교 교대 수량_암거수량(2)_3.2 제2배수통관" xfId="8836"/>
    <cellStyle name="_도곡2교 교대 수량_암거수량(2)_3.3 제3배수통관" xfId="8837"/>
    <cellStyle name="_도곡2교 교대 수량_암거수량(2)_3.구조물공(시례우안2제)" xfId="8838"/>
    <cellStyle name="_도곡2교 교대 수량_암거수량_04 BOX집" xfId="1181"/>
    <cellStyle name="_도곡2교 교대 수량_암거수량_1련BOX" xfId="8839"/>
    <cellStyle name="_도곡2교 교대 수량_암거수량_2련BOX" xfId="8840"/>
    <cellStyle name="_도곡2교 교대 수량_암거수량_3.1제1배수통관(시례우안3제)" xfId="8841"/>
    <cellStyle name="_도곡2교 교대 수량_암거수량_3.2 제2배수통관" xfId="8842"/>
    <cellStyle name="_도곡2교 교대 수량_암거수량_3.3 제3배수통관" xfId="8843"/>
    <cellStyle name="_도곡2교 교대 수량_암거수량_3.구조물공(시례우안2제)" xfId="8844"/>
    <cellStyle name="_도곡2교 교대(종점) 수량" xfId="1182"/>
    <cellStyle name="_도곡2교 교대(종점) 수량_2(변경)-토공" xfId="1183"/>
    <cellStyle name="_도곡2교 교대(종점) 수량_3.1제1배수통관(시례우안3제)" xfId="8845"/>
    <cellStyle name="_도곡2교 교대(종점) 수량_3.2 제2배수통관" xfId="8846"/>
    <cellStyle name="_도곡2교 교대(종점) 수량_3.3 제3배수통관" xfId="8847"/>
    <cellStyle name="_도곡2교 교대(종점) 수량_3.구조물공(시례우안2제)" xfId="8848"/>
    <cellStyle name="_도곡2교 교대(종점) 수량_RAMP-E교-최종000" xfId="1184"/>
    <cellStyle name="_도곡2교 교대(종점) 수량_RAMP-E교-최종000_공유수면매립도시관리계획및실시설계용역" xfId="1185"/>
    <cellStyle name="_도곡2교 교대(종점) 수량_RAMP-E교-최종000_로하스변경내역서-5(06.6.7)" xfId="1186"/>
    <cellStyle name="_도곡2교 교대(종점) 수량_RAMP-E교-최종000_로하스변경내역서-5(06.6.7)_로하스변경내역서-6(06(1).6.27 당초변경)" xfId="1187"/>
    <cellStyle name="_도곡2교 교대(종점) 수량_RAMP-E교-최종000_로하스변경내역서-6(06.6.21)" xfId="1188"/>
    <cellStyle name="_도곡2교 교대(종점) 수량_RAMP-E교-최종000_로하스변경내역서-6(06.6.21)_로하스변경내역서-6(06(1).6.27 당초변경)" xfId="1189"/>
    <cellStyle name="_도곡2교 교대(종점) 수량_RAMP-E교-최종000_시방서" xfId="1190"/>
    <cellStyle name="_도곡2교 교대(종점) 수량_RAMP-E교-최종000_시방서_공유수면매립도시관리계획및실시설계용역" xfId="1191"/>
    <cellStyle name="_도곡2교 교대(종점) 수량_RAMP-E교-최종000_시방서_로하스변경내역서-5(06.6.7)" xfId="1192"/>
    <cellStyle name="_도곡2교 교대(종점) 수량_RAMP-E교-최종000_시방서_로하스변경내역서-5(06.6.7)_로하스변경내역서-6(06(1).6.27 당초변경)" xfId="1193"/>
    <cellStyle name="_도곡2교 교대(종점) 수량_RAMP-E교-최종000_시방서_로하스변경내역서-6(06.6.21)" xfId="1194"/>
    <cellStyle name="_도곡2교 교대(종점) 수량_RAMP-E교-최종000_시방서_로하스변경내역서-6(06.6.21)_로하스변경내역서-6(06(1).6.27 당초변경)" xfId="1195"/>
    <cellStyle name="_도곡2교 교대(종점) 수량_RAMP-E교-최종000_파도 - 모항선 횡배수관 확장" xfId="1196"/>
    <cellStyle name="_도곡2교 교대(종점) 수량_RAMP-E교-최종000_파도 - 모항선 횡배수관 확장_공유수면매립도시관리계획및실시설계용역" xfId="1197"/>
    <cellStyle name="_도곡2교 교대(종점) 수량_RAMP-E교-최종000_파도 - 모항선 횡배수관 확장_로하스변경내역서-5(06.6.7)" xfId="1198"/>
    <cellStyle name="_도곡2교 교대(종점) 수량_RAMP-E교-최종000_파도 - 모항선 횡배수관 확장_로하스변경내역서-5(06.6.7)_로하스변경내역서-6(06(1).6.27 당초변경)" xfId="1199"/>
    <cellStyle name="_도곡2교 교대(종점) 수량_RAMP-E교-최종000_파도 - 모항선 횡배수관 확장_로하스변경내역서-6(06.6.21)" xfId="1200"/>
    <cellStyle name="_도곡2교 교대(종점) 수량_RAMP-E교-최종000_파도 - 모항선 횡배수관 확장_로하스변경내역서-6(06.6.21)_로하스변경내역서-6(06(1).6.27 당초변경)" xfId="1201"/>
    <cellStyle name="_도곡2교 교대(종점) 수량_RAMP-E교-최종000_파도 - 모항선 횡배수관 확장_시방서" xfId="1202"/>
    <cellStyle name="_도곡2교 교대(종점) 수량_RAMP-E교-최종000_파도 - 모항선 횡배수관 확장_시방서_공유수면매립도시관리계획및실시설계용역" xfId="1203"/>
    <cellStyle name="_도곡2교 교대(종점) 수량_RAMP-E교-최종000_파도 - 모항선 횡배수관 확장_시방서_로하스변경내역서-5(06.6.7)" xfId="1204"/>
    <cellStyle name="_도곡2교 교대(종점) 수량_RAMP-E교-최종000_파도 - 모항선 횡배수관 확장_시방서_로하스변경내역서-5(06.6.7)_로하스변경내역서-6(06(1).6.27 당초변경)" xfId="1205"/>
    <cellStyle name="_도곡2교 교대(종점) 수량_RAMP-E교-최종000_파도 - 모항선 횡배수관 확장_시방서_로하스변경내역서-6(06.6.21)" xfId="1206"/>
    <cellStyle name="_도곡2교 교대(종점) 수량_RAMP-E교-최종000_파도 - 모항선 횡배수관 확장_시방서_로하스변경내역서-6(06.6.21)_로하스변경내역서-6(06(1).6.27 당초변경)" xfId="1207"/>
    <cellStyle name="_도곡2교 교대(종점) 수량_공유수면매립도시관리계획및실시설계용역" xfId="1208"/>
    <cellStyle name="_도곡2교 교대(종점) 수량_로하스변경내역서-5(06.6.7)" xfId="1209"/>
    <cellStyle name="_도곡2교 교대(종점) 수량_로하스변경내역서-5(06.6.7)_로하스변경내역서-6(06(1).6.27 당초변경)" xfId="1210"/>
    <cellStyle name="_도곡2교 교대(종점) 수량_로하스변경내역서-6(06.6.21)" xfId="1211"/>
    <cellStyle name="_도곡2교 교대(종점) 수량_로하스변경내역서-6(06.6.21)_로하스변경내역서-6(06(1).6.27 당초변경)" xfId="1212"/>
    <cellStyle name="_도곡2교 교대(종점) 수량_시방서" xfId="1213"/>
    <cellStyle name="_도곡2교 교대(종점) 수량_시방서_공유수면매립도시관리계획및실시설계용역" xfId="1214"/>
    <cellStyle name="_도곡2교 교대(종점) 수량_시방서_로하스변경내역서-5(06.6.7)" xfId="1215"/>
    <cellStyle name="_도곡2교 교대(종점) 수량_시방서_로하스변경내역서-5(06.6.7)_로하스변경내역서-6(06(1).6.27 당초변경)" xfId="1216"/>
    <cellStyle name="_도곡2교 교대(종점) 수량_시방서_로하스변경내역서-6(06.6.21)" xfId="1217"/>
    <cellStyle name="_도곡2교 교대(종점) 수량_시방서_로하스변경내역서-6(06.6.21)_로하스변경내역서-6(06(1).6.27 당초변경)" xfId="1218"/>
    <cellStyle name="_도곡2교 교대(종점) 수량_신촌-유곡(암거)" xfId="1219"/>
    <cellStyle name="_도곡2교 교대(종점) 수량_신촌-유곡(암거)_04 BOX집" xfId="1220"/>
    <cellStyle name="_도곡2교 교대(종점) 수량_암거수량" xfId="1221"/>
    <cellStyle name="_도곡2교 교대(종점) 수량_암거수량(2)" xfId="1222"/>
    <cellStyle name="_도곡2교 교대(종점) 수량_암거수량(2)_04 BOX집" xfId="1223"/>
    <cellStyle name="_도곡2교 교대(종점) 수량_암거수량(2)_1련BOX" xfId="8849"/>
    <cellStyle name="_도곡2교 교대(종점) 수량_암거수량(2)_2련BOX" xfId="8850"/>
    <cellStyle name="_도곡2교 교대(종점) 수량_암거수량(2)_3.1제1배수통관(시례우안3제)" xfId="8851"/>
    <cellStyle name="_도곡2교 교대(종점) 수량_암거수량(2)_3.2 제2배수통관" xfId="8852"/>
    <cellStyle name="_도곡2교 교대(종점) 수량_암거수량(2)_3.3 제3배수통관" xfId="8853"/>
    <cellStyle name="_도곡2교 교대(종점) 수량_암거수량(2)_3.구조물공(시례우안2제)" xfId="8854"/>
    <cellStyle name="_도곡2교 교대(종점) 수량_암거수량_04 BOX집" xfId="1224"/>
    <cellStyle name="_도곡2교 교대(종점) 수량_암거수량_1련BOX" xfId="8855"/>
    <cellStyle name="_도곡2교 교대(종점) 수량_암거수량_2련BOX" xfId="8856"/>
    <cellStyle name="_도곡2교 교대(종점) 수량_암거수량_3.1제1배수통관(시례우안3제)" xfId="8857"/>
    <cellStyle name="_도곡2교 교대(종점) 수량_암거수량_3.2 제2배수통관" xfId="8858"/>
    <cellStyle name="_도곡2교 교대(종점) 수량_암거수량_3.3 제3배수통관" xfId="8859"/>
    <cellStyle name="_도곡2교 교대(종점) 수량_암거수량_3.구조물공(시례우안2제)" xfId="8860"/>
    <cellStyle name="_도곡3교 교대 수량" xfId="1225"/>
    <cellStyle name="_도곡3교 교대 수량_2(변경)-토공" xfId="1226"/>
    <cellStyle name="_도곡3교 교대 수량_3.1제1배수통관(시례우안3제)" xfId="8861"/>
    <cellStyle name="_도곡3교 교대 수량_3.2 제2배수통관" xfId="8862"/>
    <cellStyle name="_도곡3교 교대 수량_3.3 제3배수통관" xfId="8863"/>
    <cellStyle name="_도곡3교 교대 수량_3.구조물공(시례우안2제)" xfId="8864"/>
    <cellStyle name="_도곡3교 교대 수량_RAMP-E교-최종000" xfId="1227"/>
    <cellStyle name="_도곡3교 교대 수량_RAMP-E교-최종000_공유수면매립도시관리계획및실시설계용역" xfId="1228"/>
    <cellStyle name="_도곡3교 교대 수량_RAMP-E교-최종000_로하스변경내역서-5(06.6.7)" xfId="1229"/>
    <cellStyle name="_도곡3교 교대 수량_RAMP-E교-최종000_로하스변경내역서-5(06.6.7)_로하스변경내역서-6(06(1).6.27 당초변경)" xfId="1230"/>
    <cellStyle name="_도곡3교 교대 수량_RAMP-E교-최종000_로하스변경내역서-6(06.6.21)" xfId="1231"/>
    <cellStyle name="_도곡3교 교대 수량_RAMP-E교-최종000_로하스변경내역서-6(06.6.21)_로하스변경내역서-6(06(1).6.27 당초변경)" xfId="1232"/>
    <cellStyle name="_도곡3교 교대 수량_RAMP-E교-최종000_시방서" xfId="1233"/>
    <cellStyle name="_도곡3교 교대 수량_RAMP-E교-최종000_시방서_공유수면매립도시관리계획및실시설계용역" xfId="1234"/>
    <cellStyle name="_도곡3교 교대 수량_RAMP-E교-최종000_시방서_로하스변경내역서-5(06.6.7)" xfId="1235"/>
    <cellStyle name="_도곡3교 교대 수량_RAMP-E교-최종000_시방서_로하스변경내역서-5(06.6.7)_로하스변경내역서-6(06(1).6.27 당초변경)" xfId="1236"/>
    <cellStyle name="_도곡3교 교대 수량_RAMP-E교-최종000_시방서_로하스변경내역서-6(06.6.21)" xfId="1237"/>
    <cellStyle name="_도곡3교 교대 수량_RAMP-E교-최종000_시방서_로하스변경내역서-6(06.6.21)_로하스변경내역서-6(06(1).6.27 당초변경)" xfId="1238"/>
    <cellStyle name="_도곡3교 교대 수량_RAMP-E교-최종000_파도 - 모항선 횡배수관 확장" xfId="1239"/>
    <cellStyle name="_도곡3교 교대 수량_RAMP-E교-최종000_파도 - 모항선 횡배수관 확장_공유수면매립도시관리계획및실시설계용역" xfId="1240"/>
    <cellStyle name="_도곡3교 교대 수량_RAMP-E교-최종000_파도 - 모항선 횡배수관 확장_로하스변경내역서-5(06.6.7)" xfId="1241"/>
    <cellStyle name="_도곡3교 교대 수량_RAMP-E교-최종000_파도 - 모항선 횡배수관 확장_로하스변경내역서-5(06.6.7)_로하스변경내역서-6(06(1).6.27 당초변경)" xfId="1242"/>
    <cellStyle name="_도곡3교 교대 수량_RAMP-E교-최종000_파도 - 모항선 횡배수관 확장_로하스변경내역서-6(06.6.21)" xfId="1243"/>
    <cellStyle name="_도곡3교 교대 수량_RAMP-E교-최종000_파도 - 모항선 횡배수관 확장_로하스변경내역서-6(06.6.21)_로하스변경내역서-6(06(1).6.27 당초변경)" xfId="1244"/>
    <cellStyle name="_도곡3교 교대 수량_RAMP-E교-최종000_파도 - 모항선 횡배수관 확장_시방서" xfId="1245"/>
    <cellStyle name="_도곡3교 교대 수량_RAMP-E교-최종000_파도 - 모항선 횡배수관 확장_시방서_공유수면매립도시관리계획및실시설계용역" xfId="1246"/>
    <cellStyle name="_도곡3교 교대 수량_RAMP-E교-최종000_파도 - 모항선 횡배수관 확장_시방서_로하스변경내역서-5(06.6.7)" xfId="1247"/>
    <cellStyle name="_도곡3교 교대 수량_RAMP-E교-최종000_파도 - 모항선 횡배수관 확장_시방서_로하스변경내역서-5(06.6.7)_로하스변경내역서-6(06(1).6.27 당초변경)" xfId="1248"/>
    <cellStyle name="_도곡3교 교대 수량_RAMP-E교-최종000_파도 - 모항선 횡배수관 확장_시방서_로하스변경내역서-6(06.6.21)" xfId="1249"/>
    <cellStyle name="_도곡3교 교대 수량_RAMP-E교-최종000_파도 - 모항선 횡배수관 확장_시방서_로하스변경내역서-6(06.6.21)_로하스변경내역서-6(06(1).6.27 당초변경)" xfId="1250"/>
    <cellStyle name="_도곡3교 교대 수량_공유수면매립도시관리계획및실시설계용역" xfId="1251"/>
    <cellStyle name="_도곡3교 교대 수량_로하스변경내역서-5(06.6.7)" xfId="1252"/>
    <cellStyle name="_도곡3교 교대 수량_로하스변경내역서-5(06.6.7)_로하스변경내역서-6(06(1).6.27 당초변경)" xfId="1253"/>
    <cellStyle name="_도곡3교 교대 수량_로하스변경내역서-6(06.6.21)" xfId="1254"/>
    <cellStyle name="_도곡3교 교대 수량_로하스변경내역서-6(06.6.21)_로하스변경내역서-6(06(1).6.27 당초변경)" xfId="1255"/>
    <cellStyle name="_도곡3교 교대 수량_시방서" xfId="1256"/>
    <cellStyle name="_도곡3교 교대 수량_시방서_공유수면매립도시관리계획및실시설계용역" xfId="1257"/>
    <cellStyle name="_도곡3교 교대 수량_시방서_로하스변경내역서-5(06.6.7)" xfId="1258"/>
    <cellStyle name="_도곡3교 교대 수량_시방서_로하스변경내역서-5(06.6.7)_로하스변경내역서-6(06(1).6.27 당초변경)" xfId="1259"/>
    <cellStyle name="_도곡3교 교대 수량_시방서_로하스변경내역서-6(06.6.21)" xfId="1260"/>
    <cellStyle name="_도곡3교 교대 수량_시방서_로하스변경내역서-6(06.6.21)_로하스변경내역서-6(06(1).6.27 당초변경)" xfId="1261"/>
    <cellStyle name="_도곡3교 교대 수량_신촌-유곡(암거)" xfId="1262"/>
    <cellStyle name="_도곡3교 교대 수량_신촌-유곡(암거)_04 BOX집" xfId="1263"/>
    <cellStyle name="_도곡3교 교대 수량_암거수량" xfId="1264"/>
    <cellStyle name="_도곡3교 교대 수량_암거수량(2)" xfId="1265"/>
    <cellStyle name="_도곡3교 교대 수량_암거수량(2)_04 BOX집" xfId="1266"/>
    <cellStyle name="_도곡3교 교대 수량_암거수량(2)_1련BOX" xfId="8865"/>
    <cellStyle name="_도곡3교 교대 수량_암거수량(2)_2련BOX" xfId="8866"/>
    <cellStyle name="_도곡3교 교대 수량_암거수량(2)_3.1제1배수통관(시례우안3제)" xfId="8867"/>
    <cellStyle name="_도곡3교 교대 수량_암거수량(2)_3.2 제2배수통관" xfId="8868"/>
    <cellStyle name="_도곡3교 교대 수량_암거수량(2)_3.3 제3배수통관" xfId="8869"/>
    <cellStyle name="_도곡3교 교대 수량_암거수량(2)_3.구조물공(시례우안2제)" xfId="8870"/>
    <cellStyle name="_도곡3교 교대 수량_암거수량_04 BOX집" xfId="1267"/>
    <cellStyle name="_도곡3교 교대 수량_암거수량_1련BOX" xfId="8871"/>
    <cellStyle name="_도곡3교 교대 수량_암거수량_2련BOX" xfId="8872"/>
    <cellStyle name="_도곡3교 교대 수량_암거수량_3.1제1배수통관(시례우안3제)" xfId="8873"/>
    <cellStyle name="_도곡3교 교대 수량_암거수량_3.2 제2배수통관" xfId="8874"/>
    <cellStyle name="_도곡3교 교대 수량_암거수량_3.3 제3배수통관" xfId="8875"/>
    <cellStyle name="_도곡3교 교대 수량_암거수량_3.구조물공(시례우안2제)" xfId="8876"/>
    <cellStyle name="_도곡4교 하부공 수량" xfId="1268"/>
    <cellStyle name="_도곡4교 하부공 수량_2(변경)-토공" xfId="1269"/>
    <cellStyle name="_도곡4교 하부공 수량_3.1제1배수통관(시례우안3제)" xfId="8877"/>
    <cellStyle name="_도곡4교 하부공 수량_3.2 제2배수통관" xfId="8878"/>
    <cellStyle name="_도곡4교 하부공 수량_3.3 제3배수통관" xfId="8879"/>
    <cellStyle name="_도곡4교 하부공 수량_3.구조물공(시례우안2제)" xfId="8880"/>
    <cellStyle name="_도곡4교 하부공 수량_RAMP-E교-최종000" xfId="1270"/>
    <cellStyle name="_도곡4교 하부공 수량_RAMP-E교-최종000_공유수면매립도시관리계획및실시설계용역" xfId="1271"/>
    <cellStyle name="_도곡4교 하부공 수량_RAMP-E교-최종000_로하스변경내역서-5(06.6.7)" xfId="1272"/>
    <cellStyle name="_도곡4교 하부공 수량_RAMP-E교-최종000_로하스변경내역서-5(06.6.7)_로하스변경내역서-6(06(1).6.27 당초변경)" xfId="1273"/>
    <cellStyle name="_도곡4교 하부공 수량_RAMP-E교-최종000_로하스변경내역서-6(06.6.21)" xfId="1274"/>
    <cellStyle name="_도곡4교 하부공 수량_RAMP-E교-최종000_로하스변경내역서-6(06.6.21)_로하스변경내역서-6(06(1).6.27 당초변경)" xfId="1275"/>
    <cellStyle name="_도곡4교 하부공 수량_RAMP-E교-최종000_시방서" xfId="1276"/>
    <cellStyle name="_도곡4교 하부공 수량_RAMP-E교-최종000_시방서_공유수면매립도시관리계획및실시설계용역" xfId="1277"/>
    <cellStyle name="_도곡4교 하부공 수량_RAMP-E교-최종000_시방서_로하스변경내역서-5(06.6.7)" xfId="1278"/>
    <cellStyle name="_도곡4교 하부공 수량_RAMP-E교-최종000_시방서_로하스변경내역서-5(06.6.7)_로하스변경내역서-6(06(1).6.27 당초변경)" xfId="1279"/>
    <cellStyle name="_도곡4교 하부공 수량_RAMP-E교-최종000_시방서_로하스변경내역서-6(06.6.21)" xfId="1280"/>
    <cellStyle name="_도곡4교 하부공 수량_RAMP-E교-최종000_시방서_로하스변경내역서-6(06.6.21)_로하스변경내역서-6(06(1).6.27 당초변경)" xfId="1281"/>
    <cellStyle name="_도곡4교 하부공 수량_RAMP-E교-최종000_파도 - 모항선 횡배수관 확장" xfId="1282"/>
    <cellStyle name="_도곡4교 하부공 수량_RAMP-E교-최종000_파도 - 모항선 횡배수관 확장_공유수면매립도시관리계획및실시설계용역" xfId="1283"/>
    <cellStyle name="_도곡4교 하부공 수량_RAMP-E교-최종000_파도 - 모항선 횡배수관 확장_로하스변경내역서-5(06.6.7)" xfId="1284"/>
    <cellStyle name="_도곡4교 하부공 수량_RAMP-E교-최종000_파도 - 모항선 횡배수관 확장_로하스변경내역서-5(06.6.7)_로하스변경내역서-6(06(1).6.27 당초변경)" xfId="1285"/>
    <cellStyle name="_도곡4교 하부공 수량_RAMP-E교-최종000_파도 - 모항선 횡배수관 확장_로하스변경내역서-6(06.6.21)" xfId="1286"/>
    <cellStyle name="_도곡4교 하부공 수량_RAMP-E교-최종000_파도 - 모항선 횡배수관 확장_로하스변경내역서-6(06.6.21)_로하스변경내역서-6(06(1).6.27 당초변경)" xfId="1287"/>
    <cellStyle name="_도곡4교 하부공 수량_RAMP-E교-최종000_파도 - 모항선 횡배수관 확장_시방서" xfId="1288"/>
    <cellStyle name="_도곡4교 하부공 수량_RAMP-E교-최종000_파도 - 모항선 횡배수관 확장_시방서_공유수면매립도시관리계획및실시설계용역" xfId="1289"/>
    <cellStyle name="_도곡4교 하부공 수량_RAMP-E교-최종000_파도 - 모항선 횡배수관 확장_시방서_로하스변경내역서-5(06.6.7)" xfId="1290"/>
    <cellStyle name="_도곡4교 하부공 수량_RAMP-E교-최종000_파도 - 모항선 횡배수관 확장_시방서_로하스변경내역서-5(06.6.7)_로하스변경내역서-6(06(1).6.27 당초변경)" xfId="1291"/>
    <cellStyle name="_도곡4교 하부공 수량_RAMP-E교-최종000_파도 - 모항선 횡배수관 확장_시방서_로하스변경내역서-6(06.6.21)" xfId="1292"/>
    <cellStyle name="_도곡4교 하부공 수량_RAMP-E교-최종000_파도 - 모항선 횡배수관 확장_시방서_로하스변경내역서-6(06.6.21)_로하스변경내역서-6(06(1).6.27 당초변경)" xfId="1293"/>
    <cellStyle name="_도곡4교 하부공 수량_공유수면매립도시관리계획및실시설계용역" xfId="1294"/>
    <cellStyle name="_도곡4교 하부공 수량_로하스변경내역서-5(06.6.7)" xfId="1295"/>
    <cellStyle name="_도곡4교 하부공 수량_로하스변경내역서-5(06.6.7)_로하스변경내역서-6(06(1).6.27 당초변경)" xfId="1296"/>
    <cellStyle name="_도곡4교 하부공 수량_로하스변경내역서-6(06.6.21)" xfId="1297"/>
    <cellStyle name="_도곡4교 하부공 수량_로하스변경내역서-6(06.6.21)_로하스변경내역서-6(06(1).6.27 당초변경)" xfId="1298"/>
    <cellStyle name="_도곡4교 하부공 수량_시방서" xfId="1299"/>
    <cellStyle name="_도곡4교 하부공 수량_시방서_공유수면매립도시관리계획및실시설계용역" xfId="1300"/>
    <cellStyle name="_도곡4교 하부공 수량_시방서_로하스변경내역서-5(06.6.7)" xfId="1301"/>
    <cellStyle name="_도곡4교 하부공 수량_시방서_로하스변경내역서-5(06.6.7)_로하스변경내역서-6(06(1).6.27 당초변경)" xfId="1302"/>
    <cellStyle name="_도곡4교 하부공 수량_시방서_로하스변경내역서-6(06.6.21)" xfId="1303"/>
    <cellStyle name="_도곡4교 하부공 수량_시방서_로하스변경내역서-6(06.6.21)_로하스변경내역서-6(06(1).6.27 당초변경)" xfId="1304"/>
    <cellStyle name="_도곡4교 하부공 수량_신촌-유곡(암거)" xfId="1305"/>
    <cellStyle name="_도곡4교 하부공 수량_신촌-유곡(암거)_04 BOX집" xfId="1306"/>
    <cellStyle name="_도곡4교 하부공 수량_암거수량" xfId="1307"/>
    <cellStyle name="_도곡4교 하부공 수량_암거수량(2)" xfId="1308"/>
    <cellStyle name="_도곡4교 하부공 수량_암거수량(2)_04 BOX집" xfId="1309"/>
    <cellStyle name="_도곡4교 하부공 수량_암거수량(2)_1련BOX" xfId="8881"/>
    <cellStyle name="_도곡4교 하부공 수량_암거수량(2)_2련BOX" xfId="8882"/>
    <cellStyle name="_도곡4교 하부공 수량_암거수량(2)_3.1제1배수통관(시례우안3제)" xfId="8883"/>
    <cellStyle name="_도곡4교 하부공 수량_암거수량(2)_3.2 제2배수통관" xfId="8884"/>
    <cellStyle name="_도곡4교 하부공 수량_암거수량(2)_3.3 제3배수통관" xfId="8885"/>
    <cellStyle name="_도곡4교 하부공 수량_암거수량(2)_3.구조물공(시례우안2제)" xfId="8886"/>
    <cellStyle name="_도곡4교 하부공 수량_암거수량_04 BOX집" xfId="1310"/>
    <cellStyle name="_도곡4교 하부공 수량_암거수량_1련BOX" xfId="8887"/>
    <cellStyle name="_도곡4교 하부공 수량_암거수량_2련BOX" xfId="8888"/>
    <cellStyle name="_도곡4교 하부공 수량_암거수량_3.1제1배수통관(시례우안3제)" xfId="8889"/>
    <cellStyle name="_도곡4교 하부공 수량_암거수량_3.2 제2배수통관" xfId="8890"/>
    <cellStyle name="_도곡4교 하부공 수량_암거수량_3.3 제3배수통관" xfId="8891"/>
    <cellStyle name="_도곡4교 하부공 수량_암거수량_3.구조물공(시례우안2제)" xfId="8892"/>
    <cellStyle name="_도곡교 교대 수량" xfId="1311"/>
    <cellStyle name="_도곡교 교대 수량_2(변경)-토공" xfId="1312"/>
    <cellStyle name="_도곡교 교대 수량_3.1제1배수통관(시례우안3제)" xfId="8893"/>
    <cellStyle name="_도곡교 교대 수량_3.2 제2배수통관" xfId="8894"/>
    <cellStyle name="_도곡교 교대 수량_3.3 제3배수통관" xfId="8895"/>
    <cellStyle name="_도곡교 교대 수량_3.구조물공(시례우안2제)" xfId="8896"/>
    <cellStyle name="_도곡교 교대 수량_RAMP-E교-최종000" xfId="1313"/>
    <cellStyle name="_도곡교 교대 수량_RAMP-E교-최종000_공유수면매립도시관리계획및실시설계용역" xfId="1314"/>
    <cellStyle name="_도곡교 교대 수량_RAMP-E교-최종000_로하스변경내역서-5(06.6.7)" xfId="1315"/>
    <cellStyle name="_도곡교 교대 수량_RAMP-E교-최종000_로하스변경내역서-5(06.6.7)_로하스변경내역서-6(06(1).6.27 당초변경)" xfId="1316"/>
    <cellStyle name="_도곡교 교대 수량_RAMP-E교-최종000_로하스변경내역서-6(06.6.21)" xfId="1317"/>
    <cellStyle name="_도곡교 교대 수량_RAMP-E교-최종000_로하스변경내역서-6(06.6.21)_로하스변경내역서-6(06(1).6.27 당초변경)" xfId="1318"/>
    <cellStyle name="_도곡교 교대 수량_RAMP-E교-최종000_시방서" xfId="1319"/>
    <cellStyle name="_도곡교 교대 수량_RAMP-E교-최종000_시방서_공유수면매립도시관리계획및실시설계용역" xfId="1320"/>
    <cellStyle name="_도곡교 교대 수량_RAMP-E교-최종000_시방서_로하스변경내역서-5(06.6.7)" xfId="1321"/>
    <cellStyle name="_도곡교 교대 수량_RAMP-E교-최종000_시방서_로하스변경내역서-5(06.6.7)_로하스변경내역서-6(06(1).6.27 당초변경)" xfId="1322"/>
    <cellStyle name="_도곡교 교대 수량_RAMP-E교-최종000_시방서_로하스변경내역서-6(06.6.21)" xfId="1323"/>
    <cellStyle name="_도곡교 교대 수량_RAMP-E교-최종000_시방서_로하스변경내역서-6(06.6.21)_로하스변경내역서-6(06(1).6.27 당초변경)" xfId="1324"/>
    <cellStyle name="_도곡교 교대 수량_RAMP-E교-최종000_파도 - 모항선 횡배수관 확장" xfId="1325"/>
    <cellStyle name="_도곡교 교대 수량_RAMP-E교-최종000_파도 - 모항선 횡배수관 확장_공유수면매립도시관리계획및실시설계용역" xfId="1326"/>
    <cellStyle name="_도곡교 교대 수량_RAMP-E교-최종000_파도 - 모항선 횡배수관 확장_로하스변경내역서-5(06.6.7)" xfId="1327"/>
    <cellStyle name="_도곡교 교대 수량_RAMP-E교-최종000_파도 - 모항선 횡배수관 확장_로하스변경내역서-5(06.6.7)_로하스변경내역서-6(06(1).6.27 당초변경)" xfId="1328"/>
    <cellStyle name="_도곡교 교대 수량_RAMP-E교-최종000_파도 - 모항선 횡배수관 확장_로하스변경내역서-6(06.6.21)" xfId="1329"/>
    <cellStyle name="_도곡교 교대 수량_RAMP-E교-최종000_파도 - 모항선 횡배수관 확장_로하스변경내역서-6(06.6.21)_로하스변경내역서-6(06(1).6.27 당초변경)" xfId="1330"/>
    <cellStyle name="_도곡교 교대 수량_RAMP-E교-최종000_파도 - 모항선 횡배수관 확장_시방서" xfId="1331"/>
    <cellStyle name="_도곡교 교대 수량_RAMP-E교-최종000_파도 - 모항선 횡배수관 확장_시방서_공유수면매립도시관리계획및실시설계용역" xfId="1332"/>
    <cellStyle name="_도곡교 교대 수량_RAMP-E교-최종000_파도 - 모항선 횡배수관 확장_시방서_로하스변경내역서-5(06.6.7)" xfId="1333"/>
    <cellStyle name="_도곡교 교대 수량_RAMP-E교-최종000_파도 - 모항선 횡배수관 확장_시방서_로하스변경내역서-5(06.6.7)_로하스변경내역서-6(06(1).6.27 당초변경)" xfId="1334"/>
    <cellStyle name="_도곡교 교대 수량_RAMP-E교-최종000_파도 - 모항선 횡배수관 확장_시방서_로하스변경내역서-6(06.6.21)" xfId="1335"/>
    <cellStyle name="_도곡교 교대 수량_RAMP-E교-최종000_파도 - 모항선 횡배수관 확장_시방서_로하스변경내역서-6(06.6.21)_로하스변경내역서-6(06(1).6.27 당초변경)" xfId="1336"/>
    <cellStyle name="_도곡교 교대 수량_공유수면매립도시관리계획및실시설계용역" xfId="1337"/>
    <cellStyle name="_도곡교 교대 수량_로하스변경내역서-5(06.6.7)" xfId="1338"/>
    <cellStyle name="_도곡교 교대 수량_로하스변경내역서-5(06.6.7)_로하스변경내역서-6(06(1).6.27 당초변경)" xfId="1339"/>
    <cellStyle name="_도곡교 교대 수량_로하스변경내역서-6(06.6.21)" xfId="1340"/>
    <cellStyle name="_도곡교 교대 수량_로하스변경내역서-6(06.6.21)_로하스변경내역서-6(06(1).6.27 당초변경)" xfId="1341"/>
    <cellStyle name="_도곡교 교대 수량_시방서" xfId="1342"/>
    <cellStyle name="_도곡교 교대 수량_시방서_공유수면매립도시관리계획및실시설계용역" xfId="1343"/>
    <cellStyle name="_도곡교 교대 수량_시방서_로하스변경내역서-5(06.6.7)" xfId="1344"/>
    <cellStyle name="_도곡교 교대 수량_시방서_로하스변경내역서-5(06.6.7)_로하스변경내역서-6(06(1).6.27 당초변경)" xfId="1345"/>
    <cellStyle name="_도곡교 교대 수량_시방서_로하스변경내역서-6(06.6.21)" xfId="1346"/>
    <cellStyle name="_도곡교 교대 수량_시방서_로하스변경내역서-6(06.6.21)_로하스변경내역서-6(06(1).6.27 당초변경)" xfId="1347"/>
    <cellStyle name="_도곡교 교대 수량_신촌-유곡(암거)" xfId="1348"/>
    <cellStyle name="_도곡교 교대 수량_신촌-유곡(암거)_04 BOX집" xfId="1349"/>
    <cellStyle name="_도곡교 교대 수량_암거수량" xfId="1350"/>
    <cellStyle name="_도곡교 교대 수량_암거수량(2)" xfId="1351"/>
    <cellStyle name="_도곡교 교대 수량_암거수량(2)_04 BOX집" xfId="1352"/>
    <cellStyle name="_도곡교 교대 수량_암거수량(2)_1련BOX" xfId="8897"/>
    <cellStyle name="_도곡교 교대 수량_암거수량(2)_2련BOX" xfId="8898"/>
    <cellStyle name="_도곡교 교대 수량_암거수량(2)_3.1제1배수통관(시례우안3제)" xfId="8899"/>
    <cellStyle name="_도곡교 교대 수량_암거수량(2)_3.2 제2배수통관" xfId="8900"/>
    <cellStyle name="_도곡교 교대 수량_암거수량(2)_3.3 제3배수통관" xfId="8901"/>
    <cellStyle name="_도곡교 교대 수량_암거수량(2)_3.구조물공(시례우안2제)" xfId="8902"/>
    <cellStyle name="_도곡교 교대 수량_암거수량_04 BOX집" xfId="1353"/>
    <cellStyle name="_도곡교 교대 수량_암거수량_1련BOX" xfId="8903"/>
    <cellStyle name="_도곡교 교대 수량_암거수량_2련BOX" xfId="8904"/>
    <cellStyle name="_도곡교 교대 수량_암거수량_3.1제1배수통관(시례우안3제)" xfId="8905"/>
    <cellStyle name="_도곡교 교대 수량_암거수량_3.2 제2배수통관" xfId="8906"/>
    <cellStyle name="_도곡교 교대 수량_암거수량_3.3 제3배수통관" xfId="8907"/>
    <cellStyle name="_도곡교 교대 수량_암거수량_3.구조물공(시례우안2제)" xfId="8908"/>
    <cellStyle name="_도급실행0211" xfId="8909"/>
    <cellStyle name="_도급실행0211_공종별공사내용(광주참고용)" xfId="8910"/>
    <cellStyle name="_도덕-고흥도로(투찰)" xfId="1354"/>
    <cellStyle name="_도로+상수+하수(2003년진주시)-1차-최종" xfId="1355"/>
    <cellStyle name="_도로+상수+하수총괄분(진주시)" xfId="1356"/>
    <cellStyle name="_도로공사 예산설계(통합교통정보시스템)" xfId="8911"/>
    <cellStyle name="_도로공사대전지사" xfId="1357"/>
    <cellStyle name="_도로굴착설계서완료" xfId="8912"/>
    <cellStyle name="_도로명 통합시스템 예산설계(051130" xfId="8913"/>
    <cellStyle name="_도로명주소 DB이행 필요예산(안)" xfId="8914"/>
    <cellStyle name="_도로및지하시설물도공동구축사업 설계내역서.1.0" xfId="1358"/>
    <cellStyle name="_도로시설물020517총괄" xfId="1359"/>
    <cellStyle name="_도로와 지하시설물도 구축사업(2차) 설계내역서_v4" xfId="1360"/>
    <cellStyle name="_도로와 지하시설물도 시범사업 설계내역서_1.2" xfId="1361"/>
    <cellStyle name="_도리농로" xfId="8915"/>
    <cellStyle name="_도면틀" xfId="8916"/>
    <cellStyle name="_도변광단국3차" xfId="8917"/>
    <cellStyle name="_도변단가lgt13차" xfId="8918"/>
    <cellStyle name="_도봉,강북 센터 자료 2003.1.27" xfId="8919"/>
    <cellStyle name="_도시(포스데이타)계약" xfId="8920"/>
    <cellStyle name="_도시(포스데이타)계약2" xfId="8921"/>
    <cellStyle name="_도시계획시설(9만평)" xfId="1362"/>
    <cellStyle name="_도시관리계획내역(1026)" xfId="8922"/>
    <cellStyle name="_도원동내역및수량산출서(0813)" xfId="1363"/>
    <cellStyle name="_돌고개농로" xfId="8923"/>
    <cellStyle name="_돌망태수량(바이리)" xfId="1364"/>
    <cellStyle name="_동강리조트(교통성사전재해)" xfId="1365"/>
    <cellStyle name="_동대문실내체육관(천마낙찰)" xfId="1366"/>
    <cellStyle name="_동대병원(투찰①)" xfId="1367"/>
    <cellStyle name="_동래여고_강당 무대장치 제작설치" xfId="8924"/>
    <cellStyle name="_동래여고_강당 무대장치 제작설치_2004년 완선공사(최종본)" xfId="8925"/>
    <cellStyle name="_동래여고_강당 무대장치 제작설치_안동전통문화콘텐츠박물관전시영상물구축(전시시설물)" xfId="8926"/>
    <cellStyle name="_동래여고_강당 무대장치 제작설치_안동전통문화콘텐츠박물관전시영상물구축(전시시설물)_원가보고서(종합)-조달" xfId="8927"/>
    <cellStyle name="_동래여고_강당 무대장치 제작설치_안동전통문화콘텐츠박물관전시영상물구축(전시시설물)_원가보고서(흑색)-조달" xfId="8928"/>
    <cellStyle name="_동래여고_강당 무대장치 제작설치_원가계산서(화성상록)" xfId="8929"/>
    <cellStyle name="_동래여고_강당 무대장치 제작설치_원가계산서(화성상록) (version 1)" xfId="8930"/>
    <cellStyle name="_동래여고_강당 무대장치 제작설치_원가계산서(화성상록) (version 1)_원가보고서(종합)-조달" xfId="8931"/>
    <cellStyle name="_동래여고_강당 무대장치 제작설치_원가계산서(화성상록) (version 1)_원가보고서(흑색)-조달" xfId="8932"/>
    <cellStyle name="_동래여고_강당 무대장치 제작설치_원가계산서(화성상록)_원가보고서(종합)-조달" xfId="8933"/>
    <cellStyle name="_동래여고_강당 무대장치 제작설치_원가계산서(화성상록)_원가보고서(흑색)-조달" xfId="8934"/>
    <cellStyle name="_동백~죽전도로개설공사(효자건설)ES내역서" xfId="1368"/>
    <cellStyle name="_동원꽃농원" xfId="1369"/>
    <cellStyle name="_동해#5한소연외2명" xfId="8935"/>
    <cellStyle name="_동해#7송춘옥" xfId="8936"/>
    <cellStyle name="_동해,삼척MISP종합기별" xfId="8937"/>
    <cellStyle name="_동해PC방." xfId="8938"/>
    <cellStyle name="_동해기별" xfId="8939"/>
    <cellStyle name="_동해대림" xfId="8940"/>
    <cellStyle name="_동해대림아파트" xfId="8941"/>
    <cellStyle name="_동해배전자동화 공가" xfId="8942"/>
    <cellStyle name="_동해사이버리아-기완료" xfId="8943"/>
    <cellStyle name="_동해시청" xfId="8944"/>
    <cellStyle name="_동해주공6-1.2단지" xfId="8945"/>
    <cellStyle name="_동해준공 배전자동화" xfId="8946"/>
    <cellStyle name="_동해파빌리온PC방" xfId="8947"/>
    <cellStyle name="_동해현대" xfId="8948"/>
    <cellStyle name="_두계변전소하도급" xfId="1370"/>
    <cellStyle name="_두릉1제 수량산출서" xfId="1371"/>
    <cellStyle name="_등촌고등총괄(동현하도급)" xfId="1372"/>
    <cellStyle name="_디아모_한국전산원_Listprice" xfId="1373"/>
    <cellStyle name="_디지털산업단지견적서" xfId="16"/>
    <cellStyle name="_디지털산업단지견적서 2" xfId="1374"/>
    <cellStyle name="_라멘교 토공" xfId="1375"/>
    <cellStyle name="_라멘교 토공_01.설계내역2" xfId="1376"/>
    <cellStyle name="_라멘교 토공_제2종지구단위계획_선바위관광지" xfId="1377"/>
    <cellStyle name="_라멘교 토공_제2종지구단위계획_선바위관광지_20090609_영덕농공단지내역서" xfId="1378"/>
    <cellStyle name="_라멘교 토공_제2종지구단위계획_선바위관광지_총괄내역서(090223)" xfId="1379"/>
    <cellStyle name="_라멘교 토공_총괄내역서_도시관리계획결정(070907)_계약" xfId="1380"/>
    <cellStyle name="_라멘교 토공_총괄내역서_타당성조사및도시관리계획결정(090115)" xfId="1381"/>
    <cellStyle name="_라멘교 토공_총괄내역서_타당성조사및도시관리계획결정(090115)_20090609_영덕농공단지내역서" xfId="1382"/>
    <cellStyle name="_라멘교 토공_총괄내역서_타당성조사및도시관리계획결정(090115)_총괄내역서(090223)" xfId="1383"/>
    <cellStyle name="_레몬홈페이지개발프로젝트경비신청서03-03-09" xfId="8949"/>
    <cellStyle name="_로하스변경내역서-6(06.6.29 당초변경)" xfId="1384"/>
    <cellStyle name="_롯데레몬 사이트 개발 견적서02-10-29" xfId="8950"/>
    <cellStyle name="_롯데레몬 사이트 개발 견적서02-11-06" xfId="8951"/>
    <cellStyle name="_롯데백화점_인프라 내역(2006.01.20)" xfId="8952"/>
    <cellStyle name="_리눅스OS_견적서" xfId="8953"/>
    <cellStyle name="_마무리공사" xfId="1385"/>
    <cellStyle name="_마북리지중화공사" xfId="8954"/>
    <cellStyle name="_마일1음지진입로확포장공사" xfId="8955"/>
    <cellStyle name="_마창VMS1EA-2_2" xfId="12574"/>
    <cellStyle name="_마현~생창국도건설공사" xfId="1386"/>
    <cellStyle name="_만천간71-88호" xfId="8956"/>
    <cellStyle name="_맨홀토공" xfId="1387"/>
    <cellStyle name="_맨홀토공_내지농로(변경)" xfId="1388"/>
    <cellStyle name="_맨홀토공_내지농로(변경)_돈지수량산출" xfId="1389"/>
    <cellStyle name="_맨홀토공_능양수량산출" xfId="1390"/>
    <cellStyle name="_맨홀토공_능양수량산출_돈지수량산출" xfId="1391"/>
    <cellStyle name="_맨홀토공_돈지안길" xfId="1392"/>
    <cellStyle name="_맨홀토공_돈지안길_배수로" xfId="1393"/>
    <cellStyle name="_맨홀토공_돈지안길1000" xfId="1394"/>
    <cellStyle name="_맨홀토공_돈지안길1000_배수로" xfId="1395"/>
    <cellStyle name="_맨홀토공_배수로" xfId="1396"/>
    <cellStyle name="_맨홀토공_배수로_배수로" xfId="1397"/>
    <cellStyle name="_맨홀토공_석축쌓기" xfId="1398"/>
    <cellStyle name="_맨홀토공_석축쌓기_내지농로(변경)" xfId="1399"/>
    <cellStyle name="_맨홀토공_석축쌓기_내지농로(변경)_돈지수량산출" xfId="1400"/>
    <cellStyle name="_맨홀토공_석축쌓기_능양수량산출" xfId="1401"/>
    <cellStyle name="_맨홀토공_석축쌓기_능양수량산출_돈지수량산출" xfId="1402"/>
    <cellStyle name="_맨홀토공_석축쌓기_돈지안길" xfId="1403"/>
    <cellStyle name="_맨홀토공_석축쌓기_돈지안길_배수로" xfId="1404"/>
    <cellStyle name="_맨홀토공_석축쌓기_돈지안길1000" xfId="1405"/>
    <cellStyle name="_맨홀토공_석축쌓기_돈지안길1000_배수로" xfId="1406"/>
    <cellStyle name="_맨홀토공_석축쌓기_배수공(명품센터)" xfId="1407"/>
    <cellStyle name="_맨홀토공_석축쌓기_배수공(명품센터)_내지농로(변경)" xfId="1408"/>
    <cellStyle name="_맨홀토공_석축쌓기_배수공(명품센터)_내지농로(변경)_돈지수량산출" xfId="1409"/>
    <cellStyle name="_맨홀토공_석축쌓기_배수공(명품센터)_능양수량산출" xfId="1410"/>
    <cellStyle name="_맨홀토공_석축쌓기_배수공(명품센터)_능양수량산출_돈지수량산출" xfId="1411"/>
    <cellStyle name="_맨홀토공_석축쌓기_배수공(명품센터)_돈지안길" xfId="1412"/>
    <cellStyle name="_맨홀토공_석축쌓기_배수공(명품센터)_돈지안길_배수로" xfId="1413"/>
    <cellStyle name="_맨홀토공_석축쌓기_배수공(명품센터)_돈지안길1000" xfId="1414"/>
    <cellStyle name="_맨홀토공_석축쌓기_배수공(명품센터)_돈지안길1000_배수로" xfId="1415"/>
    <cellStyle name="_맨홀토공_석축쌓기_배수공(명품센터)_배수로" xfId="1416"/>
    <cellStyle name="_맨홀토공_석축쌓기_배수공(명품센터)_배수로_배수로" xfId="1417"/>
    <cellStyle name="_맨홀토공_석축쌓기_배수로" xfId="1418"/>
    <cellStyle name="_맨홀토공_석축쌓기_배수로_배수로" xfId="1419"/>
    <cellStyle name="_맨홀토공_석축쌓기_수량(전안수해복구)" xfId="1420"/>
    <cellStyle name="_맨홀토공_석축쌓기_수량(전안수해복구)_내지농로(변경)" xfId="1421"/>
    <cellStyle name="_맨홀토공_석축쌓기_수량(전안수해복구)_내지농로(변경)_돈지수량산출" xfId="1422"/>
    <cellStyle name="_맨홀토공_석축쌓기_수량(전안수해복구)_능양수량산출" xfId="1423"/>
    <cellStyle name="_맨홀토공_석축쌓기_수량(전안수해복구)_능양수량산출_돈지수량산출" xfId="1424"/>
    <cellStyle name="_맨홀토공_석축쌓기_수량(전안수해복구)_돈지안길" xfId="1425"/>
    <cellStyle name="_맨홀토공_석축쌓기_수량(전안수해복구)_돈지안길_배수로" xfId="1426"/>
    <cellStyle name="_맨홀토공_석축쌓기_수량(전안수해복구)_돈지안길1000" xfId="1427"/>
    <cellStyle name="_맨홀토공_석축쌓기_수량(전안수해복구)_돈지안길1000_배수로" xfId="1428"/>
    <cellStyle name="_맨홀토공_석축쌓기_수량(전안수해복구)_배수로" xfId="1429"/>
    <cellStyle name="_맨홀토공_석축쌓기_수량(전안수해복구)_배수로_배수로" xfId="1430"/>
    <cellStyle name="_맨홀토공_석축쌓기_우수공(k2)" xfId="1431"/>
    <cellStyle name="_맨홀토공_석축쌓기_우수공(k2)_내지농로(변경)" xfId="1432"/>
    <cellStyle name="_맨홀토공_석축쌓기_우수공(k2)_내지농로(변경)_돈지수량산출" xfId="1433"/>
    <cellStyle name="_맨홀토공_석축쌓기_우수공(k2)_능양수량산출" xfId="1434"/>
    <cellStyle name="_맨홀토공_석축쌓기_우수공(k2)_능양수량산출_돈지수량산출" xfId="1435"/>
    <cellStyle name="_맨홀토공_석축쌓기_우수공(k2)_돈지안길" xfId="1436"/>
    <cellStyle name="_맨홀토공_석축쌓기_우수공(k2)_돈지안길_배수로" xfId="1437"/>
    <cellStyle name="_맨홀토공_석축쌓기_우수공(k2)_돈지안길1000" xfId="1438"/>
    <cellStyle name="_맨홀토공_석축쌓기_우수공(k2)_돈지안길1000_배수로" xfId="1439"/>
    <cellStyle name="_맨홀토공_석축쌓기_우수공(k2)_배수로" xfId="1440"/>
    <cellStyle name="_맨홀토공_석축쌓기_우수공(k2)_배수로_배수로" xfId="1441"/>
    <cellStyle name="_메리츠증권 운영리스크견적_PwC_080328" xfId="8957"/>
    <cellStyle name="_면벽수량토공까지" xfId="8958"/>
    <cellStyle name="_명암지-산성간" xfId="1442"/>
    <cellStyle name="_모바일 지리정보 현장관리시스템 설계서" xfId="1443"/>
    <cellStyle name="_모점3공구" xfId="8959"/>
    <cellStyle name="_목포시(UIS)설계서_계약용(최종_대외비)" xfId="12575"/>
    <cellStyle name="_무선망_설계서" xfId="8960"/>
    <cellStyle name="_무안군_UIS설계서(1013)" xfId="1444"/>
    <cellStyle name="_무창투찰" xfId="1445"/>
    <cellStyle name="_무창투찰_무촌투찰" xfId="1446"/>
    <cellStyle name="_무촌투찰" xfId="1447"/>
    <cellStyle name="_무학22" xfId="1448"/>
    <cellStyle name="_문경시관리계획내역서 최종0211" xfId="1449"/>
    <cellStyle name="_문의 미천 가로등" xfId="1450"/>
    <cellStyle name="_문의 미천 가로등_01.설계내역2" xfId="1451"/>
    <cellStyle name="_문의 미천 가로등_제2종지구단위계획_선바위관광지" xfId="1452"/>
    <cellStyle name="_문의 미천 가로등_제2종지구단위계획_선바위관광지_20090609_영덕농공단지내역서" xfId="1453"/>
    <cellStyle name="_문의 미천 가로등_제2종지구단위계획_선바위관광지_총괄내역서(090223)" xfId="1454"/>
    <cellStyle name="_문의 미천 가로등_총괄내역서_도시관리계획결정(070907)_계약" xfId="1455"/>
    <cellStyle name="_문의 미천 가로등_총괄내역서_타당성조사및도시관리계획결정(090115)" xfId="1456"/>
    <cellStyle name="_문의 미천 가로등_총괄내역서_타당성조사및도시관리계획결정(090115)_20090609_영덕농공단지내역서" xfId="1457"/>
    <cellStyle name="_문의 미천 가로등_총괄내역서_타당성조사및도시관리계획결정(090115)_총괄내역서(090223)" xfId="1458"/>
    <cellStyle name="_문화예술교육진흥원건_20070405-1 2007 04 10" xfId="8961"/>
    <cellStyle name="_문화재GIS_설계내역_040718_v3" xfId="1459"/>
    <cellStyle name="_문화재지표조사내역서" xfId="8962"/>
    <cellStyle name="_물건조사" xfId="1460"/>
    <cellStyle name="_물량기본내역및조사탐사내역" xfId="8963"/>
    <cellStyle name="_미리네_홍천군시청각관리시스템" xfId="8964"/>
    <cellStyle name="_미풍견적(충남배전)" xfId="8965"/>
    <cellStyle name="_반중력식옹벽" xfId="8966"/>
    <cellStyle name="_반중력식옹벽수량" xfId="8967"/>
    <cellStyle name="_반중수집" xfId="8968"/>
    <cellStyle name="_방동" xfId="1461"/>
    <cellStyle name="_방동_01.설계내역2" xfId="1462"/>
    <cellStyle name="_방동_03구조~1" xfId="1463"/>
    <cellStyle name="_방동_03구조~1_01.설계내역2" xfId="1464"/>
    <cellStyle name="_방동_03구조~1_라멘교 토공" xfId="1465"/>
    <cellStyle name="_방동_03구조~1_라멘교 토공_01.설계내역2" xfId="1466"/>
    <cellStyle name="_방동_03구조~1_라멘교 토공_제2종지구단위계획_선바위관광지" xfId="1467"/>
    <cellStyle name="_방동_03구조~1_라멘교 토공_제2종지구단위계획_선바위관광지_20090609_영덕농공단지내역서" xfId="1468"/>
    <cellStyle name="_방동_03구조~1_라멘교 토공_제2종지구단위계획_선바위관광지_총괄내역서(090223)" xfId="1469"/>
    <cellStyle name="_방동_03구조~1_라멘교 토공_총괄내역서_도시관리계획결정(070907)_계약" xfId="1470"/>
    <cellStyle name="_방동_03구조~1_라멘교 토공_총괄내역서_타당성조사및도시관리계획결정(090115)" xfId="1471"/>
    <cellStyle name="_방동_03구조~1_라멘교 토공_총괄내역서_타당성조사및도시관리계획결정(090115)_20090609_영덕농공단지내역서" xfId="1472"/>
    <cellStyle name="_방동_03구조~1_라멘교 토공_총괄내역서_타당성조사및도시관리계획결정(090115)_총괄내역서(090223)" xfId="1473"/>
    <cellStyle name="_방동_03구조~1_제2종지구단위계획_선바위관광지" xfId="1474"/>
    <cellStyle name="_방동_03구조~1_제2종지구단위계획_선바위관광지_20090609_영덕농공단지내역서" xfId="1475"/>
    <cellStyle name="_방동_03구조~1_제2종지구단위계획_선바위관광지_총괄내역서(090223)" xfId="1476"/>
    <cellStyle name="_방동_03구조~1_총괄내역서_도시관리계획결정(070907)_계약" xfId="1477"/>
    <cellStyle name="_방동_03구조~1_총괄내역서_타당성조사및도시관리계획결정(090115)" xfId="1478"/>
    <cellStyle name="_방동_03구조~1_총괄내역서_타당성조사및도시관리계획결정(090115)_20090609_영덕농공단지내역서" xfId="1479"/>
    <cellStyle name="_방동_03구조~1_총괄내역서_타당성조사및도시관리계획결정(090115)_총괄내역서(090223)" xfId="1480"/>
    <cellStyle name="_방동_03구조~1_포장" xfId="1481"/>
    <cellStyle name="_방동_03구조~1_포장_01.설계내역2" xfId="1482"/>
    <cellStyle name="_방동_03구조~1_포장_라멘교 토공" xfId="1483"/>
    <cellStyle name="_방동_03구조~1_포장_라멘교 토공_01.설계내역2" xfId="1484"/>
    <cellStyle name="_방동_03구조~1_포장_라멘교 토공_제2종지구단위계획_선바위관광지" xfId="1485"/>
    <cellStyle name="_방동_03구조~1_포장_라멘교 토공_제2종지구단위계획_선바위관광지_20090609_영덕농공단지내역서" xfId="1486"/>
    <cellStyle name="_방동_03구조~1_포장_라멘교 토공_제2종지구단위계획_선바위관광지_총괄내역서(090223)" xfId="1487"/>
    <cellStyle name="_방동_03구조~1_포장_라멘교 토공_총괄내역서_도시관리계획결정(070907)_계약" xfId="1488"/>
    <cellStyle name="_방동_03구조~1_포장_라멘교 토공_총괄내역서_타당성조사및도시관리계획결정(090115)" xfId="1489"/>
    <cellStyle name="_방동_03구조~1_포장_라멘교 토공_총괄내역서_타당성조사및도시관리계획결정(090115)_20090609_영덕농공단지내역서" xfId="1490"/>
    <cellStyle name="_방동_03구조~1_포장_라멘교 토공_총괄내역서_타당성조사및도시관리계획결정(090115)_총괄내역서(090223)" xfId="1491"/>
    <cellStyle name="_방동_03구조~1_포장_제2종지구단위계획_선바위관광지" xfId="1492"/>
    <cellStyle name="_방동_03구조~1_포장_제2종지구단위계획_선바위관광지_20090609_영덕농공단지내역서" xfId="1493"/>
    <cellStyle name="_방동_03구조~1_포장_제2종지구단위계획_선바위관광지_총괄내역서(090223)" xfId="1494"/>
    <cellStyle name="_방동_03구조~1_포장_총괄내역서_도시관리계획결정(070907)_계약" xfId="1495"/>
    <cellStyle name="_방동_03구조~1_포장_총괄내역서_타당성조사및도시관리계획결정(090115)" xfId="1496"/>
    <cellStyle name="_방동_03구조~1_포장_총괄내역서_타당성조사및도시관리계획결정(090115)_20090609_영덕농공단지내역서" xfId="1497"/>
    <cellStyle name="_방동_03구조~1_포장_총괄내역서_타당성조사및도시관리계획결정(090115)_총괄내역서(090223)" xfId="1498"/>
    <cellStyle name="_방동_03구조물공" xfId="1499"/>
    <cellStyle name="_방동_03구조물공_01.설계내역2" xfId="1500"/>
    <cellStyle name="_방동_03구조물공_라멘교 토공" xfId="1501"/>
    <cellStyle name="_방동_03구조물공_라멘교 토공_01.설계내역2" xfId="1502"/>
    <cellStyle name="_방동_03구조물공_라멘교 토공_제2종지구단위계획_선바위관광지" xfId="1503"/>
    <cellStyle name="_방동_03구조물공_라멘교 토공_제2종지구단위계획_선바위관광지_20090609_영덕농공단지내역서" xfId="1504"/>
    <cellStyle name="_방동_03구조물공_라멘교 토공_제2종지구단위계획_선바위관광지_총괄내역서(090223)" xfId="1505"/>
    <cellStyle name="_방동_03구조물공_라멘교 토공_총괄내역서_도시관리계획결정(070907)_계약" xfId="1506"/>
    <cellStyle name="_방동_03구조물공_라멘교 토공_총괄내역서_타당성조사및도시관리계획결정(090115)" xfId="1507"/>
    <cellStyle name="_방동_03구조물공_라멘교 토공_총괄내역서_타당성조사및도시관리계획결정(090115)_20090609_영덕농공단지내역서" xfId="1508"/>
    <cellStyle name="_방동_03구조물공_라멘교 토공_총괄내역서_타당성조사및도시관리계획결정(090115)_총괄내역서(090223)" xfId="1509"/>
    <cellStyle name="_방동_03구조물공_제2종지구단위계획_선바위관광지" xfId="1510"/>
    <cellStyle name="_방동_03구조물공_제2종지구단위계획_선바위관광지_20090609_영덕농공단지내역서" xfId="1511"/>
    <cellStyle name="_방동_03구조물공_제2종지구단위계획_선바위관광지_총괄내역서(090223)" xfId="1512"/>
    <cellStyle name="_방동_03구조물공_총괄내역서_도시관리계획결정(070907)_계약" xfId="1513"/>
    <cellStyle name="_방동_03구조물공_총괄내역서_타당성조사및도시관리계획결정(090115)" xfId="1514"/>
    <cellStyle name="_방동_03구조물공_총괄내역서_타당성조사및도시관리계획결정(090115)_20090609_영덕농공단지내역서" xfId="1515"/>
    <cellStyle name="_방동_03구조물공_총괄내역서_타당성조사및도시관리계획결정(090115)_총괄내역서(090223)" xfId="1516"/>
    <cellStyle name="_방동_03구조물공_포장" xfId="1517"/>
    <cellStyle name="_방동_03구조물공_포장_01.설계내역2" xfId="1518"/>
    <cellStyle name="_방동_03구조물공_포장_라멘교 토공" xfId="1519"/>
    <cellStyle name="_방동_03구조물공_포장_라멘교 토공_01.설계내역2" xfId="1520"/>
    <cellStyle name="_방동_03구조물공_포장_라멘교 토공_제2종지구단위계획_선바위관광지" xfId="1521"/>
    <cellStyle name="_방동_03구조물공_포장_라멘교 토공_제2종지구단위계획_선바위관광지_20090609_영덕농공단지내역서" xfId="1522"/>
    <cellStyle name="_방동_03구조물공_포장_라멘교 토공_제2종지구단위계획_선바위관광지_총괄내역서(090223)" xfId="1523"/>
    <cellStyle name="_방동_03구조물공_포장_라멘교 토공_총괄내역서_도시관리계획결정(070907)_계약" xfId="1524"/>
    <cellStyle name="_방동_03구조물공_포장_라멘교 토공_총괄내역서_타당성조사및도시관리계획결정(090115)" xfId="1525"/>
    <cellStyle name="_방동_03구조물공_포장_라멘교 토공_총괄내역서_타당성조사및도시관리계획결정(090115)_20090609_영덕농공단지내역서" xfId="1526"/>
    <cellStyle name="_방동_03구조물공_포장_라멘교 토공_총괄내역서_타당성조사및도시관리계획결정(090115)_총괄내역서(090223)" xfId="1527"/>
    <cellStyle name="_방동_03구조물공_포장_제2종지구단위계획_선바위관광지" xfId="1528"/>
    <cellStyle name="_방동_03구조물공_포장_제2종지구단위계획_선바위관광지_20090609_영덕농공단지내역서" xfId="1529"/>
    <cellStyle name="_방동_03구조물공_포장_제2종지구단위계획_선바위관광지_총괄내역서(090223)" xfId="1530"/>
    <cellStyle name="_방동_03구조물공_포장_총괄내역서_도시관리계획결정(070907)_계약" xfId="1531"/>
    <cellStyle name="_방동_03구조물공_포장_총괄내역서_타당성조사및도시관리계획결정(090115)" xfId="1532"/>
    <cellStyle name="_방동_03구조물공_포장_총괄내역서_타당성조사및도시관리계획결정(090115)_20090609_영덕농공단지내역서" xfId="1533"/>
    <cellStyle name="_방동_03구조물공_포장_총괄내역서_타당성조사및도시관리계획결정(090115)_총괄내역서(090223)" xfId="1534"/>
    <cellStyle name="_방동_동막리소교량" xfId="1535"/>
    <cellStyle name="_방동_동막리소교량_01.설계내역2" xfId="1536"/>
    <cellStyle name="_방동_동막리소교량_라멘교 토공" xfId="1537"/>
    <cellStyle name="_방동_동막리소교량_라멘교 토공_01.설계내역2" xfId="1538"/>
    <cellStyle name="_방동_동막리소교량_라멘교 토공_제2종지구단위계획_선바위관광지" xfId="1539"/>
    <cellStyle name="_방동_동막리소교량_라멘교 토공_제2종지구단위계획_선바위관광지_20090609_영덕농공단지내역서" xfId="1540"/>
    <cellStyle name="_방동_동막리소교량_라멘교 토공_제2종지구단위계획_선바위관광지_총괄내역서(090223)" xfId="1541"/>
    <cellStyle name="_방동_동막리소교량_라멘교 토공_총괄내역서_도시관리계획결정(070907)_계약" xfId="1542"/>
    <cellStyle name="_방동_동막리소교량_라멘교 토공_총괄내역서_타당성조사및도시관리계획결정(090115)" xfId="1543"/>
    <cellStyle name="_방동_동막리소교량_라멘교 토공_총괄내역서_타당성조사및도시관리계획결정(090115)_20090609_영덕농공단지내역서" xfId="1544"/>
    <cellStyle name="_방동_동막리소교량_라멘교 토공_총괄내역서_타당성조사및도시관리계획결정(090115)_총괄내역서(090223)" xfId="1545"/>
    <cellStyle name="_방동_동막리소교량_제2종지구단위계획_선바위관광지" xfId="1546"/>
    <cellStyle name="_방동_동막리소교량_제2종지구단위계획_선바위관광지_20090609_영덕농공단지내역서" xfId="1547"/>
    <cellStyle name="_방동_동막리소교량_제2종지구단위계획_선바위관광지_총괄내역서(090223)" xfId="1548"/>
    <cellStyle name="_방동_동막리소교량_총괄내역서_도시관리계획결정(070907)_계약" xfId="1549"/>
    <cellStyle name="_방동_동막리소교량_총괄내역서_타당성조사및도시관리계획결정(090115)" xfId="1550"/>
    <cellStyle name="_방동_동막리소교량_총괄내역서_타당성조사및도시관리계획결정(090115)_20090609_영덕농공단지내역서" xfId="1551"/>
    <cellStyle name="_방동_동막리소교량_총괄내역서_타당성조사및도시관리계획결정(090115)_총괄내역서(090223)" xfId="1552"/>
    <cellStyle name="_방동_동막리소교량_포장" xfId="1553"/>
    <cellStyle name="_방동_동막리소교량_포장_01.설계내역2" xfId="1554"/>
    <cellStyle name="_방동_동막리소교량_포장_라멘교 토공" xfId="1555"/>
    <cellStyle name="_방동_동막리소교량_포장_라멘교 토공_01.설계내역2" xfId="1556"/>
    <cellStyle name="_방동_동막리소교량_포장_라멘교 토공_제2종지구단위계획_선바위관광지" xfId="1557"/>
    <cellStyle name="_방동_동막리소교량_포장_라멘교 토공_제2종지구단위계획_선바위관광지_20090609_영덕농공단지내역서" xfId="1558"/>
    <cellStyle name="_방동_동막리소교량_포장_라멘교 토공_제2종지구단위계획_선바위관광지_총괄내역서(090223)" xfId="1559"/>
    <cellStyle name="_방동_동막리소교량_포장_라멘교 토공_총괄내역서_도시관리계획결정(070907)_계약" xfId="1560"/>
    <cellStyle name="_방동_동막리소교량_포장_라멘교 토공_총괄내역서_타당성조사및도시관리계획결정(090115)" xfId="1561"/>
    <cellStyle name="_방동_동막리소교량_포장_라멘교 토공_총괄내역서_타당성조사및도시관리계획결정(090115)_20090609_영덕농공단지내역서" xfId="1562"/>
    <cellStyle name="_방동_동막리소교량_포장_라멘교 토공_총괄내역서_타당성조사및도시관리계획결정(090115)_총괄내역서(090223)" xfId="1563"/>
    <cellStyle name="_방동_동막리소교량_포장_제2종지구단위계획_선바위관광지" xfId="1564"/>
    <cellStyle name="_방동_동막리소교량_포장_제2종지구단위계획_선바위관광지_20090609_영덕농공단지내역서" xfId="1565"/>
    <cellStyle name="_방동_동막리소교량_포장_제2종지구단위계획_선바위관광지_총괄내역서(090223)" xfId="1566"/>
    <cellStyle name="_방동_동막리소교량_포장_총괄내역서_도시관리계획결정(070907)_계약" xfId="1567"/>
    <cellStyle name="_방동_동막리소교량_포장_총괄내역서_타당성조사및도시관리계획결정(090115)" xfId="1568"/>
    <cellStyle name="_방동_동막리소교량_포장_총괄내역서_타당성조사및도시관리계획결정(090115)_20090609_영덕농공단지내역서" xfId="1569"/>
    <cellStyle name="_방동_동막리소교량_포장_총괄내역서_타당성조사및도시관리계획결정(090115)_총괄내역서(090223)" xfId="1570"/>
    <cellStyle name="_방동_라멘교 토공" xfId="1571"/>
    <cellStyle name="_방동_라멘교 토공_01.설계내역2" xfId="1572"/>
    <cellStyle name="_방동_라멘교 토공_제2종지구단위계획_선바위관광지" xfId="1573"/>
    <cellStyle name="_방동_라멘교 토공_제2종지구단위계획_선바위관광지_20090609_영덕농공단지내역서" xfId="1574"/>
    <cellStyle name="_방동_라멘교 토공_제2종지구단위계획_선바위관광지_총괄내역서(090223)" xfId="1575"/>
    <cellStyle name="_방동_라멘교 토공_총괄내역서_도시관리계획결정(070907)_계약" xfId="1576"/>
    <cellStyle name="_방동_라멘교 토공_총괄내역서_타당성조사및도시관리계획결정(090115)" xfId="1577"/>
    <cellStyle name="_방동_라멘교 토공_총괄내역서_타당성조사및도시관리계획결정(090115)_20090609_영덕농공단지내역서" xfId="1578"/>
    <cellStyle name="_방동_라멘교 토공_총괄내역서_타당성조사및도시관리계획결정(090115)_총괄내역서(090223)" xfId="1579"/>
    <cellStyle name="_방동_마현12~1" xfId="1580"/>
    <cellStyle name="_방동_마현12~1_01.설계내역2" xfId="1581"/>
    <cellStyle name="_방동_마현12~1_라멘교 토공" xfId="1582"/>
    <cellStyle name="_방동_마현12~1_라멘교 토공_01.설계내역2" xfId="1583"/>
    <cellStyle name="_방동_마현12~1_라멘교 토공_제2종지구단위계획_선바위관광지" xfId="1584"/>
    <cellStyle name="_방동_마현12~1_라멘교 토공_제2종지구단위계획_선바위관광지_20090609_영덕농공단지내역서" xfId="1585"/>
    <cellStyle name="_방동_마현12~1_라멘교 토공_제2종지구단위계획_선바위관광지_총괄내역서(090223)" xfId="1586"/>
    <cellStyle name="_방동_마현12~1_라멘교 토공_총괄내역서_도시관리계획결정(070907)_계약" xfId="1587"/>
    <cellStyle name="_방동_마현12~1_라멘교 토공_총괄내역서_타당성조사및도시관리계획결정(090115)" xfId="1588"/>
    <cellStyle name="_방동_마현12~1_라멘교 토공_총괄내역서_타당성조사및도시관리계획결정(090115)_20090609_영덕농공단지내역서" xfId="1589"/>
    <cellStyle name="_방동_마현12~1_라멘교 토공_총괄내역서_타당성조사및도시관리계획결정(090115)_총괄내역서(090223)" xfId="1590"/>
    <cellStyle name="_방동_마현12~1_제2종지구단위계획_선바위관광지" xfId="1591"/>
    <cellStyle name="_방동_마현12~1_제2종지구단위계획_선바위관광지_20090609_영덕농공단지내역서" xfId="1592"/>
    <cellStyle name="_방동_마현12~1_제2종지구단위계획_선바위관광지_총괄내역서(090223)" xfId="1593"/>
    <cellStyle name="_방동_마현12~1_총괄내역서_도시관리계획결정(070907)_계약" xfId="1594"/>
    <cellStyle name="_방동_마현12~1_총괄내역서_타당성조사및도시관리계획결정(090115)" xfId="1595"/>
    <cellStyle name="_방동_마현12~1_총괄내역서_타당성조사및도시관리계획결정(090115)_20090609_영덕농공단지내역서" xfId="1596"/>
    <cellStyle name="_방동_마현12~1_총괄내역서_타당성조사및도시관리계획결정(090115)_총괄내역서(090223)" xfId="1597"/>
    <cellStyle name="_방동_마현12~1_포장" xfId="1598"/>
    <cellStyle name="_방동_마현12~1_포장_01.설계내역2" xfId="1599"/>
    <cellStyle name="_방동_마현12~1_포장_라멘교 토공" xfId="1600"/>
    <cellStyle name="_방동_마현12~1_포장_라멘교 토공_01.설계내역2" xfId="1601"/>
    <cellStyle name="_방동_마현12~1_포장_라멘교 토공_제2종지구단위계획_선바위관광지" xfId="1602"/>
    <cellStyle name="_방동_마현12~1_포장_라멘교 토공_제2종지구단위계획_선바위관광지_20090609_영덕농공단지내역서" xfId="1603"/>
    <cellStyle name="_방동_마현12~1_포장_라멘교 토공_제2종지구단위계획_선바위관광지_총괄내역서(090223)" xfId="1604"/>
    <cellStyle name="_방동_마현12~1_포장_라멘교 토공_총괄내역서_도시관리계획결정(070907)_계약" xfId="1605"/>
    <cellStyle name="_방동_마현12~1_포장_라멘교 토공_총괄내역서_타당성조사및도시관리계획결정(090115)" xfId="1606"/>
    <cellStyle name="_방동_마현12~1_포장_라멘교 토공_총괄내역서_타당성조사및도시관리계획결정(090115)_20090609_영덕농공단지내역서" xfId="1607"/>
    <cellStyle name="_방동_마현12~1_포장_라멘교 토공_총괄내역서_타당성조사및도시관리계획결정(090115)_총괄내역서(090223)" xfId="1608"/>
    <cellStyle name="_방동_마현12~1_포장_제2종지구단위계획_선바위관광지" xfId="1609"/>
    <cellStyle name="_방동_마현12~1_포장_제2종지구단위계획_선바위관광지_20090609_영덕농공단지내역서" xfId="1610"/>
    <cellStyle name="_방동_마현12~1_포장_제2종지구단위계획_선바위관광지_총괄내역서(090223)" xfId="1611"/>
    <cellStyle name="_방동_마현12~1_포장_총괄내역서_도시관리계획결정(070907)_계약" xfId="1612"/>
    <cellStyle name="_방동_마현12~1_포장_총괄내역서_타당성조사및도시관리계획결정(090115)" xfId="1613"/>
    <cellStyle name="_방동_마현12~1_포장_총괄내역서_타당성조사및도시관리계획결정(090115)_20090609_영덕농공단지내역서" xfId="1614"/>
    <cellStyle name="_방동_마현12~1_포장_총괄내역서_타당성조사및도시관리계획결정(090115)_총괄내역서(090223)" xfId="1615"/>
    <cellStyle name="_방동_문혜3리" xfId="1616"/>
    <cellStyle name="_방동_문혜3리_01.설계내역2" xfId="1617"/>
    <cellStyle name="_방동_문혜3리_라멘교 토공" xfId="1618"/>
    <cellStyle name="_방동_문혜3리_라멘교 토공_01.설계내역2" xfId="1619"/>
    <cellStyle name="_방동_문혜3리_라멘교 토공_제2종지구단위계획_선바위관광지" xfId="1620"/>
    <cellStyle name="_방동_문혜3리_라멘교 토공_제2종지구단위계획_선바위관광지_20090609_영덕농공단지내역서" xfId="1621"/>
    <cellStyle name="_방동_문혜3리_라멘교 토공_제2종지구단위계획_선바위관광지_총괄내역서(090223)" xfId="1622"/>
    <cellStyle name="_방동_문혜3리_라멘교 토공_총괄내역서_도시관리계획결정(070907)_계약" xfId="1623"/>
    <cellStyle name="_방동_문혜3리_라멘교 토공_총괄내역서_타당성조사및도시관리계획결정(090115)" xfId="1624"/>
    <cellStyle name="_방동_문혜3리_라멘교 토공_총괄내역서_타당성조사및도시관리계획결정(090115)_20090609_영덕농공단지내역서" xfId="1625"/>
    <cellStyle name="_방동_문혜3리_라멘교 토공_총괄내역서_타당성조사및도시관리계획결정(090115)_총괄내역서(090223)" xfId="1626"/>
    <cellStyle name="_방동_문혜3리_제2종지구단위계획_선바위관광지" xfId="1627"/>
    <cellStyle name="_방동_문혜3리_제2종지구단위계획_선바위관광지_20090609_영덕농공단지내역서" xfId="1628"/>
    <cellStyle name="_방동_문혜3리_제2종지구단위계획_선바위관광지_총괄내역서(090223)" xfId="1629"/>
    <cellStyle name="_방동_문혜3리_총괄내역서_도시관리계획결정(070907)_계약" xfId="1630"/>
    <cellStyle name="_방동_문혜3리_총괄내역서_타당성조사및도시관리계획결정(090115)" xfId="1631"/>
    <cellStyle name="_방동_문혜3리_총괄내역서_타당성조사및도시관리계획결정(090115)_20090609_영덕농공단지내역서" xfId="1632"/>
    <cellStyle name="_방동_문혜3리_총괄내역서_타당성조사및도시관리계획결정(090115)_총괄내역서(090223)" xfId="1633"/>
    <cellStyle name="_방동_문혜3리_포장" xfId="1634"/>
    <cellStyle name="_방동_문혜3리_포장_01.설계내역2" xfId="1635"/>
    <cellStyle name="_방동_문혜3리_포장_라멘교 토공" xfId="1636"/>
    <cellStyle name="_방동_문혜3리_포장_라멘교 토공_01.설계내역2" xfId="1637"/>
    <cellStyle name="_방동_문혜3리_포장_라멘교 토공_제2종지구단위계획_선바위관광지" xfId="1638"/>
    <cellStyle name="_방동_문혜3리_포장_라멘교 토공_제2종지구단위계획_선바위관광지_20090609_영덕농공단지내역서" xfId="1639"/>
    <cellStyle name="_방동_문혜3리_포장_라멘교 토공_제2종지구단위계획_선바위관광지_총괄내역서(090223)" xfId="1640"/>
    <cellStyle name="_방동_문혜3리_포장_라멘교 토공_총괄내역서_도시관리계획결정(070907)_계약" xfId="1641"/>
    <cellStyle name="_방동_문혜3리_포장_라멘교 토공_총괄내역서_타당성조사및도시관리계획결정(090115)" xfId="1642"/>
    <cellStyle name="_방동_문혜3리_포장_라멘교 토공_총괄내역서_타당성조사및도시관리계획결정(090115)_20090609_영덕농공단지내역서" xfId="1643"/>
    <cellStyle name="_방동_문혜3리_포장_라멘교 토공_총괄내역서_타당성조사및도시관리계획결정(090115)_총괄내역서(090223)" xfId="1644"/>
    <cellStyle name="_방동_문혜3리_포장_제2종지구단위계획_선바위관광지" xfId="1645"/>
    <cellStyle name="_방동_문혜3리_포장_제2종지구단위계획_선바위관광지_20090609_영덕농공단지내역서" xfId="1646"/>
    <cellStyle name="_방동_문혜3리_포장_제2종지구단위계획_선바위관광지_총괄내역서(090223)" xfId="1647"/>
    <cellStyle name="_방동_문혜3리_포장_총괄내역서_도시관리계획결정(070907)_계약" xfId="1648"/>
    <cellStyle name="_방동_문혜3리_포장_총괄내역서_타당성조사및도시관리계획결정(090115)" xfId="1649"/>
    <cellStyle name="_방동_문혜3리_포장_총괄내역서_타당성조사및도시관리계획결정(090115)_20090609_영덕농공단지내역서" xfId="1650"/>
    <cellStyle name="_방동_문혜3리_포장_총괄내역서_타당성조사및도시관리계획결정(090115)_총괄내역서(090223)" xfId="1651"/>
    <cellStyle name="_방동_방동" xfId="1652"/>
    <cellStyle name="_방동_방동_01.설계내역2" xfId="1653"/>
    <cellStyle name="_방동_방동_라멘교 토공" xfId="1654"/>
    <cellStyle name="_방동_방동_라멘교 토공_01.설계내역2" xfId="1655"/>
    <cellStyle name="_방동_방동_라멘교 토공_제2종지구단위계획_선바위관광지" xfId="1656"/>
    <cellStyle name="_방동_방동_라멘교 토공_제2종지구단위계획_선바위관광지_20090609_영덕농공단지내역서" xfId="1657"/>
    <cellStyle name="_방동_방동_라멘교 토공_제2종지구단위계획_선바위관광지_총괄내역서(090223)" xfId="1658"/>
    <cellStyle name="_방동_방동_라멘교 토공_총괄내역서_도시관리계획결정(070907)_계약" xfId="1659"/>
    <cellStyle name="_방동_방동_라멘교 토공_총괄내역서_타당성조사및도시관리계획결정(090115)" xfId="1660"/>
    <cellStyle name="_방동_방동_라멘교 토공_총괄내역서_타당성조사및도시관리계획결정(090115)_20090609_영덕농공단지내역서" xfId="1661"/>
    <cellStyle name="_방동_방동_라멘교 토공_총괄내역서_타당성조사및도시관리계획결정(090115)_총괄내역서(090223)" xfId="1662"/>
    <cellStyle name="_방동_방동_제2종지구단위계획_선바위관광지" xfId="1663"/>
    <cellStyle name="_방동_방동_제2종지구단위계획_선바위관광지_20090609_영덕농공단지내역서" xfId="1664"/>
    <cellStyle name="_방동_방동_제2종지구단위계획_선바위관광지_총괄내역서(090223)" xfId="1665"/>
    <cellStyle name="_방동_방동_총괄내역서_도시관리계획결정(070907)_계약" xfId="1666"/>
    <cellStyle name="_방동_방동_총괄내역서_타당성조사및도시관리계획결정(090115)" xfId="1667"/>
    <cellStyle name="_방동_방동_총괄내역서_타당성조사및도시관리계획결정(090115)_20090609_영덕농공단지내역서" xfId="1668"/>
    <cellStyle name="_방동_방동_총괄내역서_타당성조사및도시관리계획결정(090115)_총괄내역서(090223)" xfId="1669"/>
    <cellStyle name="_방동_방동_포장" xfId="1670"/>
    <cellStyle name="_방동_방동_포장_01.설계내역2" xfId="1671"/>
    <cellStyle name="_방동_방동_포장_라멘교 토공" xfId="1672"/>
    <cellStyle name="_방동_방동_포장_라멘교 토공_01.설계내역2" xfId="1673"/>
    <cellStyle name="_방동_방동_포장_라멘교 토공_제2종지구단위계획_선바위관광지" xfId="1674"/>
    <cellStyle name="_방동_방동_포장_라멘교 토공_제2종지구단위계획_선바위관광지_20090609_영덕농공단지내역서" xfId="1675"/>
    <cellStyle name="_방동_방동_포장_라멘교 토공_제2종지구단위계획_선바위관광지_총괄내역서(090223)" xfId="1676"/>
    <cellStyle name="_방동_방동_포장_라멘교 토공_총괄내역서_도시관리계획결정(070907)_계약" xfId="1677"/>
    <cellStyle name="_방동_방동_포장_라멘교 토공_총괄내역서_타당성조사및도시관리계획결정(090115)" xfId="1678"/>
    <cellStyle name="_방동_방동_포장_라멘교 토공_총괄내역서_타당성조사및도시관리계획결정(090115)_20090609_영덕농공단지내역서" xfId="1679"/>
    <cellStyle name="_방동_방동_포장_라멘교 토공_총괄내역서_타당성조사및도시관리계획결정(090115)_총괄내역서(090223)" xfId="1680"/>
    <cellStyle name="_방동_방동_포장_제2종지구단위계획_선바위관광지" xfId="1681"/>
    <cellStyle name="_방동_방동_포장_제2종지구단위계획_선바위관광지_20090609_영덕농공단지내역서" xfId="1682"/>
    <cellStyle name="_방동_방동_포장_제2종지구단위계획_선바위관광지_총괄내역서(090223)" xfId="1683"/>
    <cellStyle name="_방동_방동_포장_총괄내역서_도시관리계획결정(070907)_계약" xfId="1684"/>
    <cellStyle name="_방동_방동_포장_총괄내역서_타당성조사및도시관리계획결정(090115)" xfId="1685"/>
    <cellStyle name="_방동_방동_포장_총괄내역서_타당성조사및도시관리계획결정(090115)_20090609_영덕농공단지내역서" xfId="1686"/>
    <cellStyle name="_방동_방동_포장_총괄내역서_타당성조사및도시관리계획결정(090115)_총괄내역서(090223)" xfId="1687"/>
    <cellStyle name="_방동_산양2리지구" xfId="1688"/>
    <cellStyle name="_방동_산양2리지구_01.설계내역2" xfId="1689"/>
    <cellStyle name="_방동_산양2리지구_라멘교 토공" xfId="1690"/>
    <cellStyle name="_방동_산양2리지구_라멘교 토공_01.설계내역2" xfId="1691"/>
    <cellStyle name="_방동_산양2리지구_라멘교 토공_제2종지구단위계획_선바위관광지" xfId="1692"/>
    <cellStyle name="_방동_산양2리지구_라멘교 토공_제2종지구단위계획_선바위관광지_20090609_영덕농공단지내역서" xfId="1693"/>
    <cellStyle name="_방동_산양2리지구_라멘교 토공_제2종지구단위계획_선바위관광지_총괄내역서(090223)" xfId="1694"/>
    <cellStyle name="_방동_산양2리지구_라멘교 토공_총괄내역서_도시관리계획결정(070907)_계약" xfId="1695"/>
    <cellStyle name="_방동_산양2리지구_라멘교 토공_총괄내역서_타당성조사및도시관리계획결정(090115)" xfId="1696"/>
    <cellStyle name="_방동_산양2리지구_라멘교 토공_총괄내역서_타당성조사및도시관리계획결정(090115)_20090609_영덕농공단지내역서" xfId="1697"/>
    <cellStyle name="_방동_산양2리지구_라멘교 토공_총괄내역서_타당성조사및도시관리계획결정(090115)_총괄내역서(090223)" xfId="1698"/>
    <cellStyle name="_방동_산양2리지구_제2종지구단위계획_선바위관광지" xfId="1699"/>
    <cellStyle name="_방동_산양2리지구_제2종지구단위계획_선바위관광지_20090609_영덕농공단지내역서" xfId="1700"/>
    <cellStyle name="_방동_산양2리지구_제2종지구단위계획_선바위관광지_총괄내역서(090223)" xfId="1701"/>
    <cellStyle name="_방동_산양2리지구_총괄내역서_도시관리계획결정(070907)_계약" xfId="1702"/>
    <cellStyle name="_방동_산양2리지구_총괄내역서_타당성조사및도시관리계획결정(090115)" xfId="1703"/>
    <cellStyle name="_방동_산양2리지구_총괄내역서_타당성조사및도시관리계획결정(090115)_20090609_영덕농공단지내역서" xfId="1704"/>
    <cellStyle name="_방동_산양2리지구_총괄내역서_타당성조사및도시관리계획결정(090115)_총괄내역서(090223)" xfId="1705"/>
    <cellStyle name="_방동_산양2리지구_포장" xfId="1706"/>
    <cellStyle name="_방동_산양2리지구_포장_01.설계내역2" xfId="1707"/>
    <cellStyle name="_방동_산양2리지구_포장_라멘교 토공" xfId="1708"/>
    <cellStyle name="_방동_산양2리지구_포장_라멘교 토공_01.설계내역2" xfId="1709"/>
    <cellStyle name="_방동_산양2리지구_포장_라멘교 토공_제2종지구단위계획_선바위관광지" xfId="1710"/>
    <cellStyle name="_방동_산양2리지구_포장_라멘교 토공_제2종지구단위계획_선바위관광지_20090609_영덕농공단지내역서" xfId="1711"/>
    <cellStyle name="_방동_산양2리지구_포장_라멘교 토공_제2종지구단위계획_선바위관광지_총괄내역서(090223)" xfId="1712"/>
    <cellStyle name="_방동_산양2리지구_포장_라멘교 토공_총괄내역서_도시관리계획결정(070907)_계약" xfId="1713"/>
    <cellStyle name="_방동_산양2리지구_포장_라멘교 토공_총괄내역서_타당성조사및도시관리계획결정(090115)" xfId="1714"/>
    <cellStyle name="_방동_산양2리지구_포장_라멘교 토공_총괄내역서_타당성조사및도시관리계획결정(090115)_20090609_영덕농공단지내역서" xfId="1715"/>
    <cellStyle name="_방동_산양2리지구_포장_라멘교 토공_총괄내역서_타당성조사및도시관리계획결정(090115)_총괄내역서(090223)" xfId="1716"/>
    <cellStyle name="_방동_산양2리지구_포장_제2종지구단위계획_선바위관광지" xfId="1717"/>
    <cellStyle name="_방동_산양2리지구_포장_제2종지구단위계획_선바위관광지_20090609_영덕농공단지내역서" xfId="1718"/>
    <cellStyle name="_방동_산양2리지구_포장_제2종지구단위계획_선바위관광지_총괄내역서(090223)" xfId="1719"/>
    <cellStyle name="_방동_산양2리지구_포장_총괄내역서_도시관리계획결정(070907)_계약" xfId="1720"/>
    <cellStyle name="_방동_산양2리지구_포장_총괄내역서_타당성조사및도시관리계획결정(090115)" xfId="1721"/>
    <cellStyle name="_방동_산양2리지구_포장_총괄내역서_타당성조사및도시관리계획결정(090115)_20090609_영덕농공단지내역서" xfId="1722"/>
    <cellStyle name="_방동_산양2리지구_포장_총괄내역서_타당성조사및도시관리계획결정(090115)_총괄내역서(090223)" xfId="1723"/>
    <cellStyle name="_방동_산양리지구" xfId="1724"/>
    <cellStyle name="_방동_산양리지구_01.설계내역2" xfId="1725"/>
    <cellStyle name="_방동_산양리지구_라멘교 토공" xfId="1726"/>
    <cellStyle name="_방동_산양리지구_라멘교 토공_01.설계내역2" xfId="1727"/>
    <cellStyle name="_방동_산양리지구_라멘교 토공_제2종지구단위계획_선바위관광지" xfId="1728"/>
    <cellStyle name="_방동_산양리지구_라멘교 토공_제2종지구단위계획_선바위관광지_20090609_영덕농공단지내역서" xfId="1729"/>
    <cellStyle name="_방동_산양리지구_라멘교 토공_제2종지구단위계획_선바위관광지_총괄내역서(090223)" xfId="1730"/>
    <cellStyle name="_방동_산양리지구_라멘교 토공_총괄내역서_도시관리계획결정(070907)_계약" xfId="1731"/>
    <cellStyle name="_방동_산양리지구_라멘교 토공_총괄내역서_타당성조사및도시관리계획결정(090115)" xfId="1732"/>
    <cellStyle name="_방동_산양리지구_라멘교 토공_총괄내역서_타당성조사및도시관리계획결정(090115)_20090609_영덕농공단지내역서" xfId="1733"/>
    <cellStyle name="_방동_산양리지구_라멘교 토공_총괄내역서_타당성조사및도시관리계획결정(090115)_총괄내역서(090223)" xfId="1734"/>
    <cellStyle name="_방동_산양리지구_제2종지구단위계획_선바위관광지" xfId="1735"/>
    <cellStyle name="_방동_산양리지구_제2종지구단위계획_선바위관광지_20090609_영덕농공단지내역서" xfId="1736"/>
    <cellStyle name="_방동_산양리지구_제2종지구단위계획_선바위관광지_총괄내역서(090223)" xfId="1737"/>
    <cellStyle name="_방동_산양리지구_총괄내역서_도시관리계획결정(070907)_계약" xfId="1738"/>
    <cellStyle name="_방동_산양리지구_총괄내역서_타당성조사및도시관리계획결정(090115)" xfId="1739"/>
    <cellStyle name="_방동_산양리지구_총괄내역서_타당성조사및도시관리계획결정(090115)_20090609_영덕농공단지내역서" xfId="1740"/>
    <cellStyle name="_방동_산양리지구_총괄내역서_타당성조사및도시관리계획결정(090115)_총괄내역서(090223)" xfId="1741"/>
    <cellStyle name="_방동_산양리지구_포장" xfId="1742"/>
    <cellStyle name="_방동_산양리지구_포장_01.설계내역2" xfId="1743"/>
    <cellStyle name="_방동_산양리지구_포장_라멘교 토공" xfId="1744"/>
    <cellStyle name="_방동_산양리지구_포장_라멘교 토공_01.설계내역2" xfId="1745"/>
    <cellStyle name="_방동_산양리지구_포장_라멘교 토공_제2종지구단위계획_선바위관광지" xfId="1746"/>
    <cellStyle name="_방동_산양리지구_포장_라멘교 토공_제2종지구단위계획_선바위관광지_20090609_영덕농공단지내역서" xfId="1747"/>
    <cellStyle name="_방동_산양리지구_포장_라멘교 토공_제2종지구단위계획_선바위관광지_총괄내역서(090223)" xfId="1748"/>
    <cellStyle name="_방동_산양리지구_포장_라멘교 토공_총괄내역서_도시관리계획결정(070907)_계약" xfId="1749"/>
    <cellStyle name="_방동_산양리지구_포장_라멘교 토공_총괄내역서_타당성조사및도시관리계획결정(090115)" xfId="1750"/>
    <cellStyle name="_방동_산양리지구_포장_라멘교 토공_총괄내역서_타당성조사및도시관리계획결정(090115)_20090609_영덕농공단지내역서" xfId="1751"/>
    <cellStyle name="_방동_산양리지구_포장_라멘교 토공_총괄내역서_타당성조사및도시관리계획결정(090115)_총괄내역서(090223)" xfId="1752"/>
    <cellStyle name="_방동_산양리지구_포장_제2종지구단위계획_선바위관광지" xfId="1753"/>
    <cellStyle name="_방동_산양리지구_포장_제2종지구단위계획_선바위관광지_20090609_영덕농공단지내역서" xfId="1754"/>
    <cellStyle name="_방동_산양리지구_포장_제2종지구단위계획_선바위관광지_총괄내역서(090223)" xfId="1755"/>
    <cellStyle name="_방동_산양리지구_포장_총괄내역서_도시관리계획결정(070907)_계약" xfId="1756"/>
    <cellStyle name="_방동_산양리지구_포장_총괄내역서_타당성조사및도시관리계획결정(090115)" xfId="1757"/>
    <cellStyle name="_방동_산양리지구_포장_총괄내역서_타당성조사및도시관리계획결정(090115)_20090609_영덕농공단지내역서" xfId="1758"/>
    <cellStyle name="_방동_산양리지구_포장_총괄내역서_타당성조사및도시관리계획결정(090115)_총괄내역서(090223)" xfId="1759"/>
    <cellStyle name="_방동_서상2리" xfId="1760"/>
    <cellStyle name="_방동_서상2리_01.설계내역2" xfId="1761"/>
    <cellStyle name="_방동_서상2리_라멘교 토공" xfId="1762"/>
    <cellStyle name="_방동_서상2리_라멘교 토공_01.설계내역2" xfId="1763"/>
    <cellStyle name="_방동_서상2리_라멘교 토공_제2종지구단위계획_선바위관광지" xfId="1764"/>
    <cellStyle name="_방동_서상2리_라멘교 토공_제2종지구단위계획_선바위관광지_20090609_영덕농공단지내역서" xfId="1765"/>
    <cellStyle name="_방동_서상2리_라멘교 토공_제2종지구단위계획_선바위관광지_총괄내역서(090223)" xfId="1766"/>
    <cellStyle name="_방동_서상2리_라멘교 토공_총괄내역서_도시관리계획결정(070907)_계약" xfId="1767"/>
    <cellStyle name="_방동_서상2리_라멘교 토공_총괄내역서_타당성조사및도시관리계획결정(090115)" xfId="1768"/>
    <cellStyle name="_방동_서상2리_라멘교 토공_총괄내역서_타당성조사및도시관리계획결정(090115)_20090609_영덕농공단지내역서" xfId="1769"/>
    <cellStyle name="_방동_서상2리_라멘교 토공_총괄내역서_타당성조사및도시관리계획결정(090115)_총괄내역서(090223)" xfId="1770"/>
    <cellStyle name="_방동_서상2리_제2종지구단위계획_선바위관광지" xfId="1771"/>
    <cellStyle name="_방동_서상2리_제2종지구단위계획_선바위관광지_20090609_영덕농공단지내역서" xfId="1772"/>
    <cellStyle name="_방동_서상2리_제2종지구단위계획_선바위관광지_총괄내역서(090223)" xfId="1773"/>
    <cellStyle name="_방동_서상2리_총괄내역서_도시관리계획결정(070907)_계약" xfId="1774"/>
    <cellStyle name="_방동_서상2리_총괄내역서_타당성조사및도시관리계획결정(090115)" xfId="1775"/>
    <cellStyle name="_방동_서상2리_총괄내역서_타당성조사및도시관리계획결정(090115)_20090609_영덕농공단지내역서" xfId="1776"/>
    <cellStyle name="_방동_서상2리_총괄내역서_타당성조사및도시관리계획결정(090115)_총괄내역서(090223)" xfId="1777"/>
    <cellStyle name="_방동_서상2리_포장" xfId="1778"/>
    <cellStyle name="_방동_서상2리_포장_01.설계내역2" xfId="1779"/>
    <cellStyle name="_방동_서상2리_포장_라멘교 토공" xfId="1780"/>
    <cellStyle name="_방동_서상2리_포장_라멘교 토공_01.설계내역2" xfId="1781"/>
    <cellStyle name="_방동_서상2리_포장_라멘교 토공_제2종지구단위계획_선바위관광지" xfId="1782"/>
    <cellStyle name="_방동_서상2리_포장_라멘교 토공_제2종지구단위계획_선바위관광지_20090609_영덕농공단지내역서" xfId="1783"/>
    <cellStyle name="_방동_서상2리_포장_라멘교 토공_제2종지구단위계획_선바위관광지_총괄내역서(090223)" xfId="1784"/>
    <cellStyle name="_방동_서상2리_포장_라멘교 토공_총괄내역서_도시관리계획결정(070907)_계약" xfId="1785"/>
    <cellStyle name="_방동_서상2리_포장_라멘교 토공_총괄내역서_타당성조사및도시관리계획결정(090115)" xfId="1786"/>
    <cellStyle name="_방동_서상2리_포장_라멘교 토공_총괄내역서_타당성조사및도시관리계획결정(090115)_20090609_영덕농공단지내역서" xfId="1787"/>
    <cellStyle name="_방동_서상2리_포장_라멘교 토공_총괄내역서_타당성조사및도시관리계획결정(090115)_총괄내역서(090223)" xfId="1788"/>
    <cellStyle name="_방동_서상2리_포장_제2종지구단위계획_선바위관광지" xfId="1789"/>
    <cellStyle name="_방동_서상2리_포장_제2종지구단위계획_선바위관광지_20090609_영덕농공단지내역서" xfId="1790"/>
    <cellStyle name="_방동_서상2리_포장_제2종지구단위계획_선바위관광지_총괄내역서(090223)" xfId="1791"/>
    <cellStyle name="_방동_서상2리_포장_총괄내역서_도시관리계획결정(070907)_계약" xfId="1792"/>
    <cellStyle name="_방동_서상2리_포장_총괄내역서_타당성조사및도시관리계획결정(090115)" xfId="1793"/>
    <cellStyle name="_방동_서상2리_포장_총괄내역서_타당성조사및도시관리계획결정(090115)_20090609_영덕농공단지내역서" xfId="1794"/>
    <cellStyle name="_방동_서상2리_포장_총괄내역서_타당성조사및도시관리계획결정(090115)_총괄내역서(090223)" xfId="1795"/>
    <cellStyle name="_방동_오항" xfId="1796"/>
    <cellStyle name="_방동_오항_01.설계내역2" xfId="1797"/>
    <cellStyle name="_방동_오항_라멘교 토공" xfId="1798"/>
    <cellStyle name="_방동_오항_라멘교 토공_01.설계내역2" xfId="1799"/>
    <cellStyle name="_방동_오항_라멘교 토공_제2종지구단위계획_선바위관광지" xfId="1800"/>
    <cellStyle name="_방동_오항_라멘교 토공_제2종지구단위계획_선바위관광지_20090609_영덕농공단지내역서" xfId="1801"/>
    <cellStyle name="_방동_오항_라멘교 토공_제2종지구단위계획_선바위관광지_총괄내역서(090223)" xfId="1802"/>
    <cellStyle name="_방동_오항_라멘교 토공_총괄내역서_도시관리계획결정(070907)_계약" xfId="1803"/>
    <cellStyle name="_방동_오항_라멘교 토공_총괄내역서_타당성조사및도시관리계획결정(090115)" xfId="1804"/>
    <cellStyle name="_방동_오항_라멘교 토공_총괄내역서_타당성조사및도시관리계획결정(090115)_20090609_영덕농공단지내역서" xfId="1805"/>
    <cellStyle name="_방동_오항_라멘교 토공_총괄내역서_타당성조사및도시관리계획결정(090115)_총괄내역서(090223)" xfId="1806"/>
    <cellStyle name="_방동_오항_제2종지구단위계획_선바위관광지" xfId="1807"/>
    <cellStyle name="_방동_오항_제2종지구단위계획_선바위관광지_20090609_영덕농공단지내역서" xfId="1808"/>
    <cellStyle name="_방동_오항_제2종지구단위계획_선바위관광지_총괄내역서(090223)" xfId="1809"/>
    <cellStyle name="_방동_오항_총괄내역서_도시관리계획결정(070907)_계약" xfId="1810"/>
    <cellStyle name="_방동_오항_총괄내역서_타당성조사및도시관리계획결정(090115)" xfId="1811"/>
    <cellStyle name="_방동_오항_총괄내역서_타당성조사및도시관리계획결정(090115)_20090609_영덕농공단지내역서" xfId="1812"/>
    <cellStyle name="_방동_오항_총괄내역서_타당성조사및도시관리계획결정(090115)_총괄내역서(090223)" xfId="1813"/>
    <cellStyle name="_방동_오항_포장" xfId="1814"/>
    <cellStyle name="_방동_오항_포장_01.설계내역2" xfId="1815"/>
    <cellStyle name="_방동_오항_포장_라멘교 토공" xfId="1816"/>
    <cellStyle name="_방동_오항_포장_라멘교 토공_01.설계내역2" xfId="1817"/>
    <cellStyle name="_방동_오항_포장_라멘교 토공_제2종지구단위계획_선바위관광지" xfId="1818"/>
    <cellStyle name="_방동_오항_포장_라멘교 토공_제2종지구단위계획_선바위관광지_20090609_영덕농공단지내역서" xfId="1819"/>
    <cellStyle name="_방동_오항_포장_라멘교 토공_제2종지구단위계획_선바위관광지_총괄내역서(090223)" xfId="1820"/>
    <cellStyle name="_방동_오항_포장_라멘교 토공_총괄내역서_도시관리계획결정(070907)_계약" xfId="1821"/>
    <cellStyle name="_방동_오항_포장_라멘교 토공_총괄내역서_타당성조사및도시관리계획결정(090115)" xfId="1822"/>
    <cellStyle name="_방동_오항_포장_라멘교 토공_총괄내역서_타당성조사및도시관리계획결정(090115)_20090609_영덕농공단지내역서" xfId="1823"/>
    <cellStyle name="_방동_오항_포장_라멘교 토공_총괄내역서_타당성조사및도시관리계획결정(090115)_총괄내역서(090223)" xfId="1824"/>
    <cellStyle name="_방동_오항_포장_제2종지구단위계획_선바위관광지" xfId="1825"/>
    <cellStyle name="_방동_오항_포장_제2종지구단위계획_선바위관광지_20090609_영덕농공단지내역서" xfId="1826"/>
    <cellStyle name="_방동_오항_포장_제2종지구단위계획_선바위관광지_총괄내역서(090223)" xfId="1827"/>
    <cellStyle name="_방동_오항_포장_총괄내역서_도시관리계획결정(070907)_계약" xfId="1828"/>
    <cellStyle name="_방동_오항_포장_총괄내역서_타당성조사및도시관리계획결정(090115)" xfId="1829"/>
    <cellStyle name="_방동_오항_포장_총괄내역서_타당성조사및도시관리계획결정(090115)_20090609_영덕농공단지내역서" xfId="1830"/>
    <cellStyle name="_방동_오항_포장_총괄내역서_타당성조사및도시관리계획결정(090115)_총괄내역서(090223)" xfId="1831"/>
    <cellStyle name="_방동_원평" xfId="1832"/>
    <cellStyle name="_방동_원평_01.설계내역2" xfId="1833"/>
    <cellStyle name="_방동_원평_라멘교 토공" xfId="1834"/>
    <cellStyle name="_방동_원평_라멘교 토공_01.설계내역2" xfId="1835"/>
    <cellStyle name="_방동_원평_라멘교 토공_제2종지구단위계획_선바위관광지" xfId="1836"/>
    <cellStyle name="_방동_원평_라멘교 토공_제2종지구단위계획_선바위관광지_20090609_영덕농공단지내역서" xfId="1837"/>
    <cellStyle name="_방동_원평_라멘교 토공_제2종지구단위계획_선바위관광지_총괄내역서(090223)" xfId="1838"/>
    <cellStyle name="_방동_원평_라멘교 토공_총괄내역서_도시관리계획결정(070907)_계약" xfId="1839"/>
    <cellStyle name="_방동_원평_라멘교 토공_총괄내역서_타당성조사및도시관리계획결정(090115)" xfId="1840"/>
    <cellStyle name="_방동_원평_라멘교 토공_총괄내역서_타당성조사및도시관리계획결정(090115)_20090609_영덕농공단지내역서" xfId="1841"/>
    <cellStyle name="_방동_원평_라멘교 토공_총괄내역서_타당성조사및도시관리계획결정(090115)_총괄내역서(090223)" xfId="1842"/>
    <cellStyle name="_방동_원평_제2종지구단위계획_선바위관광지" xfId="1843"/>
    <cellStyle name="_방동_원평_제2종지구단위계획_선바위관광지_20090609_영덕농공단지내역서" xfId="1844"/>
    <cellStyle name="_방동_원평_제2종지구단위계획_선바위관광지_총괄내역서(090223)" xfId="1845"/>
    <cellStyle name="_방동_원평_총괄내역서_도시관리계획결정(070907)_계약" xfId="1846"/>
    <cellStyle name="_방동_원평_총괄내역서_타당성조사및도시관리계획결정(090115)" xfId="1847"/>
    <cellStyle name="_방동_원평_총괄내역서_타당성조사및도시관리계획결정(090115)_20090609_영덕농공단지내역서" xfId="1848"/>
    <cellStyle name="_방동_원평_총괄내역서_타당성조사및도시관리계획결정(090115)_총괄내역서(090223)" xfId="1849"/>
    <cellStyle name="_방동_원평_포장" xfId="1850"/>
    <cellStyle name="_방동_원평_포장_01.설계내역2" xfId="1851"/>
    <cellStyle name="_방동_원평_포장_라멘교 토공" xfId="1852"/>
    <cellStyle name="_방동_원평_포장_라멘교 토공_01.설계내역2" xfId="1853"/>
    <cellStyle name="_방동_원평_포장_라멘교 토공_제2종지구단위계획_선바위관광지" xfId="1854"/>
    <cellStyle name="_방동_원평_포장_라멘교 토공_제2종지구단위계획_선바위관광지_20090609_영덕농공단지내역서" xfId="1855"/>
    <cellStyle name="_방동_원평_포장_라멘교 토공_제2종지구단위계획_선바위관광지_총괄내역서(090223)" xfId="1856"/>
    <cellStyle name="_방동_원평_포장_라멘교 토공_총괄내역서_도시관리계획결정(070907)_계약" xfId="1857"/>
    <cellStyle name="_방동_원평_포장_라멘교 토공_총괄내역서_타당성조사및도시관리계획결정(090115)" xfId="1858"/>
    <cellStyle name="_방동_원평_포장_라멘교 토공_총괄내역서_타당성조사및도시관리계획결정(090115)_20090609_영덕농공단지내역서" xfId="1859"/>
    <cellStyle name="_방동_원평_포장_라멘교 토공_총괄내역서_타당성조사및도시관리계획결정(090115)_총괄내역서(090223)" xfId="1860"/>
    <cellStyle name="_방동_원평_포장_제2종지구단위계획_선바위관광지" xfId="1861"/>
    <cellStyle name="_방동_원평_포장_제2종지구단위계획_선바위관광지_20090609_영덕농공단지내역서" xfId="1862"/>
    <cellStyle name="_방동_원평_포장_제2종지구단위계획_선바위관광지_총괄내역서(090223)" xfId="1863"/>
    <cellStyle name="_방동_원평_포장_총괄내역서_도시관리계획결정(070907)_계약" xfId="1864"/>
    <cellStyle name="_방동_원평_포장_총괄내역서_타당성조사및도시관리계획결정(090115)" xfId="1865"/>
    <cellStyle name="_방동_원평_포장_총괄내역서_타당성조사및도시관리계획결정(090115)_20090609_영덕농공단지내역서" xfId="1866"/>
    <cellStyle name="_방동_원평_포장_총괄내역서_타당성조사및도시관리계획결정(090115)_총괄내역서(090223)" xfId="1867"/>
    <cellStyle name="_방동_제2종지구단위계획_선바위관광지" xfId="1868"/>
    <cellStyle name="_방동_제2종지구단위계획_선바위관광지_20090609_영덕농공단지내역서" xfId="1869"/>
    <cellStyle name="_방동_제2종지구단위계획_선바위관광지_총괄내역서(090223)" xfId="1870"/>
    <cellStyle name="_방동_총괄내역서_도시관리계획결정(070907)_계약" xfId="1871"/>
    <cellStyle name="_방동_총괄내역서_타당성조사및도시관리계획결정(090115)" xfId="1872"/>
    <cellStyle name="_방동_총괄내역서_타당성조사및도시관리계획결정(090115)_20090609_영덕농공단지내역서" xfId="1873"/>
    <cellStyle name="_방동_총괄내역서_타당성조사및도시관리계획결정(090115)_총괄내역서(090223)" xfId="1874"/>
    <cellStyle name="_방동_추곡" xfId="1875"/>
    <cellStyle name="_방동_추곡_01.설계내역2" xfId="1876"/>
    <cellStyle name="_방동_추곡_라멘교 토공" xfId="1877"/>
    <cellStyle name="_방동_추곡_라멘교 토공_01.설계내역2" xfId="1878"/>
    <cellStyle name="_방동_추곡_라멘교 토공_제2종지구단위계획_선바위관광지" xfId="1879"/>
    <cellStyle name="_방동_추곡_라멘교 토공_제2종지구단위계획_선바위관광지_20090609_영덕농공단지내역서" xfId="1880"/>
    <cellStyle name="_방동_추곡_라멘교 토공_제2종지구단위계획_선바위관광지_총괄내역서(090223)" xfId="1881"/>
    <cellStyle name="_방동_추곡_라멘교 토공_총괄내역서_도시관리계획결정(070907)_계약" xfId="1882"/>
    <cellStyle name="_방동_추곡_라멘교 토공_총괄내역서_타당성조사및도시관리계획결정(090115)" xfId="1883"/>
    <cellStyle name="_방동_추곡_라멘교 토공_총괄내역서_타당성조사및도시관리계획결정(090115)_20090609_영덕농공단지내역서" xfId="1884"/>
    <cellStyle name="_방동_추곡_라멘교 토공_총괄내역서_타당성조사및도시관리계획결정(090115)_총괄내역서(090223)" xfId="1885"/>
    <cellStyle name="_방동_추곡_제2종지구단위계획_선바위관광지" xfId="1886"/>
    <cellStyle name="_방동_추곡_제2종지구단위계획_선바위관광지_20090609_영덕농공단지내역서" xfId="1887"/>
    <cellStyle name="_방동_추곡_제2종지구단위계획_선바위관광지_총괄내역서(090223)" xfId="1888"/>
    <cellStyle name="_방동_추곡_총괄내역서_도시관리계획결정(070907)_계약" xfId="1889"/>
    <cellStyle name="_방동_추곡_총괄내역서_타당성조사및도시관리계획결정(090115)" xfId="1890"/>
    <cellStyle name="_방동_추곡_총괄내역서_타당성조사및도시관리계획결정(090115)_20090609_영덕농공단지내역서" xfId="1891"/>
    <cellStyle name="_방동_추곡_총괄내역서_타당성조사및도시관리계획결정(090115)_총괄내역서(090223)" xfId="1892"/>
    <cellStyle name="_방동_추곡_포장" xfId="1893"/>
    <cellStyle name="_방동_추곡_포장_01.설계내역2" xfId="1894"/>
    <cellStyle name="_방동_추곡_포장_라멘교 토공" xfId="1895"/>
    <cellStyle name="_방동_추곡_포장_라멘교 토공_01.설계내역2" xfId="1896"/>
    <cellStyle name="_방동_추곡_포장_라멘교 토공_제2종지구단위계획_선바위관광지" xfId="1897"/>
    <cellStyle name="_방동_추곡_포장_라멘교 토공_제2종지구단위계획_선바위관광지_20090609_영덕농공단지내역서" xfId="1898"/>
    <cellStyle name="_방동_추곡_포장_라멘교 토공_제2종지구단위계획_선바위관광지_총괄내역서(090223)" xfId="1899"/>
    <cellStyle name="_방동_추곡_포장_라멘교 토공_총괄내역서_도시관리계획결정(070907)_계약" xfId="1900"/>
    <cellStyle name="_방동_추곡_포장_라멘교 토공_총괄내역서_타당성조사및도시관리계획결정(090115)" xfId="1901"/>
    <cellStyle name="_방동_추곡_포장_라멘교 토공_총괄내역서_타당성조사및도시관리계획결정(090115)_20090609_영덕농공단지내역서" xfId="1902"/>
    <cellStyle name="_방동_추곡_포장_라멘교 토공_총괄내역서_타당성조사및도시관리계획결정(090115)_총괄내역서(090223)" xfId="1903"/>
    <cellStyle name="_방동_추곡_포장_제2종지구단위계획_선바위관광지" xfId="1904"/>
    <cellStyle name="_방동_추곡_포장_제2종지구단위계획_선바위관광지_20090609_영덕농공단지내역서" xfId="1905"/>
    <cellStyle name="_방동_추곡_포장_제2종지구단위계획_선바위관광지_총괄내역서(090223)" xfId="1906"/>
    <cellStyle name="_방동_추곡_포장_총괄내역서_도시관리계획결정(070907)_계약" xfId="1907"/>
    <cellStyle name="_방동_추곡_포장_총괄내역서_타당성조사및도시관리계획결정(090115)" xfId="1908"/>
    <cellStyle name="_방동_추곡_포장_총괄내역서_타당성조사및도시관리계획결정(090115)_20090609_영덕농공단지내역서" xfId="1909"/>
    <cellStyle name="_방동_추곡_포장_총괄내역서_타당성조사및도시관리계획결정(090115)_총괄내역서(090223)" xfId="1910"/>
    <cellStyle name="_방동_포장" xfId="1911"/>
    <cellStyle name="_방동_포장_01.설계내역2" xfId="1912"/>
    <cellStyle name="_방동_포장_라멘교 토공" xfId="1913"/>
    <cellStyle name="_방동_포장_라멘교 토공_01.설계내역2" xfId="1914"/>
    <cellStyle name="_방동_포장_라멘교 토공_제2종지구단위계획_선바위관광지" xfId="1915"/>
    <cellStyle name="_방동_포장_라멘교 토공_제2종지구단위계획_선바위관광지_20090609_영덕농공단지내역서" xfId="1916"/>
    <cellStyle name="_방동_포장_라멘교 토공_제2종지구단위계획_선바위관광지_총괄내역서(090223)" xfId="1917"/>
    <cellStyle name="_방동_포장_라멘교 토공_총괄내역서_도시관리계획결정(070907)_계약" xfId="1918"/>
    <cellStyle name="_방동_포장_라멘교 토공_총괄내역서_타당성조사및도시관리계획결정(090115)" xfId="1919"/>
    <cellStyle name="_방동_포장_라멘교 토공_총괄내역서_타당성조사및도시관리계획결정(090115)_20090609_영덕농공단지내역서" xfId="1920"/>
    <cellStyle name="_방동_포장_라멘교 토공_총괄내역서_타당성조사및도시관리계획결정(090115)_총괄내역서(090223)" xfId="1921"/>
    <cellStyle name="_방동_포장_제2종지구단위계획_선바위관광지" xfId="1922"/>
    <cellStyle name="_방동_포장_제2종지구단위계획_선바위관광지_20090609_영덕농공단지내역서" xfId="1923"/>
    <cellStyle name="_방동_포장_제2종지구단위계획_선바위관광지_총괄내역서(090223)" xfId="1924"/>
    <cellStyle name="_방동_포장_총괄내역서_도시관리계획결정(070907)_계약" xfId="1925"/>
    <cellStyle name="_방동_포장_총괄내역서_타당성조사및도시관리계획결정(090115)" xfId="1926"/>
    <cellStyle name="_방동_포장_총괄내역서_타당성조사및도시관리계획결정(090115)_20090609_영덕농공단지내역서" xfId="1927"/>
    <cellStyle name="_방동_포장_총괄내역서_타당성조사및도시관리계획결정(090115)_총괄내역서(090223)" xfId="1928"/>
    <cellStyle name="_배,포,부,자" xfId="8969"/>
    <cellStyle name="_배,포,부,자(원호암)" xfId="8970"/>
    <cellStyle name="_배,포,부,자재(4공구)" xfId="8971"/>
    <cellStyle name="_배,포,부,자재집" xfId="8972"/>
    <cellStyle name="_배수공" xfId="8973"/>
    <cellStyle name="_배수공2" xfId="8974"/>
    <cellStyle name="_배수공3" xfId="8975"/>
    <cellStyle name="_배수공집계" xfId="1929"/>
    <cellStyle name="_배수공집계_04포장공" xfId="8976"/>
    <cellStyle name="_배수공집계_3.구조물공" xfId="8977"/>
    <cellStyle name="_배수공집계_3.구조물공_04포장공" xfId="8978"/>
    <cellStyle name="_배수공집계_3.구조물공_3.구조물공" xfId="8979"/>
    <cellStyle name="_배수공집계_3.구조물공_3.구조물공_04포장공" xfId="8980"/>
    <cellStyle name="_배수공집계_3.구조물공_3.물공" xfId="8981"/>
    <cellStyle name="_배수공집계_3.구조물공_3.물공_04포장공" xfId="8982"/>
    <cellStyle name="_배수공집계_3.구조물공_보수량집계(우근)" xfId="8983"/>
    <cellStyle name="_배수공집계_3.구조물공_보수량집계(우근)_04포장공" xfId="8984"/>
    <cellStyle name="_배수공집계_3.구조물공_석축" xfId="8985"/>
    <cellStyle name="_배수공집계_3.구조물공_석축_04포장공" xfId="8986"/>
    <cellStyle name="_배수공집계_두릉1제 수량산출서" xfId="1930"/>
    <cellStyle name="_배수공집계_배수구조물공" xfId="8987"/>
    <cellStyle name="_배수공집계_배수구조물공_04포장공" xfId="8988"/>
    <cellStyle name="_배수공집계_배수구조물공_3.구조물공" xfId="8989"/>
    <cellStyle name="_배수공집계_배수구조물공_3.구조물공_04포장공" xfId="8990"/>
    <cellStyle name="_배수공집계_배수구조물공_3.구조물공_3.구조물공" xfId="8991"/>
    <cellStyle name="_배수공집계_배수구조물공_3.구조물공_3.구조물공_04포장공" xfId="8992"/>
    <cellStyle name="_배수공집계_배수구조물공_3.구조물공_3.물공" xfId="8993"/>
    <cellStyle name="_배수공집계_배수구조물공_3.구조물공_3.물공_04포장공" xfId="8994"/>
    <cellStyle name="_배수공집계_배수구조물공_3.구조물공_보수량집계(우근)" xfId="8995"/>
    <cellStyle name="_배수공집계_배수구조물공_3.구조물공_보수량집계(우근)_04포장공" xfId="8996"/>
    <cellStyle name="_배수공집계_배수구조물공_3.구조물공_석축" xfId="8997"/>
    <cellStyle name="_배수공집계_배수구조물공_3.구조물공_석축_04포장공" xfId="8998"/>
    <cellStyle name="_배수공집계_우수집수정U형집계" xfId="8999"/>
    <cellStyle name="_배수공집계_우수집수정U형집계_04포장공" xfId="9000"/>
    <cellStyle name="_배수공집계_우수집수정U형집계_3.구조물공" xfId="9001"/>
    <cellStyle name="_배수공집계_우수집수정U형집계_3.구조물공_04포장공" xfId="9002"/>
    <cellStyle name="_배수공집계_우수집수정U형집계_3.구조물공_3.구조물공" xfId="9003"/>
    <cellStyle name="_배수공집계_우수집수정U형집계_3.구조물공_3.구조물공_04포장공" xfId="9004"/>
    <cellStyle name="_배수공집계_우수집수정U형집계_3.구조물공_3.물공" xfId="9005"/>
    <cellStyle name="_배수공집계_우수집수정U형집계_3.구조물공_3.물공_04포장공" xfId="9006"/>
    <cellStyle name="_배수공집계_우수집수정U형집계_3.구조물공_보수량집계(우근)" xfId="9007"/>
    <cellStyle name="_배수공집계_우수집수정U형집계_3.구조물공_보수량집계(우근)_04포장공" xfId="9008"/>
    <cellStyle name="_배수공집계_우수집수정U형집계_3.구조물공_석축" xfId="9009"/>
    <cellStyle name="_배수공집계_우수집수정U형집계_3.구조물공_석축_04포장공" xfId="9010"/>
    <cellStyle name="_배수공집계_인계1공구 수량산출" xfId="1931"/>
    <cellStyle name="_배수공집계_총자재집계표" xfId="1932"/>
    <cellStyle name="_배수공집계_콘크리트포장공" xfId="9011"/>
    <cellStyle name="_배수공집계_콘크리트포장공_03포장공" xfId="9012"/>
    <cellStyle name="_배수공집계_콘크리트포장공_03포장공_04포장공" xfId="9013"/>
    <cellStyle name="_배수공집계_콘크리트포장공_04포장공" xfId="9014"/>
    <cellStyle name="_배수공집계_콘크리트포장공_14수량산출서" xfId="9015"/>
    <cellStyle name="_배수공집계_콘크리트포장공_14수량산출서_04포장공" xfId="9016"/>
    <cellStyle name="_배수공집계_콘크리트포장공_수량산출서" xfId="9017"/>
    <cellStyle name="_배수관공" xfId="9018"/>
    <cellStyle name="_배수구조물공" xfId="9019"/>
    <cellStyle name="_배수구조물공_04포장공" xfId="9020"/>
    <cellStyle name="_배수구조물공_3.구조물공" xfId="9021"/>
    <cellStyle name="_배수구조물공_3.구조물공_04포장공" xfId="9022"/>
    <cellStyle name="_배수구조물공_3.구조물공_3.구조물공" xfId="9023"/>
    <cellStyle name="_배수구조물공_3.구조물공_3.구조물공_04포장공" xfId="9024"/>
    <cellStyle name="_배수구조물공_3.구조물공_3.물공" xfId="9025"/>
    <cellStyle name="_배수구조물공_3.구조물공_3.물공_04포장공" xfId="9026"/>
    <cellStyle name="_배수구조물공_3.구조물공_보수량집계(우근)" xfId="9027"/>
    <cellStyle name="_배수구조물공_3.구조물공_보수량집계(우근)_04포장공" xfId="9028"/>
    <cellStyle name="_배수구조물공_3.구조물공_석축" xfId="9029"/>
    <cellStyle name="_배수구조물공_3.구조물공_석축_04포장공" xfId="9030"/>
    <cellStyle name="_배전전주사용신청서" xfId="9031"/>
    <cellStyle name="_배포부자변경" xfId="9032"/>
    <cellStyle name="_백산설계변경" xfId="9033"/>
    <cellStyle name="_백석지구농촌용수개발사업(대원)" xfId="1933"/>
    <cellStyle name="_백화점 유지보수 내역" xfId="9034"/>
    <cellStyle name="_범용 공동구축사업 설계내역서_샘플1.3" xfId="1934"/>
    <cellStyle name="_범용 공동구축사업 설계내역서_샘플1.4" xfId="1935"/>
    <cellStyle name="_범용추가개발 설계내역서(평균가중치방식)" xfId="1936"/>
    <cellStyle name="_범용추가개발내역" xfId="1937"/>
    <cellStyle name="_범용프로그램도입 예산설계서(2003기준)_1.6" xfId="1938"/>
    <cellStyle name="_범용프로그램도입 예산설계서(2003기준)_1.6 2" xfId="1939"/>
    <cellStyle name="_범용프로그램도입 예산설계서_1.2" xfId="1940"/>
    <cellStyle name="_범용프로그램도입 예산설계서_1.2 2" xfId="1941"/>
    <cellStyle name="_벨정보_060320_국학진흥원_x366서버_견적서(1)" xfId="9035"/>
    <cellStyle name="_변경내역서(070601)" xfId="1942"/>
    <cellStyle name="_별첨(계획서및실적서양식)" xfId="1943"/>
    <cellStyle name="_별첨(계획서및실적서양식)_1" xfId="1944"/>
    <cellStyle name="_보건대학조경공사내역서(0302)" xfId="1945"/>
    <cellStyle name="_보건소3,4층 정보통신공사" xfId="9036"/>
    <cellStyle name="_보광병원Cisco (최종)" xfId="9037"/>
    <cellStyle name="_보수명세3 2004년 롯데카드 장비 유지보수 내역v8_1" xfId="9038"/>
    <cellStyle name="_보훈처_050217" xfId="9039"/>
    <cellStyle name="_복명(암거-직관)" xfId="9040"/>
    <cellStyle name="_복명내역-수량" xfId="9041"/>
    <cellStyle name="_복사본 CDS-030703-ML570-MA1000-02" xfId="9042"/>
    <cellStyle name="_복사본 가격산출서(강)" xfId="1946"/>
    <cellStyle name="_복사본 발주서양식 대신정보통신" xfId="9043"/>
    <cellStyle name="_복사본 오늘과내일(W1100z)-9월가격표_(2004 9 1기준)" xfId="9044"/>
    <cellStyle name="_복사본 오늘과내일(W1100z)-9월가격표_(2004 9 1기준)(1)" xfId="9045"/>
    <cellStyle name="_본선토공" xfId="1947"/>
    <cellStyle name="_본선토공_내지농로(변경)" xfId="1948"/>
    <cellStyle name="_본선토공_내지농로(변경)_돈지수량산출" xfId="1949"/>
    <cellStyle name="_본선토공_능양수량산출" xfId="1950"/>
    <cellStyle name="_본선토공_능양수량산출_돈지수량산출" xfId="1951"/>
    <cellStyle name="_본선토공_돈지안길" xfId="1952"/>
    <cellStyle name="_본선토공_돈지안길_배수로" xfId="1953"/>
    <cellStyle name="_본선토공_돈지안길1000" xfId="1954"/>
    <cellStyle name="_본선토공_돈지안길1000_배수로" xfId="1955"/>
    <cellStyle name="_본선토공_배수로" xfId="1956"/>
    <cellStyle name="_본선토공_배수로_배수로" xfId="1957"/>
    <cellStyle name="_본선토공_석축쌓기" xfId="1958"/>
    <cellStyle name="_본선토공_석축쌓기_내지농로(변경)" xfId="1959"/>
    <cellStyle name="_본선토공_석축쌓기_내지농로(변경)_돈지수량산출" xfId="1960"/>
    <cellStyle name="_본선토공_석축쌓기_능양수량산출" xfId="1961"/>
    <cellStyle name="_본선토공_석축쌓기_능양수량산출_돈지수량산출" xfId="1962"/>
    <cellStyle name="_본선토공_석축쌓기_돈지안길" xfId="1963"/>
    <cellStyle name="_본선토공_석축쌓기_돈지안길_배수로" xfId="1964"/>
    <cellStyle name="_본선토공_석축쌓기_돈지안길1000" xfId="1965"/>
    <cellStyle name="_본선토공_석축쌓기_돈지안길1000_배수로" xfId="1966"/>
    <cellStyle name="_본선토공_석축쌓기_배수공(명품센터)" xfId="1967"/>
    <cellStyle name="_본선토공_석축쌓기_배수공(명품센터)_내지농로(변경)" xfId="1968"/>
    <cellStyle name="_본선토공_석축쌓기_배수공(명품센터)_내지농로(변경)_돈지수량산출" xfId="1969"/>
    <cellStyle name="_본선토공_석축쌓기_배수공(명품센터)_능양수량산출" xfId="1970"/>
    <cellStyle name="_본선토공_석축쌓기_배수공(명품센터)_능양수량산출_돈지수량산출" xfId="1971"/>
    <cellStyle name="_본선토공_석축쌓기_배수공(명품센터)_돈지안길" xfId="1972"/>
    <cellStyle name="_본선토공_석축쌓기_배수공(명품센터)_돈지안길_배수로" xfId="1973"/>
    <cellStyle name="_본선토공_석축쌓기_배수공(명품센터)_돈지안길1000" xfId="1974"/>
    <cellStyle name="_본선토공_석축쌓기_배수공(명품센터)_돈지안길1000_배수로" xfId="1975"/>
    <cellStyle name="_본선토공_석축쌓기_배수공(명품센터)_배수로" xfId="1976"/>
    <cellStyle name="_본선토공_석축쌓기_배수공(명품센터)_배수로_배수로" xfId="1977"/>
    <cellStyle name="_본선토공_석축쌓기_배수로" xfId="1978"/>
    <cellStyle name="_본선토공_석축쌓기_배수로_배수로" xfId="1979"/>
    <cellStyle name="_본선토공_석축쌓기_수량(전안수해복구)" xfId="1980"/>
    <cellStyle name="_본선토공_석축쌓기_수량(전안수해복구)_내지농로(변경)" xfId="1981"/>
    <cellStyle name="_본선토공_석축쌓기_수량(전안수해복구)_내지농로(변경)_돈지수량산출" xfId="1982"/>
    <cellStyle name="_본선토공_석축쌓기_수량(전안수해복구)_능양수량산출" xfId="1983"/>
    <cellStyle name="_본선토공_석축쌓기_수량(전안수해복구)_능양수량산출_돈지수량산출" xfId="1984"/>
    <cellStyle name="_본선토공_석축쌓기_수량(전안수해복구)_돈지안길" xfId="1985"/>
    <cellStyle name="_본선토공_석축쌓기_수량(전안수해복구)_돈지안길_배수로" xfId="1986"/>
    <cellStyle name="_본선토공_석축쌓기_수량(전안수해복구)_돈지안길1000" xfId="1987"/>
    <cellStyle name="_본선토공_석축쌓기_수량(전안수해복구)_돈지안길1000_배수로" xfId="1988"/>
    <cellStyle name="_본선토공_석축쌓기_수량(전안수해복구)_배수로" xfId="1989"/>
    <cellStyle name="_본선토공_석축쌓기_수량(전안수해복구)_배수로_배수로" xfId="1990"/>
    <cellStyle name="_본선토공_석축쌓기_우수공(k2)" xfId="1991"/>
    <cellStyle name="_본선토공_석축쌓기_우수공(k2)_내지농로(변경)" xfId="1992"/>
    <cellStyle name="_본선토공_석축쌓기_우수공(k2)_내지농로(변경)_돈지수량산출" xfId="1993"/>
    <cellStyle name="_본선토공_석축쌓기_우수공(k2)_능양수량산출" xfId="1994"/>
    <cellStyle name="_본선토공_석축쌓기_우수공(k2)_능양수량산출_돈지수량산출" xfId="1995"/>
    <cellStyle name="_본선토공_석축쌓기_우수공(k2)_돈지안길" xfId="1996"/>
    <cellStyle name="_본선토공_석축쌓기_우수공(k2)_돈지안길_배수로" xfId="1997"/>
    <cellStyle name="_본선토공_석축쌓기_우수공(k2)_돈지안길1000" xfId="1998"/>
    <cellStyle name="_본선토공_석축쌓기_우수공(k2)_돈지안길1000_배수로" xfId="1999"/>
    <cellStyle name="_본선토공_석축쌓기_우수공(k2)_배수로" xfId="2000"/>
    <cellStyle name="_본선토공_석축쌓기_우수공(k2)_배수로_배수로" xfId="2001"/>
    <cellStyle name="_봅시다장비내역서" xfId="9046"/>
    <cellStyle name="_봅시다장비내역서_동양비원컴" xfId="9047"/>
    <cellStyle name="_봅시다장비내역서_두산오토2" xfId="9048"/>
    <cellStyle name="_봅시다장비내역서_의정부" xfId="9049"/>
    <cellStyle name="_봅시다장비내역서_의정부_동양비원컴" xfId="9050"/>
    <cellStyle name="_봅시다장비내역서_의정부_두산오토2" xfId="9051"/>
    <cellStyle name="_봅시다장비내역서_의정부_중구청소년수련관" xfId="9052"/>
    <cellStyle name="_봅시다장비내역서_의정부_파워콤기별" xfId="9053"/>
    <cellStyle name="_봅시다장비내역서_의정부_파워콤기별_파워콤기별" xfId="9054"/>
    <cellStyle name="_봅시다장비내역서_중구청소년수련관" xfId="9055"/>
    <cellStyle name="_봅시다장비내역서_파워콤기별" xfId="9056"/>
    <cellStyle name="_봅시다장비내역서_파워콤기별_파워콤기별" xfId="9057"/>
    <cellStyle name="_봉곡중내역서(대지건설)" xfId="2002"/>
    <cellStyle name="_봉곡중총괄(대지완결)" xfId="2003"/>
    <cellStyle name="_봉평-내면도로(투찰)⑦(-1.22)" xfId="2004"/>
    <cellStyle name="_봉평-내면도로(투찰)⑦(-1.22)_01 실행(군장산단) Rev00" xfId="2005"/>
    <cellStyle name="_봉평-내면도로(투찰)⑦(-1.22)_01 실행(군장산단) Rev00_01 실행(부산남컨가호안109-원안분) REV04" xfId="2006"/>
    <cellStyle name="_봉화군_지형도면전산화(080808)" xfId="2007"/>
    <cellStyle name="_부대견적결과" xfId="2008"/>
    <cellStyle name="_부대견적결과_01 실행(군장산단) Rev00" xfId="2009"/>
    <cellStyle name="_부대견적결과_01 실행(군장산단) Rev00_01 실행(부산남컨가호안109-원안분) REV04" xfId="2010"/>
    <cellStyle name="_부대견적결과1" xfId="2011"/>
    <cellStyle name="_부대견적결과1_01 실행(군장산단) Rev00" xfId="2012"/>
    <cellStyle name="_부대견적결과1_01 실행(군장산단) Rev00_01 실행(부산남컨가호안109-원안분) REV04" xfId="2013"/>
    <cellStyle name="_부대견적의뢰" xfId="2014"/>
    <cellStyle name="_부대견적의뢰_01 실행(군장산단) Rev00" xfId="2015"/>
    <cellStyle name="_부대견적의뢰_01 실행(군장산단) Rev00_01 실행(부산남컨가호안109-원안분) REV04" xfId="2016"/>
    <cellStyle name="_부대공" xfId="2017"/>
    <cellStyle name="_부대공A" xfId="2018"/>
    <cellStyle name="_부대공A_04포장공" xfId="9058"/>
    <cellStyle name="_부대공A_3.구조물공" xfId="9059"/>
    <cellStyle name="_부대공A_3.구조물공_04포장공" xfId="9060"/>
    <cellStyle name="_부대공A_3.구조물공_3.구조물공" xfId="9061"/>
    <cellStyle name="_부대공A_3.구조물공_3.구조물공_04포장공" xfId="9062"/>
    <cellStyle name="_부대공A_3.구조물공_3.물공" xfId="9063"/>
    <cellStyle name="_부대공A_3.구조물공_3.물공_04포장공" xfId="9064"/>
    <cellStyle name="_부대공A_3.구조물공_보수량집계(우근)" xfId="9065"/>
    <cellStyle name="_부대공A_3.구조물공_보수량집계(우근)_04포장공" xfId="9066"/>
    <cellStyle name="_부대공A_3.구조물공_석축" xfId="9067"/>
    <cellStyle name="_부대공A_3.구조물공_석축_04포장공" xfId="9068"/>
    <cellStyle name="_부대공A_두릉1제 수량산출서" xfId="2019"/>
    <cellStyle name="_부대공A_배수구조물공" xfId="9069"/>
    <cellStyle name="_부대공A_배수구조물공_04포장공" xfId="9070"/>
    <cellStyle name="_부대공A_배수구조물공_3.구조물공" xfId="9071"/>
    <cellStyle name="_부대공A_배수구조물공_3.구조물공_04포장공" xfId="9072"/>
    <cellStyle name="_부대공A_배수구조물공_3.구조물공_3.구조물공" xfId="9073"/>
    <cellStyle name="_부대공A_배수구조물공_3.구조물공_3.구조물공_04포장공" xfId="9074"/>
    <cellStyle name="_부대공A_배수구조물공_3.구조물공_3.물공" xfId="9075"/>
    <cellStyle name="_부대공A_배수구조물공_3.구조물공_3.물공_04포장공" xfId="9076"/>
    <cellStyle name="_부대공A_배수구조물공_3.구조물공_보수량집계(우근)" xfId="9077"/>
    <cellStyle name="_부대공A_배수구조물공_3.구조물공_보수량집계(우근)_04포장공" xfId="9078"/>
    <cellStyle name="_부대공A_배수구조물공_3.구조물공_석축" xfId="9079"/>
    <cellStyle name="_부대공A_배수구조물공_3.구조물공_석축_04포장공" xfId="9080"/>
    <cellStyle name="_부대공A_우수집수정U형집계" xfId="9081"/>
    <cellStyle name="_부대공A_우수집수정U형집계_04포장공" xfId="9082"/>
    <cellStyle name="_부대공A_우수집수정U형집계_3.구조물공" xfId="9083"/>
    <cellStyle name="_부대공A_우수집수정U형집계_3.구조물공_04포장공" xfId="9084"/>
    <cellStyle name="_부대공A_우수집수정U형집계_3.구조물공_3.구조물공" xfId="9085"/>
    <cellStyle name="_부대공A_우수집수정U형집계_3.구조물공_3.구조물공_04포장공" xfId="9086"/>
    <cellStyle name="_부대공A_우수집수정U형집계_3.구조물공_3.물공" xfId="9087"/>
    <cellStyle name="_부대공A_우수집수정U형집계_3.구조물공_3.물공_04포장공" xfId="9088"/>
    <cellStyle name="_부대공A_우수집수정U형집계_3.구조물공_보수량집계(우근)" xfId="9089"/>
    <cellStyle name="_부대공A_우수집수정U형집계_3.구조물공_보수량집계(우근)_04포장공" xfId="9090"/>
    <cellStyle name="_부대공A_우수집수정U형집계_3.구조물공_석축" xfId="9091"/>
    <cellStyle name="_부대공A_우수집수정U형집계_3.구조물공_석축_04포장공" xfId="9092"/>
    <cellStyle name="_부대공A_인계1공구 수량산출" xfId="2020"/>
    <cellStyle name="_부대공A_총자재집계표" xfId="2021"/>
    <cellStyle name="_부대공A_콘크리트포장공" xfId="9093"/>
    <cellStyle name="_부대공A_콘크리트포장공_03포장공" xfId="9094"/>
    <cellStyle name="_부대공A_콘크리트포장공_03포장공_04포장공" xfId="9095"/>
    <cellStyle name="_부대공A_콘크리트포장공_04포장공" xfId="9096"/>
    <cellStyle name="_부대공A_콘크리트포장공_14수량산출서" xfId="9097"/>
    <cellStyle name="_부대공A_콘크리트포장공_14수량산출서_04포장공" xfId="9098"/>
    <cellStyle name="_부대공A_콘크리트포장공_수량산출서" xfId="9099"/>
    <cellStyle name="_부대선정조정품의" xfId="2022"/>
    <cellStyle name="_부대선정조정품의_01 실행(군장산단) Rev00" xfId="2023"/>
    <cellStyle name="_부대선정조정품의_01 실행(군장산단) Rev00_01 실행(부산남컨가호안109-원안분) REV04" xfId="2024"/>
    <cellStyle name="_부대입찰결과" xfId="2025"/>
    <cellStyle name="_부대입찰결과_01 실행(군장산단) Rev00" xfId="2026"/>
    <cellStyle name="_부대입찰결과_01 실행(군장산단) Rev00_01 실행(부산남컨가호안109-원안분) REV04" xfId="2027"/>
    <cellStyle name="_부대입찰송부" xfId="2028"/>
    <cellStyle name="_부대입찰송부(1차조정)" xfId="2029"/>
    <cellStyle name="_부대입찰송부(1차조정)_01 실행(군장산단) Rev00" xfId="2030"/>
    <cellStyle name="_부대입찰송부(1차조정)_01 실행(군장산단) Rev00_01 실행(부산남컨가호안109-원안분) REV04" xfId="2031"/>
    <cellStyle name="_부대입찰송부(무안광주)" xfId="2032"/>
    <cellStyle name="_부대입찰송부(무안광주)_01 실행(군장산단) Rev00" xfId="2033"/>
    <cellStyle name="_부대입찰송부(무안광주)_01 실행(군장산단) Rev00_01 실행(부산남컨가호안109-원안분) REV04" xfId="2034"/>
    <cellStyle name="_부대입찰송부_01 실행(군장산단) Rev00" xfId="2035"/>
    <cellStyle name="_부대입찰송부_01 실행(군장산단) Rev00_01 실행(부산남컨가호안109-원안분) REV04" xfId="2036"/>
    <cellStyle name="_부대입찰양식②" xfId="2037"/>
    <cellStyle name="_부대입찰양식②_01 실행(군장산단) Rev00" xfId="2038"/>
    <cellStyle name="_부대입찰양식②_01 실행(군장산단) Rev00_01 실행(부산남컨가호안109-원안분) REV04" xfId="2039"/>
    <cellStyle name="_부대입찰양식②_경찰서-터미널간도로(투찰)②" xfId="2040"/>
    <cellStyle name="_부대입찰양식②_경찰서-터미널간도로(투찰)②_01 실행(군장산단) Rev00" xfId="2041"/>
    <cellStyle name="_부대입찰양식②_경찰서-터미널간도로(투찰)②_01 실행(군장산단) Rev00_01 실행(부산남컨가호안109-원안분) REV04" xfId="2042"/>
    <cellStyle name="_부대입찰양식②_봉무지방산업단지도로(투찰)②" xfId="2043"/>
    <cellStyle name="_부대입찰양식②_봉무지방산업단지도로(투찰)②_01 실행(군장산단) Rev00" xfId="2044"/>
    <cellStyle name="_부대입찰양식②_봉무지방산업단지도로(투찰)②_01 실행(군장산단) Rev00_01 실행(부산남컨가호안109-원안분) REV04" xfId="2045"/>
    <cellStyle name="_부대입찰양식②_봉무지방산업단지도로(투찰)②+0.250%" xfId="2046"/>
    <cellStyle name="_부대입찰양식②_봉무지방산업단지도로(투찰)②+0.250%_01 실행(군장산단) Rev00" xfId="2047"/>
    <cellStyle name="_부대입찰양식②_봉무지방산업단지도로(투찰)②+0.250%_01 실행(군장산단) Rev00_01 실행(부산남컨가호안109-원안분) REV04" xfId="2048"/>
    <cellStyle name="_부대입찰양식②_합덕-신례원(2공구)투찰" xfId="2049"/>
    <cellStyle name="_부대입찰양식②_합덕-신례원(2공구)투찰_01 실행(군장산단) Rev00" xfId="2050"/>
    <cellStyle name="_부대입찰양식②_합덕-신례원(2공구)투찰_01 실행(군장산단) Rev00_01 실행(부산남컨가호안109-원안분) REV04" xfId="2051"/>
    <cellStyle name="_부대입찰양식②_합덕-신례원(2공구)투찰_경찰서-터미널간도로(투찰)②" xfId="2052"/>
    <cellStyle name="_부대입찰양식②_합덕-신례원(2공구)투찰_경찰서-터미널간도로(투찰)②_01 실행(군장산단) Rev00" xfId="2053"/>
    <cellStyle name="_부대입찰양식②_합덕-신례원(2공구)투찰_경찰서-터미널간도로(투찰)②_01 실행(군장산단) Rev00_01 실행(부산남컨가호안109-원안분) REV04" xfId="2054"/>
    <cellStyle name="_부대입찰양식②_합덕-신례원(2공구)투찰_봉무지방산업단지도로(투찰)②" xfId="2055"/>
    <cellStyle name="_부대입찰양식②_합덕-신례원(2공구)투찰_봉무지방산업단지도로(투찰)②_01 실행(군장산단) Rev00" xfId="2056"/>
    <cellStyle name="_부대입찰양식②_합덕-신례원(2공구)투찰_봉무지방산업단지도로(투찰)②_01 실행(군장산단) Rev00_01 실행(부산남컨가호안109-원안분) REV04" xfId="2057"/>
    <cellStyle name="_부대입찰양식②_합덕-신례원(2공구)투찰_봉무지방산업단지도로(투찰)②+0.250%" xfId="2058"/>
    <cellStyle name="_부대입찰양식②_합덕-신례원(2공구)투찰_봉무지방산업단지도로(투찰)②+0.250%_01 실행(군장산단) Rev00" xfId="2059"/>
    <cellStyle name="_부대입찰양식②_합덕-신례원(2공구)투찰_봉무지방산업단지도로(투찰)②+0.250%_01 실행(군장산단) Rev00_01 실행(부산남컨가호안109-원안분) REV04" xfId="2060"/>
    <cellStyle name="_부대입찰양식②_합덕-신례원(2공구)투찰_합덕-신례원(2공구)투찰" xfId="2061"/>
    <cellStyle name="_부대입찰양식②_합덕-신례원(2공구)투찰_합덕-신례원(2공구)투찰_01 실행(군장산단) Rev00" xfId="2062"/>
    <cellStyle name="_부대입찰양식②_합덕-신례원(2공구)투찰_합덕-신례원(2공구)투찰_01 실행(군장산단) Rev00_01 실행(부산남컨가호안109-원안분) REV04" xfId="2063"/>
    <cellStyle name="_부대입찰양식②_합덕-신례원(2공구)투찰_합덕-신례원(2공구)투찰_경찰서-터미널간도로(투찰)②" xfId="2064"/>
    <cellStyle name="_부대입찰양식②_합덕-신례원(2공구)투찰_합덕-신례원(2공구)투찰_경찰서-터미널간도로(투찰)②_01 실행(군장산단) Rev00" xfId="2065"/>
    <cellStyle name="_부대입찰양식②_합덕-신례원(2공구)투찰_합덕-신례원(2공구)투찰_경찰서-터미널간도로(투찰)②_01 실행(군장산단) Rev00_01 실행(부산남컨가호안109-원안분) REV04" xfId="2066"/>
    <cellStyle name="_부대입찰양식②_합덕-신례원(2공구)투찰_합덕-신례원(2공구)투찰_봉무지방산업단지도로(투찰)②" xfId="2067"/>
    <cellStyle name="_부대입찰양식②_합덕-신례원(2공구)투찰_합덕-신례원(2공구)투찰_봉무지방산업단지도로(투찰)②_01 실행(군장산단) Rev00" xfId="2068"/>
    <cellStyle name="_부대입찰양식②_합덕-신례원(2공구)투찰_합덕-신례원(2공구)투찰_봉무지방산업단지도로(투찰)②_01 실행(군장산단) Rev00_01 실행(부산남컨가호안109-원안분) REV04" xfId="2069"/>
    <cellStyle name="_부대입찰양식②_합덕-신례원(2공구)투찰_합덕-신례원(2공구)투찰_봉무지방산업단지도로(투찰)②+0.250%" xfId="2070"/>
    <cellStyle name="_부대입찰양식②_합덕-신례원(2공구)투찰_합덕-신례원(2공구)투찰_봉무지방산업단지도로(투찰)②+0.250%_01 실행(군장산단) Rev00" xfId="2071"/>
    <cellStyle name="_부대입찰양식②_합덕-신례원(2공구)투찰_합덕-신례원(2공구)투찰_봉무지방산업단지도로(투찰)②+0.250%_01 실행(군장산단) Rev00_01 실행(부산남컨가호안109-원안분) REV04" xfId="2072"/>
    <cellStyle name="_부대입찰조정" xfId="2073"/>
    <cellStyle name="_부대입찰조정(광릉숲)" xfId="2074"/>
    <cellStyle name="_부대입찰조정(광릉숲)_01 실행(군장산단) Rev00" xfId="2075"/>
    <cellStyle name="_부대입찰조정(광릉숲)_01 실행(군장산단) Rev00_01 실행(부산남컨가호안109-원안분) REV04" xfId="2076"/>
    <cellStyle name="_부대입찰조정_01 실행(군장산단) Rev00" xfId="2077"/>
    <cellStyle name="_부대입찰조정_01 실행(군장산단) Rev00_01 실행(부산남컨가호안109-원안분) REV04" xfId="2078"/>
    <cellStyle name="_부대입찰특별조건및내역송부" xfId="2079"/>
    <cellStyle name="_부대입찰특별조건및내역송부(최저가)" xfId="2080"/>
    <cellStyle name="_부대입찰특별조건및내역송부(최저가)_01 실행(군장산단) Rev00" xfId="2081"/>
    <cellStyle name="_부대입찰특별조건및내역송부(최저가)_01 실행(군장산단) Rev00_01 실행(부산남컨가호안109-원안분) REV04" xfId="2082"/>
    <cellStyle name="_부대입찰특별조건및내역송부_01 실행(군장산단) Rev00" xfId="2083"/>
    <cellStyle name="_부대입찰특별조건및내역송부_01 실행(군장산단) Rev00_01 실행(부산남컨가호안109-원안분) REV04" xfId="2084"/>
    <cellStyle name="_부대입찰확약서" xfId="2085"/>
    <cellStyle name="_부림제(혁성종합)" xfId="2086"/>
    <cellStyle name="_부산소방 제출용 200407" xfId="12576"/>
    <cellStyle name="_부산원가1014_최종" xfId="12577"/>
    <cellStyle name="_부산해사고(100%)" xfId="2087"/>
    <cellStyle name="_부안누에타운실시설계 내역서-4 (06.7.17)" xfId="2088"/>
    <cellStyle name="_부안물의거리경관조명설치공사(개략예산)-LED등업체에서 설계변경해온내역서" xfId="9100"/>
    <cellStyle name="_부천시 지하시설물통합정보시스템 구축사업 설계내역서_0514(FP)" xfId="2089"/>
    <cellStyle name="_부천시 지하시설물통합정보시스템 구축사업 설계내역서_2.1(FP)" xfId="2090"/>
    <cellStyle name="_부천시 현장시설물관리시스템 구축사업 설계내역서_1.2" xfId="2091"/>
    <cellStyle name="_부천시 현장시설물관리시스템 구축사업 설계내역서_2.1(FP)" xfId="2092"/>
    <cellStyle name="_부평배수지(투찰)" xfId="2093"/>
    <cellStyle name="_부평배수지(투찰)_01 실행(군장산단) Rev00" xfId="2094"/>
    <cellStyle name="_부평배수지(투찰)_01 실행(군장산단) Rev00_01 실행(부산남컨가호안109-원안분) REV04" xfId="2095"/>
    <cellStyle name="_부평배수지(투찰)_경찰서-터미널간도로(투찰)②" xfId="2096"/>
    <cellStyle name="_부평배수지(투찰)_경찰서-터미널간도로(투찰)②_01 실행(군장산단) Rev00" xfId="2097"/>
    <cellStyle name="_부평배수지(투찰)_경찰서-터미널간도로(투찰)②_01 실행(군장산단) Rev00_01 실행(부산남컨가호안109-원안분) REV04" xfId="2098"/>
    <cellStyle name="_부평배수지(투찰)_봉무지방산업단지도로(투찰)②" xfId="2099"/>
    <cellStyle name="_부평배수지(투찰)_봉무지방산업단지도로(투찰)②_01 실행(군장산단) Rev00" xfId="2100"/>
    <cellStyle name="_부평배수지(투찰)_봉무지방산업단지도로(투찰)②_01 실행(군장산단) Rev00_01 실행(부산남컨가호안109-원안분) REV04" xfId="2101"/>
    <cellStyle name="_부평배수지(투찰)_봉무지방산업단지도로(투찰)②+0.250%" xfId="2102"/>
    <cellStyle name="_부평배수지(투찰)_봉무지방산업단지도로(투찰)②+0.250%_01 실행(군장산단) Rev00" xfId="2103"/>
    <cellStyle name="_부평배수지(투찰)_봉무지방산업단지도로(투찰)②+0.250%_01 실행(군장산단) Rev00_01 실행(부산남컨가호안109-원안분) REV04" xfId="2104"/>
    <cellStyle name="_부평배수지(투찰)_합덕-신례원(2공구)투찰" xfId="2105"/>
    <cellStyle name="_부평배수지(투찰)_합덕-신례원(2공구)투찰_01 실행(군장산단) Rev00" xfId="2106"/>
    <cellStyle name="_부평배수지(투찰)_합덕-신례원(2공구)투찰_01 실행(군장산단) Rev00_01 실행(부산남컨가호안109-원안분) REV04" xfId="2107"/>
    <cellStyle name="_부평배수지(투찰)_합덕-신례원(2공구)투찰_경찰서-터미널간도로(투찰)②" xfId="2108"/>
    <cellStyle name="_부평배수지(투찰)_합덕-신례원(2공구)투찰_경찰서-터미널간도로(투찰)②_01 실행(군장산단) Rev00" xfId="2109"/>
    <cellStyle name="_부평배수지(투찰)_합덕-신례원(2공구)투찰_경찰서-터미널간도로(투찰)②_01 실행(군장산단) Rev00_01 실행(부산남컨가호안109-원안분) REV04" xfId="2110"/>
    <cellStyle name="_부평배수지(투찰)_합덕-신례원(2공구)투찰_봉무지방산업단지도로(투찰)②" xfId="2111"/>
    <cellStyle name="_부평배수지(투찰)_합덕-신례원(2공구)투찰_봉무지방산업단지도로(투찰)②_01 실행(군장산단) Rev00" xfId="2112"/>
    <cellStyle name="_부평배수지(투찰)_합덕-신례원(2공구)투찰_봉무지방산업단지도로(투찰)②_01 실행(군장산단) Rev00_01 실행(부산남컨가호안109-원안분) REV04" xfId="2113"/>
    <cellStyle name="_부평배수지(투찰)_합덕-신례원(2공구)투찰_봉무지방산업단지도로(투찰)②+0.250%" xfId="2114"/>
    <cellStyle name="_부평배수지(투찰)_합덕-신례원(2공구)투찰_봉무지방산업단지도로(투찰)②+0.250%_01 실행(군장산단) Rev00" xfId="2115"/>
    <cellStyle name="_부평배수지(투찰)_합덕-신례원(2공구)투찰_봉무지방산업단지도로(투찰)②+0.250%_01 실행(군장산단) Rev00_01 실행(부산남컨가호안109-원안분) REV04" xfId="2116"/>
    <cellStyle name="_부평배수지(투찰)_합덕-신례원(2공구)투찰_합덕-신례원(2공구)투찰" xfId="2117"/>
    <cellStyle name="_부평배수지(투찰)_합덕-신례원(2공구)투찰_합덕-신례원(2공구)투찰_01 실행(군장산단) Rev00" xfId="2118"/>
    <cellStyle name="_부평배수지(투찰)_합덕-신례원(2공구)투찰_합덕-신례원(2공구)투찰_01 실행(군장산단) Rev00_01 실행(부산남컨가호안109-원안분) REV04" xfId="2119"/>
    <cellStyle name="_부평배수지(투찰)_합덕-신례원(2공구)투찰_합덕-신례원(2공구)투찰_경찰서-터미널간도로(투찰)②" xfId="2120"/>
    <cellStyle name="_부평배수지(투찰)_합덕-신례원(2공구)투찰_합덕-신례원(2공구)투찰_경찰서-터미널간도로(투찰)②_01 실행(군장산단) Rev00" xfId="2121"/>
    <cellStyle name="_부평배수지(투찰)_합덕-신례원(2공구)투찰_합덕-신례원(2공구)투찰_경찰서-터미널간도로(투찰)②_01 실행(군장산단) Rev00_01 실행(부산남컨가호안109-원안분) REV04" xfId="2122"/>
    <cellStyle name="_부평배수지(투찰)_합덕-신례원(2공구)투찰_합덕-신례원(2공구)투찰_봉무지방산업단지도로(투찰)②" xfId="2123"/>
    <cellStyle name="_부평배수지(투찰)_합덕-신례원(2공구)투찰_합덕-신례원(2공구)투찰_봉무지방산업단지도로(투찰)②_01 실행(군장산단) Rev00" xfId="2124"/>
    <cellStyle name="_부평배수지(투찰)_합덕-신례원(2공구)투찰_합덕-신례원(2공구)투찰_봉무지방산업단지도로(투찰)②_01 실행(군장산단) Rev00_01 실행(부산남컨가호안109-원안분) REV04" xfId="2125"/>
    <cellStyle name="_부평배수지(투찰)_합덕-신례원(2공구)투찰_합덕-신례원(2공구)투찰_봉무지방산업단지도로(투찰)②+0.250%" xfId="2126"/>
    <cellStyle name="_부평배수지(투찰)_합덕-신례원(2공구)투찰_합덕-신례원(2공구)투찰_봉무지방산업단지도로(투찰)②+0.250%_01 실행(군장산단) Rev00" xfId="2127"/>
    <cellStyle name="_부평배수지(투찰)_합덕-신례원(2공구)투찰_합덕-신례원(2공구)투찰_봉무지방산업단지도로(투찰)②+0.250%_01 실행(군장산단) Rev00_01 실행(부산남컨가호안109-원안분) REV04" xfId="2128"/>
    <cellStyle name="_분당차병원 견적서 (동심) 0625" xfId="9101"/>
    <cellStyle name="_분전반,CP주일위" xfId="9102"/>
    <cellStyle name="_불광 팜스퀘어견적" xfId="9103"/>
    <cellStyle name="_붙임3(1).정확도개선_설계서" xfId="12578"/>
    <cellStyle name="_붙임4" xfId="9104"/>
    <cellStyle name="_비탈면보호공" xfId="9105"/>
    <cellStyle name="_사근진중계기" xfId="9106"/>
    <cellStyle name="_사동초중" xfId="2129"/>
    <cellStyle name="_사물함" xfId="9107"/>
    <cellStyle name="_사본 - 01.공사견적서_050913_수정" xfId="9108"/>
    <cellStyle name="_사본 - 1차변경내역" xfId="9109"/>
    <cellStyle name="_사본 - 20030926_설계내역(심사결과반영)" xfId="12579"/>
    <cellStyle name="_사본 - 설계변경내역서(고창성송부하계산서)" xfId="9110"/>
    <cellStyle name="_사본 - 승본도로수량(금회분)" xfId="2130"/>
    <cellStyle name="_사본 - 승본도로수량(금회분)_04포장공" xfId="9111"/>
    <cellStyle name="_사본 - 승본도로수량(금회분)_3.구조물공" xfId="9112"/>
    <cellStyle name="_사본 - 승본도로수량(금회분)_3.구조물공_04포장공" xfId="9113"/>
    <cellStyle name="_사본 - 승본도로수량(금회분)_3.구조물공_3.구조물공" xfId="9114"/>
    <cellStyle name="_사본 - 승본도로수량(금회분)_3.구조물공_3.구조물공_04포장공" xfId="9115"/>
    <cellStyle name="_사본 - 승본도로수량(금회분)_3.구조물공_3.물공" xfId="9116"/>
    <cellStyle name="_사본 - 승본도로수량(금회분)_3.구조물공_3.물공_04포장공" xfId="9117"/>
    <cellStyle name="_사본 - 승본도로수량(금회분)_3.구조물공_보수량집계(우근)" xfId="9118"/>
    <cellStyle name="_사본 - 승본도로수량(금회분)_3.구조물공_보수량집계(우근)_04포장공" xfId="9119"/>
    <cellStyle name="_사본 - 승본도로수량(금회분)_3.구조물공_석축" xfId="9120"/>
    <cellStyle name="_사본 - 승본도로수량(금회분)_3.구조물공_석축_04포장공" xfId="9121"/>
    <cellStyle name="_사본 - 승본도로수량(금회분)_두릉1제 수량산출서" xfId="2131"/>
    <cellStyle name="_사본 - 승본도로수량(금회분)_배수구조물공" xfId="9122"/>
    <cellStyle name="_사본 - 승본도로수량(금회분)_배수구조물공_04포장공" xfId="9123"/>
    <cellStyle name="_사본 - 승본도로수량(금회분)_배수구조물공_3.구조물공" xfId="9124"/>
    <cellStyle name="_사본 - 승본도로수량(금회분)_배수구조물공_3.구조물공_04포장공" xfId="9125"/>
    <cellStyle name="_사본 - 승본도로수량(금회분)_배수구조물공_3.구조물공_3.구조물공" xfId="9126"/>
    <cellStyle name="_사본 - 승본도로수량(금회분)_배수구조물공_3.구조물공_3.구조물공_04포장공" xfId="9127"/>
    <cellStyle name="_사본 - 승본도로수량(금회분)_배수구조물공_3.구조물공_3.물공" xfId="9128"/>
    <cellStyle name="_사본 - 승본도로수량(금회분)_배수구조물공_3.구조물공_3.물공_04포장공" xfId="9129"/>
    <cellStyle name="_사본 - 승본도로수량(금회분)_배수구조물공_3.구조물공_보수량집계(우근)" xfId="9130"/>
    <cellStyle name="_사본 - 승본도로수량(금회분)_배수구조물공_3.구조물공_보수량집계(우근)_04포장공" xfId="9131"/>
    <cellStyle name="_사본 - 승본도로수량(금회분)_배수구조물공_3.구조물공_석축" xfId="9132"/>
    <cellStyle name="_사본 - 승본도로수량(금회분)_배수구조물공_3.구조물공_석축_04포장공" xfId="9133"/>
    <cellStyle name="_사본 - 승본도로수량(금회분)_우수집수정U형집계" xfId="9134"/>
    <cellStyle name="_사본 - 승본도로수량(금회분)_우수집수정U형집계_04포장공" xfId="9135"/>
    <cellStyle name="_사본 - 승본도로수량(금회분)_우수집수정U형집계_3.구조물공" xfId="9136"/>
    <cellStyle name="_사본 - 승본도로수량(금회분)_우수집수정U형집계_3.구조물공_04포장공" xfId="9137"/>
    <cellStyle name="_사본 - 승본도로수량(금회분)_우수집수정U형집계_3.구조물공_3.구조물공" xfId="9138"/>
    <cellStyle name="_사본 - 승본도로수량(금회분)_우수집수정U형집계_3.구조물공_3.구조물공_04포장공" xfId="9139"/>
    <cellStyle name="_사본 - 승본도로수량(금회분)_우수집수정U형집계_3.구조물공_3.물공" xfId="9140"/>
    <cellStyle name="_사본 - 승본도로수량(금회분)_우수집수정U형집계_3.구조물공_3.물공_04포장공" xfId="9141"/>
    <cellStyle name="_사본 - 승본도로수량(금회분)_우수집수정U형집계_3.구조물공_보수량집계(우근)" xfId="9142"/>
    <cellStyle name="_사본 - 승본도로수량(금회분)_우수집수정U형집계_3.구조물공_보수량집계(우근)_04포장공" xfId="9143"/>
    <cellStyle name="_사본 - 승본도로수량(금회분)_우수집수정U형집계_3.구조물공_석축" xfId="9144"/>
    <cellStyle name="_사본 - 승본도로수량(금회분)_우수집수정U형집계_3.구조물공_석축_04포장공" xfId="9145"/>
    <cellStyle name="_사본 - 승본도로수량(금회분)_인계1공구 수량산출" xfId="2132"/>
    <cellStyle name="_사본 - 승본도로수량(금회분)_총자재집계표" xfId="2133"/>
    <cellStyle name="_사본 - 승본도로수량(금회분)_콘크리트포장공" xfId="9146"/>
    <cellStyle name="_사본 - 승본도로수량(금회분)_콘크리트포장공_03포장공" xfId="9147"/>
    <cellStyle name="_사본 - 승본도로수량(금회분)_콘크리트포장공_03포장공_04포장공" xfId="9148"/>
    <cellStyle name="_사본 - 승본도로수량(금회분)_콘크리트포장공_04포장공" xfId="9149"/>
    <cellStyle name="_사본 - 승본도로수량(금회분)_콘크리트포장공_14수량산출서" xfId="9150"/>
    <cellStyle name="_사본 - 승본도로수량(금회분)_콘크리트포장공_14수량산출서_04포장공" xfId="9151"/>
    <cellStyle name="_사본 - 승본도로수량(금회분)_콘크리트포장공_수량산출서" xfId="9152"/>
    <cellStyle name="_사본 - 업체견적서(0425)" xfId="9153"/>
    <cellStyle name="_사시농로" xfId="9154"/>
    <cellStyle name="_사암,문산지구" xfId="9155"/>
    <cellStyle name="_사업관리사양LG엔시스" xfId="9156"/>
    <cellStyle name="_사업대가기준(최신자료)" xfId="2134"/>
    <cellStyle name="_사유서" xfId="2135"/>
    <cellStyle name="_사유서_내역서" xfId="2136"/>
    <cellStyle name="_사이버시티PC방-완료" xfId="9157"/>
    <cellStyle name="_사전재해영향검토용역내역서(은행매화공원)" xfId="2137"/>
    <cellStyle name="_사전재해영향성검토(1억5천)2" xfId="2138"/>
    <cellStyle name="_사전재해영향성검토내역(은행매화-근린공원)" xfId="9158"/>
    <cellStyle name="_사직2동착공내역" xfId="9159"/>
    <cellStyle name="_사진양식" xfId="9160"/>
    <cellStyle name="_사진양식_남산개통확인서" xfId="9161"/>
    <cellStyle name="_사진양식_엘지장개통확인서" xfId="9162"/>
    <cellStyle name="_사진양식_팔미개통확인서" xfId="9163"/>
    <cellStyle name="_사진양식_확장G52A1개통확인서" xfId="9164"/>
    <cellStyle name="_사진양식_확장안보B1개통확인서" xfId="9165"/>
    <cellStyle name="_사진양식_확장우두개통확인서" xfId="9166"/>
    <cellStyle name="_사천시 2차사업 설계내역서_최종(2004.6.10)" xfId="2139"/>
    <cellStyle name="_사천시_인트라넷설계서(0316)" xfId="2140"/>
    <cellStyle name="_사천시범용도입설계내역서(범아송부)" xfId="2141"/>
    <cellStyle name="_사촌1공구토공" xfId="9167"/>
    <cellStyle name="_사촌1리 농로포장공사(1공구)" xfId="9168"/>
    <cellStyle name="_산림생태문화체험단지조성 설계서-계약내역" xfId="2142"/>
    <cellStyle name="_산업단지(33만평)기본및실시설계내역서" xfId="2143"/>
    <cellStyle name="_산업단지(33만평)지구지정(개발계획) 내역서" xfId="2144"/>
    <cellStyle name="_산업단지(40만평)내역서" xfId="2145"/>
    <cellStyle name="_산업단지(40만평)지구지정(개발계획) 내역서" xfId="2146"/>
    <cellStyle name="_산출내역서" xfId="2147"/>
    <cellStyle name="_산출내역서_계약" xfId="12580"/>
    <cellStyle name="_삼남" xfId="2148"/>
    <cellStyle name="_삼남_2차변경단가산출근거" xfId="2149"/>
    <cellStyle name="_삼남_2차변경단가산출근거_3차변경단가산출근거" xfId="2150"/>
    <cellStyle name="_삼남_2차변경단가산출근거_3차변경단가산출근거_문화의 거리 농로포장(김병국2차)" xfId="2151"/>
    <cellStyle name="_삼남_2차변경단가산출근거_3차변경단가산출근거_문화의 거리 농로포장(김병국2차)_문화의 거리 농로포장(김병국2차)" xfId="2152"/>
    <cellStyle name="_삼남_2차변경단가산출근거_문화의 거리 농로포장(김병국2차)" xfId="2153"/>
    <cellStyle name="_삼남_2차변경단가산출근거_문화의 거리 농로포장(김병국2차)_문화의 거리 농로포장(김병국2차)" xfId="2154"/>
    <cellStyle name="_삼남_문화의 거리 농로포장(김병국2차)" xfId="2155"/>
    <cellStyle name="_삼남_문화의 거리 농로포장(김병국2차)_문화의 거리 농로포장(김병국2차)" xfId="2156"/>
    <cellStyle name="_삼남_외국인투자지역" xfId="2157"/>
    <cellStyle name="_삼남_외국인투자지역_3차변경단가산출근거" xfId="2158"/>
    <cellStyle name="_삼남_외국인투자지역_3차변경단가산출근거_문화의 거리 농로포장(김병국2차)" xfId="2159"/>
    <cellStyle name="_삼남_외국인투자지역_3차변경단가산출근거_문화의 거리 농로포장(김병국2차)_문화의 거리 농로포장(김병국2차)" xfId="2160"/>
    <cellStyle name="_삼남_외국인투자지역_문화의 거리 농로포장(김병국2차)" xfId="2161"/>
    <cellStyle name="_삼남_외국인투자지역_문화의 거리 농로포장(김병국2차)_문화의 거리 농로포장(김병국2차)" xfId="2162"/>
    <cellStyle name="_삼사분기(공사완료)" xfId="9169"/>
    <cellStyle name="_삼성 반도체 견적서(한국hp)" xfId="9170"/>
    <cellStyle name="_삼일PwC_동양증권 견적_070921_V1.0" xfId="9171"/>
    <cellStyle name="_삼척#3강순옥" xfId="9172"/>
    <cellStyle name="_삼척#3황종수" xfId="9173"/>
    <cellStyle name="_삼척사이버리아PC방-완료" xfId="9174"/>
    <cellStyle name="_상록구청 방범용 CCTV 설계내역서_계약용" xfId="9175"/>
    <cellStyle name="_상리~사천간국도4차로공사내역" xfId="2163"/>
    <cellStyle name="_상무우리병원_040717" xfId="9176"/>
    <cellStyle name="_상수도시설물관리시스템 견적서" xfId="9177"/>
    <cellStyle name="_상월천교토공수량" xfId="9178"/>
    <cellStyle name="_상주GIS기본계획수립설계내역서(총괄)" xfId="2164"/>
    <cellStyle name="_상주시도로와지하시설물(상하수)공동구축용역설계서(1차년도)-계약용" xfId="2165"/>
    <cellStyle name="_상주시종합상황실(세기)" xfId="9179"/>
    <cellStyle name="_상주시청(50805)(세기)" xfId="9180"/>
    <cellStyle name="_상주시청종합상황실-원가계산서(050727)웹하드" xfId="9181"/>
    <cellStyle name="_상주에이브견적" xfId="9182"/>
    <cellStyle name="_상주한성견적" xfId="9183"/>
    <cellStyle name="_상하수도 범용도입 설계내역서2.0" xfId="2166"/>
    <cellStyle name="_상하수탐사내역서" xfId="9184"/>
    <cellStyle name="_상황실공사(20평)" xfId="12581"/>
    <cellStyle name="_새들초등학교(동성)" xfId="2167"/>
    <cellStyle name="_새마을금고 장비 내역" xfId="9185"/>
    <cellStyle name="_새주소웹서버" xfId="2168"/>
    <cellStyle name="_새주소웹서버 2" xfId="2169"/>
    <cellStyle name="_샘플" xfId="9186"/>
    <cellStyle name="_서귀포시청종합상황실-원가계산서" xfId="9187"/>
    <cellStyle name="_서류양식" xfId="9188"/>
    <cellStyle name="_서림 내역서(12억_소방포함)" xfId="12582"/>
    <cellStyle name="_서버_RFP" xfId="12583"/>
    <cellStyle name="_서버_제안서" xfId="12584"/>
    <cellStyle name="_서버보안_RedOwl_티에스온넷_0404" xfId="9189"/>
    <cellStyle name="_서산시 00근린공원 조성계획 및 실시설계 용역" xfId="2170"/>
    <cellStyle name="_서울" xfId="9190"/>
    <cellStyle name="_서울고속도로_EDMS_핸디소프트" xfId="9191"/>
    <cellStyle name="_서울고속도로_오라클_P630" xfId="9192"/>
    <cellStyle name="_서울고속도로법인_시스템 P6xx_트라이얼" xfId="9193"/>
    <cellStyle name="_서울고속도로법인_시스템 P6xx_트라이얼-1" xfId="9194"/>
    <cellStyle name="_서울고속도로법인_시스템 P6xx_트라이얼-2" xfId="9195"/>
    <cellStyle name="_서울고속도로법인_시스템 P6xx_트라이얼-3" xfId="9196"/>
    <cellStyle name="_서울고속도로법인_시스템_트라이얼" xfId="9197"/>
    <cellStyle name="_서울고속도록_오라클-1" xfId="9198"/>
    <cellStyle name="_서울과학관의장" xfId="9199"/>
    <cellStyle name="_서울대학교사범대교육정보관(에스와이비작업완료)" xfId="2171"/>
    <cellStyle name="_서울도림초등학교(신한디스켓)" xfId="2172"/>
    <cellStyle name="_서울시 교통안전시설물 사업 예산설계서(유지보수 인건비)_070322" xfId="12585"/>
    <cellStyle name="_서울시 도로굴착복구관리시스템 구축사업 예산설계서_v5" xfId="9200"/>
    <cellStyle name="_서울시 도로굴착복구관리시스템 구축용역사업 설계서(FP방식)_최종" xfId="9201"/>
    <cellStyle name="_서울시 도로굴착복구관리시스템 장비구매산출기초조사서_v1" xfId="12586"/>
    <cellStyle name="_서울시 도로굴착복구관리시스템(2단계) 가격산출내역서_계약" xfId="12587"/>
    <cellStyle name="_서울시 도로굴착복구관리시스템(2단계) 설계내역서_v6" xfId="2173"/>
    <cellStyle name="_서울시 도로굴착복구관리시스템(2단계) 장비구매산출기초조사서_v2" xfId="12588"/>
    <cellStyle name="_서울시3차원HW견적서_070703" xfId="12589"/>
    <cellStyle name="_서울여대(20020516)" xfId="9202"/>
    <cellStyle name="_서울지역직류및교류누설전류실태조사(용역)" xfId="9203"/>
    <cellStyle name="_서울지역직류및교류누설전류실태조사(용역)_1-(금액상승)변경-아치텐트-PVDF-(3mx3mx2.5m)" xfId="9204"/>
    <cellStyle name="_서울지역직류및교류누설전류실태조사(용역)_1-(금액상승)변경-아치텐트-PVDF-(3mx3mx2.5m)_(조폐공사발송) 약품처리시설" xfId="9205"/>
    <cellStyle name="_서울지역직류및교류누설전류실태조사(용역)_1-(금액상승)변경-아치텐트-PVDF-(3mx3mx2.5m)_(조폐공사발송) 약품처리시설_2004년 완선공사(최종본)" xfId="9206"/>
    <cellStyle name="_서울지역직류및교류누설전류실태조사(용역)_1-(금액상승)변경-아치텐트-PVDF-(3mx3mx2.5m)_(조폐공사발송) 약품처리시설_안동전통문화콘텐츠박물관전시영상물구축(전시시설물)" xfId="9207"/>
    <cellStyle name="_서울지역직류및교류누설전류실태조사(용역)_1-(금액상승)변경-아치텐트-PVDF-(3mx3mx2.5m)_(조폐공사발송) 약품처리시설_안동전통문화콘텐츠박물관전시영상물구축(전시시설물)_원가보고서(종합)-조달" xfId="9208"/>
    <cellStyle name="_서울지역직류및교류누설전류실태조사(용역)_1-(금액상승)변경-아치텐트-PVDF-(3mx3mx2.5m)_(조폐공사발송) 약품처리시설_안동전통문화콘텐츠박물관전시영상물구축(전시시설물)_원가보고서(흑색)-조달" xfId="9209"/>
    <cellStyle name="_서울지역직류및교류누설전류실태조사(용역)_1-(금액상승)변경-아치텐트-PVDF-(3mx3mx2.5m)_(조폐공사발송) 약품처리시설_원가계산서(화성상록)" xfId="9210"/>
    <cellStyle name="_서울지역직류및교류누설전류실태조사(용역)_1-(금액상승)변경-아치텐트-PVDF-(3mx3mx2.5m)_(조폐공사발송) 약품처리시설_원가계산서(화성상록) (version 1)" xfId="9211"/>
    <cellStyle name="_서울지역직류및교류누설전류실태조사(용역)_1-(금액상승)변경-아치텐트-PVDF-(3mx3mx2.5m)_(조폐공사발송) 약품처리시설_원가계산서(화성상록) (version 1)_원가보고서(종합)-조달" xfId="9212"/>
    <cellStyle name="_서울지역직류및교류누설전류실태조사(용역)_1-(금액상승)변경-아치텐트-PVDF-(3mx3mx2.5m)_(조폐공사발송) 약품처리시설_원가계산서(화성상록) (version 1)_원가보고서(흑색)-조달" xfId="9213"/>
    <cellStyle name="_서울지역직류및교류누설전류실태조사(용역)_1-(금액상승)변경-아치텐트-PVDF-(3mx3mx2.5m)_(조폐공사발송) 약품처리시설_원가계산서(화성상록)_원가보고서(종합)-조달" xfId="9214"/>
    <cellStyle name="_서울지역직류및교류누설전류실태조사(용역)_1-(금액상승)변경-아치텐트-PVDF-(3mx3mx2.5m)_(조폐공사발송) 약품처리시설_원가계산서(화성상록)_원가보고서(흑색)-조달" xfId="9215"/>
    <cellStyle name="_서울지역직류및교류누설전류실태조사(용역)_1-(금액상승)변경-아치텐트-PVDF-(3mx3mx2.5m)_2004년 완선공사(최종본)" xfId="9216"/>
    <cellStyle name="_서울지역직류및교류누설전류실태조사(용역)_1-(금액상승)변경-아치텐트-PVDF-(3mx3mx2.5m)_안동전통문화콘텐츠박물관전시영상물구축(전시시설물)" xfId="9217"/>
    <cellStyle name="_서울지역직류및교류누설전류실태조사(용역)_1-(금액상승)변경-아치텐트-PVDF-(3mx3mx2.5m)_안동전통문화콘텐츠박물관전시영상물구축(전시시설물)_원가보고서(종합)-조달" xfId="9218"/>
    <cellStyle name="_서울지역직류및교류누설전류실태조사(용역)_1-(금액상승)변경-아치텐트-PVDF-(3mx3mx2.5m)_안동전통문화콘텐츠박물관전시영상물구축(전시시설물)_원가보고서(흑색)-조달" xfId="9219"/>
    <cellStyle name="_서울지역직류및교류누설전류실태조사(용역)_1-(금액상승)변경-아치텐트-PVDF-(3mx3mx2.5m)_원가계산서(화성상록)" xfId="9220"/>
    <cellStyle name="_서울지역직류및교류누설전류실태조사(용역)_1-(금액상승)변경-아치텐트-PVDF-(3mx3mx2.5m)_원가계산서(화성상록) (version 1)" xfId="9221"/>
    <cellStyle name="_서울지역직류및교류누설전류실태조사(용역)_1-(금액상승)변경-아치텐트-PVDF-(3mx3mx2.5m)_원가계산서(화성상록) (version 1)_원가보고서(종합)-조달" xfId="9222"/>
    <cellStyle name="_서울지역직류및교류누설전류실태조사(용역)_1-(금액상승)변경-아치텐트-PVDF-(3mx3mx2.5m)_원가계산서(화성상록) (version 1)_원가보고서(흑색)-조달" xfId="9223"/>
    <cellStyle name="_서울지역직류및교류누설전류실태조사(용역)_1-(금액상승)변경-아치텐트-PVDF-(3mx3mx2.5m)_원가계산서(화성상록)_원가보고서(종합)-조달" xfId="9224"/>
    <cellStyle name="_서울지역직류및교류누설전류실태조사(용역)_1-(금액상승)변경-아치텐트-PVDF-(3mx3mx2.5m)_원가계산서(화성상록)_원가보고서(흑색)-조달" xfId="9225"/>
    <cellStyle name="_서울지역직류및교류누설전류실태조사(용역)_2004년 완선공사(최종본)" xfId="9226"/>
    <cellStyle name="_서울지역직류및교류누설전류실태조사(용역)_안동전통문화콘텐츠박물관전시영상물구축(전시시설물)" xfId="9227"/>
    <cellStyle name="_서울지역직류및교류누설전류실태조사(용역)_안동전통문화콘텐츠박물관전시영상물구축(전시시설물)_원가보고서(종합)-조달" xfId="9228"/>
    <cellStyle name="_서울지역직류및교류누설전류실태조사(용역)_안동전통문화콘텐츠박물관전시영상물구축(전시시설물)_원가보고서(흑색)-조달" xfId="9229"/>
    <cellStyle name="_서울지역직류및교류누설전류실태조사(용역)_원가계산서(화성상록)" xfId="9230"/>
    <cellStyle name="_서울지역직류및교류누설전류실태조사(용역)_원가계산서(화성상록) (version 1)" xfId="9231"/>
    <cellStyle name="_서울지역직류및교류누설전류실태조사(용역)_원가계산서(화성상록) (version 1)_원가보고서(종합)-조달" xfId="9232"/>
    <cellStyle name="_서울지역직류및교류누설전류실태조사(용역)_원가계산서(화성상록) (version 1)_원가보고서(흑색)-조달" xfId="9233"/>
    <cellStyle name="_서울지역직류및교류누설전류실태조사(용역)_원가계산서(화성상록)_원가보고서(종합)-조달" xfId="9234"/>
    <cellStyle name="_서울지역직류및교류누설전류실태조사(용역)_원가계산서(화성상록)_원가보고서(흑색)-조달" xfId="9235"/>
    <cellStyle name="_서울화일초(덕동)" xfId="2174"/>
    <cellStyle name="_서학내역서(준공내역서)" xfId="2175"/>
    <cellStyle name="_석 축A" xfId="2176"/>
    <cellStyle name="_석 축A_04포장공" xfId="9236"/>
    <cellStyle name="_석 축A_3.구조물공" xfId="9237"/>
    <cellStyle name="_석 축A_3.구조물공_04포장공" xfId="9238"/>
    <cellStyle name="_석 축A_3.구조물공_3.구조물공" xfId="9239"/>
    <cellStyle name="_석 축A_3.구조물공_3.구조물공_04포장공" xfId="9240"/>
    <cellStyle name="_석 축A_3.구조물공_3.물공" xfId="9241"/>
    <cellStyle name="_석 축A_3.구조물공_3.물공_04포장공" xfId="9242"/>
    <cellStyle name="_석 축A_3.구조물공_보수량집계(우근)" xfId="9243"/>
    <cellStyle name="_석 축A_3.구조물공_보수량집계(우근)_04포장공" xfId="9244"/>
    <cellStyle name="_석 축A_3.구조물공_석축" xfId="9245"/>
    <cellStyle name="_석 축A_3.구조물공_석축_04포장공" xfId="9246"/>
    <cellStyle name="_석 축A_두릉1제 수량산출서" xfId="2177"/>
    <cellStyle name="_석 축A_배수구조물공" xfId="9247"/>
    <cellStyle name="_석 축A_배수구조물공_04포장공" xfId="9248"/>
    <cellStyle name="_석 축A_배수구조물공_3.구조물공" xfId="9249"/>
    <cellStyle name="_석 축A_배수구조물공_3.구조물공_04포장공" xfId="9250"/>
    <cellStyle name="_석 축A_배수구조물공_3.구조물공_3.구조물공" xfId="9251"/>
    <cellStyle name="_석 축A_배수구조물공_3.구조물공_3.구조물공_04포장공" xfId="9252"/>
    <cellStyle name="_석 축A_배수구조물공_3.구조물공_3.물공" xfId="9253"/>
    <cellStyle name="_석 축A_배수구조물공_3.구조물공_3.물공_04포장공" xfId="9254"/>
    <cellStyle name="_석 축A_배수구조물공_3.구조물공_보수량집계(우근)" xfId="9255"/>
    <cellStyle name="_석 축A_배수구조물공_3.구조물공_보수량집계(우근)_04포장공" xfId="9256"/>
    <cellStyle name="_석 축A_배수구조물공_3.구조물공_석축" xfId="9257"/>
    <cellStyle name="_석 축A_배수구조물공_3.구조물공_석축_04포장공" xfId="9258"/>
    <cellStyle name="_석 축A_우수집수정U형집계" xfId="9259"/>
    <cellStyle name="_석 축A_우수집수정U형집계_04포장공" xfId="9260"/>
    <cellStyle name="_석 축A_우수집수정U형집계_3.구조물공" xfId="9261"/>
    <cellStyle name="_석 축A_우수집수정U형집계_3.구조물공_04포장공" xfId="9262"/>
    <cellStyle name="_석 축A_우수집수정U형집계_3.구조물공_3.구조물공" xfId="9263"/>
    <cellStyle name="_석 축A_우수집수정U형집계_3.구조물공_3.구조물공_04포장공" xfId="9264"/>
    <cellStyle name="_석 축A_우수집수정U형집계_3.구조물공_3.물공" xfId="9265"/>
    <cellStyle name="_석 축A_우수집수정U형집계_3.구조물공_3.물공_04포장공" xfId="9266"/>
    <cellStyle name="_석 축A_우수집수정U형집계_3.구조물공_보수량집계(우근)" xfId="9267"/>
    <cellStyle name="_석 축A_우수집수정U형집계_3.구조물공_보수량집계(우근)_04포장공" xfId="9268"/>
    <cellStyle name="_석 축A_우수집수정U형집계_3.구조물공_석축" xfId="9269"/>
    <cellStyle name="_석 축A_우수집수정U형집계_3.구조물공_석축_04포장공" xfId="9270"/>
    <cellStyle name="_석 축A_인계1공구 수량산출" xfId="2178"/>
    <cellStyle name="_석 축A_총자재집계표" xfId="2179"/>
    <cellStyle name="_석 축A_콘크리트포장공" xfId="9271"/>
    <cellStyle name="_석 축A_콘크리트포장공_03포장공" xfId="9272"/>
    <cellStyle name="_석 축A_콘크리트포장공_03포장공_04포장공" xfId="9273"/>
    <cellStyle name="_석 축A_콘크리트포장공_04포장공" xfId="9274"/>
    <cellStyle name="_석 축A_콘크리트포장공_14수량산출서" xfId="9275"/>
    <cellStyle name="_석 축A_콘크리트포장공_14수량산출서_04포장공" xfId="9276"/>
    <cellStyle name="_석 축A_콘크리트포장공_수량산출서" xfId="9277"/>
    <cellStyle name="_석교농로" xfId="9278"/>
    <cellStyle name="_석수고" xfId="2180"/>
    <cellStyle name="_석재조합0224" xfId="9279"/>
    <cellStyle name="_석축공" xfId="2181"/>
    <cellStyle name="_선도전기(실적기준)" xfId="9280"/>
    <cellStyle name="_선번장(일로복룡)" xfId="9281"/>
    <cellStyle name="_선정(1)" xfId="2182"/>
    <cellStyle name="_선정(1)_간이배수펌프장설치에 따른 타당성용역내역" xfId="2183"/>
    <cellStyle name="_선정(1)_선정안(삼산)" xfId="2184"/>
    <cellStyle name="_선정(1)_선정안(삼산)_간이배수펌프장설치에 따른 타당성용역내역" xfId="2185"/>
    <cellStyle name="_선정(1)_추풍령" xfId="2186"/>
    <cellStyle name="_선정(1)_추풍령_간이배수펌프장설치에 따른 타당성용역내역" xfId="2187"/>
    <cellStyle name="_선정(1)_추풍령-1" xfId="2188"/>
    <cellStyle name="_선정(1)_추풍령-1_간이배수펌프장설치에 따른 타당성용역내역" xfId="2189"/>
    <cellStyle name="_선정(2)" xfId="2190"/>
    <cellStyle name="_선정(2)_간이배수펌프장설치에 따른 타당성용역내역" xfId="2191"/>
    <cellStyle name="_선정(2)_선정안(삼산)" xfId="2192"/>
    <cellStyle name="_선정(2)_선정안(삼산)_간이배수펌프장설치에 따른 타당성용역내역" xfId="2193"/>
    <cellStyle name="_선정(2)_추풍령" xfId="2194"/>
    <cellStyle name="_선정(2)_추풍령_간이배수펌프장설치에 따른 타당성용역내역" xfId="2195"/>
    <cellStyle name="_선정(2)_추풍령-1" xfId="2196"/>
    <cellStyle name="_선정(2)_추풍령-1_간이배수펌프장설치에 따른 타당성용역내역" xfId="2197"/>
    <cellStyle name="_선정(3)" xfId="2198"/>
    <cellStyle name="_선정(3)_간이배수펌프장설치에 따른 타당성용역내역" xfId="2199"/>
    <cellStyle name="_선정(3)_선정안(삼산)" xfId="2200"/>
    <cellStyle name="_선정(3)_선정안(삼산)_간이배수펌프장설치에 따른 타당성용역내역" xfId="2201"/>
    <cellStyle name="_선정(3)_추풍령" xfId="2202"/>
    <cellStyle name="_선정(3)_추풍령_간이배수펌프장설치에 따른 타당성용역내역" xfId="2203"/>
    <cellStyle name="_선정(3)_추풍령-1" xfId="2204"/>
    <cellStyle name="_선정(3)_추풍령-1_간이배수펌프장설치에 따른 타당성용역내역" xfId="2205"/>
    <cellStyle name="_선정(4)" xfId="2206"/>
    <cellStyle name="_선정(4)_간이배수펌프장설치에 따른 타당성용역내역" xfId="2207"/>
    <cellStyle name="_선정(4)_선정안(삼산)" xfId="2208"/>
    <cellStyle name="_선정(4)_선정안(삼산)_간이배수펌프장설치에 따른 타당성용역내역" xfId="2209"/>
    <cellStyle name="_선정(4)_추풍령" xfId="2210"/>
    <cellStyle name="_선정(4)_추풍령_간이배수펌프장설치에 따른 타당성용역내역" xfId="2211"/>
    <cellStyle name="_선정(4)_추풍령-1" xfId="2212"/>
    <cellStyle name="_선정(4)_추풍령-1_간이배수펌프장설치에 따른 타당성용역내역" xfId="2213"/>
    <cellStyle name="_선정(5)" xfId="2214"/>
    <cellStyle name="_선정(5)_간이배수펌프장설치에 따른 타당성용역내역" xfId="2215"/>
    <cellStyle name="_선정(5)_선정안(삼산)" xfId="2216"/>
    <cellStyle name="_선정(5)_선정안(삼산)_간이배수펌프장설치에 따른 타당성용역내역" xfId="2217"/>
    <cellStyle name="_선정(5)_추풍령" xfId="2218"/>
    <cellStyle name="_선정(5)_추풍령_간이배수펌프장설치에 따른 타당성용역내역" xfId="2219"/>
    <cellStyle name="_선정(5)_추풍령-1" xfId="2220"/>
    <cellStyle name="_선정(5)_추풍령-1_간이배수펌프장설치에 따른 타당성용역내역" xfId="2221"/>
    <cellStyle name="_설계(SK일로복룡)" xfId="9282"/>
    <cellStyle name="_설계(SK일로복룡) 2" xfId="9283"/>
    <cellStyle name="_설계(SK일로복룡) 3" xfId="9284"/>
    <cellStyle name="_설계(SK일로복룡) 4" xfId="9285"/>
    <cellStyle name="_설계(SK일로복룡) 5" xfId="9286"/>
    <cellStyle name="_설계(SK일로복룡) 6" xfId="9287"/>
    <cellStyle name="_설계(SK일로복룡) 7" xfId="9288"/>
    <cellStyle name="_설계(SK일로복룡) 8" xfId="9289"/>
    <cellStyle name="_설계내역" xfId="9290"/>
    <cellStyle name="_설계내역서" xfId="9291"/>
    <cellStyle name="_설계내역서(0721)" xfId="9292"/>
    <cellStyle name="_설계내역서(2_3차분)_계약예정" xfId="12590"/>
    <cellStyle name="_설계내역서(공시지가)" xfId="2222"/>
    <cellStyle name="_설계내역서(완료)" xfId="2223"/>
    <cellStyle name="_설계내역서(총괄)_설계변경(담양군최종)" xfId="2224"/>
    <cellStyle name="_설계내역서_200406" xfId="12591"/>
    <cellStyle name="_설계내역서_금액조정" xfId="2225"/>
    <cellStyle name="_설계내역서_조달청 수수료" xfId="9293"/>
    <cellStyle name="_설계내역서-수정중" xfId="2226"/>
    <cellStyle name="_설계도면(구로동창조길지중화)(구로구청)" xfId="9294"/>
    <cellStyle name="_설계변경" xfId="9295"/>
    <cellStyle name="_설계변경(2004.05)최종" xfId="2227"/>
    <cellStyle name="_설계변경(2004.06)" xfId="2228"/>
    <cellStyle name="_설계변경(정산용)" xfId="2229"/>
    <cellStyle name="_설계변경(최종安)" xfId="2230"/>
    <cellStyle name="_설계변경-1" xfId="9296"/>
    <cellStyle name="_설계변경내역" xfId="9297"/>
    <cellStyle name="_설계변경내역서" xfId="9298"/>
    <cellStyle name="_설계변경내역서(고창성송0519)-복구" xfId="9299"/>
    <cellStyle name="_설계변경내역서(고창성송부하계산서)" xfId="9300"/>
    <cellStyle name="_설계변경내역서(최종분)" xfId="9301"/>
    <cellStyle name="_설계변경최종" xfId="9302"/>
    <cellStyle name="_설계서" xfId="2231"/>
    <cellStyle name="_설계서(2004년 sample)" xfId="2232"/>
    <cellStyle name="_설계서(UPIS)_080508" xfId="9303"/>
    <cellStyle name="_설계서(군산연결로)10_02" xfId="9304"/>
    <cellStyle name="_설계서(상수관망도업데이트)" xfId="2233"/>
    <cellStyle name="_설계서(재재재수정)" xfId="9305"/>
    <cellStyle name="_설계서_GIS_1최종(속초시_ver2.1)" xfId="2234"/>
    <cellStyle name="_설계서_GIS_1최종(속초시_ver3.3)_1" xfId="2235"/>
    <cellStyle name="_설계서00_연기" xfId="2236"/>
    <cellStyle name="_설계서-광산로" xfId="9306"/>
    <cellStyle name="_설계서-김포시청(백미진)" xfId="9307"/>
    <cellStyle name="_설계서-참조(주차관리)" xfId="9308"/>
    <cellStyle name="_설계예산내역서(원본)" xfId="9309"/>
    <cellStyle name="_설계예산서" xfId="2237"/>
    <cellStyle name="_설계예산서(석문동천)변경양식" xfId="9310"/>
    <cellStyle name="_설계예산서_0130_한진수정" xfId="2238"/>
    <cellStyle name="_설계용HW_SW_목록" xfId="2239"/>
    <cellStyle name="_설계용역비산정0727-1안" xfId="2240"/>
    <cellStyle name="_설계원가 및 손익계산서(극장)" xfId="9311"/>
    <cellStyle name="_설계원가 및 손익계산서(백화점)" xfId="9312"/>
    <cellStyle name="_설계원가 및 손익계산서(이광환)" xfId="9313"/>
    <cellStyle name="_설비" xfId="2241"/>
    <cellStyle name="_설비(1218)" xfId="9314"/>
    <cellStyle name="_설치분기별(내관미포함)" xfId="9315"/>
    <cellStyle name="_설치위치별세부내역(VMS)-0323" xfId="9316"/>
    <cellStyle name="_설치위치별세부내역_AVI_1(new)" xfId="9317"/>
    <cellStyle name="_성남시 3D설계" xfId="2242"/>
    <cellStyle name="_성남시SW개발내역서" xfId="2243"/>
    <cellStyle name="_성남시SW개발내역서(V1(1).1)" xfId="2244"/>
    <cellStyle name="_성남시SW개발내역서_1215" xfId="2245"/>
    <cellStyle name="_성덕초,명진초,신길(토목)" xfId="2246"/>
    <cellStyle name="_성베드로병원030422" xfId="9318"/>
    <cellStyle name="_성산배수지건설공사(덕동)" xfId="2247"/>
    <cellStyle name="_성서4차완성본" xfId="9319"/>
    <cellStyle name="_성심정보고_강당무대장치 및 방송장치 설치공사" xfId="9320"/>
    <cellStyle name="_성심정보고_강당무대장치 및 방송장치 설치공사_2004년 완선공사(최종본)" xfId="9321"/>
    <cellStyle name="_성심정보고_강당무대장치 및 방송장치 설치공사_안동전통문화콘텐츠박물관전시영상물구축(전시시설물)" xfId="9322"/>
    <cellStyle name="_성심정보고_강당무대장치 및 방송장치 설치공사_안동전통문화콘텐츠박물관전시영상물구축(전시시설물)_원가보고서(종합)-조달" xfId="9323"/>
    <cellStyle name="_성심정보고_강당무대장치 및 방송장치 설치공사_안동전통문화콘텐츠박물관전시영상물구축(전시시설물)_원가보고서(흑색)-조달" xfId="9324"/>
    <cellStyle name="_성심정보고_강당무대장치 및 방송장치 설치공사_원가계산서(화성상록)" xfId="9325"/>
    <cellStyle name="_성심정보고_강당무대장치 및 방송장치 설치공사_원가계산서(화성상록) (version 1)" xfId="9326"/>
    <cellStyle name="_성심정보고_강당무대장치 및 방송장치 설치공사_원가계산서(화성상록) (version 1)_원가보고서(종합)-조달" xfId="9327"/>
    <cellStyle name="_성심정보고_강당무대장치 및 방송장치 설치공사_원가계산서(화성상록) (version 1)_원가보고서(흑색)-조달" xfId="9328"/>
    <cellStyle name="_성심정보고_강당무대장치 및 방송장치 설치공사_원가계산서(화성상록)_원가보고서(종합)-조달" xfId="9329"/>
    <cellStyle name="_성심정보고_강당무대장치 및 방송장치 설치공사_원가계산서(화성상록)_원가보고서(흑색)-조달" xfId="9330"/>
    <cellStyle name="_성주군 지형도면고시및도시계획전산화 수립용역" xfId="2248"/>
    <cellStyle name="_성훈빌딩 신축전기공사" xfId="9331"/>
    <cellStyle name="_세계3리" xfId="9332"/>
    <cellStyle name="_세계측지계 좌표변환 용역" xfId="2249"/>
    <cellStyle name="_세륜세차시설(수량)" xfId="9333"/>
    <cellStyle name="_센터시스템_견적" xfId="12592"/>
    <cellStyle name="_소방복명" xfId="9334"/>
    <cellStyle name="_소프트웨어개발규모산정(기능점수)" xfId="9335"/>
    <cellStyle name="_소프트웨어개발비_1106" xfId="12593"/>
    <cellStyle name="_소프트웨어사업비 설계의 예_070607" xfId="12594"/>
    <cellStyle name="_속초GGPC방두루넷제공-완료" xfId="9336"/>
    <cellStyle name="_송라면2" xfId="9337"/>
    <cellStyle name="_송배전공사(수송전설)(1)" xfId="9338"/>
    <cellStyle name="_송부 - 2006년 초고속 시설 및 가입자 현황(일반주택,APT구분) 2006.3월말" xfId="9339"/>
    <cellStyle name="_송산4 사전재해영향성(개발사업-일반사업계획)" xfId="2250"/>
    <cellStyle name="_송산4 재해영향평가" xfId="2251"/>
    <cellStyle name="_송산고(백산하도급포함)" xfId="2252"/>
    <cellStyle name="_송하~죽파간배수공사" xfId="9340"/>
    <cellStyle name="_송현실행내역" xfId="12595"/>
    <cellStyle name="_쇼핑 보안솔루션 구축 프로젝트경비신청서03-03-19" xfId="9341"/>
    <cellStyle name="_수 량 연화.내감" xfId="2253"/>
    <cellStyle name="_수 량 연화.내감_04포장공" xfId="9342"/>
    <cellStyle name="_수 량 연화.내감_3.구조물공" xfId="9343"/>
    <cellStyle name="_수 량 연화.내감_3.구조물공_04포장공" xfId="9344"/>
    <cellStyle name="_수 량 연화.내감_3.구조물공_3.구조물공" xfId="9345"/>
    <cellStyle name="_수 량 연화.내감_3.구조물공_3.구조물공_04포장공" xfId="9346"/>
    <cellStyle name="_수 량 연화.내감_3.구조물공_3.물공" xfId="9347"/>
    <cellStyle name="_수 량 연화.내감_3.구조물공_3.물공_04포장공" xfId="9348"/>
    <cellStyle name="_수 량 연화.내감_3.구조물공_보수량집계(우근)" xfId="9349"/>
    <cellStyle name="_수 량 연화.내감_3.구조물공_보수량집계(우근)_04포장공" xfId="9350"/>
    <cellStyle name="_수 량 연화.내감_3.구조물공_석축" xfId="9351"/>
    <cellStyle name="_수 량 연화.내감_3.구조물공_석축_04포장공" xfId="9352"/>
    <cellStyle name="_수 량 연화.내감_금산제수량(전체최종)" xfId="2254"/>
    <cellStyle name="_수 량 연화.내감_금산제수량(전체최종)_04포장공" xfId="9353"/>
    <cellStyle name="_수 량 연화.내감_금산제수량(전체최종)_3.구조물공" xfId="9354"/>
    <cellStyle name="_수 량 연화.내감_금산제수량(전체최종)_3.구조물공_04포장공" xfId="9355"/>
    <cellStyle name="_수 량 연화.내감_금산제수량(전체최종)_3.구조물공_3.구조물공" xfId="9356"/>
    <cellStyle name="_수 량 연화.내감_금산제수량(전체최종)_3.구조물공_3.구조물공_04포장공" xfId="9357"/>
    <cellStyle name="_수 량 연화.내감_금산제수량(전체최종)_3.구조물공_3.물공" xfId="9358"/>
    <cellStyle name="_수 량 연화.내감_금산제수량(전체최종)_3.구조물공_3.물공_04포장공" xfId="9359"/>
    <cellStyle name="_수 량 연화.내감_금산제수량(전체최종)_3.구조물공_보수량집계(우근)" xfId="9360"/>
    <cellStyle name="_수 량 연화.내감_금산제수량(전체최종)_3.구조물공_보수량집계(우근)_04포장공" xfId="9361"/>
    <cellStyle name="_수 량 연화.내감_금산제수량(전체최종)_3.구조물공_석축" xfId="9362"/>
    <cellStyle name="_수 량 연화.내감_금산제수량(전체최종)_3.구조물공_석축_04포장공" xfId="9363"/>
    <cellStyle name="_수 량 연화.내감_금산제수량(전체최종)_두릉1제 수량산출서" xfId="2255"/>
    <cellStyle name="_수 량 연화.내감_금산제수량(전체최종)_배수구조물공" xfId="9364"/>
    <cellStyle name="_수 량 연화.내감_금산제수량(전체최종)_배수구조물공_04포장공" xfId="9365"/>
    <cellStyle name="_수 량 연화.내감_금산제수량(전체최종)_배수구조물공_3.구조물공" xfId="9366"/>
    <cellStyle name="_수 량 연화.내감_금산제수량(전체최종)_배수구조물공_3.구조물공_04포장공" xfId="9367"/>
    <cellStyle name="_수 량 연화.내감_금산제수량(전체최종)_배수구조물공_3.구조물공_3.구조물공" xfId="9368"/>
    <cellStyle name="_수 량 연화.내감_금산제수량(전체최종)_배수구조물공_3.구조물공_3.구조물공_04포장공" xfId="9369"/>
    <cellStyle name="_수 량 연화.내감_금산제수량(전체최종)_배수구조물공_3.구조물공_3.물공" xfId="9370"/>
    <cellStyle name="_수 량 연화.내감_금산제수량(전체최종)_배수구조물공_3.구조물공_3.물공_04포장공" xfId="9371"/>
    <cellStyle name="_수 량 연화.내감_금산제수량(전체최종)_배수구조물공_3.구조물공_보수량집계(우근)" xfId="9372"/>
    <cellStyle name="_수 량 연화.내감_금산제수량(전체최종)_배수구조물공_3.구조물공_보수량집계(우근)_04포장공" xfId="9373"/>
    <cellStyle name="_수 량 연화.내감_금산제수량(전체최종)_배수구조물공_3.구조물공_석축" xfId="9374"/>
    <cellStyle name="_수 량 연화.내감_금산제수량(전체최종)_배수구조물공_3.구조물공_석축_04포장공" xfId="9375"/>
    <cellStyle name="_수 량 연화.내감_금산제수량(전체최종)_우수집수정U형집계" xfId="9376"/>
    <cellStyle name="_수 량 연화.내감_금산제수량(전체최종)_우수집수정U형집계_04포장공" xfId="9377"/>
    <cellStyle name="_수 량 연화.내감_금산제수량(전체최종)_우수집수정U형집계_3.구조물공" xfId="9378"/>
    <cellStyle name="_수 량 연화.내감_금산제수량(전체최종)_우수집수정U형집계_3.구조물공_04포장공" xfId="9379"/>
    <cellStyle name="_수 량 연화.내감_금산제수량(전체최종)_우수집수정U형집계_3.구조물공_3.구조물공" xfId="9380"/>
    <cellStyle name="_수 량 연화.내감_금산제수량(전체최종)_우수집수정U형집계_3.구조물공_3.구조물공_04포장공" xfId="9381"/>
    <cellStyle name="_수 량 연화.내감_금산제수량(전체최종)_우수집수정U형집계_3.구조물공_3.물공" xfId="9382"/>
    <cellStyle name="_수 량 연화.내감_금산제수량(전체최종)_우수집수정U형집계_3.구조물공_3.물공_04포장공" xfId="9383"/>
    <cellStyle name="_수 량 연화.내감_금산제수량(전체최종)_우수집수정U형집계_3.구조물공_보수량집계(우근)" xfId="9384"/>
    <cellStyle name="_수 량 연화.내감_금산제수량(전체최종)_우수집수정U형집계_3.구조물공_보수량집계(우근)_04포장공" xfId="9385"/>
    <cellStyle name="_수 량 연화.내감_금산제수량(전체최종)_우수집수정U형집계_3.구조물공_석축" xfId="9386"/>
    <cellStyle name="_수 량 연화.내감_금산제수량(전체최종)_우수집수정U형집계_3.구조물공_석축_04포장공" xfId="9387"/>
    <cellStyle name="_수 량 연화.내감_금산제수량(전체최종)_인계1공구 수량산출" xfId="2256"/>
    <cellStyle name="_수 량 연화.내감_금산제수량(전체최종)_총자재집계표" xfId="2257"/>
    <cellStyle name="_수 량 연화.내감_금산제수량(전체최종)_콘크리트포장공" xfId="9388"/>
    <cellStyle name="_수 량 연화.내감_금산제수량(전체최종)_콘크리트포장공_03포장공" xfId="9389"/>
    <cellStyle name="_수 량 연화.내감_금산제수량(전체최종)_콘크리트포장공_03포장공_04포장공" xfId="9390"/>
    <cellStyle name="_수 량 연화.내감_금산제수량(전체최종)_콘크리트포장공_04포장공" xfId="9391"/>
    <cellStyle name="_수 량 연화.내감_금산제수량(전체최종)_콘크리트포장공_14수량산출서" xfId="9392"/>
    <cellStyle name="_수 량 연화.내감_금산제수량(전체최종)_콘크리트포장공_14수량산출서_04포장공" xfId="9393"/>
    <cellStyle name="_수 량 연화.내감_금산제수량(전체최종)_콘크리트포장공_수량산출서" xfId="9394"/>
    <cellStyle name="_수 량 연화.내감_두릉1제 수량산출서" xfId="2258"/>
    <cellStyle name="_수 량 연화.내감_배수구조물공" xfId="9395"/>
    <cellStyle name="_수 량 연화.내감_배수구조물공_04포장공" xfId="9396"/>
    <cellStyle name="_수 량 연화.내감_배수구조물공_3.구조물공" xfId="9397"/>
    <cellStyle name="_수 량 연화.내감_배수구조물공_3.구조물공_04포장공" xfId="9398"/>
    <cellStyle name="_수 량 연화.내감_배수구조물공_3.구조물공_3.구조물공" xfId="9399"/>
    <cellStyle name="_수 량 연화.내감_배수구조물공_3.구조물공_3.구조물공_04포장공" xfId="9400"/>
    <cellStyle name="_수 량 연화.내감_배수구조물공_3.구조물공_3.물공" xfId="9401"/>
    <cellStyle name="_수 량 연화.내감_배수구조물공_3.구조물공_3.물공_04포장공" xfId="9402"/>
    <cellStyle name="_수 량 연화.내감_배수구조물공_3.구조물공_보수량집계(우근)" xfId="9403"/>
    <cellStyle name="_수 량 연화.내감_배수구조물공_3.구조물공_보수량집계(우근)_04포장공" xfId="9404"/>
    <cellStyle name="_수 량 연화.내감_배수구조물공_3.구조물공_석축" xfId="9405"/>
    <cellStyle name="_수 량 연화.내감_배수구조물공_3.구조물공_석축_04포장공" xfId="9406"/>
    <cellStyle name="_수 량 연화.내감_우수집수정U형집계" xfId="9407"/>
    <cellStyle name="_수 량 연화.내감_우수집수정U형집계_04포장공" xfId="9408"/>
    <cellStyle name="_수 량 연화.내감_우수집수정U형집계_3.구조물공" xfId="9409"/>
    <cellStyle name="_수 량 연화.내감_우수집수정U형집계_3.구조물공_04포장공" xfId="9410"/>
    <cellStyle name="_수 량 연화.내감_우수집수정U형집계_3.구조물공_3.구조물공" xfId="9411"/>
    <cellStyle name="_수 량 연화.내감_우수집수정U형집계_3.구조물공_3.구조물공_04포장공" xfId="9412"/>
    <cellStyle name="_수 량 연화.내감_우수집수정U형집계_3.구조물공_3.물공" xfId="9413"/>
    <cellStyle name="_수 량 연화.내감_우수집수정U형집계_3.구조물공_3.물공_04포장공" xfId="9414"/>
    <cellStyle name="_수 량 연화.내감_우수집수정U형집계_3.구조물공_보수량집계(우근)" xfId="9415"/>
    <cellStyle name="_수 량 연화.내감_우수집수정U형집계_3.구조물공_보수량집계(우근)_04포장공" xfId="9416"/>
    <cellStyle name="_수 량 연화.내감_우수집수정U형집계_3.구조물공_석축" xfId="9417"/>
    <cellStyle name="_수 량 연화.내감_우수집수정U형집계_3.구조물공_석축_04포장공" xfId="9418"/>
    <cellStyle name="_수 량 연화.내감_인계1공구 수량산출" xfId="2259"/>
    <cellStyle name="_수 량 연화.내감_총자재집계표" xfId="2260"/>
    <cellStyle name="_수 량 연화.내감_콘크리트포장공" xfId="9419"/>
    <cellStyle name="_수 량 연화.내감_콘크리트포장공_03포장공" xfId="9420"/>
    <cellStyle name="_수 량 연화.내감_콘크리트포장공_03포장공_04포장공" xfId="9421"/>
    <cellStyle name="_수 량 연화.내감_콘크리트포장공_04포장공" xfId="9422"/>
    <cellStyle name="_수 량 연화.내감_콘크리트포장공_14수량산출서" xfId="9423"/>
    <cellStyle name="_수 량 연화.내감_콘크리트포장공_14수량산출서_04포장공" xfId="9424"/>
    <cellStyle name="_수 량 연화.내감_콘크리트포장공_수량산출서" xfId="9425"/>
    <cellStyle name="_수도권매립지" xfId="2261"/>
    <cellStyle name="_수도권매립지하도급(명도)" xfId="2262"/>
    <cellStyle name="_수도권지하철광전송시설공급(미포설구간)1" xfId="9426"/>
    <cellStyle name="_수량" xfId="9427"/>
    <cellStyle name="_수량(3)" xfId="9428"/>
    <cellStyle name="_수량(삼가리도로부)" xfId="9429"/>
    <cellStyle name="_수량_1" xfId="9430"/>
    <cellStyle name="_수량_2" xfId="9431"/>
    <cellStyle name="_수량_3.6 부대공(배수관로-단독)" xfId="9432"/>
    <cellStyle name="_수량_공통단위수량(중복)" xfId="9433"/>
    <cellStyle name="_수량1" xfId="9434"/>
    <cellStyle name="_수량1_1" xfId="9435"/>
    <cellStyle name="_수량2" xfId="9436"/>
    <cellStyle name="_수량2_1" xfId="9437"/>
    <cellStyle name="_수량last" xfId="9438"/>
    <cellStyle name="_수량last_1" xfId="9439"/>
    <cellStyle name="_수량last_2" xfId="9440"/>
    <cellStyle name="_수량금회 연화.내감" xfId="2263"/>
    <cellStyle name="_수량금회 연화.내감_04포장공" xfId="9441"/>
    <cellStyle name="_수량금회 연화.내감_3.구조물공" xfId="9442"/>
    <cellStyle name="_수량금회 연화.내감_3.구조물공_04포장공" xfId="9443"/>
    <cellStyle name="_수량금회 연화.내감_3.구조물공_3.구조물공" xfId="9444"/>
    <cellStyle name="_수량금회 연화.내감_3.구조물공_3.구조물공_04포장공" xfId="9445"/>
    <cellStyle name="_수량금회 연화.내감_3.구조물공_3.물공" xfId="9446"/>
    <cellStyle name="_수량금회 연화.내감_3.구조물공_3.물공_04포장공" xfId="9447"/>
    <cellStyle name="_수량금회 연화.내감_3.구조물공_보수량집계(우근)" xfId="9448"/>
    <cellStyle name="_수량금회 연화.내감_3.구조물공_보수량집계(우근)_04포장공" xfId="9449"/>
    <cellStyle name="_수량금회 연화.내감_3.구조물공_석축" xfId="9450"/>
    <cellStyle name="_수량금회 연화.내감_3.구조물공_석축_04포장공" xfId="9451"/>
    <cellStyle name="_수량금회 연화.내감_금산제수량(전체최종)" xfId="2264"/>
    <cellStyle name="_수량금회 연화.내감_금산제수량(전체최종)_04포장공" xfId="9452"/>
    <cellStyle name="_수량금회 연화.내감_금산제수량(전체최종)_3.구조물공" xfId="9453"/>
    <cellStyle name="_수량금회 연화.내감_금산제수량(전체최종)_3.구조물공_04포장공" xfId="9454"/>
    <cellStyle name="_수량금회 연화.내감_금산제수량(전체최종)_3.구조물공_3.구조물공" xfId="9455"/>
    <cellStyle name="_수량금회 연화.내감_금산제수량(전체최종)_3.구조물공_3.구조물공_04포장공" xfId="9456"/>
    <cellStyle name="_수량금회 연화.내감_금산제수량(전체최종)_3.구조물공_3.물공" xfId="9457"/>
    <cellStyle name="_수량금회 연화.내감_금산제수량(전체최종)_3.구조물공_3.물공_04포장공" xfId="9458"/>
    <cellStyle name="_수량금회 연화.내감_금산제수량(전체최종)_3.구조물공_보수량집계(우근)" xfId="9459"/>
    <cellStyle name="_수량금회 연화.내감_금산제수량(전체최종)_3.구조물공_보수량집계(우근)_04포장공" xfId="9460"/>
    <cellStyle name="_수량금회 연화.내감_금산제수량(전체최종)_3.구조물공_석축" xfId="9461"/>
    <cellStyle name="_수량금회 연화.내감_금산제수량(전체최종)_3.구조물공_석축_04포장공" xfId="9462"/>
    <cellStyle name="_수량금회 연화.내감_금산제수량(전체최종)_두릉1제 수량산출서" xfId="2265"/>
    <cellStyle name="_수량금회 연화.내감_금산제수량(전체최종)_배수구조물공" xfId="9463"/>
    <cellStyle name="_수량금회 연화.내감_금산제수량(전체최종)_배수구조물공_04포장공" xfId="9464"/>
    <cellStyle name="_수량금회 연화.내감_금산제수량(전체최종)_배수구조물공_3.구조물공" xfId="9465"/>
    <cellStyle name="_수량금회 연화.내감_금산제수량(전체최종)_배수구조물공_3.구조물공_04포장공" xfId="9466"/>
    <cellStyle name="_수량금회 연화.내감_금산제수량(전체최종)_배수구조물공_3.구조물공_3.구조물공" xfId="9467"/>
    <cellStyle name="_수량금회 연화.내감_금산제수량(전체최종)_배수구조물공_3.구조물공_3.구조물공_04포장공" xfId="9468"/>
    <cellStyle name="_수량금회 연화.내감_금산제수량(전체최종)_배수구조물공_3.구조물공_3.물공" xfId="9469"/>
    <cellStyle name="_수량금회 연화.내감_금산제수량(전체최종)_배수구조물공_3.구조물공_3.물공_04포장공" xfId="9470"/>
    <cellStyle name="_수량금회 연화.내감_금산제수량(전체최종)_배수구조물공_3.구조물공_보수량집계(우근)" xfId="9471"/>
    <cellStyle name="_수량금회 연화.내감_금산제수량(전체최종)_배수구조물공_3.구조물공_보수량집계(우근)_04포장공" xfId="9472"/>
    <cellStyle name="_수량금회 연화.내감_금산제수량(전체최종)_배수구조물공_3.구조물공_석축" xfId="9473"/>
    <cellStyle name="_수량금회 연화.내감_금산제수량(전체최종)_배수구조물공_3.구조물공_석축_04포장공" xfId="9474"/>
    <cellStyle name="_수량금회 연화.내감_금산제수량(전체최종)_우수집수정U형집계" xfId="9475"/>
    <cellStyle name="_수량금회 연화.내감_금산제수량(전체최종)_우수집수정U형집계_04포장공" xfId="9476"/>
    <cellStyle name="_수량금회 연화.내감_금산제수량(전체최종)_우수집수정U형집계_3.구조물공" xfId="9477"/>
    <cellStyle name="_수량금회 연화.내감_금산제수량(전체최종)_우수집수정U형집계_3.구조물공_04포장공" xfId="9478"/>
    <cellStyle name="_수량금회 연화.내감_금산제수량(전체최종)_우수집수정U형집계_3.구조물공_3.구조물공" xfId="9479"/>
    <cellStyle name="_수량금회 연화.내감_금산제수량(전체최종)_우수집수정U형집계_3.구조물공_3.구조물공_04포장공" xfId="9480"/>
    <cellStyle name="_수량금회 연화.내감_금산제수량(전체최종)_우수집수정U형집계_3.구조물공_3.물공" xfId="9481"/>
    <cellStyle name="_수량금회 연화.내감_금산제수량(전체최종)_우수집수정U형집계_3.구조물공_3.물공_04포장공" xfId="9482"/>
    <cellStyle name="_수량금회 연화.내감_금산제수량(전체최종)_우수집수정U형집계_3.구조물공_보수량집계(우근)" xfId="9483"/>
    <cellStyle name="_수량금회 연화.내감_금산제수량(전체최종)_우수집수정U형집계_3.구조물공_보수량집계(우근)_04포장공" xfId="9484"/>
    <cellStyle name="_수량금회 연화.내감_금산제수량(전체최종)_우수집수정U형집계_3.구조물공_석축" xfId="9485"/>
    <cellStyle name="_수량금회 연화.내감_금산제수량(전체최종)_우수집수정U형집계_3.구조물공_석축_04포장공" xfId="9486"/>
    <cellStyle name="_수량금회 연화.내감_금산제수량(전체최종)_인계1공구 수량산출" xfId="2266"/>
    <cellStyle name="_수량금회 연화.내감_금산제수량(전체최종)_총자재집계표" xfId="2267"/>
    <cellStyle name="_수량금회 연화.내감_금산제수량(전체최종)_콘크리트포장공" xfId="9487"/>
    <cellStyle name="_수량금회 연화.내감_금산제수량(전체최종)_콘크리트포장공_03포장공" xfId="9488"/>
    <cellStyle name="_수량금회 연화.내감_금산제수량(전체최종)_콘크리트포장공_03포장공_04포장공" xfId="9489"/>
    <cellStyle name="_수량금회 연화.내감_금산제수량(전체최종)_콘크리트포장공_04포장공" xfId="9490"/>
    <cellStyle name="_수량금회 연화.내감_금산제수량(전체최종)_콘크리트포장공_14수량산출서" xfId="9491"/>
    <cellStyle name="_수량금회 연화.내감_금산제수량(전체최종)_콘크리트포장공_14수량산출서_04포장공" xfId="9492"/>
    <cellStyle name="_수량금회 연화.내감_금산제수량(전체최종)_콘크리트포장공_수량산출서" xfId="9493"/>
    <cellStyle name="_수량금회 연화.내감_두릉1제 수량산출서" xfId="2268"/>
    <cellStyle name="_수량금회 연화.내감_배수구조물공" xfId="9494"/>
    <cellStyle name="_수량금회 연화.내감_배수구조물공_04포장공" xfId="9495"/>
    <cellStyle name="_수량금회 연화.내감_배수구조물공_3.구조물공" xfId="9496"/>
    <cellStyle name="_수량금회 연화.내감_배수구조물공_3.구조물공_04포장공" xfId="9497"/>
    <cellStyle name="_수량금회 연화.내감_배수구조물공_3.구조물공_3.구조물공" xfId="9498"/>
    <cellStyle name="_수량금회 연화.내감_배수구조물공_3.구조물공_3.구조물공_04포장공" xfId="9499"/>
    <cellStyle name="_수량금회 연화.내감_배수구조물공_3.구조물공_3.물공" xfId="9500"/>
    <cellStyle name="_수량금회 연화.내감_배수구조물공_3.구조물공_3.물공_04포장공" xfId="9501"/>
    <cellStyle name="_수량금회 연화.내감_배수구조물공_3.구조물공_보수량집계(우근)" xfId="9502"/>
    <cellStyle name="_수량금회 연화.내감_배수구조물공_3.구조물공_보수량집계(우근)_04포장공" xfId="9503"/>
    <cellStyle name="_수량금회 연화.내감_배수구조물공_3.구조물공_석축" xfId="9504"/>
    <cellStyle name="_수량금회 연화.내감_배수구조물공_3.구조물공_석축_04포장공" xfId="9505"/>
    <cellStyle name="_수량금회 연화.내감_우수집수정U형집계" xfId="9506"/>
    <cellStyle name="_수량금회 연화.내감_우수집수정U형집계_04포장공" xfId="9507"/>
    <cellStyle name="_수량금회 연화.내감_우수집수정U형집계_3.구조물공" xfId="9508"/>
    <cellStyle name="_수량금회 연화.내감_우수집수정U형집계_3.구조물공_04포장공" xfId="9509"/>
    <cellStyle name="_수량금회 연화.내감_우수집수정U형집계_3.구조물공_3.구조물공" xfId="9510"/>
    <cellStyle name="_수량금회 연화.내감_우수집수정U형집계_3.구조물공_3.구조물공_04포장공" xfId="9511"/>
    <cellStyle name="_수량금회 연화.내감_우수집수정U형집계_3.구조물공_3.물공" xfId="9512"/>
    <cellStyle name="_수량금회 연화.내감_우수집수정U형집계_3.구조물공_3.물공_04포장공" xfId="9513"/>
    <cellStyle name="_수량금회 연화.내감_우수집수정U형집계_3.구조물공_보수량집계(우근)" xfId="9514"/>
    <cellStyle name="_수량금회 연화.내감_우수집수정U형집계_3.구조물공_보수량집계(우근)_04포장공" xfId="9515"/>
    <cellStyle name="_수량금회 연화.내감_우수집수정U형집계_3.구조물공_석축" xfId="9516"/>
    <cellStyle name="_수량금회 연화.내감_우수집수정U형집계_3.구조물공_석축_04포장공" xfId="9517"/>
    <cellStyle name="_수량금회 연화.내감_인계1공구 수량산출" xfId="2269"/>
    <cellStyle name="_수량금회 연화.내감_총자재집계표" xfId="2270"/>
    <cellStyle name="_수량금회 연화.내감_콘크리트포장공" xfId="9518"/>
    <cellStyle name="_수량금회 연화.내감_콘크리트포장공_03포장공" xfId="9519"/>
    <cellStyle name="_수량금회 연화.내감_콘크리트포장공_03포장공_04포장공" xfId="9520"/>
    <cellStyle name="_수량금회 연화.내감_콘크리트포장공_04포장공" xfId="9521"/>
    <cellStyle name="_수량금회 연화.내감_콘크리트포장공_14수량산출서" xfId="9522"/>
    <cellStyle name="_수량금회 연화.내감_콘크리트포장공_14수량산출서_04포장공" xfId="9523"/>
    <cellStyle name="_수량금회 연화.내감_콘크리트포장공_수량산출서" xfId="9524"/>
    <cellStyle name="_수량산출 구눌하수도" xfId="2271"/>
    <cellStyle name="_수량산출 구눌하수도_04포장공" xfId="9525"/>
    <cellStyle name="_수량산출 구눌하수도_3.구조물공" xfId="9526"/>
    <cellStyle name="_수량산출 구눌하수도_3.구조물공_04포장공" xfId="9527"/>
    <cellStyle name="_수량산출 구눌하수도_3.구조물공_3.구조물공" xfId="9528"/>
    <cellStyle name="_수량산출 구눌하수도_3.구조물공_3.구조물공_04포장공" xfId="9529"/>
    <cellStyle name="_수량산출 구눌하수도_3.구조물공_3.물공" xfId="9530"/>
    <cellStyle name="_수량산출 구눌하수도_3.구조물공_3.물공_04포장공" xfId="9531"/>
    <cellStyle name="_수량산출 구눌하수도_3.구조물공_보수량집계(우근)" xfId="9532"/>
    <cellStyle name="_수량산출 구눌하수도_3.구조물공_보수량집계(우근)_04포장공" xfId="9533"/>
    <cellStyle name="_수량산출 구눌하수도_3.구조물공_석축" xfId="9534"/>
    <cellStyle name="_수량산출 구눌하수도_3.구조물공_석축_04포장공" xfId="9535"/>
    <cellStyle name="_수량산출 구눌하수도_금산제수량(전체최종)" xfId="2272"/>
    <cellStyle name="_수량산출 구눌하수도_금산제수량(전체최종)_04포장공" xfId="9536"/>
    <cellStyle name="_수량산출 구눌하수도_금산제수량(전체최종)_3.구조물공" xfId="9537"/>
    <cellStyle name="_수량산출 구눌하수도_금산제수량(전체최종)_3.구조물공_04포장공" xfId="9538"/>
    <cellStyle name="_수량산출 구눌하수도_금산제수량(전체최종)_3.구조물공_3.구조물공" xfId="9539"/>
    <cellStyle name="_수량산출 구눌하수도_금산제수량(전체최종)_3.구조물공_3.구조물공_04포장공" xfId="9540"/>
    <cellStyle name="_수량산출 구눌하수도_금산제수량(전체최종)_3.구조물공_3.물공" xfId="9541"/>
    <cellStyle name="_수량산출 구눌하수도_금산제수량(전체최종)_3.구조물공_3.물공_04포장공" xfId="9542"/>
    <cellStyle name="_수량산출 구눌하수도_금산제수량(전체최종)_3.구조물공_보수량집계(우근)" xfId="9543"/>
    <cellStyle name="_수량산출 구눌하수도_금산제수량(전체최종)_3.구조물공_보수량집계(우근)_04포장공" xfId="9544"/>
    <cellStyle name="_수량산출 구눌하수도_금산제수량(전체최종)_3.구조물공_석축" xfId="9545"/>
    <cellStyle name="_수량산출 구눌하수도_금산제수량(전체최종)_3.구조물공_석축_04포장공" xfId="9546"/>
    <cellStyle name="_수량산출 구눌하수도_금산제수량(전체최종)_두릉1제 수량산출서" xfId="2273"/>
    <cellStyle name="_수량산출 구눌하수도_금산제수량(전체최종)_배수구조물공" xfId="9547"/>
    <cellStyle name="_수량산출 구눌하수도_금산제수량(전체최종)_배수구조물공_04포장공" xfId="9548"/>
    <cellStyle name="_수량산출 구눌하수도_금산제수량(전체최종)_배수구조물공_3.구조물공" xfId="9549"/>
    <cellStyle name="_수량산출 구눌하수도_금산제수량(전체최종)_배수구조물공_3.구조물공_04포장공" xfId="9550"/>
    <cellStyle name="_수량산출 구눌하수도_금산제수량(전체최종)_배수구조물공_3.구조물공_3.구조물공" xfId="9551"/>
    <cellStyle name="_수량산출 구눌하수도_금산제수량(전체최종)_배수구조물공_3.구조물공_3.구조물공_04포장공" xfId="9552"/>
    <cellStyle name="_수량산출 구눌하수도_금산제수량(전체최종)_배수구조물공_3.구조물공_3.물공" xfId="9553"/>
    <cellStyle name="_수량산출 구눌하수도_금산제수량(전체최종)_배수구조물공_3.구조물공_3.물공_04포장공" xfId="9554"/>
    <cellStyle name="_수량산출 구눌하수도_금산제수량(전체최종)_배수구조물공_3.구조물공_보수량집계(우근)" xfId="9555"/>
    <cellStyle name="_수량산출 구눌하수도_금산제수량(전체최종)_배수구조물공_3.구조물공_보수량집계(우근)_04포장공" xfId="9556"/>
    <cellStyle name="_수량산출 구눌하수도_금산제수량(전체최종)_배수구조물공_3.구조물공_석축" xfId="9557"/>
    <cellStyle name="_수량산출 구눌하수도_금산제수량(전체최종)_배수구조물공_3.구조물공_석축_04포장공" xfId="9558"/>
    <cellStyle name="_수량산출 구눌하수도_금산제수량(전체최종)_우수집수정U형집계" xfId="9559"/>
    <cellStyle name="_수량산출 구눌하수도_금산제수량(전체최종)_우수집수정U형집계_04포장공" xfId="9560"/>
    <cellStyle name="_수량산출 구눌하수도_금산제수량(전체최종)_우수집수정U형집계_3.구조물공" xfId="9561"/>
    <cellStyle name="_수량산출 구눌하수도_금산제수량(전체최종)_우수집수정U형집계_3.구조물공_04포장공" xfId="9562"/>
    <cellStyle name="_수량산출 구눌하수도_금산제수량(전체최종)_우수집수정U형집계_3.구조물공_3.구조물공" xfId="9563"/>
    <cellStyle name="_수량산출 구눌하수도_금산제수량(전체최종)_우수집수정U형집계_3.구조물공_3.구조물공_04포장공" xfId="9564"/>
    <cellStyle name="_수량산출 구눌하수도_금산제수량(전체최종)_우수집수정U형집계_3.구조물공_3.물공" xfId="9565"/>
    <cellStyle name="_수량산출 구눌하수도_금산제수량(전체최종)_우수집수정U형집계_3.구조물공_3.물공_04포장공" xfId="9566"/>
    <cellStyle name="_수량산출 구눌하수도_금산제수량(전체최종)_우수집수정U형집계_3.구조물공_보수량집계(우근)" xfId="9567"/>
    <cellStyle name="_수량산출 구눌하수도_금산제수량(전체최종)_우수집수정U형집계_3.구조물공_보수량집계(우근)_04포장공" xfId="9568"/>
    <cellStyle name="_수량산출 구눌하수도_금산제수량(전체최종)_우수집수정U형집계_3.구조물공_석축" xfId="9569"/>
    <cellStyle name="_수량산출 구눌하수도_금산제수량(전체최종)_우수집수정U형집계_3.구조물공_석축_04포장공" xfId="9570"/>
    <cellStyle name="_수량산출 구눌하수도_금산제수량(전체최종)_인계1공구 수량산출" xfId="2274"/>
    <cellStyle name="_수량산출 구눌하수도_금산제수량(전체최종)_총자재집계표" xfId="2275"/>
    <cellStyle name="_수량산출 구눌하수도_금산제수량(전체최종)_콘크리트포장공" xfId="9571"/>
    <cellStyle name="_수량산출 구눌하수도_금산제수량(전체최종)_콘크리트포장공_03포장공" xfId="9572"/>
    <cellStyle name="_수량산출 구눌하수도_금산제수량(전체최종)_콘크리트포장공_03포장공_04포장공" xfId="9573"/>
    <cellStyle name="_수량산출 구눌하수도_금산제수량(전체최종)_콘크리트포장공_04포장공" xfId="9574"/>
    <cellStyle name="_수량산출 구눌하수도_금산제수량(전체최종)_콘크리트포장공_14수량산출서" xfId="9575"/>
    <cellStyle name="_수량산출 구눌하수도_금산제수량(전체최종)_콘크리트포장공_14수량산출서_04포장공" xfId="9576"/>
    <cellStyle name="_수량산출 구눌하수도_금산제수량(전체최종)_콘크리트포장공_수량산출서" xfId="9577"/>
    <cellStyle name="_수량산출 구눌하수도_두릉1제 수량산출서" xfId="2276"/>
    <cellStyle name="_수량산출 구눌하수도_배수구조물공" xfId="9578"/>
    <cellStyle name="_수량산출 구눌하수도_배수구조물공_04포장공" xfId="9579"/>
    <cellStyle name="_수량산출 구눌하수도_배수구조물공_3.구조물공" xfId="9580"/>
    <cellStyle name="_수량산출 구눌하수도_배수구조물공_3.구조물공_04포장공" xfId="9581"/>
    <cellStyle name="_수량산출 구눌하수도_배수구조물공_3.구조물공_3.구조물공" xfId="9582"/>
    <cellStyle name="_수량산출 구눌하수도_배수구조물공_3.구조물공_3.구조물공_04포장공" xfId="9583"/>
    <cellStyle name="_수량산출 구눌하수도_배수구조물공_3.구조물공_3.물공" xfId="9584"/>
    <cellStyle name="_수량산출 구눌하수도_배수구조물공_3.구조물공_3.물공_04포장공" xfId="9585"/>
    <cellStyle name="_수량산출 구눌하수도_배수구조물공_3.구조물공_보수량집계(우근)" xfId="9586"/>
    <cellStyle name="_수량산출 구눌하수도_배수구조물공_3.구조물공_보수량집계(우근)_04포장공" xfId="9587"/>
    <cellStyle name="_수량산출 구눌하수도_배수구조물공_3.구조물공_석축" xfId="9588"/>
    <cellStyle name="_수량산출 구눌하수도_배수구조물공_3.구조물공_석축_04포장공" xfId="9589"/>
    <cellStyle name="_수량산출 구눌하수도_우수집수정U형집계" xfId="9590"/>
    <cellStyle name="_수량산출 구눌하수도_우수집수정U형집계_04포장공" xfId="9591"/>
    <cellStyle name="_수량산출 구눌하수도_우수집수정U형집계_3.구조물공" xfId="9592"/>
    <cellStyle name="_수량산출 구눌하수도_우수집수정U형집계_3.구조물공_04포장공" xfId="9593"/>
    <cellStyle name="_수량산출 구눌하수도_우수집수정U형집계_3.구조물공_3.구조물공" xfId="9594"/>
    <cellStyle name="_수량산출 구눌하수도_우수집수정U형집계_3.구조물공_3.구조물공_04포장공" xfId="9595"/>
    <cellStyle name="_수량산출 구눌하수도_우수집수정U형집계_3.구조물공_3.물공" xfId="9596"/>
    <cellStyle name="_수량산출 구눌하수도_우수집수정U형집계_3.구조물공_3.물공_04포장공" xfId="9597"/>
    <cellStyle name="_수량산출 구눌하수도_우수집수정U형집계_3.구조물공_보수량집계(우근)" xfId="9598"/>
    <cellStyle name="_수량산출 구눌하수도_우수집수정U형집계_3.구조물공_보수량집계(우근)_04포장공" xfId="9599"/>
    <cellStyle name="_수량산출 구눌하수도_우수집수정U형집계_3.구조물공_석축" xfId="9600"/>
    <cellStyle name="_수량산출 구눌하수도_우수집수정U형집계_3.구조물공_석축_04포장공" xfId="9601"/>
    <cellStyle name="_수량산출 구눌하수도_인계1공구 수량산출" xfId="2277"/>
    <cellStyle name="_수량산출 구눌하수도_총자재집계표" xfId="2278"/>
    <cellStyle name="_수량산출 구눌하수도_콘크리트포장공" xfId="9602"/>
    <cellStyle name="_수량산출 구눌하수도_콘크리트포장공_03포장공" xfId="9603"/>
    <cellStyle name="_수량산출 구눌하수도_콘크리트포장공_03포장공_04포장공" xfId="9604"/>
    <cellStyle name="_수량산출 구눌하수도_콘크리트포장공_04포장공" xfId="9605"/>
    <cellStyle name="_수량산출 구눌하수도_콘크리트포장공_14수량산출서" xfId="9606"/>
    <cellStyle name="_수량산출 구눌하수도_콘크리트포장공_14수량산출서_04포장공" xfId="9607"/>
    <cellStyle name="_수량산출 구눌하수도_콘크리트포장공_수량산출서" xfId="9608"/>
    <cellStyle name="_수량산출 음지하천" xfId="2279"/>
    <cellStyle name="_수량산출 음지하천_04포장공" xfId="9609"/>
    <cellStyle name="_수량산출 음지하천_3.구조물공" xfId="9610"/>
    <cellStyle name="_수량산출 음지하천_3.구조물공_04포장공" xfId="9611"/>
    <cellStyle name="_수량산출 음지하천_3.구조물공_3.구조물공" xfId="9612"/>
    <cellStyle name="_수량산출 음지하천_3.구조물공_3.구조물공_04포장공" xfId="9613"/>
    <cellStyle name="_수량산출 음지하천_3.구조물공_3.물공" xfId="9614"/>
    <cellStyle name="_수량산출 음지하천_3.구조물공_3.물공_04포장공" xfId="9615"/>
    <cellStyle name="_수량산출 음지하천_3.구조물공_보수량집계(우근)" xfId="9616"/>
    <cellStyle name="_수량산출 음지하천_3.구조물공_보수량집계(우근)_04포장공" xfId="9617"/>
    <cellStyle name="_수량산출 음지하천_3.구조물공_석축" xfId="9618"/>
    <cellStyle name="_수량산출 음지하천_3.구조물공_석축_04포장공" xfId="9619"/>
    <cellStyle name="_수량산출 음지하천_금산제수량(전체최종)" xfId="2280"/>
    <cellStyle name="_수량산출 음지하천_금산제수량(전체최종)_04포장공" xfId="9620"/>
    <cellStyle name="_수량산출 음지하천_금산제수량(전체최종)_3.구조물공" xfId="9621"/>
    <cellStyle name="_수량산출 음지하천_금산제수량(전체최종)_3.구조물공_04포장공" xfId="9622"/>
    <cellStyle name="_수량산출 음지하천_금산제수량(전체최종)_3.구조물공_3.구조물공" xfId="9623"/>
    <cellStyle name="_수량산출 음지하천_금산제수량(전체최종)_3.구조물공_3.구조물공_04포장공" xfId="9624"/>
    <cellStyle name="_수량산출 음지하천_금산제수량(전체최종)_3.구조물공_3.물공" xfId="9625"/>
    <cellStyle name="_수량산출 음지하천_금산제수량(전체최종)_3.구조물공_3.물공_04포장공" xfId="9626"/>
    <cellStyle name="_수량산출 음지하천_금산제수량(전체최종)_3.구조물공_보수량집계(우근)" xfId="9627"/>
    <cellStyle name="_수량산출 음지하천_금산제수량(전체최종)_3.구조물공_보수량집계(우근)_04포장공" xfId="9628"/>
    <cellStyle name="_수량산출 음지하천_금산제수량(전체최종)_3.구조물공_석축" xfId="9629"/>
    <cellStyle name="_수량산출 음지하천_금산제수량(전체최종)_3.구조물공_석축_04포장공" xfId="9630"/>
    <cellStyle name="_수량산출 음지하천_금산제수량(전체최종)_두릉1제 수량산출서" xfId="2281"/>
    <cellStyle name="_수량산출 음지하천_금산제수량(전체최종)_배수구조물공" xfId="9631"/>
    <cellStyle name="_수량산출 음지하천_금산제수량(전체최종)_배수구조물공_04포장공" xfId="9632"/>
    <cellStyle name="_수량산출 음지하천_금산제수량(전체최종)_배수구조물공_3.구조물공" xfId="9633"/>
    <cellStyle name="_수량산출 음지하천_금산제수량(전체최종)_배수구조물공_3.구조물공_04포장공" xfId="9634"/>
    <cellStyle name="_수량산출 음지하천_금산제수량(전체최종)_배수구조물공_3.구조물공_3.구조물공" xfId="9635"/>
    <cellStyle name="_수량산출 음지하천_금산제수량(전체최종)_배수구조물공_3.구조물공_3.구조물공_04포장공" xfId="9636"/>
    <cellStyle name="_수량산출 음지하천_금산제수량(전체최종)_배수구조물공_3.구조물공_3.물공" xfId="9637"/>
    <cellStyle name="_수량산출 음지하천_금산제수량(전체최종)_배수구조물공_3.구조물공_3.물공_04포장공" xfId="9638"/>
    <cellStyle name="_수량산출 음지하천_금산제수량(전체최종)_배수구조물공_3.구조물공_보수량집계(우근)" xfId="9639"/>
    <cellStyle name="_수량산출 음지하천_금산제수량(전체최종)_배수구조물공_3.구조물공_보수량집계(우근)_04포장공" xfId="9640"/>
    <cellStyle name="_수량산출 음지하천_금산제수량(전체최종)_배수구조물공_3.구조물공_석축" xfId="9641"/>
    <cellStyle name="_수량산출 음지하천_금산제수량(전체최종)_배수구조물공_3.구조물공_석축_04포장공" xfId="9642"/>
    <cellStyle name="_수량산출 음지하천_금산제수량(전체최종)_우수집수정U형집계" xfId="9643"/>
    <cellStyle name="_수량산출 음지하천_금산제수량(전체최종)_우수집수정U형집계_04포장공" xfId="9644"/>
    <cellStyle name="_수량산출 음지하천_금산제수량(전체최종)_우수집수정U형집계_3.구조물공" xfId="9645"/>
    <cellStyle name="_수량산출 음지하천_금산제수량(전체최종)_우수집수정U형집계_3.구조물공_04포장공" xfId="9646"/>
    <cellStyle name="_수량산출 음지하천_금산제수량(전체최종)_우수집수정U형집계_3.구조물공_3.구조물공" xfId="9647"/>
    <cellStyle name="_수량산출 음지하천_금산제수량(전체최종)_우수집수정U형집계_3.구조물공_3.구조물공_04포장공" xfId="9648"/>
    <cellStyle name="_수량산출 음지하천_금산제수량(전체최종)_우수집수정U형집계_3.구조물공_3.물공" xfId="9649"/>
    <cellStyle name="_수량산출 음지하천_금산제수량(전체최종)_우수집수정U형집계_3.구조물공_3.물공_04포장공" xfId="9650"/>
    <cellStyle name="_수량산출 음지하천_금산제수량(전체최종)_우수집수정U형집계_3.구조물공_보수량집계(우근)" xfId="9651"/>
    <cellStyle name="_수량산출 음지하천_금산제수량(전체최종)_우수집수정U형집계_3.구조물공_보수량집계(우근)_04포장공" xfId="9652"/>
    <cellStyle name="_수량산출 음지하천_금산제수량(전체최종)_우수집수정U형집계_3.구조물공_석축" xfId="9653"/>
    <cellStyle name="_수량산출 음지하천_금산제수량(전체최종)_우수집수정U형집계_3.구조물공_석축_04포장공" xfId="9654"/>
    <cellStyle name="_수량산출 음지하천_금산제수량(전체최종)_인계1공구 수량산출" xfId="2282"/>
    <cellStyle name="_수량산출 음지하천_금산제수량(전체최종)_총자재집계표" xfId="2283"/>
    <cellStyle name="_수량산출 음지하천_금산제수량(전체최종)_콘크리트포장공" xfId="9655"/>
    <cellStyle name="_수량산출 음지하천_금산제수량(전체최종)_콘크리트포장공_03포장공" xfId="9656"/>
    <cellStyle name="_수량산출 음지하천_금산제수량(전체최종)_콘크리트포장공_03포장공_04포장공" xfId="9657"/>
    <cellStyle name="_수량산출 음지하천_금산제수량(전체최종)_콘크리트포장공_04포장공" xfId="9658"/>
    <cellStyle name="_수량산출 음지하천_금산제수량(전체최종)_콘크리트포장공_14수량산출서" xfId="9659"/>
    <cellStyle name="_수량산출 음지하천_금산제수량(전체최종)_콘크리트포장공_14수량산출서_04포장공" xfId="9660"/>
    <cellStyle name="_수량산출 음지하천_금산제수량(전체최종)_콘크리트포장공_수량산출서" xfId="9661"/>
    <cellStyle name="_수량산출 음지하천_두릉1제 수량산출서" xfId="2284"/>
    <cellStyle name="_수량산출 음지하천_배수구조물공" xfId="9662"/>
    <cellStyle name="_수량산출 음지하천_배수구조물공_04포장공" xfId="9663"/>
    <cellStyle name="_수량산출 음지하천_배수구조물공_3.구조물공" xfId="9664"/>
    <cellStyle name="_수량산출 음지하천_배수구조물공_3.구조물공_04포장공" xfId="9665"/>
    <cellStyle name="_수량산출 음지하천_배수구조물공_3.구조물공_3.구조물공" xfId="9666"/>
    <cellStyle name="_수량산출 음지하천_배수구조물공_3.구조물공_3.구조물공_04포장공" xfId="9667"/>
    <cellStyle name="_수량산출 음지하천_배수구조물공_3.구조물공_3.물공" xfId="9668"/>
    <cellStyle name="_수량산출 음지하천_배수구조물공_3.구조물공_3.물공_04포장공" xfId="9669"/>
    <cellStyle name="_수량산출 음지하천_배수구조물공_3.구조물공_보수량집계(우근)" xfId="9670"/>
    <cellStyle name="_수량산출 음지하천_배수구조물공_3.구조물공_보수량집계(우근)_04포장공" xfId="9671"/>
    <cellStyle name="_수량산출 음지하천_배수구조물공_3.구조물공_석축" xfId="9672"/>
    <cellStyle name="_수량산출 음지하천_배수구조물공_3.구조물공_석축_04포장공" xfId="9673"/>
    <cellStyle name="_수량산출 음지하천_우수집수정U형집계" xfId="9674"/>
    <cellStyle name="_수량산출 음지하천_우수집수정U형집계_04포장공" xfId="9675"/>
    <cellStyle name="_수량산출 음지하천_우수집수정U형집계_3.구조물공" xfId="9676"/>
    <cellStyle name="_수량산출 음지하천_우수집수정U형집계_3.구조물공_04포장공" xfId="9677"/>
    <cellStyle name="_수량산출 음지하천_우수집수정U형집계_3.구조물공_3.구조물공" xfId="9678"/>
    <cellStyle name="_수량산출 음지하천_우수집수정U형집계_3.구조물공_3.구조물공_04포장공" xfId="9679"/>
    <cellStyle name="_수량산출 음지하천_우수집수정U형집계_3.구조물공_3.물공" xfId="9680"/>
    <cellStyle name="_수량산출 음지하천_우수집수정U형집계_3.구조물공_3.물공_04포장공" xfId="9681"/>
    <cellStyle name="_수량산출 음지하천_우수집수정U형집계_3.구조물공_보수량집계(우근)" xfId="9682"/>
    <cellStyle name="_수량산출 음지하천_우수집수정U형집계_3.구조물공_보수량집계(우근)_04포장공" xfId="9683"/>
    <cellStyle name="_수량산출 음지하천_우수집수정U형집계_3.구조물공_석축" xfId="9684"/>
    <cellStyle name="_수량산출 음지하천_우수집수정U형집계_3.구조물공_석축_04포장공" xfId="9685"/>
    <cellStyle name="_수량산출 음지하천_인계1공구 수량산출" xfId="2285"/>
    <cellStyle name="_수량산출 음지하천_총자재집계표" xfId="2286"/>
    <cellStyle name="_수량산출 음지하천_콘크리트포장공" xfId="9686"/>
    <cellStyle name="_수량산출 음지하천_콘크리트포장공_03포장공" xfId="9687"/>
    <cellStyle name="_수량산출 음지하천_콘크리트포장공_03포장공_04포장공" xfId="9688"/>
    <cellStyle name="_수량산출 음지하천_콘크리트포장공_04포장공" xfId="9689"/>
    <cellStyle name="_수량산출 음지하천_콘크리트포장공_14수량산출서" xfId="9690"/>
    <cellStyle name="_수량산출 음지하천_콘크리트포장공_14수량산출서_04포장공" xfId="9691"/>
    <cellStyle name="_수량산출 음지하천_콘크리트포장공_수량산출서" xfId="9692"/>
    <cellStyle name="_수량산출-경산 하양 사기(BP~58)" xfId="2287"/>
    <cellStyle name="_수량산출서(죽전-대리석)" xfId="9693"/>
    <cellStyle name="_수량제목" xfId="2288"/>
    <cellStyle name="_수량제목_내역서" xfId="2289"/>
    <cellStyle name="_수로관단가비교" xfId="9694"/>
    <cellStyle name="_수요공급검토" xfId="9695"/>
    <cellStyle name="_수원시 지하시설물통합정보시스템 구축사업 설계내역서(직접경비)" xfId="12596"/>
    <cellStyle name="_수원시_장기미집행관리프록그램_설계내역_v1" xfId="2290"/>
    <cellStyle name="_수원시재난감시용CC-TV설계내역서(v0(1).2)" xfId="9696"/>
    <cellStyle name="_수전설비내역" xfId="9697"/>
    <cellStyle name="_수정갑지" xfId="2291"/>
    <cellStyle name="_수정이여2003.05.19xls" xfId="9698"/>
    <cellStyle name="_수출입견적서_현대하이스코-20040602" xfId="12597"/>
    <cellStyle name="_순천향 MSL6060 FC 2dr(0528)" xfId="9699"/>
    <cellStyle name="_순천향 대학교 견적서" xfId="9700"/>
    <cellStyle name="_순천향병원 견적서-0602 r1" xfId="9701"/>
    <cellStyle name="_스토리지(이보헌대리님)" xfId="9702"/>
    <cellStyle name="_스펜오컴ML370G4x3.0-0112" xfId="9703"/>
    <cellStyle name="_승본도로수량(금회분)" xfId="2292"/>
    <cellStyle name="_승본도로수량(금회분)_04포장공" xfId="9704"/>
    <cellStyle name="_승본도로수량(금회분)_3.구조물공" xfId="9705"/>
    <cellStyle name="_승본도로수량(금회분)_3.구조물공_04포장공" xfId="9706"/>
    <cellStyle name="_승본도로수량(금회분)_3.구조물공_3.구조물공" xfId="9707"/>
    <cellStyle name="_승본도로수량(금회분)_3.구조물공_3.구조물공_04포장공" xfId="9708"/>
    <cellStyle name="_승본도로수량(금회분)_3.구조물공_3.물공" xfId="9709"/>
    <cellStyle name="_승본도로수량(금회분)_3.구조물공_3.물공_04포장공" xfId="9710"/>
    <cellStyle name="_승본도로수량(금회분)_3.구조물공_보수량집계(우근)" xfId="9711"/>
    <cellStyle name="_승본도로수량(금회분)_3.구조물공_보수량집계(우근)_04포장공" xfId="9712"/>
    <cellStyle name="_승본도로수량(금회분)_3.구조물공_석축" xfId="9713"/>
    <cellStyle name="_승본도로수량(금회분)_3.구조물공_석축_04포장공" xfId="9714"/>
    <cellStyle name="_승본도로수량(금회분)_두릉1제 수량산출서" xfId="2293"/>
    <cellStyle name="_승본도로수량(금회분)_배수구조물공" xfId="9715"/>
    <cellStyle name="_승본도로수량(금회분)_배수구조물공_04포장공" xfId="9716"/>
    <cellStyle name="_승본도로수량(금회분)_배수구조물공_3.구조물공" xfId="9717"/>
    <cellStyle name="_승본도로수량(금회분)_배수구조물공_3.구조물공_04포장공" xfId="9718"/>
    <cellStyle name="_승본도로수량(금회분)_배수구조물공_3.구조물공_3.구조물공" xfId="9719"/>
    <cellStyle name="_승본도로수량(금회분)_배수구조물공_3.구조물공_3.구조물공_04포장공" xfId="9720"/>
    <cellStyle name="_승본도로수량(금회분)_배수구조물공_3.구조물공_3.물공" xfId="9721"/>
    <cellStyle name="_승본도로수량(금회분)_배수구조물공_3.구조물공_3.물공_04포장공" xfId="9722"/>
    <cellStyle name="_승본도로수량(금회분)_배수구조물공_3.구조물공_보수량집계(우근)" xfId="9723"/>
    <cellStyle name="_승본도로수량(금회분)_배수구조물공_3.구조물공_보수량집계(우근)_04포장공" xfId="9724"/>
    <cellStyle name="_승본도로수량(금회분)_배수구조물공_3.구조물공_석축" xfId="9725"/>
    <cellStyle name="_승본도로수량(금회분)_배수구조물공_3.구조물공_석축_04포장공" xfId="9726"/>
    <cellStyle name="_승본도로수량(금회분)_우수집수정U형집계" xfId="9727"/>
    <cellStyle name="_승본도로수량(금회분)_우수집수정U형집계_04포장공" xfId="9728"/>
    <cellStyle name="_승본도로수량(금회분)_우수집수정U형집계_3.구조물공" xfId="9729"/>
    <cellStyle name="_승본도로수량(금회분)_우수집수정U형집계_3.구조물공_04포장공" xfId="9730"/>
    <cellStyle name="_승본도로수량(금회분)_우수집수정U형집계_3.구조물공_3.구조물공" xfId="9731"/>
    <cellStyle name="_승본도로수량(금회분)_우수집수정U형집계_3.구조물공_3.구조물공_04포장공" xfId="9732"/>
    <cellStyle name="_승본도로수량(금회분)_우수집수정U형집계_3.구조물공_3.물공" xfId="9733"/>
    <cellStyle name="_승본도로수량(금회분)_우수집수정U형집계_3.구조물공_3.물공_04포장공" xfId="9734"/>
    <cellStyle name="_승본도로수량(금회분)_우수집수정U형집계_3.구조물공_보수량집계(우근)" xfId="9735"/>
    <cellStyle name="_승본도로수량(금회분)_우수집수정U형집계_3.구조물공_보수량집계(우근)_04포장공" xfId="9736"/>
    <cellStyle name="_승본도로수량(금회분)_우수집수정U형집계_3.구조물공_석축" xfId="9737"/>
    <cellStyle name="_승본도로수량(금회분)_우수집수정U형집계_3.구조물공_석축_04포장공" xfId="9738"/>
    <cellStyle name="_승본도로수량(금회분)_인계1공구 수량산출" xfId="2294"/>
    <cellStyle name="_승본도로수량(금회분)_총자재집계표" xfId="2295"/>
    <cellStyle name="_승본도로수량(금회분)_콘크리트포장공" xfId="9739"/>
    <cellStyle name="_승본도로수량(금회분)_콘크리트포장공_03포장공" xfId="9740"/>
    <cellStyle name="_승본도로수량(금회분)_콘크리트포장공_03포장공_04포장공" xfId="9741"/>
    <cellStyle name="_승본도로수량(금회분)_콘크리트포장공_04포장공" xfId="9742"/>
    <cellStyle name="_승본도로수량(금회분)_콘크리트포장공_14수량산출서" xfId="9743"/>
    <cellStyle name="_승본도로수량(금회분)_콘크리트포장공_14수량산출서_04포장공" xfId="9744"/>
    <cellStyle name="_승본도로수량(금회분)_콘크리트포장공_수량산출서" xfId="9745"/>
    <cellStyle name="_승본도로수량산출" xfId="2296"/>
    <cellStyle name="_승본도로수량산출_04포장공" xfId="9746"/>
    <cellStyle name="_승본도로수량산출_3.구조물공" xfId="9747"/>
    <cellStyle name="_승본도로수량산출_3.구조물공_04포장공" xfId="9748"/>
    <cellStyle name="_승본도로수량산출_3.구조물공_3.구조물공" xfId="9749"/>
    <cellStyle name="_승본도로수량산출_3.구조물공_3.구조물공_04포장공" xfId="9750"/>
    <cellStyle name="_승본도로수량산출_3.구조물공_3.물공" xfId="9751"/>
    <cellStyle name="_승본도로수량산출_3.구조물공_3.물공_04포장공" xfId="9752"/>
    <cellStyle name="_승본도로수량산출_3.구조물공_보수량집계(우근)" xfId="9753"/>
    <cellStyle name="_승본도로수량산출_3.구조물공_보수량집계(우근)_04포장공" xfId="9754"/>
    <cellStyle name="_승본도로수량산출_3.구조물공_석축" xfId="9755"/>
    <cellStyle name="_승본도로수량산출_3.구조물공_석축_04포장공" xfId="9756"/>
    <cellStyle name="_승본도로수량산출_두릉1제 수량산출서" xfId="2297"/>
    <cellStyle name="_승본도로수량산출_배수구조물공" xfId="9757"/>
    <cellStyle name="_승본도로수량산출_배수구조물공_04포장공" xfId="9758"/>
    <cellStyle name="_승본도로수량산출_배수구조물공_3.구조물공" xfId="9759"/>
    <cellStyle name="_승본도로수량산출_배수구조물공_3.구조물공_04포장공" xfId="9760"/>
    <cellStyle name="_승본도로수량산출_배수구조물공_3.구조물공_3.구조물공" xfId="9761"/>
    <cellStyle name="_승본도로수량산출_배수구조물공_3.구조물공_3.구조물공_04포장공" xfId="9762"/>
    <cellStyle name="_승본도로수량산출_배수구조물공_3.구조물공_3.물공" xfId="9763"/>
    <cellStyle name="_승본도로수량산출_배수구조물공_3.구조물공_3.물공_04포장공" xfId="9764"/>
    <cellStyle name="_승본도로수량산출_배수구조물공_3.구조물공_보수량집계(우근)" xfId="9765"/>
    <cellStyle name="_승본도로수량산출_배수구조물공_3.구조물공_보수량집계(우근)_04포장공" xfId="9766"/>
    <cellStyle name="_승본도로수량산출_배수구조물공_3.구조물공_석축" xfId="9767"/>
    <cellStyle name="_승본도로수량산출_배수구조물공_3.구조물공_석축_04포장공" xfId="9768"/>
    <cellStyle name="_승본도로수량산출_우수집수정U형집계" xfId="9769"/>
    <cellStyle name="_승본도로수량산출_우수집수정U형집계_04포장공" xfId="9770"/>
    <cellStyle name="_승본도로수량산출_우수집수정U형집계_3.구조물공" xfId="9771"/>
    <cellStyle name="_승본도로수량산출_우수집수정U형집계_3.구조물공_04포장공" xfId="9772"/>
    <cellStyle name="_승본도로수량산출_우수집수정U형집계_3.구조물공_3.구조물공" xfId="9773"/>
    <cellStyle name="_승본도로수량산출_우수집수정U형집계_3.구조물공_3.구조물공_04포장공" xfId="9774"/>
    <cellStyle name="_승본도로수량산출_우수집수정U형집계_3.구조물공_3.물공" xfId="9775"/>
    <cellStyle name="_승본도로수량산출_우수집수정U형집계_3.구조물공_3.물공_04포장공" xfId="9776"/>
    <cellStyle name="_승본도로수량산출_우수집수정U형집계_3.구조물공_보수량집계(우근)" xfId="9777"/>
    <cellStyle name="_승본도로수량산출_우수집수정U형집계_3.구조물공_보수량집계(우근)_04포장공" xfId="9778"/>
    <cellStyle name="_승본도로수량산출_우수집수정U형집계_3.구조물공_석축" xfId="9779"/>
    <cellStyle name="_승본도로수량산출_우수집수정U형집계_3.구조물공_석축_04포장공" xfId="9780"/>
    <cellStyle name="_승본도로수량산출_인계1공구 수량산출" xfId="2298"/>
    <cellStyle name="_승본도로수량산출_총자재집계표" xfId="2299"/>
    <cellStyle name="_승본도로수량산출_콘크리트포장공" xfId="9781"/>
    <cellStyle name="_승본도로수량산출_콘크리트포장공_03포장공" xfId="9782"/>
    <cellStyle name="_승본도로수량산출_콘크리트포장공_03포장공_04포장공" xfId="9783"/>
    <cellStyle name="_승본도로수량산출_콘크리트포장공_04포장공" xfId="9784"/>
    <cellStyle name="_승본도로수량산출_콘크리트포장공_14수량산출서" xfId="9785"/>
    <cellStyle name="_승본도로수량산출_콘크리트포장공_14수량산출서_04포장공" xfId="9786"/>
    <cellStyle name="_승본도로수량산출_콘크리트포장공_수량산출서" xfId="9787"/>
    <cellStyle name="_시민체육시설조성사업 조사설계용역 설계서" xfId="2300"/>
    <cellStyle name="_시방서" xfId="2301"/>
    <cellStyle name="_시방서_공유수면매립도시관리계획및실시설계용역" xfId="2302"/>
    <cellStyle name="_시방서_로하스변경내역서-5(06.6.7)" xfId="2303"/>
    <cellStyle name="_시방서_로하스변경내역서-5(06.6.7)_로하스변경내역서-6(06(1).6.27 당초변경)" xfId="2304"/>
    <cellStyle name="_시방서_로하스변경내역서-6(06.6.21)" xfId="2305"/>
    <cellStyle name="_시방서_로하스변경내역서-6(06.6.21)_로하스변경내역서-6(06(1).6.27 당초변경)" xfId="2306"/>
    <cellStyle name="_시선유도" xfId="9788"/>
    <cellStyle name="_시설_테니스장 게이트볼(최종)" xfId="9789"/>
    <cellStyle name="_시설_테니스장 게이트볼(최종)_2004년 완선공사(최종본)" xfId="9790"/>
    <cellStyle name="_시설_테니스장 게이트볼(최종)_안동전통문화콘텐츠박물관전시영상물구축(전시시설물)" xfId="9791"/>
    <cellStyle name="_시설_테니스장 게이트볼(최종)_안동전통문화콘텐츠박물관전시영상물구축(전시시설물)_원가보고서(종합)-조달" xfId="9792"/>
    <cellStyle name="_시설_테니스장 게이트볼(최종)_안동전통문화콘텐츠박물관전시영상물구축(전시시설물)_원가보고서(흑색)-조달" xfId="9793"/>
    <cellStyle name="_시설_테니스장 게이트볼(최종)_원가계산서(화성상록)" xfId="9794"/>
    <cellStyle name="_시설_테니스장 게이트볼(최종)_원가계산서(화성상록) (version 1)" xfId="9795"/>
    <cellStyle name="_시설_테니스장 게이트볼(최종)_원가계산서(화성상록) (version 1)_원가보고서(종합)-조달" xfId="9796"/>
    <cellStyle name="_시설_테니스장 게이트볼(최종)_원가계산서(화성상록) (version 1)_원가보고서(흑색)-조달" xfId="9797"/>
    <cellStyle name="_시설_테니스장 게이트볼(최종)_원가계산서(화성상록)_원가보고서(종합)-조달" xfId="9798"/>
    <cellStyle name="_시설_테니스장 게이트볼(최종)_원가계산서(화성상록)_원가보고서(흑색)-조달" xfId="9799"/>
    <cellStyle name="_시설기별 CELL별 " xfId="9800"/>
    <cellStyle name="_시스코 견적(050621_대구텍)" xfId="9801"/>
    <cellStyle name="_시스템" xfId="2307"/>
    <cellStyle name="_시스템 부문(전체)" xfId="9802"/>
    <cellStyle name="_시스템개발산출양식_2003" xfId="2308"/>
    <cellStyle name="_시스템개발세부내역서" xfId="9803"/>
    <cellStyle name="_시스템설계서(7_26)." xfId="2309"/>
    <cellStyle name="_시큐어소프트0918(450)" xfId="9804"/>
    <cellStyle name="_시큐어소프트1226(rp2470)" xfId="9805"/>
    <cellStyle name="_시행시기변경-1122(Ntopia)" xfId="9806"/>
    <cellStyle name="_시흥시견적" xfId="2310"/>
    <cellStyle name="_신규단가및표지" xfId="9807"/>
    <cellStyle name="_신당천수량 변경(전체)" xfId="2311"/>
    <cellStyle name="_신당천수량 변경(전체)_04포장공" xfId="9808"/>
    <cellStyle name="_신당천수량 변경(전체)_3.구조물공" xfId="9809"/>
    <cellStyle name="_신당천수량 변경(전체)_3.구조물공_04포장공" xfId="9810"/>
    <cellStyle name="_신당천수량 변경(전체)_3.구조물공_3.구조물공" xfId="9811"/>
    <cellStyle name="_신당천수량 변경(전체)_3.구조물공_3.구조물공_04포장공" xfId="9812"/>
    <cellStyle name="_신당천수량 변경(전체)_3.구조물공_3.물공" xfId="9813"/>
    <cellStyle name="_신당천수량 변경(전체)_3.구조물공_3.물공_04포장공" xfId="9814"/>
    <cellStyle name="_신당천수량 변경(전체)_3.구조물공_보수량집계(우근)" xfId="9815"/>
    <cellStyle name="_신당천수량 변경(전체)_3.구조물공_보수량집계(우근)_04포장공" xfId="9816"/>
    <cellStyle name="_신당천수량 변경(전체)_3.구조물공_석축" xfId="9817"/>
    <cellStyle name="_신당천수량 변경(전체)_3.구조물공_석축_04포장공" xfId="9818"/>
    <cellStyle name="_신당천수량 변경(전체)_두릉1제 수량산출서" xfId="2312"/>
    <cellStyle name="_신당천수량 변경(전체)_배수구조물공" xfId="9819"/>
    <cellStyle name="_신당천수량 변경(전체)_배수구조물공_04포장공" xfId="9820"/>
    <cellStyle name="_신당천수량 변경(전체)_배수구조물공_3.구조물공" xfId="9821"/>
    <cellStyle name="_신당천수량 변경(전체)_배수구조물공_3.구조물공_04포장공" xfId="9822"/>
    <cellStyle name="_신당천수량 변경(전체)_배수구조물공_3.구조물공_3.구조물공" xfId="9823"/>
    <cellStyle name="_신당천수량 변경(전체)_배수구조물공_3.구조물공_3.구조물공_04포장공" xfId="9824"/>
    <cellStyle name="_신당천수량 변경(전체)_배수구조물공_3.구조물공_3.물공" xfId="9825"/>
    <cellStyle name="_신당천수량 변경(전체)_배수구조물공_3.구조물공_3.물공_04포장공" xfId="9826"/>
    <cellStyle name="_신당천수량 변경(전체)_배수구조물공_3.구조물공_보수량집계(우근)" xfId="9827"/>
    <cellStyle name="_신당천수량 변경(전체)_배수구조물공_3.구조물공_보수량집계(우근)_04포장공" xfId="9828"/>
    <cellStyle name="_신당천수량 변경(전체)_배수구조물공_3.구조물공_석축" xfId="9829"/>
    <cellStyle name="_신당천수량 변경(전체)_배수구조물공_3.구조물공_석축_04포장공" xfId="9830"/>
    <cellStyle name="_신당천수량 변경(전체)_우수집수정U형집계" xfId="9831"/>
    <cellStyle name="_신당천수량 변경(전체)_우수집수정U형집계_04포장공" xfId="9832"/>
    <cellStyle name="_신당천수량 변경(전체)_우수집수정U형집계_3.구조물공" xfId="9833"/>
    <cellStyle name="_신당천수량 변경(전체)_우수집수정U형집계_3.구조물공_04포장공" xfId="9834"/>
    <cellStyle name="_신당천수량 변경(전체)_우수집수정U형집계_3.구조물공_3.구조물공" xfId="9835"/>
    <cellStyle name="_신당천수량 변경(전체)_우수집수정U형집계_3.구조물공_3.구조물공_04포장공" xfId="9836"/>
    <cellStyle name="_신당천수량 변경(전체)_우수집수정U형집계_3.구조물공_3.물공" xfId="9837"/>
    <cellStyle name="_신당천수량 변경(전체)_우수집수정U형집계_3.구조물공_3.물공_04포장공" xfId="9838"/>
    <cellStyle name="_신당천수량 변경(전체)_우수집수정U형집계_3.구조물공_보수량집계(우근)" xfId="9839"/>
    <cellStyle name="_신당천수량 변경(전체)_우수집수정U형집계_3.구조물공_보수량집계(우근)_04포장공" xfId="9840"/>
    <cellStyle name="_신당천수량 변경(전체)_우수집수정U형집계_3.구조물공_석축" xfId="9841"/>
    <cellStyle name="_신당천수량 변경(전체)_우수집수정U형집계_3.구조물공_석축_04포장공" xfId="9842"/>
    <cellStyle name="_신당천수량 변경(전체)_인계1공구 수량산출" xfId="2313"/>
    <cellStyle name="_신당천수량 변경(전체)_총자재집계표" xfId="2314"/>
    <cellStyle name="_신당천수량 변경(전체)_콘크리트포장공" xfId="9843"/>
    <cellStyle name="_신당천수량 변경(전체)_콘크리트포장공_03포장공" xfId="9844"/>
    <cellStyle name="_신당천수량 변경(전체)_콘크리트포장공_03포장공_04포장공" xfId="9845"/>
    <cellStyle name="_신당천수량 변경(전체)_콘크리트포장공_04포장공" xfId="9846"/>
    <cellStyle name="_신당천수량 변경(전체)_콘크리트포장공_14수량산출서" xfId="9847"/>
    <cellStyle name="_신당천수량 변경(전체)_콘크리트포장공_14수량산출서_04포장공" xfId="9848"/>
    <cellStyle name="_신당천수량 변경(전체)_콘크리트포장공_수량산출서" xfId="9849"/>
    <cellStyle name="_신대농로" xfId="9850"/>
    <cellStyle name="_신석3중" xfId="9851"/>
    <cellStyle name="_신선대 대나무매트공법(최종)" xfId="9852"/>
    <cellStyle name="_신선대 대나무매트공법(최종)_2004년 완선공사(최종본)" xfId="9853"/>
    <cellStyle name="_신선대 대나무매트공법(최종)_안동전통문화콘텐츠박물관전시영상물구축(전시시설물)" xfId="9854"/>
    <cellStyle name="_신선대 대나무매트공법(최종)_안동전통문화콘텐츠박물관전시영상물구축(전시시설물)_원가보고서(종합)-조달" xfId="9855"/>
    <cellStyle name="_신선대 대나무매트공법(최종)_안동전통문화콘텐츠박물관전시영상물구축(전시시설물)_원가보고서(흑색)-조달" xfId="9856"/>
    <cellStyle name="_신선대 대나무매트공법(최종)_원가계산서(화성상록)" xfId="9857"/>
    <cellStyle name="_신선대 대나무매트공법(최종)_원가계산서(화성상록) (version 1)" xfId="9858"/>
    <cellStyle name="_신선대 대나무매트공법(최종)_원가계산서(화성상록) (version 1)_원가보고서(종합)-조달" xfId="9859"/>
    <cellStyle name="_신선대 대나무매트공법(최종)_원가계산서(화성상록) (version 1)_원가보고서(흑색)-조달" xfId="9860"/>
    <cellStyle name="_신선대 대나무매트공법(최종)_원가계산서(화성상록)_원가보고서(종합)-조달" xfId="9861"/>
    <cellStyle name="_신선대 대나무매트공법(최종)_원가계산서(화성상록)_원가보고서(흑색)-조달" xfId="9862"/>
    <cellStyle name="_신세계연수점" xfId="12598"/>
    <cellStyle name="_신세기신석" xfId="9863"/>
    <cellStyle name="_신세기제비리중계기" xfId="9864"/>
    <cellStyle name="_신언1공구수량산출" xfId="2315"/>
    <cellStyle name="_신촌-유곡(암거)" xfId="2316"/>
    <cellStyle name="_신촌-유곡(암거)_04 BOX집" xfId="2317"/>
    <cellStyle name="_신카드시스템_021224" xfId="9865"/>
    <cellStyle name="_신태백(가실행)" xfId="2318"/>
    <cellStyle name="_신태백(가실행)_01 실행(군장산단) Rev00" xfId="2319"/>
    <cellStyle name="_신태백(가실행)_01 실행(군장산단) Rev00_01 실행(부산남컨가호안109-원안분) REV04" xfId="2320"/>
    <cellStyle name="_신태백(가실행)_1" xfId="2321"/>
    <cellStyle name="_신태백(가실행)_1_01 실행(군장산단) Rev00" xfId="2322"/>
    <cellStyle name="_신태백(가실행)_1_01 실행(군장산단) Rev00_01 실행(부산남컨가호안109-원안분) REV04" xfId="2323"/>
    <cellStyle name="_신태백(가실행)_1_경찰서-터미널간도로(투찰)②" xfId="2324"/>
    <cellStyle name="_신태백(가실행)_1_경찰서-터미널간도로(투찰)②_01 실행(군장산단) Rev00" xfId="2325"/>
    <cellStyle name="_신태백(가실행)_1_경찰서-터미널간도로(투찰)②_01 실행(군장산단) Rev00_01 실행(부산남컨가호안109-원안분) REV04" xfId="2326"/>
    <cellStyle name="_신태백(가실행)_1_봉무지방산업단지도로(투찰)②" xfId="2327"/>
    <cellStyle name="_신태백(가실행)_1_봉무지방산업단지도로(투찰)②_01 실행(군장산단) Rev00" xfId="2328"/>
    <cellStyle name="_신태백(가실행)_1_봉무지방산업단지도로(투찰)②_01 실행(군장산단) Rev00_01 실행(부산남컨가호안109-원안분) REV04" xfId="2329"/>
    <cellStyle name="_신태백(가실행)_1_봉무지방산업단지도로(투찰)②+0.250%" xfId="2330"/>
    <cellStyle name="_신태백(가실행)_1_봉무지방산업단지도로(투찰)②+0.250%_01 실행(군장산단) Rev00" xfId="2331"/>
    <cellStyle name="_신태백(가실행)_1_봉무지방산업단지도로(투찰)②+0.250%_01 실행(군장산단) Rev00_01 실행(부산남컨가호안109-원안분) REV04" xfId="2332"/>
    <cellStyle name="_신태백(가실행)_1_합덕-신례원(2공구)투찰" xfId="2333"/>
    <cellStyle name="_신태백(가실행)_1_합덕-신례원(2공구)투찰_01 실행(군장산단) Rev00" xfId="2334"/>
    <cellStyle name="_신태백(가실행)_1_합덕-신례원(2공구)투찰_01 실행(군장산단) Rev00_01 실행(부산남컨가호안109-원안분) REV04" xfId="2335"/>
    <cellStyle name="_신태백(가실행)_1_합덕-신례원(2공구)투찰_경찰서-터미널간도로(투찰)②" xfId="2336"/>
    <cellStyle name="_신태백(가실행)_1_합덕-신례원(2공구)투찰_경찰서-터미널간도로(투찰)②_01 실행(군장산단) Rev00" xfId="2337"/>
    <cellStyle name="_신태백(가실행)_1_합덕-신례원(2공구)투찰_경찰서-터미널간도로(투찰)②_01 실행(군장산단) Rev00_01 실행(부산남컨가호안109-원안분) REV04" xfId="2338"/>
    <cellStyle name="_신태백(가실행)_1_합덕-신례원(2공구)투찰_봉무지방산업단지도로(투찰)②" xfId="2339"/>
    <cellStyle name="_신태백(가실행)_1_합덕-신례원(2공구)투찰_봉무지방산업단지도로(투찰)②_01 실행(군장산단) Rev00" xfId="2340"/>
    <cellStyle name="_신태백(가실행)_1_합덕-신례원(2공구)투찰_봉무지방산업단지도로(투찰)②_01 실행(군장산단) Rev00_01 실행(부산남컨가호안109-원안분) REV04" xfId="2341"/>
    <cellStyle name="_신태백(가실행)_1_합덕-신례원(2공구)투찰_봉무지방산업단지도로(투찰)②+0.250%" xfId="2342"/>
    <cellStyle name="_신태백(가실행)_1_합덕-신례원(2공구)투찰_봉무지방산업단지도로(투찰)②+0.250%_01 실행(군장산단) Rev00" xfId="2343"/>
    <cellStyle name="_신태백(가실행)_1_합덕-신례원(2공구)투찰_봉무지방산업단지도로(투찰)②+0.250%_01 실행(군장산단) Rev00_01 실행(부산남컨가호안109-원안분) REV04" xfId="2344"/>
    <cellStyle name="_신태백(가실행)_1_합덕-신례원(2공구)투찰_합덕-신례원(2공구)투찰" xfId="2345"/>
    <cellStyle name="_신태백(가실행)_1_합덕-신례원(2공구)투찰_합덕-신례원(2공구)투찰_01 실행(군장산단) Rev00" xfId="2346"/>
    <cellStyle name="_신태백(가실행)_1_합덕-신례원(2공구)투찰_합덕-신례원(2공구)투찰_01 실행(군장산단) Rev00_01 실행(부산남컨가호안109-원안분) REV04" xfId="2347"/>
    <cellStyle name="_신태백(가실행)_1_합덕-신례원(2공구)투찰_합덕-신례원(2공구)투찰_경찰서-터미널간도로(투찰)②" xfId="2348"/>
    <cellStyle name="_신태백(가실행)_1_합덕-신례원(2공구)투찰_합덕-신례원(2공구)투찰_경찰서-터미널간도로(투찰)②_01 실행(군장산단) Rev00" xfId="2349"/>
    <cellStyle name="_신태백(가실행)_1_합덕-신례원(2공구)투찰_합덕-신례원(2공구)투찰_경찰서-터미널간도로(투찰)②_01 실행(군장산단) Rev00_01 실행(부산남컨가호안109-원안분) REV04" xfId="2350"/>
    <cellStyle name="_신태백(가실행)_1_합덕-신례원(2공구)투찰_합덕-신례원(2공구)투찰_봉무지방산업단지도로(투찰)②" xfId="2351"/>
    <cellStyle name="_신태백(가실행)_1_합덕-신례원(2공구)투찰_합덕-신례원(2공구)투찰_봉무지방산업단지도로(투찰)②_01 실행(군장산단) Rev00" xfId="2352"/>
    <cellStyle name="_신태백(가실행)_1_합덕-신례원(2공구)투찰_합덕-신례원(2공구)투찰_봉무지방산업단지도로(투찰)②_01 실행(군장산단) Rev00_01 실행(부산남컨가호안109-원안분) REV04" xfId="2353"/>
    <cellStyle name="_신태백(가실행)_1_합덕-신례원(2공구)투찰_합덕-신례원(2공구)투찰_봉무지방산업단지도로(투찰)②+0.250%" xfId="2354"/>
    <cellStyle name="_신태백(가실행)_1_합덕-신례원(2공구)투찰_합덕-신례원(2공구)투찰_봉무지방산업단지도로(투찰)②+0.250%_01 실행(군장산단) Rev00" xfId="2355"/>
    <cellStyle name="_신태백(가실행)_1_합덕-신례원(2공구)투찰_합덕-신례원(2공구)투찰_봉무지방산업단지도로(투찰)②+0.250%_01 실행(군장산단) Rev00_01 실행(부산남컨가호안109-원안분) REV04" xfId="2356"/>
    <cellStyle name="_신태백(가실행)_경찰서-터미널간도로(투찰)②" xfId="2357"/>
    <cellStyle name="_신태백(가실행)_경찰서-터미널간도로(투찰)②_01 실행(군장산단) Rev00" xfId="2358"/>
    <cellStyle name="_신태백(가실행)_경찰서-터미널간도로(투찰)②_01 실행(군장산단) Rev00_01 실행(부산남컨가호안109-원안분) REV04" xfId="2359"/>
    <cellStyle name="_신태백(가실행)_도덕-고흥도로(투찰)" xfId="2360"/>
    <cellStyle name="_신태백(가실행)_도덕-고흥도로(투찰)_01 실행(군장산단) Rev00" xfId="2361"/>
    <cellStyle name="_신태백(가실행)_도덕-고흥도로(투찰)_01 실행(군장산단) Rev00_01 실행(부산남컨가호안109-원안분) REV04" xfId="2362"/>
    <cellStyle name="_신태백(가실행)_도덕-고흥도로(투찰)_경찰서-터미널간도로(투찰)②" xfId="2363"/>
    <cellStyle name="_신태백(가실행)_도덕-고흥도로(투찰)_경찰서-터미널간도로(투찰)②_01 실행(군장산단) Rev00" xfId="2364"/>
    <cellStyle name="_신태백(가실행)_도덕-고흥도로(투찰)_경찰서-터미널간도로(투찰)②_01 실행(군장산단) Rev00_01 실행(부산남컨가호안109-원안분) REV04" xfId="2365"/>
    <cellStyle name="_신태백(가실행)_도덕-고흥도로(투찰)_봉무지방산업단지도로(투찰)②" xfId="2366"/>
    <cellStyle name="_신태백(가실행)_도덕-고흥도로(투찰)_봉무지방산업단지도로(투찰)②_01 실행(군장산단) Rev00" xfId="2367"/>
    <cellStyle name="_신태백(가실행)_도덕-고흥도로(투찰)_봉무지방산업단지도로(투찰)②_01 실행(군장산단) Rev00_01 실행(부산남컨가호안109-원안분) REV04" xfId="2368"/>
    <cellStyle name="_신태백(가실행)_도덕-고흥도로(투찰)_봉무지방산업단지도로(투찰)②+0.250%" xfId="2369"/>
    <cellStyle name="_신태백(가실행)_도덕-고흥도로(투찰)_봉무지방산업단지도로(투찰)②+0.250%_01 실행(군장산단) Rev00" xfId="2370"/>
    <cellStyle name="_신태백(가실행)_도덕-고흥도로(투찰)_봉무지방산업단지도로(투찰)②+0.250%_01 실행(군장산단) Rev00_01 실행(부산남컨가호안109-원안분) REV04" xfId="2371"/>
    <cellStyle name="_신태백(가실행)_도덕-고흥도로(투찰)_합덕-신례원(2공구)투찰" xfId="2372"/>
    <cellStyle name="_신태백(가실행)_도덕-고흥도로(투찰)_합덕-신례원(2공구)투찰_01 실행(군장산단) Rev00" xfId="2373"/>
    <cellStyle name="_신태백(가실행)_도덕-고흥도로(투찰)_합덕-신례원(2공구)투찰_01 실행(군장산단) Rev00_01 실행(부산남컨가호안109-원안분) REV04" xfId="2374"/>
    <cellStyle name="_신태백(가실행)_도덕-고흥도로(투찰)_합덕-신례원(2공구)투찰_경찰서-터미널간도로(투찰)②" xfId="2375"/>
    <cellStyle name="_신태백(가실행)_도덕-고흥도로(투찰)_합덕-신례원(2공구)투찰_경찰서-터미널간도로(투찰)②_01 실행(군장산단) Rev00" xfId="2376"/>
    <cellStyle name="_신태백(가실행)_도덕-고흥도로(투찰)_합덕-신례원(2공구)투찰_경찰서-터미널간도로(투찰)②_01 실행(군장산단) Rev00_01 실행(부산남컨가호안109-원안분) REV04" xfId="2377"/>
    <cellStyle name="_신태백(가실행)_도덕-고흥도로(투찰)_합덕-신례원(2공구)투찰_봉무지방산업단지도로(투찰)②" xfId="2378"/>
    <cellStyle name="_신태백(가실행)_도덕-고흥도로(투찰)_합덕-신례원(2공구)투찰_봉무지방산업단지도로(투찰)②_01 실행(군장산단) Rev00" xfId="2379"/>
    <cellStyle name="_신태백(가실행)_도덕-고흥도로(투찰)_합덕-신례원(2공구)투찰_봉무지방산업단지도로(투찰)②_01 실행(군장산단) Rev00_01 실행(부산남컨가호안109-원안분) REV04" xfId="2380"/>
    <cellStyle name="_신태백(가실행)_도덕-고흥도로(투찰)_합덕-신례원(2공구)투찰_봉무지방산업단지도로(투찰)②+0.250%" xfId="2381"/>
    <cellStyle name="_신태백(가실행)_도덕-고흥도로(투찰)_합덕-신례원(2공구)투찰_봉무지방산업단지도로(투찰)②+0.250%_01 실행(군장산단) Rev00" xfId="2382"/>
    <cellStyle name="_신태백(가실행)_도덕-고흥도로(투찰)_합덕-신례원(2공구)투찰_봉무지방산업단지도로(투찰)②+0.250%_01 실행(군장산단) Rev00_01 실행(부산남컨가호안109-원안분) REV04" xfId="2383"/>
    <cellStyle name="_신태백(가실행)_도덕-고흥도로(투찰)_합덕-신례원(2공구)투찰_합덕-신례원(2공구)투찰" xfId="2384"/>
    <cellStyle name="_신태백(가실행)_도덕-고흥도로(투찰)_합덕-신례원(2공구)투찰_합덕-신례원(2공구)투찰_01 실행(군장산단) Rev00" xfId="2385"/>
    <cellStyle name="_신태백(가실행)_도덕-고흥도로(투찰)_합덕-신례원(2공구)투찰_합덕-신례원(2공구)투찰_01 실행(군장산단) Rev00_01 실행(부산남컨가호안109-원안분) REV04" xfId="2386"/>
    <cellStyle name="_신태백(가실행)_도덕-고흥도로(투찰)_합덕-신례원(2공구)투찰_합덕-신례원(2공구)투찰_경찰서-터미널간도로(투찰)②" xfId="2387"/>
    <cellStyle name="_신태백(가실행)_도덕-고흥도로(투찰)_합덕-신례원(2공구)투찰_합덕-신례원(2공구)투찰_경찰서-터미널간도로(투찰)②_01 실행(군장산단) Rev00" xfId="2388"/>
    <cellStyle name="_신태백(가실행)_도덕-고흥도로(투찰)_합덕-신례원(2공구)투찰_합덕-신례원(2공구)투찰_경찰서-터미널간도로(투찰)②_01 실행(군장산단) Rev00_01 실행(부산남컨가호안109-원안분) REV04" xfId="2389"/>
    <cellStyle name="_신태백(가실행)_도덕-고흥도로(투찰)_합덕-신례원(2공구)투찰_합덕-신례원(2공구)투찰_봉무지방산업단지도로(투찰)②" xfId="2390"/>
    <cellStyle name="_신태백(가실행)_도덕-고흥도로(투찰)_합덕-신례원(2공구)투찰_합덕-신례원(2공구)투찰_봉무지방산업단지도로(투찰)②_01 실행(군장산단) Rev00" xfId="2391"/>
    <cellStyle name="_신태백(가실행)_도덕-고흥도로(투찰)_합덕-신례원(2공구)투찰_합덕-신례원(2공구)투찰_봉무지방산업단지도로(투찰)②_01 실행(군장산단) Rev00_01 실행(부산남컨가호안109-원안분) REV04" xfId="2392"/>
    <cellStyle name="_신태백(가실행)_도덕-고흥도로(투찰)_합덕-신례원(2공구)투찰_합덕-신례원(2공구)투찰_봉무지방산업단지도로(투찰)②+0.250%" xfId="2393"/>
    <cellStyle name="_신태백(가실행)_도덕-고흥도로(투찰)_합덕-신례원(2공구)투찰_합덕-신례원(2공구)투찰_봉무지방산업단지도로(투찰)②+0.250%_01 실행(군장산단) Rev00" xfId="2394"/>
    <cellStyle name="_신태백(가실행)_도덕-고흥도로(투찰)_합덕-신례원(2공구)투찰_합덕-신례원(2공구)투찰_봉무지방산업단지도로(투찰)②+0.250%_01 실행(군장산단) Rev00_01 실행(부산남컨가호안109-원안분) REV04" xfId="2395"/>
    <cellStyle name="_신태백(가실행)_봉무지방산업단지도로(투찰)②" xfId="2396"/>
    <cellStyle name="_신태백(가실행)_봉무지방산업단지도로(투찰)②_01 실행(군장산단) Rev00" xfId="2397"/>
    <cellStyle name="_신태백(가실행)_봉무지방산업단지도로(투찰)②_01 실행(군장산단) Rev00_01 실행(부산남컨가호안109-원안분) REV04" xfId="2398"/>
    <cellStyle name="_신태백(가실행)_봉무지방산업단지도로(투찰)②+0.250%" xfId="2399"/>
    <cellStyle name="_신태백(가실행)_봉무지방산업단지도로(투찰)②+0.250%_01 실행(군장산단) Rev00" xfId="2400"/>
    <cellStyle name="_신태백(가실행)_봉무지방산업단지도로(투찰)②+0.250%_01 실행(군장산단) Rev00_01 실행(부산남컨가호안109-원안분) REV04" xfId="2401"/>
    <cellStyle name="_신태백(가실행)_안산부대(투찰)⑤" xfId="2402"/>
    <cellStyle name="_신태백(가실행)_안산부대(투찰)⑤_01 실행(군장산단) Rev00" xfId="2403"/>
    <cellStyle name="_신태백(가실행)_안산부대(투찰)⑤_01 실행(군장산단) Rev00_01 실행(부산남컨가호안109-원안분) REV04" xfId="2404"/>
    <cellStyle name="_신태백(가실행)_안산부대(투찰)⑤_경찰서-터미널간도로(투찰)②" xfId="2405"/>
    <cellStyle name="_신태백(가실행)_안산부대(투찰)⑤_경찰서-터미널간도로(투찰)②_01 실행(군장산단) Rev00" xfId="2406"/>
    <cellStyle name="_신태백(가실행)_안산부대(투찰)⑤_경찰서-터미널간도로(투찰)②_01 실행(군장산단) Rev00_01 실행(부산남컨가호안109-원안분) REV04" xfId="2407"/>
    <cellStyle name="_신태백(가실행)_안산부대(투찰)⑤_봉무지방산업단지도로(투찰)②" xfId="2408"/>
    <cellStyle name="_신태백(가실행)_안산부대(투찰)⑤_봉무지방산업단지도로(투찰)②_01 실행(군장산단) Rev00" xfId="2409"/>
    <cellStyle name="_신태백(가실행)_안산부대(투찰)⑤_봉무지방산업단지도로(투찰)②_01 실행(군장산단) Rev00_01 실행(부산남컨가호안109-원안분) REV04" xfId="2410"/>
    <cellStyle name="_신태백(가실행)_안산부대(투찰)⑤_봉무지방산업단지도로(투찰)②+0.250%" xfId="2411"/>
    <cellStyle name="_신태백(가실행)_안산부대(투찰)⑤_봉무지방산업단지도로(투찰)②+0.250%_01 실행(군장산단) Rev00" xfId="2412"/>
    <cellStyle name="_신태백(가실행)_안산부대(투찰)⑤_봉무지방산업단지도로(투찰)②+0.250%_01 실행(군장산단) Rev00_01 실행(부산남컨가호안109-원안분) REV04" xfId="2413"/>
    <cellStyle name="_신태백(가실행)_안산부대(투찰)⑤_합덕-신례원(2공구)투찰" xfId="2414"/>
    <cellStyle name="_신태백(가실행)_안산부대(투찰)⑤_합덕-신례원(2공구)투찰_01 실행(군장산단) Rev00" xfId="2415"/>
    <cellStyle name="_신태백(가실행)_안산부대(투찰)⑤_합덕-신례원(2공구)투찰_01 실행(군장산단) Rev00_01 실행(부산남컨가호안109-원안분) REV04" xfId="2416"/>
    <cellStyle name="_신태백(가실행)_안산부대(투찰)⑤_합덕-신례원(2공구)투찰_경찰서-터미널간도로(투찰)②" xfId="2417"/>
    <cellStyle name="_신태백(가실행)_안산부대(투찰)⑤_합덕-신례원(2공구)투찰_경찰서-터미널간도로(투찰)②_01 실행(군장산단) Rev00" xfId="2418"/>
    <cellStyle name="_신태백(가실행)_안산부대(투찰)⑤_합덕-신례원(2공구)투찰_경찰서-터미널간도로(투찰)②_01 실행(군장산단) Rev00_01 실행(부산남컨가호안109-원안분) REV04" xfId="2419"/>
    <cellStyle name="_신태백(가실행)_안산부대(투찰)⑤_합덕-신례원(2공구)투찰_봉무지방산업단지도로(투찰)②" xfId="2420"/>
    <cellStyle name="_신태백(가실행)_안산부대(투찰)⑤_합덕-신례원(2공구)투찰_봉무지방산업단지도로(투찰)②_01 실행(군장산단) Rev00" xfId="2421"/>
    <cellStyle name="_신태백(가실행)_안산부대(투찰)⑤_합덕-신례원(2공구)투찰_봉무지방산업단지도로(투찰)②_01 실행(군장산단) Rev00_01 실행(부산남컨가호안109-원안분) REV04" xfId="2422"/>
    <cellStyle name="_신태백(가실행)_안산부대(투찰)⑤_합덕-신례원(2공구)투찰_봉무지방산업단지도로(투찰)②+0.250%" xfId="2423"/>
    <cellStyle name="_신태백(가실행)_안산부대(투찰)⑤_합덕-신례원(2공구)투찰_봉무지방산업단지도로(투찰)②+0.250%_01 실행(군장산단) Rev00" xfId="2424"/>
    <cellStyle name="_신태백(가실행)_안산부대(투찰)⑤_합덕-신례원(2공구)투찰_봉무지방산업단지도로(투찰)②+0.250%_01 실행(군장산단) Rev00_01 실행(부산남컨가호안109-원안분) REV04" xfId="2425"/>
    <cellStyle name="_신태백(가실행)_안산부대(투찰)⑤_합덕-신례원(2공구)투찰_합덕-신례원(2공구)투찰" xfId="2426"/>
    <cellStyle name="_신태백(가실행)_안산부대(투찰)⑤_합덕-신례원(2공구)투찰_합덕-신례원(2공구)투찰_01 실행(군장산단) Rev00" xfId="2427"/>
    <cellStyle name="_신태백(가실행)_안산부대(투찰)⑤_합덕-신례원(2공구)투찰_합덕-신례원(2공구)투찰_01 실행(군장산단) Rev00_01 실행(부산남컨가호안109-원안분) REV04" xfId="2428"/>
    <cellStyle name="_신태백(가실행)_안산부대(투찰)⑤_합덕-신례원(2공구)투찰_합덕-신례원(2공구)투찰_경찰서-터미널간도로(투찰)②" xfId="2429"/>
    <cellStyle name="_신태백(가실행)_안산부대(투찰)⑤_합덕-신례원(2공구)투찰_합덕-신례원(2공구)투찰_경찰서-터미널간도로(투찰)②_01 실행(군장산단) Rev00" xfId="2430"/>
    <cellStyle name="_신태백(가실행)_안산부대(투찰)⑤_합덕-신례원(2공구)투찰_합덕-신례원(2공구)투찰_경찰서-터미널간도로(투찰)②_01 실행(군장산단) Rev00_01 실행(부산남컨가호안109-원안분) REV04" xfId="2431"/>
    <cellStyle name="_신태백(가실행)_안산부대(투찰)⑤_합덕-신례원(2공구)투찰_합덕-신례원(2공구)투찰_봉무지방산업단지도로(투찰)②" xfId="2432"/>
    <cellStyle name="_신태백(가실행)_안산부대(투찰)⑤_합덕-신례원(2공구)투찰_합덕-신례원(2공구)투찰_봉무지방산업단지도로(투찰)②_01 실행(군장산단) Rev00" xfId="2433"/>
    <cellStyle name="_신태백(가실행)_안산부대(투찰)⑤_합덕-신례원(2공구)투찰_합덕-신례원(2공구)투찰_봉무지방산업단지도로(투찰)②_01 실행(군장산단) Rev00_01 실행(부산남컨가호안109-원안분) REV04" xfId="2434"/>
    <cellStyle name="_신태백(가실행)_안산부대(투찰)⑤_합덕-신례원(2공구)투찰_합덕-신례원(2공구)투찰_봉무지방산업단지도로(투찰)②+0.250%" xfId="2435"/>
    <cellStyle name="_신태백(가실행)_안산부대(투찰)⑤_합덕-신례원(2공구)투찰_합덕-신례원(2공구)투찰_봉무지방산업단지도로(투찰)②+0.250%_01 실행(군장산단) Rev00" xfId="2436"/>
    <cellStyle name="_신태백(가실행)_안산부대(투찰)⑤_합덕-신례원(2공구)투찰_합덕-신례원(2공구)투찰_봉무지방산업단지도로(투찰)②+0.250%_01 실행(군장산단) Rev00_01 실행(부산남컨가호안109-원안분) REV04" xfId="2437"/>
    <cellStyle name="_신태백(가실행)_양곡부두(투찰)-0.31%" xfId="2438"/>
    <cellStyle name="_신태백(가실행)_양곡부두(투찰)-0.31%_01 실행(군장산단) Rev00" xfId="2439"/>
    <cellStyle name="_신태백(가실행)_양곡부두(투찰)-0.31%_01 실행(군장산단) Rev00_01 실행(부산남컨가호안109-원안분) REV04" xfId="2440"/>
    <cellStyle name="_신태백(가실행)_양곡부두(투찰)-0.31%_경찰서-터미널간도로(투찰)②" xfId="2441"/>
    <cellStyle name="_신태백(가실행)_양곡부두(투찰)-0.31%_경찰서-터미널간도로(투찰)②_01 실행(군장산단) Rev00" xfId="2442"/>
    <cellStyle name="_신태백(가실행)_양곡부두(투찰)-0.31%_경찰서-터미널간도로(투찰)②_01 실행(군장산단) Rev00_01 실행(부산남컨가호안109-원안분) REV04" xfId="2443"/>
    <cellStyle name="_신태백(가실행)_양곡부두(투찰)-0.31%_봉무지방산업단지도로(투찰)②" xfId="2444"/>
    <cellStyle name="_신태백(가실행)_양곡부두(투찰)-0.31%_봉무지방산업단지도로(투찰)②_01 실행(군장산단) Rev00" xfId="2445"/>
    <cellStyle name="_신태백(가실행)_양곡부두(투찰)-0.31%_봉무지방산업단지도로(투찰)②_01 실행(군장산단) Rev00_01 실행(부산남컨가호안109-원안분) REV04" xfId="2446"/>
    <cellStyle name="_신태백(가실행)_양곡부두(투찰)-0.31%_봉무지방산업단지도로(투찰)②+0.250%" xfId="2447"/>
    <cellStyle name="_신태백(가실행)_양곡부두(투찰)-0.31%_봉무지방산업단지도로(투찰)②+0.250%_01 실행(군장산단) Rev00" xfId="2448"/>
    <cellStyle name="_신태백(가실행)_양곡부두(투찰)-0.31%_봉무지방산업단지도로(투찰)②+0.250%_01 실행(군장산단) Rev00_01 실행(부산남컨가호안109-원안분) REV04" xfId="2449"/>
    <cellStyle name="_신태백(가실행)_양곡부두(투찰)-0.31%_합덕-신례원(2공구)투찰" xfId="2450"/>
    <cellStyle name="_신태백(가실행)_양곡부두(투찰)-0.31%_합덕-신례원(2공구)투찰_01 실행(군장산단) Rev00" xfId="2451"/>
    <cellStyle name="_신태백(가실행)_양곡부두(투찰)-0.31%_합덕-신례원(2공구)투찰_01 실행(군장산단) Rev00_01 실행(부산남컨가호안109-원안분) REV04" xfId="2452"/>
    <cellStyle name="_신태백(가실행)_양곡부두(투찰)-0.31%_합덕-신례원(2공구)투찰_경찰서-터미널간도로(투찰)②" xfId="2453"/>
    <cellStyle name="_신태백(가실행)_양곡부두(투찰)-0.31%_합덕-신례원(2공구)투찰_경찰서-터미널간도로(투찰)②_01 실행(군장산단) Rev00" xfId="2454"/>
    <cellStyle name="_신태백(가실행)_양곡부두(투찰)-0.31%_합덕-신례원(2공구)투찰_경찰서-터미널간도로(투찰)②_01 실행(군장산단) Rev00_01 실행(부산남컨가호안109-원안분) REV04" xfId="2455"/>
    <cellStyle name="_신태백(가실행)_양곡부두(투찰)-0.31%_합덕-신례원(2공구)투찰_봉무지방산업단지도로(투찰)②" xfId="2456"/>
    <cellStyle name="_신태백(가실행)_양곡부두(투찰)-0.31%_합덕-신례원(2공구)투찰_봉무지방산업단지도로(투찰)②_01 실행(군장산단) Rev00" xfId="2457"/>
    <cellStyle name="_신태백(가실행)_양곡부두(투찰)-0.31%_합덕-신례원(2공구)투찰_봉무지방산업단지도로(투찰)②_01 실행(군장산단) Rev00_01 실행(부산남컨가호안109-원안분) REV04" xfId="2458"/>
    <cellStyle name="_신태백(가실행)_양곡부두(투찰)-0.31%_합덕-신례원(2공구)투찰_봉무지방산업단지도로(투찰)②+0.250%" xfId="2459"/>
    <cellStyle name="_신태백(가실행)_양곡부두(투찰)-0.31%_합덕-신례원(2공구)투찰_봉무지방산업단지도로(투찰)②+0.250%_01 실행(군장산단) Rev00" xfId="2460"/>
    <cellStyle name="_신태백(가실행)_양곡부두(투찰)-0.31%_합덕-신례원(2공구)투찰_봉무지방산업단지도로(투찰)②+0.250%_01 실행(군장산단) Rev00_01 실행(부산남컨가호안109-원안분) REV04" xfId="2461"/>
    <cellStyle name="_신태백(가실행)_양곡부두(투찰)-0.31%_합덕-신례원(2공구)투찰_합덕-신례원(2공구)투찰" xfId="2462"/>
    <cellStyle name="_신태백(가실행)_양곡부두(투찰)-0.31%_합덕-신례원(2공구)투찰_합덕-신례원(2공구)투찰_01 실행(군장산단) Rev00" xfId="2463"/>
    <cellStyle name="_신태백(가실행)_양곡부두(투찰)-0.31%_합덕-신례원(2공구)투찰_합덕-신례원(2공구)투찰_01 실행(군장산단) Rev00_01 실행(부산남컨가호안109-원안분) REV04" xfId="2464"/>
    <cellStyle name="_신태백(가실행)_양곡부두(투찰)-0.31%_합덕-신례원(2공구)투찰_합덕-신례원(2공구)투찰_경찰서-터미널간도로(투찰)②" xfId="2465"/>
    <cellStyle name="_신태백(가실행)_양곡부두(투찰)-0.31%_합덕-신례원(2공구)투찰_합덕-신례원(2공구)투찰_경찰서-터미널간도로(투찰)②_01 실행(군장산단) Rev00" xfId="2466"/>
    <cellStyle name="_신태백(가실행)_양곡부두(투찰)-0.31%_합덕-신례원(2공구)투찰_합덕-신례원(2공구)투찰_경찰서-터미널간도로(투찰)②_01 실행(군장산단) Rev00_01 실행(부산남컨가호안109-원안분) REV04" xfId="2467"/>
    <cellStyle name="_신태백(가실행)_양곡부두(투찰)-0.31%_합덕-신례원(2공구)투찰_합덕-신례원(2공구)투찰_봉무지방산업단지도로(투찰)②" xfId="2468"/>
    <cellStyle name="_신태백(가실행)_양곡부두(투찰)-0.31%_합덕-신례원(2공구)투찰_합덕-신례원(2공구)투찰_봉무지방산업단지도로(투찰)②_01 실행(군장산단) Rev00" xfId="2469"/>
    <cellStyle name="_신태백(가실행)_양곡부두(투찰)-0.31%_합덕-신례원(2공구)투찰_합덕-신례원(2공구)투찰_봉무지방산업단지도로(투찰)②_01 실행(군장산단) Rev00_01 실행(부산남컨가호안109-원안분) REV04" xfId="2470"/>
    <cellStyle name="_신태백(가실행)_양곡부두(투찰)-0.31%_합덕-신례원(2공구)투찰_합덕-신례원(2공구)투찰_봉무지방산업단지도로(투찰)②+0.250%" xfId="2471"/>
    <cellStyle name="_신태백(가실행)_양곡부두(투찰)-0.31%_합덕-신례원(2공구)투찰_합덕-신례원(2공구)투찰_봉무지방산업단지도로(투찰)②+0.250%_01 실행(군장산단) Rev00" xfId="2472"/>
    <cellStyle name="_신태백(가실행)_양곡부두(투찰)-0.31%_합덕-신례원(2공구)투찰_합덕-신례원(2공구)투찰_봉무지방산업단지도로(투찰)②+0.250%_01 실행(군장산단) Rev00_01 실행(부산남컨가호안109-원안분) REV04" xfId="2473"/>
    <cellStyle name="_신태백(가실행)_창원상수도(토목)투찰" xfId="2474"/>
    <cellStyle name="_신태백(가실행)_창원상수도(토목)투찰_01 실행(군장산단) Rev00" xfId="2475"/>
    <cellStyle name="_신태백(가실행)_창원상수도(토목)투찰_01 실행(군장산단) Rev00_01 실행(부산남컨가호안109-원안분) REV04" xfId="2476"/>
    <cellStyle name="_신태백(가실행)_창원상수도(토목)투찰_경찰서-터미널간도로(투찰)②" xfId="2477"/>
    <cellStyle name="_신태백(가실행)_창원상수도(토목)투찰_경찰서-터미널간도로(투찰)②_01 실행(군장산단) Rev00" xfId="2478"/>
    <cellStyle name="_신태백(가실행)_창원상수도(토목)투찰_경찰서-터미널간도로(투찰)②_01 실행(군장산단) Rev00_01 실행(부산남컨가호안109-원안분) REV04" xfId="2479"/>
    <cellStyle name="_신태백(가실행)_창원상수도(토목)투찰_봉무지방산업단지도로(투찰)②" xfId="2480"/>
    <cellStyle name="_신태백(가실행)_창원상수도(토목)투찰_봉무지방산업단지도로(투찰)②_01 실행(군장산단) Rev00" xfId="2481"/>
    <cellStyle name="_신태백(가실행)_창원상수도(토목)투찰_봉무지방산업단지도로(투찰)②_01 실행(군장산단) Rev00_01 실행(부산남컨가호안109-원안분) REV04" xfId="2482"/>
    <cellStyle name="_신태백(가실행)_창원상수도(토목)투찰_봉무지방산업단지도로(투찰)②+0.250%" xfId="2483"/>
    <cellStyle name="_신태백(가실행)_창원상수도(토목)투찰_봉무지방산업단지도로(투찰)②+0.250%_01 실행(군장산단) Rev00" xfId="2484"/>
    <cellStyle name="_신태백(가실행)_창원상수도(토목)투찰_봉무지방산업단지도로(투찰)②+0.250%_01 실행(군장산단) Rev00_01 실행(부산남컨가호안109-원안분) REV04" xfId="2485"/>
    <cellStyle name="_신태백(가실행)_창원상수도(토목)투찰_합덕-신례원(2공구)투찰" xfId="2486"/>
    <cellStyle name="_신태백(가실행)_창원상수도(토목)투찰_합덕-신례원(2공구)투찰_01 실행(군장산단) Rev00" xfId="2487"/>
    <cellStyle name="_신태백(가실행)_창원상수도(토목)투찰_합덕-신례원(2공구)투찰_01 실행(군장산단) Rev00_01 실행(부산남컨가호안109-원안분) REV04" xfId="2488"/>
    <cellStyle name="_신태백(가실행)_창원상수도(토목)투찰_합덕-신례원(2공구)투찰_경찰서-터미널간도로(투찰)②" xfId="2489"/>
    <cellStyle name="_신태백(가실행)_창원상수도(토목)투찰_합덕-신례원(2공구)투찰_경찰서-터미널간도로(투찰)②_01 실행(군장산단) Rev00" xfId="2490"/>
    <cellStyle name="_신태백(가실행)_창원상수도(토목)투찰_합덕-신례원(2공구)투찰_경찰서-터미널간도로(투찰)②_01 실행(군장산단) Rev00_01 실행(부산남컨가호안109-원안분) REV04" xfId="2491"/>
    <cellStyle name="_신태백(가실행)_창원상수도(토목)투찰_합덕-신례원(2공구)투찰_봉무지방산업단지도로(투찰)②" xfId="2492"/>
    <cellStyle name="_신태백(가실행)_창원상수도(토목)투찰_합덕-신례원(2공구)투찰_봉무지방산업단지도로(투찰)②_01 실행(군장산단) Rev00" xfId="2493"/>
    <cellStyle name="_신태백(가실행)_창원상수도(토목)투찰_합덕-신례원(2공구)투찰_봉무지방산업단지도로(투찰)②_01 실행(군장산단) Rev00_01 실행(부산남컨가호안109-원안분) REV04" xfId="2494"/>
    <cellStyle name="_신태백(가실행)_창원상수도(토목)투찰_합덕-신례원(2공구)투찰_봉무지방산업단지도로(투찰)②+0.250%" xfId="2495"/>
    <cellStyle name="_신태백(가실행)_창원상수도(토목)투찰_합덕-신례원(2공구)투찰_봉무지방산업단지도로(투찰)②+0.250%_01 실행(군장산단) Rev00" xfId="2496"/>
    <cellStyle name="_신태백(가실행)_창원상수도(토목)투찰_합덕-신례원(2공구)투찰_봉무지방산업단지도로(투찰)②+0.250%_01 실행(군장산단) Rev00_01 실행(부산남컨가호안109-원안분) REV04" xfId="2497"/>
    <cellStyle name="_신태백(가실행)_창원상수도(토목)투찰_합덕-신례원(2공구)투찰_합덕-신례원(2공구)투찰" xfId="2498"/>
    <cellStyle name="_신태백(가실행)_창원상수도(토목)투찰_합덕-신례원(2공구)투찰_합덕-신례원(2공구)투찰_01 실행(군장산단) Rev00" xfId="2499"/>
    <cellStyle name="_신태백(가실행)_창원상수도(토목)투찰_합덕-신례원(2공구)투찰_합덕-신례원(2공구)투찰_01 실행(군장산단) Rev00_01 실행(부산남컨가호안109-원안분) REV04" xfId="2500"/>
    <cellStyle name="_신태백(가실행)_창원상수도(토목)투찰_합덕-신례원(2공구)투찰_합덕-신례원(2공구)투찰_경찰서-터미널간도로(투찰)②" xfId="2501"/>
    <cellStyle name="_신태백(가실행)_창원상수도(토목)투찰_합덕-신례원(2공구)투찰_합덕-신례원(2공구)투찰_경찰서-터미널간도로(투찰)②_01 실행(군장산단) Rev00" xfId="2502"/>
    <cellStyle name="_신태백(가실행)_창원상수도(토목)투찰_합덕-신례원(2공구)투찰_합덕-신례원(2공구)투찰_경찰서-터미널간도로(투찰)②_01 실행(군장산단) Rev00_01 실행(부산남컨가호안109-원안분) REV04" xfId="2503"/>
    <cellStyle name="_신태백(가실행)_창원상수도(토목)투찰_합덕-신례원(2공구)투찰_합덕-신례원(2공구)투찰_봉무지방산업단지도로(투찰)②" xfId="2504"/>
    <cellStyle name="_신태백(가실행)_창원상수도(토목)투찰_합덕-신례원(2공구)투찰_합덕-신례원(2공구)투찰_봉무지방산업단지도로(투찰)②_01 실행(군장산단) Rev00" xfId="2505"/>
    <cellStyle name="_신태백(가실행)_창원상수도(토목)투찰_합덕-신례원(2공구)투찰_합덕-신례원(2공구)투찰_봉무지방산업단지도로(투찰)②_01 실행(군장산단) Rev00_01 실행(부산남컨가호안109-원안분) REV04" xfId="2506"/>
    <cellStyle name="_신태백(가실행)_창원상수도(토목)투찰_합덕-신례원(2공구)투찰_합덕-신례원(2공구)투찰_봉무지방산업단지도로(투찰)②+0.250%" xfId="2507"/>
    <cellStyle name="_신태백(가실행)_창원상수도(토목)투찰_합덕-신례원(2공구)투찰_합덕-신례원(2공구)투찰_봉무지방산업단지도로(투찰)②+0.250%_01 실행(군장산단) Rev00" xfId="2508"/>
    <cellStyle name="_신태백(가실행)_창원상수도(토목)투찰_합덕-신례원(2공구)투찰_합덕-신례원(2공구)투찰_봉무지방산업단지도로(투찰)②+0.250%_01 실행(군장산단) Rev00_01 실행(부산남컨가호안109-원안분) REV04" xfId="2509"/>
    <cellStyle name="_신태백(가실행)_합덕-신례원(2공구)투찰" xfId="2510"/>
    <cellStyle name="_신태백(가실행)_합덕-신례원(2공구)투찰_01 실행(군장산단) Rev00" xfId="2511"/>
    <cellStyle name="_신태백(가실행)_합덕-신례원(2공구)투찰_01 실행(군장산단) Rev00_01 실행(부산남컨가호안109-원안분) REV04" xfId="2512"/>
    <cellStyle name="_신태백(가실행)_합덕-신례원(2공구)투찰_경찰서-터미널간도로(투찰)②" xfId="2513"/>
    <cellStyle name="_신태백(가실행)_합덕-신례원(2공구)투찰_경찰서-터미널간도로(투찰)②_01 실행(군장산단) Rev00" xfId="2514"/>
    <cellStyle name="_신태백(가실행)_합덕-신례원(2공구)투찰_경찰서-터미널간도로(투찰)②_01 실행(군장산단) Rev00_01 실행(부산남컨가호안109-원안분) REV04" xfId="2515"/>
    <cellStyle name="_신태백(가실행)_합덕-신례원(2공구)투찰_봉무지방산업단지도로(투찰)②" xfId="2516"/>
    <cellStyle name="_신태백(가실행)_합덕-신례원(2공구)투찰_봉무지방산업단지도로(투찰)②_01 실행(군장산단) Rev00" xfId="2517"/>
    <cellStyle name="_신태백(가실행)_합덕-신례원(2공구)투찰_봉무지방산업단지도로(투찰)②_01 실행(군장산단) Rev00_01 실행(부산남컨가호안109-원안분) REV04" xfId="2518"/>
    <cellStyle name="_신태백(가실행)_합덕-신례원(2공구)투찰_봉무지방산업단지도로(투찰)②+0.250%" xfId="2519"/>
    <cellStyle name="_신태백(가실행)_합덕-신례원(2공구)투찰_봉무지방산업단지도로(투찰)②+0.250%_01 실행(군장산단) Rev00" xfId="2520"/>
    <cellStyle name="_신태백(가실행)_합덕-신례원(2공구)투찰_봉무지방산업단지도로(투찰)②+0.250%_01 실행(군장산단) Rev00_01 실행(부산남컨가호안109-원안분) REV04" xfId="2521"/>
    <cellStyle name="_신태백(가실행)_합덕-신례원(2공구)투찰_합덕-신례원(2공구)투찰" xfId="2522"/>
    <cellStyle name="_신태백(가실행)_합덕-신례원(2공구)투찰_합덕-신례원(2공구)투찰_01 실행(군장산단) Rev00" xfId="2523"/>
    <cellStyle name="_신태백(가실행)_합덕-신례원(2공구)투찰_합덕-신례원(2공구)투찰_01 실행(군장산단) Rev00_01 실행(부산남컨가호안109-원안분) REV04" xfId="2524"/>
    <cellStyle name="_신태백(가실행)_합덕-신례원(2공구)투찰_합덕-신례원(2공구)투찰_경찰서-터미널간도로(투찰)②" xfId="2525"/>
    <cellStyle name="_신태백(가실행)_합덕-신례원(2공구)투찰_합덕-신례원(2공구)투찰_경찰서-터미널간도로(투찰)②_01 실행(군장산단) Rev00" xfId="2526"/>
    <cellStyle name="_신태백(가실행)_합덕-신례원(2공구)투찰_합덕-신례원(2공구)투찰_경찰서-터미널간도로(투찰)②_01 실행(군장산단) Rev00_01 실행(부산남컨가호안109-원안분) REV04" xfId="2527"/>
    <cellStyle name="_신태백(가실행)_합덕-신례원(2공구)투찰_합덕-신례원(2공구)투찰_봉무지방산업단지도로(투찰)②" xfId="2528"/>
    <cellStyle name="_신태백(가실행)_합덕-신례원(2공구)투찰_합덕-신례원(2공구)투찰_봉무지방산업단지도로(투찰)②_01 실행(군장산단) Rev00" xfId="2529"/>
    <cellStyle name="_신태백(가실행)_합덕-신례원(2공구)투찰_합덕-신례원(2공구)투찰_봉무지방산업단지도로(투찰)②_01 실행(군장산단) Rev00_01 실행(부산남컨가호안109-원안분) REV04" xfId="2530"/>
    <cellStyle name="_신태백(가실행)_합덕-신례원(2공구)투찰_합덕-신례원(2공구)투찰_봉무지방산업단지도로(투찰)②+0.250%" xfId="2531"/>
    <cellStyle name="_신태백(가실행)_합덕-신례원(2공구)투찰_합덕-신례원(2공구)투찰_봉무지방산업단지도로(투찰)②+0.250%_01 실행(군장산단) Rev00" xfId="2532"/>
    <cellStyle name="_신태백(가실행)_합덕-신례원(2공구)투찰_합덕-신례원(2공구)투찰_봉무지방산업단지도로(투찰)②+0.250%_01 실행(군장산단) Rev00_01 실행(부산남컨가호안109-원안분) REV04" xfId="2533"/>
    <cellStyle name="_신태백(투찰내역)2" xfId="2534"/>
    <cellStyle name="_신호경대리 송부" xfId="9866"/>
    <cellStyle name="_신호공사견적내역서" xfId="9867"/>
    <cellStyle name="_신호제어_무선전송장치_내역서" xfId="12599"/>
    <cellStyle name="_신호현자재내역 의정부" xfId="9868"/>
    <cellStyle name="_신호현자재내역 의정부_동양비원컴" xfId="9869"/>
    <cellStyle name="_신호현자재내역 의정부_두산오토2" xfId="9870"/>
    <cellStyle name="_신호현자재내역 의정부_의정부" xfId="9871"/>
    <cellStyle name="_신호현자재내역 의정부_의정부_동양비원컴" xfId="9872"/>
    <cellStyle name="_신호현자재내역 의정부_의정부_두산오토2" xfId="9873"/>
    <cellStyle name="_신호현자재내역 의정부_의정부_중구청소년수련관" xfId="9874"/>
    <cellStyle name="_신호현자재내역 의정부_의정부_파워콤기별" xfId="9875"/>
    <cellStyle name="_신호현자재내역 의정부_의정부_파워콤기별_파워콤기별" xfId="9876"/>
    <cellStyle name="_신호현자재내역 의정부_중구청소년수련관" xfId="9877"/>
    <cellStyle name="_신호현자재내역 의정부_파워콤기별" xfId="9878"/>
    <cellStyle name="_신호현자재내역 의정부_파워콤기별_파워콤기별" xfId="9879"/>
    <cellStyle name="_실사보고양식" xfId="9880"/>
    <cellStyle name="_심사부증설(031001)" xfId="9881"/>
    <cellStyle name="_씨디네트웍스DL380G4,DL360G4,MSA20-0127" xfId="9882"/>
    <cellStyle name="_씨디네트웍스DL380R04X3.0-1M 800MHz 1GB-1231" xfId="9883"/>
    <cellStyle name="_아세아철강-250" xfId="9884"/>
    <cellStyle name="_아이테니움견적샘플" xfId="9885"/>
    <cellStyle name="_아인스시스템_견적요청" xfId="9886"/>
    <cellStyle name="_아파트" xfId="9887"/>
    <cellStyle name="_안동 전통문화 콘텐츠 박물관 신축공사 - 전기설비" xfId="9888"/>
    <cellStyle name="_안동시우회도로(투찰)-0.341%" xfId="2535"/>
    <cellStyle name="_안동전통문화콘텐츠박물관전시영상물구축(전시시설물)" xfId="9889"/>
    <cellStyle name="_안동컨트리클럽-품셈기준" xfId="2536"/>
    <cellStyle name="_안동컨트리클럽-품셈기준(단계별수정)" xfId="2537"/>
    <cellStyle name="_안락대덕복명" xfId="9890"/>
    <cellStyle name="_안락대덕-착공" xfId="9891"/>
    <cellStyle name="_안림도로-착공" xfId="9892"/>
    <cellStyle name="_안면도 지포지구-품셈기준" xfId="2538"/>
    <cellStyle name="_안산 홈플러스 건축 가실행(0301-최종)" xfId="12600"/>
    <cellStyle name="_안산부대(투찰)⑤" xfId="2539"/>
    <cellStyle name="_안산부대(투찰)⑤_01 실행(군장산단) Rev00" xfId="2540"/>
    <cellStyle name="_안산부대(투찰)⑤_01 실행(군장산단) Rev00_01 실행(부산남컨가호안109-원안분) REV04" xfId="2541"/>
    <cellStyle name="_안산부대(투찰)⑤_경찰서-터미널간도로(투찰)②" xfId="2542"/>
    <cellStyle name="_안산부대(투찰)⑤_경찰서-터미널간도로(투찰)②_01 실행(군장산단) Rev00" xfId="2543"/>
    <cellStyle name="_안산부대(투찰)⑤_경찰서-터미널간도로(투찰)②_01 실행(군장산단) Rev00_01 실행(부산남컨가호안109-원안분) REV04" xfId="2544"/>
    <cellStyle name="_안산부대(투찰)⑤_봉무지방산업단지도로(투찰)②" xfId="2545"/>
    <cellStyle name="_안산부대(투찰)⑤_봉무지방산업단지도로(투찰)②_01 실행(군장산단) Rev00" xfId="2546"/>
    <cellStyle name="_안산부대(투찰)⑤_봉무지방산업단지도로(투찰)②_01 실행(군장산단) Rev00_01 실행(부산남컨가호안109-원안분) REV04" xfId="2547"/>
    <cellStyle name="_안산부대(투찰)⑤_봉무지방산업단지도로(투찰)②+0.250%" xfId="2548"/>
    <cellStyle name="_안산부대(투찰)⑤_봉무지방산업단지도로(투찰)②+0.250%_01 실행(군장산단) Rev00" xfId="2549"/>
    <cellStyle name="_안산부대(투찰)⑤_봉무지방산업단지도로(투찰)②+0.250%_01 실행(군장산단) Rev00_01 실행(부산남컨가호안109-원안분) REV04" xfId="2550"/>
    <cellStyle name="_안산부대(투찰)⑤_합덕-신례원(2공구)투찰" xfId="2551"/>
    <cellStyle name="_안산부대(투찰)⑤_합덕-신례원(2공구)투찰_01 실행(군장산단) Rev00" xfId="2552"/>
    <cellStyle name="_안산부대(투찰)⑤_합덕-신례원(2공구)투찰_01 실행(군장산단) Rev00_01 실행(부산남컨가호안109-원안분) REV04" xfId="2553"/>
    <cellStyle name="_안산부대(투찰)⑤_합덕-신례원(2공구)투찰_경찰서-터미널간도로(투찰)②" xfId="2554"/>
    <cellStyle name="_안산부대(투찰)⑤_합덕-신례원(2공구)투찰_경찰서-터미널간도로(투찰)②_01 실행(군장산단) Rev00" xfId="2555"/>
    <cellStyle name="_안산부대(투찰)⑤_합덕-신례원(2공구)투찰_경찰서-터미널간도로(투찰)②_01 실행(군장산단) Rev00_01 실행(부산남컨가호안109-원안분) REV04" xfId="2556"/>
    <cellStyle name="_안산부대(투찰)⑤_합덕-신례원(2공구)투찰_봉무지방산업단지도로(투찰)②" xfId="2557"/>
    <cellStyle name="_안산부대(투찰)⑤_합덕-신례원(2공구)투찰_봉무지방산업단지도로(투찰)②_01 실행(군장산단) Rev00" xfId="2558"/>
    <cellStyle name="_안산부대(투찰)⑤_합덕-신례원(2공구)투찰_봉무지방산업단지도로(투찰)②_01 실행(군장산단) Rev00_01 실행(부산남컨가호안109-원안분) REV04" xfId="2559"/>
    <cellStyle name="_안산부대(투찰)⑤_합덕-신례원(2공구)투찰_봉무지방산업단지도로(투찰)②+0.250%" xfId="2560"/>
    <cellStyle name="_안산부대(투찰)⑤_합덕-신례원(2공구)투찰_봉무지방산업단지도로(투찰)②+0.250%_01 실행(군장산단) Rev00" xfId="2561"/>
    <cellStyle name="_안산부대(투찰)⑤_합덕-신례원(2공구)투찰_봉무지방산업단지도로(투찰)②+0.250%_01 실행(군장산단) Rev00_01 실행(부산남컨가호안109-원안분) REV04" xfId="2562"/>
    <cellStyle name="_안산부대(투찰)⑤_합덕-신례원(2공구)투찰_합덕-신례원(2공구)투찰" xfId="2563"/>
    <cellStyle name="_안산부대(투찰)⑤_합덕-신례원(2공구)투찰_합덕-신례원(2공구)투찰_01 실행(군장산단) Rev00" xfId="2564"/>
    <cellStyle name="_안산부대(투찰)⑤_합덕-신례원(2공구)투찰_합덕-신례원(2공구)투찰_01 실행(군장산단) Rev00_01 실행(부산남컨가호안109-원안분) REV04" xfId="2565"/>
    <cellStyle name="_안산부대(투찰)⑤_합덕-신례원(2공구)투찰_합덕-신례원(2공구)투찰_경찰서-터미널간도로(투찰)②" xfId="2566"/>
    <cellStyle name="_안산부대(투찰)⑤_합덕-신례원(2공구)투찰_합덕-신례원(2공구)투찰_경찰서-터미널간도로(투찰)②_01 실행(군장산단) Rev00" xfId="2567"/>
    <cellStyle name="_안산부대(투찰)⑤_합덕-신례원(2공구)투찰_합덕-신례원(2공구)투찰_경찰서-터미널간도로(투찰)②_01 실행(군장산단) Rev00_01 실행(부산남컨가호안109-원안분) REV04" xfId="2568"/>
    <cellStyle name="_안산부대(투찰)⑤_합덕-신례원(2공구)투찰_합덕-신례원(2공구)투찰_봉무지방산업단지도로(투찰)②" xfId="2569"/>
    <cellStyle name="_안산부대(투찰)⑤_합덕-신례원(2공구)투찰_합덕-신례원(2공구)투찰_봉무지방산업단지도로(투찰)②_01 실행(군장산단) Rev00" xfId="2570"/>
    <cellStyle name="_안산부대(투찰)⑤_합덕-신례원(2공구)투찰_합덕-신례원(2공구)투찰_봉무지방산업단지도로(투찰)②_01 실행(군장산단) Rev00_01 실행(부산남컨가호안109-원안분) REV04" xfId="2571"/>
    <cellStyle name="_안산부대(투찰)⑤_합덕-신례원(2공구)투찰_합덕-신례원(2공구)투찰_봉무지방산업단지도로(투찰)②+0.250%" xfId="2572"/>
    <cellStyle name="_안산부대(투찰)⑤_합덕-신례원(2공구)투찰_합덕-신례원(2공구)투찰_봉무지방산업단지도로(투찰)②+0.250%_01 실행(군장산단) Rev00" xfId="2573"/>
    <cellStyle name="_안산부대(투찰)⑤_합덕-신례원(2공구)투찰_합덕-신례원(2공구)투찰_봉무지방산업단지도로(투찰)②+0.250%_01 실행(군장산단) Rev00_01 실행(부산남컨가호안109-원안분) REV04" xfId="2574"/>
    <cellStyle name="_안성시 GIS 총괄 설계내역서_1.0" xfId="2575"/>
    <cellStyle name="_안심교량" xfId="9893"/>
    <cellStyle name="_안심변경" xfId="9894"/>
    <cellStyle name="_안심착공" xfId="9895"/>
    <cellStyle name="_안테나 단가(대구지사) 03_01_08" xfId="9896"/>
    <cellStyle name="_암  거" xfId="2576"/>
    <cellStyle name="_암  거_04포장공" xfId="9897"/>
    <cellStyle name="_암  거_3.구조물공" xfId="9898"/>
    <cellStyle name="_암  거_3.구조물공_04포장공" xfId="9899"/>
    <cellStyle name="_암  거_3.구조물공_3.구조물공" xfId="9900"/>
    <cellStyle name="_암  거_3.구조물공_3.구조물공_04포장공" xfId="9901"/>
    <cellStyle name="_암  거_3.구조물공_3.물공" xfId="9902"/>
    <cellStyle name="_암  거_3.구조물공_3.물공_04포장공" xfId="9903"/>
    <cellStyle name="_암  거_3.구조물공_보수량집계(우근)" xfId="9904"/>
    <cellStyle name="_암  거_3.구조물공_보수량집계(우근)_04포장공" xfId="9905"/>
    <cellStyle name="_암  거_3.구조물공_석축" xfId="9906"/>
    <cellStyle name="_암  거_3.구조물공_석축_04포장공" xfId="9907"/>
    <cellStyle name="_암  거_두릉1제 수량산출서" xfId="2577"/>
    <cellStyle name="_암  거_배수구조물공" xfId="9908"/>
    <cellStyle name="_암  거_배수구조물공_04포장공" xfId="9909"/>
    <cellStyle name="_암  거_배수구조물공_3.구조물공" xfId="9910"/>
    <cellStyle name="_암  거_배수구조물공_3.구조물공_04포장공" xfId="9911"/>
    <cellStyle name="_암  거_배수구조물공_3.구조물공_3.구조물공" xfId="9912"/>
    <cellStyle name="_암  거_배수구조물공_3.구조물공_3.구조물공_04포장공" xfId="9913"/>
    <cellStyle name="_암  거_배수구조물공_3.구조물공_3.물공" xfId="9914"/>
    <cellStyle name="_암  거_배수구조물공_3.구조물공_3.물공_04포장공" xfId="9915"/>
    <cellStyle name="_암  거_배수구조물공_3.구조물공_보수량집계(우근)" xfId="9916"/>
    <cellStyle name="_암  거_배수구조물공_3.구조물공_보수량집계(우근)_04포장공" xfId="9917"/>
    <cellStyle name="_암  거_배수구조물공_3.구조물공_석축" xfId="9918"/>
    <cellStyle name="_암  거_배수구조물공_3.구조물공_석축_04포장공" xfId="9919"/>
    <cellStyle name="_암  거_우수집수정U형집계" xfId="9920"/>
    <cellStyle name="_암  거_우수집수정U형집계_04포장공" xfId="9921"/>
    <cellStyle name="_암  거_우수집수정U형집계_3.구조물공" xfId="9922"/>
    <cellStyle name="_암  거_우수집수정U형집계_3.구조물공_04포장공" xfId="9923"/>
    <cellStyle name="_암  거_우수집수정U형집계_3.구조물공_3.구조물공" xfId="9924"/>
    <cellStyle name="_암  거_우수집수정U형집계_3.구조물공_3.구조물공_04포장공" xfId="9925"/>
    <cellStyle name="_암  거_우수집수정U형집계_3.구조물공_3.물공" xfId="9926"/>
    <cellStyle name="_암  거_우수집수정U형집계_3.구조물공_3.물공_04포장공" xfId="9927"/>
    <cellStyle name="_암  거_우수집수정U형집계_3.구조물공_보수량집계(우근)" xfId="9928"/>
    <cellStyle name="_암  거_우수집수정U형집계_3.구조물공_보수량집계(우근)_04포장공" xfId="9929"/>
    <cellStyle name="_암  거_우수집수정U형집계_3.구조물공_석축" xfId="9930"/>
    <cellStyle name="_암  거_우수집수정U형집계_3.구조물공_석축_04포장공" xfId="9931"/>
    <cellStyle name="_암  거_인계1공구 수량산출" xfId="2578"/>
    <cellStyle name="_암  거_총자재집계표" xfId="2579"/>
    <cellStyle name="_암  거_콘크리트포장공" xfId="9932"/>
    <cellStyle name="_암  거_콘크리트포장공_03포장공" xfId="9933"/>
    <cellStyle name="_암  거_콘크리트포장공_03포장공_04포장공" xfId="9934"/>
    <cellStyle name="_암  거_콘크리트포장공_04포장공" xfId="9935"/>
    <cellStyle name="_암  거_콘크리트포장공_14수량산출서" xfId="9936"/>
    <cellStyle name="_암  거_콘크리트포장공_14수량산출서_04포장공" xfId="9937"/>
    <cellStyle name="_암  거_콘크리트포장공_수량산출서" xfId="9938"/>
    <cellStyle name="_암  거04" xfId="2580"/>
    <cellStyle name="_암  거04_04포장공" xfId="9939"/>
    <cellStyle name="_암  거04_3.구조물공" xfId="9940"/>
    <cellStyle name="_암  거04_3.구조물공_04포장공" xfId="9941"/>
    <cellStyle name="_암  거04_3.구조물공_3.구조물공" xfId="9942"/>
    <cellStyle name="_암  거04_3.구조물공_3.구조물공_04포장공" xfId="9943"/>
    <cellStyle name="_암  거04_3.구조물공_3.물공" xfId="9944"/>
    <cellStyle name="_암  거04_3.구조물공_3.물공_04포장공" xfId="9945"/>
    <cellStyle name="_암  거04_3.구조물공_보수량집계(우근)" xfId="9946"/>
    <cellStyle name="_암  거04_3.구조물공_보수량집계(우근)_04포장공" xfId="9947"/>
    <cellStyle name="_암  거04_3.구조물공_석축" xfId="9948"/>
    <cellStyle name="_암  거04_3.구조물공_석축_04포장공" xfId="9949"/>
    <cellStyle name="_암  거04_두릉1제 수량산출서" xfId="2581"/>
    <cellStyle name="_암  거04_배수구조물공" xfId="9950"/>
    <cellStyle name="_암  거04_배수구조물공_04포장공" xfId="9951"/>
    <cellStyle name="_암  거04_배수구조물공_3.구조물공" xfId="9952"/>
    <cellStyle name="_암  거04_배수구조물공_3.구조물공_04포장공" xfId="9953"/>
    <cellStyle name="_암  거04_배수구조물공_3.구조물공_3.구조물공" xfId="9954"/>
    <cellStyle name="_암  거04_배수구조물공_3.구조물공_3.구조물공_04포장공" xfId="9955"/>
    <cellStyle name="_암  거04_배수구조물공_3.구조물공_3.물공" xfId="9956"/>
    <cellStyle name="_암  거04_배수구조물공_3.구조물공_3.물공_04포장공" xfId="9957"/>
    <cellStyle name="_암  거04_배수구조물공_3.구조물공_보수량집계(우근)" xfId="9958"/>
    <cellStyle name="_암  거04_배수구조물공_3.구조물공_보수량집계(우근)_04포장공" xfId="9959"/>
    <cellStyle name="_암  거04_배수구조물공_3.구조물공_석축" xfId="9960"/>
    <cellStyle name="_암  거04_배수구조물공_3.구조물공_석축_04포장공" xfId="9961"/>
    <cellStyle name="_암  거04_우수집수정U형집계" xfId="9962"/>
    <cellStyle name="_암  거04_우수집수정U형집계_04포장공" xfId="9963"/>
    <cellStyle name="_암  거04_우수집수정U형집계_3.구조물공" xfId="9964"/>
    <cellStyle name="_암  거04_우수집수정U형집계_3.구조물공_04포장공" xfId="9965"/>
    <cellStyle name="_암  거04_우수집수정U형집계_3.구조물공_3.구조물공" xfId="9966"/>
    <cellStyle name="_암  거04_우수집수정U형집계_3.구조물공_3.구조물공_04포장공" xfId="9967"/>
    <cellStyle name="_암  거04_우수집수정U형집계_3.구조물공_3.물공" xfId="9968"/>
    <cellStyle name="_암  거04_우수집수정U형집계_3.구조물공_3.물공_04포장공" xfId="9969"/>
    <cellStyle name="_암  거04_우수집수정U형집계_3.구조물공_보수량집계(우근)" xfId="9970"/>
    <cellStyle name="_암  거04_우수집수정U형집계_3.구조물공_보수량집계(우근)_04포장공" xfId="9971"/>
    <cellStyle name="_암  거04_우수집수정U형집계_3.구조물공_석축" xfId="9972"/>
    <cellStyle name="_암  거04_우수집수정U형집계_3.구조물공_석축_04포장공" xfId="9973"/>
    <cellStyle name="_암  거04_인계1공구 수량산출" xfId="2582"/>
    <cellStyle name="_암  거04_총자재집계표" xfId="2583"/>
    <cellStyle name="_암  거04_콘크리트포장공" xfId="9974"/>
    <cellStyle name="_암  거04_콘크리트포장공_03포장공" xfId="9975"/>
    <cellStyle name="_암  거04_콘크리트포장공_03포장공_04포장공" xfId="9976"/>
    <cellStyle name="_암  거04_콘크리트포장공_04포장공" xfId="9977"/>
    <cellStyle name="_암  거04_콘크리트포장공_14수량산출서" xfId="9978"/>
    <cellStyle name="_암  거04_콘크리트포장공_14수량산출서_04포장공" xfId="9979"/>
    <cellStyle name="_암  거04_콘크리트포장공_수량산출서" xfId="9980"/>
    <cellStyle name="_암거공" xfId="2584"/>
    <cellStyle name="_암거수량" xfId="2585"/>
    <cellStyle name="_암거수량(2)" xfId="2586"/>
    <cellStyle name="_암거수량(2)_04 BOX집" xfId="2587"/>
    <cellStyle name="_암거수량(2)_1련BOX" xfId="9981"/>
    <cellStyle name="_암거수량(2)_2련BOX" xfId="9982"/>
    <cellStyle name="_암거수량(2)_3.1제1배수통관(시례우안3제)" xfId="9983"/>
    <cellStyle name="_암거수량(2)_3.2 제2배수통관" xfId="9984"/>
    <cellStyle name="_암거수량(2)_3.3 제3배수통관" xfId="9985"/>
    <cellStyle name="_암거수량(2)_3.구조물공(시례우안2제)" xfId="9986"/>
    <cellStyle name="_암거수량_04 BOX집" xfId="2588"/>
    <cellStyle name="_암거수량_1련BOX" xfId="9987"/>
    <cellStyle name="_암거수량_2련BOX" xfId="9988"/>
    <cellStyle name="_암거수량_3.1제1배수통관(시례우안3제)" xfId="9989"/>
    <cellStyle name="_암거수량_3.2 제2배수통관" xfId="9990"/>
    <cellStyle name="_암거수량_3.3 제3배수통관" xfId="9991"/>
    <cellStyle name="_암거수량_3.구조물공(시례우안2제)" xfId="9992"/>
    <cellStyle name="_암파쇄(단가)" xfId="9993"/>
    <cellStyle name="_앙성수량총괄(관수정)" xfId="2589"/>
    <cellStyle name="_앙성수량총괄(관수정)_1" xfId="2590"/>
    <cellStyle name="_앙성수량총괄(관수정)_2" xfId="2591"/>
    <cellStyle name="_앙성수량총괄(관수정)_2_대부리총괄수량집계표" xfId="2592"/>
    <cellStyle name="_앙성수량총괄(관수정)_대부리총괄수량집계표" xfId="2593"/>
    <cellStyle name="_애니모스 (3)" xfId="9994"/>
    <cellStyle name="_애막골" xfId="9995"/>
    <cellStyle name="_애막골,퇴계동,칠전동도로굴착지장이설" xfId="9996"/>
    <cellStyle name="_애막골관로" xfId="9997"/>
    <cellStyle name="_양곡부두(투찰)+0.30%" xfId="2594"/>
    <cellStyle name="_양곡부두(투찰)-0.31%" xfId="2595"/>
    <cellStyle name="_양산시 가격설계내역서_1" xfId="2596"/>
    <cellStyle name="_양식" xfId="2597"/>
    <cellStyle name="_양식_1" xfId="2598"/>
    <cellStyle name="_양식_2" xfId="2599"/>
    <cellStyle name="_어린이도서관주차장설치공사" xfId="2600"/>
    <cellStyle name="_에너지테마조성사업용역비" xfId="2601"/>
    <cellStyle name="_에너지테마조성사업용역비(제영향평가)" xfId="2602"/>
    <cellStyle name="_에니모스-040419-280-발송용" xfId="9998"/>
    <cellStyle name="_에니모스-040707-480-210-T3-Rack-발송용" xfId="9999"/>
    <cellStyle name="_에스엘 e-HR 구축 견적서(2007.02.07)_인프라" xfId="10000"/>
    <cellStyle name="_에이원정보기술 견적서_메리츠증권_080415" xfId="10001"/>
    <cellStyle name="_에즈웰견적서sample_정남억" xfId="10002"/>
    <cellStyle name="_엔네트 041227 350 웨어밸리" xfId="10003"/>
    <cellStyle name="_여수화양지구 견적서" xfId="2603"/>
    <cellStyle name="_연꽃공원 조성사업(변경)" xfId="2604"/>
    <cellStyle name="_연도별 장비소요예산" xfId="10004"/>
    <cellStyle name="_연도별 장비소요예산_v2" xfId="10005"/>
    <cellStyle name="_연인산도립공원 자연환경지구 재정비계획수립용역" xfId="2605"/>
    <cellStyle name="_연천관리계획용역 내역서" xfId="2606"/>
    <cellStyle name="_연천군 관리계획용역 설계서" xfId="2607"/>
    <cellStyle name="_연하지수량" xfId="10006"/>
    <cellStyle name="_연합_신세기2차" xfId="10007"/>
    <cellStyle name="_연화지제(3공구) 수량" xfId="2608"/>
    <cellStyle name="_연화지제(3공구) 수량_04포장공" xfId="10008"/>
    <cellStyle name="_연화지제(3공구) 수량_3.구조물공" xfId="10009"/>
    <cellStyle name="_연화지제(3공구) 수량_3.구조물공_04포장공" xfId="10010"/>
    <cellStyle name="_연화지제(3공구) 수량_3.구조물공_3.구조물공" xfId="10011"/>
    <cellStyle name="_연화지제(3공구) 수량_3.구조물공_3.구조물공_04포장공" xfId="10012"/>
    <cellStyle name="_연화지제(3공구) 수량_3.구조물공_3.물공" xfId="10013"/>
    <cellStyle name="_연화지제(3공구) 수량_3.구조물공_3.물공_04포장공" xfId="10014"/>
    <cellStyle name="_연화지제(3공구) 수량_3.구조물공_보수량집계(우근)" xfId="10015"/>
    <cellStyle name="_연화지제(3공구) 수량_3.구조물공_보수량집계(우근)_04포장공" xfId="10016"/>
    <cellStyle name="_연화지제(3공구) 수량_3.구조물공_석축" xfId="10017"/>
    <cellStyle name="_연화지제(3공구) 수량_3.구조물공_석축_04포장공" xfId="10018"/>
    <cellStyle name="_연화지제(3공구) 수량_두릉1제 수량산출서" xfId="2609"/>
    <cellStyle name="_연화지제(3공구) 수량_배수구조물공" xfId="10019"/>
    <cellStyle name="_연화지제(3공구) 수량_배수구조물공_04포장공" xfId="10020"/>
    <cellStyle name="_연화지제(3공구) 수량_배수구조물공_3.구조물공" xfId="10021"/>
    <cellStyle name="_연화지제(3공구) 수량_배수구조물공_3.구조물공_04포장공" xfId="10022"/>
    <cellStyle name="_연화지제(3공구) 수량_배수구조물공_3.구조물공_3.구조물공" xfId="10023"/>
    <cellStyle name="_연화지제(3공구) 수량_배수구조물공_3.구조물공_3.구조물공_04포장공" xfId="10024"/>
    <cellStyle name="_연화지제(3공구) 수량_배수구조물공_3.구조물공_3.물공" xfId="10025"/>
    <cellStyle name="_연화지제(3공구) 수량_배수구조물공_3.구조물공_3.물공_04포장공" xfId="10026"/>
    <cellStyle name="_연화지제(3공구) 수량_배수구조물공_3.구조물공_보수량집계(우근)" xfId="10027"/>
    <cellStyle name="_연화지제(3공구) 수량_배수구조물공_3.구조물공_보수량집계(우근)_04포장공" xfId="10028"/>
    <cellStyle name="_연화지제(3공구) 수량_배수구조물공_3.구조물공_석축" xfId="10029"/>
    <cellStyle name="_연화지제(3공구) 수량_배수구조물공_3.구조물공_석축_04포장공" xfId="10030"/>
    <cellStyle name="_연화지제(3공구) 수량_우수집수정U형집계" xfId="10031"/>
    <cellStyle name="_연화지제(3공구) 수량_우수집수정U형집계_04포장공" xfId="10032"/>
    <cellStyle name="_연화지제(3공구) 수량_우수집수정U형집계_3.구조물공" xfId="10033"/>
    <cellStyle name="_연화지제(3공구) 수량_우수집수정U형집계_3.구조물공_04포장공" xfId="10034"/>
    <cellStyle name="_연화지제(3공구) 수량_우수집수정U형집계_3.구조물공_3.구조물공" xfId="10035"/>
    <cellStyle name="_연화지제(3공구) 수량_우수집수정U형집계_3.구조물공_3.구조물공_04포장공" xfId="10036"/>
    <cellStyle name="_연화지제(3공구) 수량_우수집수정U형집계_3.구조물공_3.물공" xfId="10037"/>
    <cellStyle name="_연화지제(3공구) 수량_우수집수정U형집계_3.구조물공_3.물공_04포장공" xfId="10038"/>
    <cellStyle name="_연화지제(3공구) 수량_우수집수정U형집계_3.구조물공_보수량집계(우근)" xfId="10039"/>
    <cellStyle name="_연화지제(3공구) 수량_우수집수정U형집계_3.구조물공_보수량집계(우근)_04포장공" xfId="10040"/>
    <cellStyle name="_연화지제(3공구) 수량_우수집수정U형집계_3.구조물공_석축" xfId="10041"/>
    <cellStyle name="_연화지제(3공구) 수량_우수집수정U형집계_3.구조물공_석축_04포장공" xfId="10042"/>
    <cellStyle name="_연화지제(3공구) 수량_인계1공구 수량산출" xfId="2610"/>
    <cellStyle name="_연화지제(3공구) 수량_총자재집계표" xfId="2611"/>
    <cellStyle name="_연화지제(3공구) 수량_콘크리트포장공" xfId="10043"/>
    <cellStyle name="_연화지제(3공구) 수량_콘크리트포장공_03포장공" xfId="10044"/>
    <cellStyle name="_연화지제(3공구) 수량_콘크리트포장공_03포장공_04포장공" xfId="10045"/>
    <cellStyle name="_연화지제(3공구) 수량_콘크리트포장공_04포장공" xfId="10046"/>
    <cellStyle name="_연화지제(3공구) 수량_콘크리트포장공_14수량산출서" xfId="10047"/>
    <cellStyle name="_연화지제(3공구) 수량_콘크리트포장공_14수량산출서_04포장공" xfId="10048"/>
    <cellStyle name="_연화지제(3공구) 수량_콘크리트포장공_수량산출서" xfId="10049"/>
    <cellStyle name="_연희,마전,가정,크리스탈" xfId="10050"/>
    <cellStyle name="_영광군설계서_전체" xfId="10051"/>
    <cellStyle name="_영광항공측량" xfId="2612"/>
    <cellStyle name="_영덕_지적고시060530" xfId="2613"/>
    <cellStyle name="_영덕_지형도면고시060529" xfId="2614"/>
    <cellStyle name="_영덕강변근린공원 내역서" xfId="2615"/>
    <cellStyle name="_영덕산림문화내역-조경부총괄표" xfId="2616"/>
    <cellStyle name="_영덕지형_내역서070806" xfId="2617"/>
    <cellStyle name="_영림원020627(X250)-홍승린" xfId="12601"/>
    <cellStyle name="_영양관리및지형도면" xfId="2618"/>
    <cellStyle name="_영양도면제작지적고시" xfId="2619"/>
    <cellStyle name="_영양적성평가관리계획내역서" xfId="2620"/>
    <cellStyle name="_영업실행(을지)-2" xfId="12602"/>
    <cellStyle name="_영업실행원가내역" xfId="12603"/>
    <cellStyle name="_영업실행원가내역(을지)_대호_rev2" xfId="12604"/>
    <cellStyle name="_영업실행원가내역(을지)-2" xfId="12605"/>
    <cellStyle name="_영월공가자료(KBS법원세무서농산물)" xfId="10052"/>
    <cellStyle name="_영주시 oo일원 항공사진측량 용역" xfId="2621"/>
    <cellStyle name="_영주시 OO일원 항공사진측량(설계내역서)" xfId="2622"/>
    <cellStyle name="_영주시-계약용_설계내역서" xfId="10053"/>
    <cellStyle name="_영주한국문화테마파크관광지조성계획vol5" xfId="2623"/>
    <cellStyle name="_영진전문대(견적서)" xfId="10054"/>
    <cellStyle name="_영천지형-내역15억(지형)070815최종" xfId="2624"/>
    <cellStyle name="_예당가격산출(총계)_080904" xfId="10055"/>
    <cellStyle name="_예산서" xfId="10056"/>
    <cellStyle name="_예산설계(서울시 GIS포털시스템 추가 구축)" xfId="10057"/>
    <cellStyle name="_예산조정내역서 및 세부공급구간 1부" xfId="10058"/>
    <cellStyle name="_예산조정내역서 및 세부공급구간(3차) 1부" xfId="10059"/>
    <cellStyle name="_예산조정내역서 및 세부공급구간(4차) 1부" xfId="10060"/>
    <cellStyle name="_예산조정내역서 및 세부공급구간(5차) 1부" xfId="10061"/>
    <cellStyle name="_예산조정내역서 및 세부공급구간(6차) 1부" xfId="10062"/>
    <cellStyle name="_예산조정내역서 및 세부공급구간(7차) 1부" xfId="10063"/>
    <cellStyle name="_예산조정내역서 및 세부공급구간(8차) 1부" xfId="10064"/>
    <cellStyle name="_오티엠_NT Server_KVM (12-22)" xfId="10065"/>
    <cellStyle name="_옥계산성 교통영향평가용역(임시)" xfId="2625"/>
    <cellStyle name="_옥련고총괄(100%)" xfId="2626"/>
    <cellStyle name="_온넷견적서" xfId="10066"/>
    <cellStyle name="_옵티_광단국31차" xfId="10067"/>
    <cellStyle name="_옹벽공" xfId="10068"/>
    <cellStyle name="_옹벽공_개봉TL수량산출서-1" xfId="10069"/>
    <cellStyle name="_옹벽수량" xfId="10070"/>
    <cellStyle name="_옹벽수량_개봉TL수량산출서-1" xfId="10071"/>
    <cellStyle name="_옹벽식측구수량" xfId="10072"/>
    <cellStyle name="_와핑(연속지적편집)" xfId="10073"/>
    <cellStyle name="_완도군설계변경(klisdb갱신)전체(20070807)" xfId="10074"/>
    <cellStyle name="_왕가봉정비공사" xfId="2627"/>
    <cellStyle name="_외교통상정보화 4단계 구축_2.0_장비" xfId="2628"/>
    <cellStyle name="_요약" xfId="2629"/>
    <cellStyle name="_요청양식" xfId="10075"/>
    <cellStyle name="_용궁온천계약내역서최종" xfId="2630"/>
    <cellStyle name="_용담내역서(수변전)" xfId="10076"/>
    <cellStyle name="_용담호생태공원설계변경내역서-2 (06.12.5)" xfId="2631"/>
    <cellStyle name="_용역비산정(산림문화공원-1단계)" xfId="2632"/>
    <cellStyle name="_용역비산정(여주골프장)" xfId="2633"/>
    <cellStyle name="_용역비산정(정선골프장)" xfId="2634"/>
    <cellStyle name="_용역비산정(토질)" xfId="2635"/>
    <cellStyle name="_용인동천APT" xfId="12606"/>
    <cellStyle name="_용인시 보행육교조성공사 기본 및 실시설계용역" xfId="2636"/>
    <cellStyle name="_용인시청종합상황실-원가계산서" xfId="10077"/>
    <cellStyle name="_용천소하천변경내역" xfId="10078"/>
    <cellStyle name="_용현한양외계약및준공관련" xfId="10079"/>
    <cellStyle name="_용호고(단가조사표)" xfId="10080"/>
    <cellStyle name="_용호고(단가조사표)_000-용호고(최종)" xfId="10081"/>
    <cellStyle name="_용호고(단가조사표)_000-용호고(최종)_00-명동-삼포간 해안관광도로" xfId="10082"/>
    <cellStyle name="_용호고(단가조사표)_000-용호고(최종)_00-명동-삼포간 해안관광도로_2004년 완선공사(최종본)" xfId="10083"/>
    <cellStyle name="_용호고(단가조사표)_000-용호고(최종)_00-명동-삼포간 해안관광도로_안동전통문화콘텐츠박물관전시영상물구축(전시시설물)" xfId="10084"/>
    <cellStyle name="_용호고(단가조사표)_000-용호고(최종)_00-명동-삼포간 해안관광도로_안동전통문화콘텐츠박물관전시영상물구축(전시시설물)_원가보고서(종합)-조달" xfId="10085"/>
    <cellStyle name="_용호고(단가조사표)_000-용호고(최종)_00-명동-삼포간 해안관광도로_안동전통문화콘텐츠박물관전시영상물구축(전시시설물)_원가보고서(흑색)-조달" xfId="10086"/>
    <cellStyle name="_용호고(단가조사표)_000-용호고(최종)_00-명동-삼포간 해안관광도로_원가계산서(화성상록)" xfId="10087"/>
    <cellStyle name="_용호고(단가조사표)_000-용호고(최종)_00-명동-삼포간 해안관광도로_원가계산서(화성상록) (version 1)" xfId="10088"/>
    <cellStyle name="_용호고(단가조사표)_000-용호고(최종)_00-명동-삼포간 해안관광도로_원가계산서(화성상록) (version 1)_원가보고서(종합)-조달" xfId="10089"/>
    <cellStyle name="_용호고(단가조사표)_000-용호고(최종)_00-명동-삼포간 해안관광도로_원가계산서(화성상록) (version 1)_원가보고서(흑색)-조달" xfId="10090"/>
    <cellStyle name="_용호고(단가조사표)_000-용호고(최종)_00-명동-삼포간 해안관광도로_원가계산서(화성상록)_원가보고서(종합)-조달" xfId="10091"/>
    <cellStyle name="_용호고(단가조사표)_000-용호고(최종)_00-명동-삼포간 해안관광도로_원가계산서(화성상록)_원가보고서(흑색)-조달" xfId="10092"/>
    <cellStyle name="_용호고(단가조사표)_000-용호고(최종)_00-미점-정서간도로확.포장공사(서)-12-14" xfId="10093"/>
    <cellStyle name="_용호고(단가조사표)_000-용호고(최종)_00-미점-정서간도로확.포장공사(서)-12-14_2004년 완선공사(최종본)" xfId="10094"/>
    <cellStyle name="_용호고(단가조사표)_000-용호고(최종)_00-미점-정서간도로확.포장공사(서)-12-14_안동전통문화콘텐츠박물관전시영상물구축(전시시설물)" xfId="10095"/>
    <cellStyle name="_용호고(단가조사표)_000-용호고(최종)_00-미점-정서간도로확.포장공사(서)-12-14_안동전통문화콘텐츠박물관전시영상물구축(전시시설물)_원가보고서(종합)-조달" xfId="10096"/>
    <cellStyle name="_용호고(단가조사표)_000-용호고(최종)_00-미점-정서간도로확.포장공사(서)-12-14_안동전통문화콘텐츠박물관전시영상물구축(전시시설물)_원가보고서(흑색)-조달" xfId="10097"/>
    <cellStyle name="_용호고(단가조사표)_000-용호고(최종)_00-미점-정서간도로확.포장공사(서)-12-14_원가계산서(화성상록)" xfId="10098"/>
    <cellStyle name="_용호고(단가조사표)_000-용호고(최종)_00-미점-정서간도로확.포장공사(서)-12-14_원가계산서(화성상록) (version 1)" xfId="10099"/>
    <cellStyle name="_용호고(단가조사표)_000-용호고(최종)_00-미점-정서간도로확.포장공사(서)-12-14_원가계산서(화성상록) (version 1)_원가보고서(종합)-조달" xfId="10100"/>
    <cellStyle name="_용호고(단가조사표)_000-용호고(최종)_00-미점-정서간도로확.포장공사(서)-12-14_원가계산서(화성상록) (version 1)_원가보고서(흑색)-조달" xfId="10101"/>
    <cellStyle name="_용호고(단가조사표)_000-용호고(최종)_00-미점-정서간도로확.포장공사(서)-12-14_원가계산서(화성상록)_원가보고서(종합)-조달" xfId="10102"/>
    <cellStyle name="_용호고(단가조사표)_000-용호고(최종)_00-미점-정서간도로확.포장공사(서)-12-14_원가계산서(화성상록)_원가보고서(흑색)-조달" xfId="10103"/>
    <cellStyle name="_용호고(단가조사표)_000-용호고(최종)_00-미점-정서간도로확.포장공사-12-17일 기준" xfId="10104"/>
    <cellStyle name="_용호고(단가조사표)_000-용호고(최종)_00-미점-정서간도로확.포장공사-12-17일 기준_2004년 완선공사(최종본)" xfId="10105"/>
    <cellStyle name="_용호고(단가조사표)_000-용호고(최종)_00-미점-정서간도로확.포장공사-12-17일 기준_안동전통문화콘텐츠박물관전시영상물구축(전시시설물)" xfId="10106"/>
    <cellStyle name="_용호고(단가조사표)_000-용호고(최종)_00-미점-정서간도로확.포장공사-12-17일 기준_안동전통문화콘텐츠박물관전시영상물구축(전시시설물)_원가보고서(종합)-조달" xfId="10107"/>
    <cellStyle name="_용호고(단가조사표)_000-용호고(최종)_00-미점-정서간도로확.포장공사-12-17일 기준_안동전통문화콘텐츠박물관전시영상물구축(전시시설물)_원가보고서(흑색)-조달" xfId="10108"/>
    <cellStyle name="_용호고(단가조사표)_000-용호고(최종)_00-미점-정서간도로확.포장공사-12-17일 기준_원가계산서(화성상록)" xfId="10109"/>
    <cellStyle name="_용호고(단가조사표)_000-용호고(최종)_00-미점-정서간도로확.포장공사-12-17일 기준_원가계산서(화성상록) (version 1)" xfId="10110"/>
    <cellStyle name="_용호고(단가조사표)_000-용호고(최종)_00-미점-정서간도로확.포장공사-12-17일 기준_원가계산서(화성상록) (version 1)_원가보고서(종합)-조달" xfId="10111"/>
    <cellStyle name="_용호고(단가조사표)_000-용호고(최종)_00-미점-정서간도로확.포장공사-12-17일 기준_원가계산서(화성상록) (version 1)_원가보고서(흑색)-조달" xfId="10112"/>
    <cellStyle name="_용호고(단가조사표)_000-용호고(최종)_00-미점-정서간도로확.포장공사-12-17일 기준_원가계산서(화성상록)_원가보고서(종합)-조달" xfId="10113"/>
    <cellStyle name="_용호고(단가조사표)_000-용호고(최종)_00-미점-정서간도로확.포장공사-12-17일 기준_원가계산서(화성상록)_원가보고서(흑색)-조달" xfId="10114"/>
    <cellStyle name="_용호고(단가조사표)_000-용호고(최종)_01-미점-정서간도로확.포장공사" xfId="10115"/>
    <cellStyle name="_용호고(단가조사표)_000-용호고(최종)_01-미점-정서간도로확.포장공사_2004년 완선공사(최종본)" xfId="10116"/>
    <cellStyle name="_용호고(단가조사표)_000-용호고(최종)_01-미점-정서간도로확.포장공사_안동전통문화콘텐츠박물관전시영상물구축(전시시설물)" xfId="10117"/>
    <cellStyle name="_용호고(단가조사표)_000-용호고(최종)_01-미점-정서간도로확.포장공사_안동전통문화콘텐츠박물관전시영상물구축(전시시설물)_원가보고서(종합)-조달" xfId="10118"/>
    <cellStyle name="_용호고(단가조사표)_000-용호고(최종)_01-미점-정서간도로확.포장공사_안동전통문화콘텐츠박물관전시영상물구축(전시시설물)_원가보고서(흑색)-조달" xfId="10119"/>
    <cellStyle name="_용호고(단가조사표)_000-용호고(최종)_01-미점-정서간도로확.포장공사_원가계산서(화성상록)" xfId="10120"/>
    <cellStyle name="_용호고(단가조사표)_000-용호고(최종)_01-미점-정서간도로확.포장공사_원가계산서(화성상록) (version 1)" xfId="10121"/>
    <cellStyle name="_용호고(단가조사표)_000-용호고(최종)_01-미점-정서간도로확.포장공사_원가계산서(화성상록) (version 1)_원가보고서(종합)-조달" xfId="10122"/>
    <cellStyle name="_용호고(단가조사표)_000-용호고(최종)_01-미점-정서간도로확.포장공사_원가계산서(화성상록) (version 1)_원가보고서(흑색)-조달" xfId="10123"/>
    <cellStyle name="_용호고(단가조사표)_000-용호고(최종)_01-미점-정서간도로확.포장공사_원가계산서(화성상록)_원가보고서(종합)-조달" xfId="10124"/>
    <cellStyle name="_용호고(단가조사표)_000-용호고(최종)_01-미점-정서간도로확.포장공사_원가계산서(화성상록)_원가보고서(흑색)-조달" xfId="10125"/>
    <cellStyle name="_용호고(단가조사표)_000-용호고(최종)_2004년 완선공사(최종본)" xfId="10126"/>
    <cellStyle name="_용호고(단가조사표)_000-용호고(최종)_안동전통문화콘텐츠박물관전시영상물구축(전시시설물)" xfId="10127"/>
    <cellStyle name="_용호고(단가조사표)_000-용호고(최종)_안동전통문화콘텐츠박물관전시영상물구축(전시시설물)_원가보고서(종합)-조달" xfId="10128"/>
    <cellStyle name="_용호고(단가조사표)_000-용호고(최종)_안동전통문화콘텐츠박물관전시영상물구축(전시시설물)_원가보고서(흑색)-조달" xfId="10129"/>
    <cellStyle name="_용호고(단가조사표)_000-용호고(최종)_원가계산서(화성상록)" xfId="10130"/>
    <cellStyle name="_용호고(단가조사표)_000-용호고(최종)_원가계산서(화성상록) (version 1)" xfId="10131"/>
    <cellStyle name="_용호고(단가조사표)_000-용호고(최종)_원가계산서(화성상록) (version 1)_원가보고서(종합)-조달" xfId="10132"/>
    <cellStyle name="_용호고(단가조사표)_000-용호고(최종)_원가계산서(화성상록) (version 1)_원가보고서(흑색)-조달" xfId="10133"/>
    <cellStyle name="_용호고(단가조사표)_000-용호고(최종)_원가계산서(화성상록)_원가보고서(종합)-조달" xfId="10134"/>
    <cellStyle name="_용호고(단가조사표)_000-용호고(최종)_원가계산서(화성상록)_원가보고서(흑색)-조달" xfId="10135"/>
    <cellStyle name="_용호고(단가조사표)_2004년 완선공사(최종본)" xfId="10136"/>
    <cellStyle name="_용호고(단가조사표)_안동전통문화콘텐츠박물관전시영상물구축(전시시설물)" xfId="10137"/>
    <cellStyle name="_용호고(단가조사표)_안동전통문화콘텐츠박물관전시영상물구축(전시시설물)_원가보고서(종합)-조달" xfId="10138"/>
    <cellStyle name="_용호고(단가조사표)_안동전통문화콘텐츠박물관전시영상물구축(전시시설물)_원가보고서(흑색)-조달" xfId="10139"/>
    <cellStyle name="_용호고(단가조사표)_원가계산서(화성상록)" xfId="10140"/>
    <cellStyle name="_용호고(단가조사표)_원가계산서(화성상록) (version 1)" xfId="10141"/>
    <cellStyle name="_용호고(단가조사표)_원가계산서(화성상록) (version 1)_원가보고서(종합)-조달" xfId="10142"/>
    <cellStyle name="_용호고(단가조사표)_원가계산서(화성상록) (version 1)_원가보고서(흑색)-조달" xfId="10143"/>
    <cellStyle name="_용호고(단가조사표)_원가계산서(화성상록)_원가보고서(종합)-조달" xfId="10144"/>
    <cellStyle name="_용호고(단가조사표)_원가계산서(화성상록)_원가보고서(흑색)-조달" xfId="10145"/>
    <cellStyle name="_용화고등학교하도급(명신)" xfId="2637"/>
    <cellStyle name="_우곡지구내역서(공사비수정) (version 1)" xfId="2638"/>
    <cellStyle name="_우성호" xfId="10146"/>
    <cellStyle name="_우성호_설계(SK일로복룡)" xfId="10147"/>
    <cellStyle name="_우성호_설계(SK일로복룡) 2" xfId="10148"/>
    <cellStyle name="_우성호_설계(SK일로복룡) 3" xfId="10149"/>
    <cellStyle name="_우성호_설계(SK일로복룡) 4" xfId="10150"/>
    <cellStyle name="_우성호_설계(SK일로복룡) 5" xfId="10151"/>
    <cellStyle name="_우성호_설계(SK일로복룡) 6" xfId="10152"/>
    <cellStyle name="_우성호_설계(SK일로복룡) 7" xfId="10153"/>
    <cellStyle name="_우성호_설계(SK일로복룡) 8" xfId="10154"/>
    <cellStyle name="_우수집수정U형집계" xfId="10155"/>
    <cellStyle name="_우수집수정U형집계_04포장공" xfId="10156"/>
    <cellStyle name="_우수집수정U형집계_3.구조물공" xfId="10157"/>
    <cellStyle name="_우수집수정U형집계_3.구조물공_04포장공" xfId="10158"/>
    <cellStyle name="_우수집수정U형집계_3.구조물공_3.구조물공" xfId="10159"/>
    <cellStyle name="_우수집수정U형집계_3.구조물공_3.구조물공_04포장공" xfId="10160"/>
    <cellStyle name="_우수집수정U형집계_3.구조물공_3.물공" xfId="10161"/>
    <cellStyle name="_우수집수정U형집계_3.구조물공_3.물공_04포장공" xfId="10162"/>
    <cellStyle name="_우수집수정U형집계_3.구조물공_보수량집계(우근)" xfId="10163"/>
    <cellStyle name="_우수집수정U형집계_3.구조물공_보수량집계(우근)_04포장공" xfId="10164"/>
    <cellStyle name="_우수집수정U형집계_3.구조물공_석축" xfId="10165"/>
    <cellStyle name="_우수집수정U형집계_3.구조물공_석축_04포장공" xfId="10166"/>
    <cellStyle name="_우체국예금보험지원단(데이타)_upgrade_090306" xfId="10167"/>
    <cellStyle name="_운남~송정2교 2차설변" xfId="10168"/>
    <cellStyle name="_운동장 화단조성 및 수목전지작업" xfId="10169"/>
    <cellStyle name="_운영리스크(메리츠증권)_KDPC 제출용_ver1.0" xfId="10170"/>
    <cellStyle name="_울산대병원 견적서 ( Hansol ) 0630" xfId="10171"/>
    <cellStyle name="_울산북구청-제적부 전산화사업 원가산출(최종)-334원" xfId="10172"/>
    <cellStyle name="_울산시총괄안-20030509v1" xfId="2639"/>
    <cellStyle name="_울산실시설계내역서(하이테콤)-B" xfId="10173"/>
    <cellStyle name="_울진군폐기물처리시설" xfId="2640"/>
    <cellStyle name="_원가_충남" xfId="10174"/>
    <cellStyle name="_원가계산" xfId="2641"/>
    <cellStyle name="_원가계산서(화성상록)" xfId="10175"/>
    <cellStyle name="_원가계산서(화성상록) (version 1)" xfId="10176"/>
    <cellStyle name="_원가분석(1217)" xfId="10177"/>
    <cellStyle name="_원가분석(아이0208)" xfId="10178"/>
    <cellStyle name="_원가상세내역서 " xfId="10179"/>
    <cellStyle name="_원가세부내역" xfId="12607"/>
    <cellStyle name="_원가조사_구매" xfId="10180"/>
    <cellStyle name="_원리수량" xfId="10181"/>
    <cellStyle name="_원본참고" xfId="10182"/>
    <cellStyle name="_원우정밀송탄" xfId="10183"/>
    <cellStyle name="_원우정밀송탄_01.20090507_설계내역서_1개소_2차로용_2개소_1차로용_원가산정_운암내부" xfId="10184"/>
    <cellStyle name="_원주도시개발사업" xfId="2642"/>
    <cellStyle name="_원주-횡성증설(설계)" xfId="10185"/>
    <cellStyle name="_원평지구골프장용역비(최종 2억3천)" xfId="2643"/>
    <cellStyle name="_월곳도시근린공원내역서" xfId="2644"/>
    <cellStyle name="_월송공원조성에따른군관리계획결정(변경)-1" xfId="2645"/>
    <cellStyle name="_웹기반 범용프로그램 기본설계용역 예산설계서_050322" xfId="2646"/>
    <cellStyle name="_웹기반 범용프로그램 기본설계용역 예산설계서_051006" xfId="2647"/>
    <cellStyle name="_웹기반 수치지도 관리시스템 개발 용역 산출내역서_1.2" xfId="2648"/>
    <cellStyle name="_웹기반 수치지도 활용시스템 도입 설계서_1.1" xfId="2649"/>
    <cellStyle name="_웹기반 수치지도 활용시스템 도입 설계서_2.0" xfId="2650"/>
    <cellStyle name="_웹기반다차원공간정보활용시스템 설계내역서" xfId="10186"/>
    <cellStyle name="_유관기관연계시스템개발내역서" xfId="2651"/>
    <cellStyle name="_유니와이드_보안솔루션" xfId="10187"/>
    <cellStyle name="_유사FTTH 및 Guarantee 이행 수요검토서(동래금정)" xfId="10188"/>
    <cellStyle name="_유사FTTH 및 Guarantee 이행 수요검토서(동래금정1차19개)" xfId="10189"/>
    <cellStyle name="_유사Guarantee 이행 및 수요검토서(마산지사)" xfId="10190"/>
    <cellStyle name="_유지보수견적서" xfId="10191"/>
    <cellStyle name="_유첨3(서식)" xfId="2652"/>
    <cellStyle name="_유첨3(서식)_1" xfId="2653"/>
    <cellStyle name="_육군정보화발주서" xfId="10192"/>
    <cellStyle name="_은평공원테니스장정비공사" xfId="2654"/>
    <cellStyle name="_응급ES" xfId="10193"/>
    <cellStyle name="_응급RE" xfId="10194"/>
    <cellStyle name="_의왕 왕송저수지 조성사업 기본 및 실시설계용역(1-1)" xfId="2655"/>
    <cellStyle name="_의왕 왕송저수지 조성사업 환경재해영향평가용역" xfId="2656"/>
    <cellStyle name="_의왕 왕송저수지 조성사업 환경재해영향평가용역_공유수면매립도시관리계획및실시설계용역" xfId="2657"/>
    <cellStyle name="_의왕 왕송저수지 조성사업 환경재해영향평가용역_로하스변경내역서-5(06.6.7)" xfId="2658"/>
    <cellStyle name="_의왕 왕송저수지 조성사업 환경재해영향평가용역_로하스변경내역서-5(06.6.7)_로하스변경내역서-6(06(1).6.27 당초변경)" xfId="2659"/>
    <cellStyle name="_의왕 왕송저수지 조성사업 환경재해영향평가용역_로하스변경내역서-6(06.6.21)" xfId="2660"/>
    <cellStyle name="_의왕 왕송저수지 조성사업 환경재해영향평가용역_로하스변경내역서-6(06.6.21)_로하스변경내역서-6(06(1).6.27 당초변경)" xfId="2661"/>
    <cellStyle name="_의왕시 인트라넷GIS-3차원생활넷 설계내역서" xfId="2662"/>
    <cellStyle name="_의왕시3차원영상생활GIS설계내역서(최수환_060511_v1)" xfId="2663"/>
    <cellStyle name="_의정부  상하수도 설계내역서_1.2" xfId="2664"/>
    <cellStyle name="_의정부_설계내역서" xfId="2665"/>
    <cellStyle name="_의정부_설계내역서(제출용)" xfId="2666"/>
    <cellStyle name="_의정부장비내역서" xfId="10195"/>
    <cellStyle name="_의정부장비내역서_동양비원컴" xfId="10196"/>
    <cellStyle name="_의정부장비내역서_두산오토2" xfId="10197"/>
    <cellStyle name="_의정부장비내역서_의정부" xfId="10198"/>
    <cellStyle name="_의정부장비내역서_의정부_동양비원컴" xfId="10199"/>
    <cellStyle name="_의정부장비내역서_의정부_두산오토2" xfId="10200"/>
    <cellStyle name="_의정부장비내역서_의정부_중구청소년수련관" xfId="10201"/>
    <cellStyle name="_의정부장비내역서_의정부_파워콤기별" xfId="10202"/>
    <cellStyle name="_의정부장비내역서_의정부_파워콤기별_파워콤기별" xfId="10203"/>
    <cellStyle name="_의정부장비내역서_중구청소년수련관" xfId="10204"/>
    <cellStyle name="_의정부장비내역서_파워콤기별" xfId="10205"/>
    <cellStyle name="_의정부장비내역서_파워콤기별_파워콤기별" xfId="10206"/>
    <cellStyle name="_이담지리지 보완확장사업 설계내역서_1.1" xfId="2667"/>
    <cellStyle name="_이엔지(강성철)" xfId="10207"/>
    <cellStyle name="_이장우이사-품셈기준" xfId="2668"/>
    <cellStyle name="_인계1공구 수량산출" xfId="2669"/>
    <cellStyle name="_인구평가(시흥군자지구)(1).xls-수정" xfId="2670"/>
    <cellStyle name="_인사_LDCC_화이트(DB포함)_060119" xfId="10208"/>
    <cellStyle name="_인삼랜드내역서" xfId="2671"/>
    <cellStyle name="_인성정보021212 QUO" xfId="10209"/>
    <cellStyle name="_인쇄산정기준표" xfId="10210"/>
    <cellStyle name="_인원계획표 " xfId="2672"/>
    <cellStyle name="_인원계획표 _01 실행(군장산단) Rev00" xfId="2673"/>
    <cellStyle name="_인원계획표 _01 실행(군장산단) Rev00_01 실행(부산남컨가호안109-원안분) REV04" xfId="2674"/>
    <cellStyle name="_인원계획표 _01.설계내역2" xfId="2675"/>
    <cellStyle name="_인원계획표 _01설변내역서" xfId="10211"/>
    <cellStyle name="_인원계획표 _1변경내역서(ESC)" xfId="10212"/>
    <cellStyle name="_인원계획표 _1차준공검사원" xfId="2676"/>
    <cellStyle name="_인원계획표 _1차준공검사원_부대공1" xfId="2677"/>
    <cellStyle name="_인원계획표 _2차1회기공검사원(5월26일)1" xfId="2678"/>
    <cellStyle name="_인원계획표 _2차1회기공검사원(5월26일)1_부대공1" xfId="2679"/>
    <cellStyle name="_인원계획표 _2차변경내역서(ESC)" xfId="10213"/>
    <cellStyle name="_인원계획표 _2차분 하도급내역" xfId="2680"/>
    <cellStyle name="_인원계획표 _2차분 하도급내역_부대공1" xfId="2681"/>
    <cellStyle name="_인원계획표 _3공구투찰(103,078)" xfId="2682"/>
    <cellStyle name="_인원계획표 _3공구투찰(103,078)_1차준공검사원" xfId="2683"/>
    <cellStyle name="_인원계획표 _3공구투찰(103,078)_1차준공검사원_부대공1" xfId="2684"/>
    <cellStyle name="_인원계획표 _3공구투찰(103,078)_2차1회기공검사원(5월26일)1" xfId="2685"/>
    <cellStyle name="_인원계획표 _3공구투찰(103,078)_2차1회기공검사원(5월26일)1_부대공1" xfId="2686"/>
    <cellStyle name="_인원계획표 _3공구투찰(103,078)_Box 터파기 암판정" xfId="2687"/>
    <cellStyle name="_인원계획표 _3공구투찰(103,078)_Box 터파기 암판정_부대공1" xfId="2688"/>
    <cellStyle name="_인원계획표 _3공구투찰(103,078)_기성서류" xfId="2689"/>
    <cellStyle name="_인원계획표 _3공구투찰(103,078)_기성서류_부대공1" xfId="2690"/>
    <cellStyle name="_인원계획표 _3공구투찰(103,078)_부대공1" xfId="2691"/>
    <cellStyle name="_인원계획표 _3공구투찰(103,078)_부대입찰선금내역" xfId="2692"/>
    <cellStyle name="_인원계획표 _3공구투찰(103,078)_부대입찰선금내역_부대공1" xfId="2693"/>
    <cellStyle name="_인원계획표 _3공구투찰(103,078)_선급금 청구공문1" xfId="2694"/>
    <cellStyle name="_인원계획표 _3공구투찰(103,078)_선급금 청구공문1_부대공1" xfId="2695"/>
    <cellStyle name="_인원계획표 _3공구투찰(103,078)_수목이식(적송)" xfId="2696"/>
    <cellStyle name="_인원계획표 _3공구투찰(103,078)_수목이식(적송)_부대공1" xfId="2697"/>
    <cellStyle name="_인원계획표 _3공구투찰(103,078)_실정보고(차선,가드,갈매기)2" xfId="2698"/>
    <cellStyle name="_인원계획표 _3공구투찰(103,078)_실정보고(차선,가드,갈매기)2_부대공1" xfId="2699"/>
    <cellStyle name="_인원계획표 _3공구투찰(103,078)_은행이식(기계,바로정식)" xfId="2700"/>
    <cellStyle name="_인원계획표 _3공구투찰(103,078)_은행이식(기계,바로정식)_부대공1" xfId="2701"/>
    <cellStyle name="_인원계획표 _3공구투찰(103,078)_재료의 품질" xfId="2702"/>
    <cellStyle name="_인원계획표 _3공구투찰(103,078)_재료의 품질_부대공1" xfId="2703"/>
    <cellStyle name="_인원계획표 _Box 터파기 암판정" xfId="2704"/>
    <cellStyle name="_인원계획표 _Box 터파기 암판정_부대공1" xfId="2705"/>
    <cellStyle name="_인원계획표 _공문" xfId="2706"/>
    <cellStyle name="_인원계획표 _공문_부대공1" xfId="2707"/>
    <cellStyle name="_인원계획표 _공문_수목이식(적송)" xfId="2708"/>
    <cellStyle name="_인원계획표 _공문_수목이식(적송)_부대공1" xfId="2709"/>
    <cellStyle name="_인원계획표 _공문_은행이식(기계,바로정식)" xfId="2710"/>
    <cellStyle name="_인원계획표 _공문_은행이식(기계,바로정식)_부대공1" xfId="2711"/>
    <cellStyle name="_인원계획표 _공종별공사내용(광주참고용)" xfId="10214"/>
    <cellStyle name="_인원계획표 _공종별공사내용(평동)" xfId="10215"/>
    <cellStyle name="_인원계획표 _기성내역" xfId="2712"/>
    <cellStyle name="_인원계획표 _기성내역_부대공1" xfId="2713"/>
    <cellStyle name="_인원계획표 _기성서류" xfId="2714"/>
    <cellStyle name="_인원계획표 _기성서류_부대공1" xfId="2715"/>
    <cellStyle name="_인원계획표 _대안투찰내역(0221)" xfId="10216"/>
    <cellStyle name="_인원계획표 _대안투찰내역(0221)_공종별공사내용(광주참고용)" xfId="10217"/>
    <cellStyle name="_인원계획표 _대안투찰내역(0223)" xfId="10218"/>
    <cellStyle name="_인원계획표 _대안투찰내역(0223)_공종별공사내용(광주참고용)" xfId="10219"/>
    <cellStyle name="_인원계획표 _대안투찰내역(확정본0226)" xfId="10220"/>
    <cellStyle name="_인원계획표 _대안투찰내역(확정본0226)_공종별공사내용(광주참고용)" xfId="10221"/>
    <cellStyle name="_인원계획표 _도급실행0211" xfId="10222"/>
    <cellStyle name="_인원계획표 _도급실행0211_공종별공사내용(광주참고용)" xfId="10223"/>
    <cellStyle name="_인원계획표 _부대견적결과" xfId="2716"/>
    <cellStyle name="_인원계획표 _부대견적결과_01 실행(군장산단) Rev00" xfId="2717"/>
    <cellStyle name="_인원계획표 _부대견적결과_01 실행(군장산단) Rev00_01 실행(부산남컨가호안109-원안분) REV04" xfId="2718"/>
    <cellStyle name="_인원계획표 _부대견적결과1" xfId="2719"/>
    <cellStyle name="_인원계획표 _부대견적결과1_01 실행(군장산단) Rev00" xfId="2720"/>
    <cellStyle name="_인원계획표 _부대견적결과1_01 실행(군장산단) Rev00_01 실행(부산남컨가호안109-원안분) REV04" xfId="2721"/>
    <cellStyle name="_인원계획표 _부대견적의뢰" xfId="2722"/>
    <cellStyle name="_인원계획표 _부대견적의뢰_01 실행(군장산단) Rev00" xfId="2723"/>
    <cellStyle name="_인원계획표 _부대견적의뢰_01 실행(군장산단) Rev00_01 실행(부산남컨가호안109-원안분) REV04" xfId="2724"/>
    <cellStyle name="_인원계획표 _부대공1" xfId="2725"/>
    <cellStyle name="_인원계획표 _부대선정조정품의" xfId="2726"/>
    <cellStyle name="_인원계획표 _부대선정조정품의_01 실행(군장산단) Rev00" xfId="2727"/>
    <cellStyle name="_인원계획표 _부대선정조정품의_01 실행(군장산단) Rev00_01 실행(부산남컨가호안109-원안분) REV04" xfId="2728"/>
    <cellStyle name="_인원계획표 _부대입찰결과" xfId="2729"/>
    <cellStyle name="_인원계획표 _부대입찰결과_01 실행(군장산단) Rev00" xfId="2730"/>
    <cellStyle name="_인원계획표 _부대입찰결과_01 실행(군장산단) Rev00_01 실행(부산남컨가호안109-원안분) REV04" xfId="2731"/>
    <cellStyle name="_인원계획표 _부대입찰선금내역" xfId="2732"/>
    <cellStyle name="_인원계획표 _부대입찰선금내역_부대공1" xfId="2733"/>
    <cellStyle name="_인원계획표 _부대입찰송부" xfId="2734"/>
    <cellStyle name="_인원계획표 _부대입찰송부(1차조정)" xfId="2735"/>
    <cellStyle name="_인원계획표 _부대입찰송부(1차조정)_01 실행(군장산단) Rev00" xfId="2736"/>
    <cellStyle name="_인원계획표 _부대입찰송부(1차조정)_01 실행(군장산단) Rev00_01 실행(부산남컨가호안109-원안분) REV04" xfId="2737"/>
    <cellStyle name="_인원계획표 _부대입찰송부(무안광주)" xfId="2738"/>
    <cellStyle name="_인원계획표 _부대입찰송부(무안광주)_01 실행(군장산단) Rev00" xfId="2739"/>
    <cellStyle name="_인원계획표 _부대입찰송부(무안광주)_01 실행(군장산단) Rev00_01 실행(부산남컨가호안109-원안분) REV04" xfId="2740"/>
    <cellStyle name="_인원계획표 _부대입찰송부_01 실행(군장산단) Rev00" xfId="2741"/>
    <cellStyle name="_인원계획표 _부대입찰송부_01 실행(군장산단) Rev00_01 실행(부산남컨가호안109-원안분) REV04" xfId="2742"/>
    <cellStyle name="_인원계획표 _부대입찰조정" xfId="2743"/>
    <cellStyle name="_인원계획표 _부대입찰조정(광릉숲)" xfId="2744"/>
    <cellStyle name="_인원계획표 _부대입찰조정(광릉숲)_01 실행(군장산단) Rev00" xfId="2745"/>
    <cellStyle name="_인원계획표 _부대입찰조정(광릉숲)_01 실행(군장산단) Rev00_01 실행(부산남컨가호안109-원안분) REV04" xfId="2746"/>
    <cellStyle name="_인원계획표 _부대입찰조정_01 실행(군장산단) Rev00" xfId="2747"/>
    <cellStyle name="_인원계획표 _부대입찰조정_01 실행(군장산단) Rev00_01 실행(부산남컨가호안109-원안분) REV04" xfId="2748"/>
    <cellStyle name="_인원계획표 _부대입찰특별조건및내역송부" xfId="2749"/>
    <cellStyle name="_인원계획표 _부대입찰특별조건및내역송부(최저가)" xfId="2750"/>
    <cellStyle name="_인원계획표 _부대입찰특별조건및내역송부(최저가)_01 실행(군장산단) Rev00" xfId="2751"/>
    <cellStyle name="_인원계획표 _부대입찰특별조건및내역송부(최저가)_01 실행(군장산단) Rev00_01 실행(부산남컨가호안109-원안분) REV04" xfId="2752"/>
    <cellStyle name="_인원계획표 _부대입찰특별조건및내역송부_01 실행(군장산단) Rev00" xfId="2753"/>
    <cellStyle name="_인원계획표 _부대입찰특별조건및내역송부_01 실행(군장산단) Rev00_01 실행(부산남컨가호안109-원안분) REV04" xfId="2754"/>
    <cellStyle name="_인원계획표 _선급금 청구공문1" xfId="2755"/>
    <cellStyle name="_인원계획표 _선급금 청구공문1_부대공1" xfId="2756"/>
    <cellStyle name="_인원계획표 _성훈빌딩 신축전기공사" xfId="10224"/>
    <cellStyle name="_인원계획표 _수목이식(적송)" xfId="2757"/>
    <cellStyle name="_인원계획표 _수목이식(적송)_부대공1" xfId="2758"/>
    <cellStyle name="_인원계획표 _신풍-우성내역서(1차1회변경)" xfId="2759"/>
    <cellStyle name="_인원계획표 _신풍-우성내역서(1차1회변경)_부대공1" xfId="2760"/>
    <cellStyle name="_인원계획표 _신풍-우성내역서(1차공사)" xfId="2761"/>
    <cellStyle name="_인원계획표 _신풍-우성내역서(1차공사)_부대공1" xfId="2762"/>
    <cellStyle name="_인원계획표 _실정보고(차선,가드,갈매기)2" xfId="2763"/>
    <cellStyle name="_인원계획표 _실정보고(차선,가드,갈매기)2_부대공1" xfId="2764"/>
    <cellStyle name="_인원계획표 _실정보고(합성형강관말뚝)1" xfId="2765"/>
    <cellStyle name="_인원계획표 _실정보고(합성형강관말뚝)1_부대공1" xfId="2766"/>
    <cellStyle name="_인원계획표 _실정보고-1" xfId="2767"/>
    <cellStyle name="_인원계획표 _실정보고-1_부대공1" xfId="2768"/>
    <cellStyle name="_인원계획표 _은행(서울)" xfId="2769"/>
    <cellStyle name="_인원계획표 _은행(서울)_2차분 하도급내역" xfId="2770"/>
    <cellStyle name="_인원계획표 _은행(서울)_2차분 하도급내역_부대공1" xfId="2771"/>
    <cellStyle name="_인원계획표 _은행(서울)_Box 터파기 암판정" xfId="2772"/>
    <cellStyle name="_인원계획표 _은행(서울)_Box 터파기 암판정_부대공1" xfId="2773"/>
    <cellStyle name="_인원계획표 _은행(서울)_부대공1" xfId="2774"/>
    <cellStyle name="_인원계획표 _은행(서울)_수목이식(적송)" xfId="2775"/>
    <cellStyle name="_인원계획표 _은행(서울)_수목이식(적송)_부대공1" xfId="2776"/>
    <cellStyle name="_인원계획표 _은행(서울)_신풍-우성내역서(1차1회변경)" xfId="2777"/>
    <cellStyle name="_인원계획표 _은행(서울)_신풍-우성내역서(1차1회변경)_부대공1" xfId="2778"/>
    <cellStyle name="_인원계획표 _은행(서울)_신풍-우성내역서(1차공사)" xfId="2779"/>
    <cellStyle name="_인원계획표 _은행(서울)_신풍-우성내역서(1차공사)_부대공1" xfId="2780"/>
    <cellStyle name="_인원계획표 _은행(서울)_실정보고(합성형강관말뚝)1" xfId="2781"/>
    <cellStyle name="_인원계획표 _은행(서울)_실정보고(합성형강관말뚝)1_부대공1" xfId="2782"/>
    <cellStyle name="_인원계획표 _은행(서울)_실정보고-1" xfId="2783"/>
    <cellStyle name="_인원계획표 _은행(서울)_실정보고-1_부대공1" xfId="2784"/>
    <cellStyle name="_인원계획표 _재료의 품질" xfId="2785"/>
    <cellStyle name="_인원계획표 _재료의 품질_부대공1" xfId="2786"/>
    <cellStyle name="_인원계획표 _적격 " xfId="2787"/>
    <cellStyle name="_인원계획표 _적격 _01 실행(군장산단) Rev00" xfId="2788"/>
    <cellStyle name="_인원계획표 _적격 _01 실행(군장산단) Rev00_01 실행(부산남컨가호안109-원안분) REV04" xfId="2789"/>
    <cellStyle name="_인원계획표 _적격 _부대견적결과" xfId="2790"/>
    <cellStyle name="_인원계획표 _적격 _부대견적결과_01 실행(군장산단) Rev00" xfId="2791"/>
    <cellStyle name="_인원계획표 _적격 _부대견적결과_01 실행(군장산단) Rev00_01 실행(부산남컨가호안109-원안분) REV04" xfId="2792"/>
    <cellStyle name="_인원계획표 _적격 _부대견적결과1" xfId="2793"/>
    <cellStyle name="_인원계획표 _적격 _부대견적결과1_01 실행(군장산단) Rev00" xfId="2794"/>
    <cellStyle name="_인원계획표 _적격 _부대견적결과1_01 실행(군장산단) Rev00_01 실행(부산남컨가호안109-원안분) REV04" xfId="2795"/>
    <cellStyle name="_인원계획표 _적격 _부대견적의뢰" xfId="2796"/>
    <cellStyle name="_인원계획표 _적격 _부대견적의뢰_01 실행(군장산단) Rev00" xfId="2797"/>
    <cellStyle name="_인원계획표 _적격 _부대견적의뢰_01 실행(군장산단) Rev00_01 실행(부산남컨가호안109-원안분) REV04" xfId="2798"/>
    <cellStyle name="_인원계획표 _적격 _부대선정조정품의" xfId="2799"/>
    <cellStyle name="_인원계획표 _적격 _부대선정조정품의_01 실행(군장산단) Rev00" xfId="2800"/>
    <cellStyle name="_인원계획표 _적격 _부대선정조정품의_01 실행(군장산단) Rev00_01 실행(부산남컨가호안109-원안분) REV04" xfId="2801"/>
    <cellStyle name="_인원계획표 _적격 _부대입찰결과" xfId="2802"/>
    <cellStyle name="_인원계획표 _적격 _부대입찰결과_01 실행(군장산단) Rev00" xfId="2803"/>
    <cellStyle name="_인원계획표 _적격 _부대입찰결과_01 실행(군장산단) Rev00_01 실행(부산남컨가호안109-원안분) REV04" xfId="2804"/>
    <cellStyle name="_인원계획표 _적격 _부대입찰송부" xfId="2805"/>
    <cellStyle name="_인원계획표 _적격 _부대입찰송부(1차조정)" xfId="2806"/>
    <cellStyle name="_인원계획표 _적격 _부대입찰송부(1차조정)_01 실행(군장산단) Rev00" xfId="2807"/>
    <cellStyle name="_인원계획표 _적격 _부대입찰송부(1차조정)_01 실행(군장산단) Rev00_01 실행(부산남컨가호안109-원안분) REV04" xfId="2808"/>
    <cellStyle name="_인원계획표 _적격 _부대입찰송부(무안광주)" xfId="2809"/>
    <cellStyle name="_인원계획표 _적격 _부대입찰송부(무안광주)_01 실행(군장산단) Rev00" xfId="2810"/>
    <cellStyle name="_인원계획표 _적격 _부대입찰송부(무안광주)_01 실행(군장산단) Rev00_01 실행(부산남컨가호안109-원안분) REV04" xfId="2811"/>
    <cellStyle name="_인원계획표 _적격 _부대입찰송부_01 실행(군장산단) Rev00" xfId="2812"/>
    <cellStyle name="_인원계획표 _적격 _부대입찰송부_01 실행(군장산단) Rev00_01 실행(부산남컨가호안109-원안분) REV04" xfId="2813"/>
    <cellStyle name="_인원계획표 _적격 _부대입찰조정" xfId="2814"/>
    <cellStyle name="_인원계획표 _적격 _부대입찰조정(광릉숲)" xfId="2815"/>
    <cellStyle name="_인원계획표 _적격 _부대입찰조정(광릉숲)_01 실행(군장산단) Rev00" xfId="2816"/>
    <cellStyle name="_인원계획표 _적격 _부대입찰조정(광릉숲)_01 실행(군장산단) Rev00_01 실행(부산남컨가호안109-원안분) REV04" xfId="2817"/>
    <cellStyle name="_인원계획표 _적격 _부대입찰조정_01 실행(군장산단) Rev00" xfId="2818"/>
    <cellStyle name="_인원계획표 _적격 _부대입찰조정_01 실행(군장산단) Rev00_01 실행(부산남컨가호안109-원안분) REV04" xfId="2819"/>
    <cellStyle name="_인원계획표 _적격 _부대입찰특별조건및내역송부" xfId="2820"/>
    <cellStyle name="_인원계획표 _적격 _부대입찰특별조건및내역송부(최저가)" xfId="2821"/>
    <cellStyle name="_인원계획표 _적격 _부대입찰특별조건및내역송부(최저가)_01 실행(군장산단) Rev00" xfId="2822"/>
    <cellStyle name="_인원계획표 _적격 _부대입찰특별조건및내역송부(최저가)_01 실행(군장산단) Rev00_01 실행(부산남컨가호안109-원안분) REV04" xfId="2823"/>
    <cellStyle name="_인원계획표 _적격 _부대입찰특별조건및내역송부_01 실행(군장산단) Rev00" xfId="2824"/>
    <cellStyle name="_인원계획표 _적격 _부대입찰특별조건및내역송부_01 실행(군장산단) Rev00_01 실행(부산남컨가호안109-원안분) REV04" xfId="2825"/>
    <cellStyle name="_인원계획표 _적격 _투찰" xfId="2826"/>
    <cellStyle name="_인원계획표 _적격 _투찰(14-1)" xfId="2827"/>
    <cellStyle name="_인원계획표 _적격 _투찰(14-1)_01 실행(군장산단) Rev00" xfId="2828"/>
    <cellStyle name="_인원계획표 _적격 _투찰(14-1)_01 실행(군장산단) Rev00_01 실행(부산남컨가호안109-원안분) REV04" xfId="2829"/>
    <cellStyle name="_인원계획표 _적격 _투찰(8공구)" xfId="2830"/>
    <cellStyle name="_인원계획표 _적격 _투찰(8공구)_01 실행(군장산단) Rev00" xfId="2831"/>
    <cellStyle name="_인원계획표 _적격 _투찰(8공구)_01 실행(군장산단) Rev00_01 실행(부산남컨가호안109-원안분) REV04" xfId="2832"/>
    <cellStyle name="_인원계획표 _적격 _투찰(고철10-4)" xfId="2833"/>
    <cellStyle name="_인원계획표 _적격 _투찰(고철10-4)_01 실행(군장산단) Rev00" xfId="2834"/>
    <cellStyle name="_인원계획표 _적격 _투찰(고철10-4)_01 실행(군장산단) Rev00_01 실행(부산남컨가호안109-원안분) REV04" xfId="2835"/>
    <cellStyle name="_인원계획표 _적격 _투찰(무안광주3공구)" xfId="2836"/>
    <cellStyle name="_인원계획표 _적격 _투찰(무안광주3공구)_01 실행(군장산단) Rev00" xfId="2837"/>
    <cellStyle name="_인원계획표 _적격 _투찰(무안광주3공구)_01 실행(군장산단) Rev00_01 실행(부산남컨가호안109-원안분) REV04" xfId="2838"/>
    <cellStyle name="_인원계획표 _적격 _투찰(토목)" xfId="2839"/>
    <cellStyle name="_인원계획표 _적격 _투찰(토목)_01 실행(군장산단) Rev00" xfId="2840"/>
    <cellStyle name="_인원계획표 _적격 _투찰(토목)_01 실행(군장산단) Rev00_01 실행(부산남컨가호안109-원안분) REV04" xfId="2841"/>
    <cellStyle name="_인원계획표 _적격 _투찰_01 실행(군장산단) Rev00" xfId="2842"/>
    <cellStyle name="_인원계획표 _적격 _투찰_01 실행(군장산단) Rev00_01 실행(부산남컨가호안109-원안분) REV04" xfId="2843"/>
    <cellStyle name="_인원계획표 _적격 _투찰_1" xfId="2844"/>
    <cellStyle name="_인원계획표 _적격 _투찰_1_01 실행(군장산단) Rev00" xfId="2845"/>
    <cellStyle name="_인원계획표 _적격 _투찰_1_01 실행(군장산단) Rev00_01 실행(부산남컨가호안109-원안분) REV04" xfId="2846"/>
    <cellStyle name="_인원계획표 _적격 _투찰_부대견적결과" xfId="2847"/>
    <cellStyle name="_인원계획표 _적격 _투찰_부대견적결과_01 실행(군장산단) Rev00" xfId="2848"/>
    <cellStyle name="_인원계획표 _적격 _투찰_부대견적결과_01 실행(군장산단) Rev00_01 실행(부산남컨가호안109-원안분) REV04" xfId="2849"/>
    <cellStyle name="_인원계획표 _적격 _투찰_부대견적결과1" xfId="2850"/>
    <cellStyle name="_인원계획표 _적격 _투찰_부대견적결과1_01 실행(군장산단) Rev00" xfId="2851"/>
    <cellStyle name="_인원계획표 _적격 _투찰_부대견적결과1_01 실행(군장산단) Rev00_01 실행(부산남컨가호안109-원안분) REV04" xfId="2852"/>
    <cellStyle name="_인원계획표 _적격 _투찰_부대견적의뢰" xfId="2853"/>
    <cellStyle name="_인원계획표 _적격 _투찰_부대견적의뢰_01 실행(군장산단) Rev00" xfId="2854"/>
    <cellStyle name="_인원계획표 _적격 _투찰_부대견적의뢰_01 실행(군장산단) Rev00_01 실행(부산남컨가호안109-원안분) REV04" xfId="2855"/>
    <cellStyle name="_인원계획표 _적격 _투찰_부대선정조정품의" xfId="2856"/>
    <cellStyle name="_인원계획표 _적격 _투찰_부대선정조정품의_01 실행(군장산단) Rev00" xfId="2857"/>
    <cellStyle name="_인원계획표 _적격 _투찰_부대선정조정품의_01 실행(군장산단) Rev00_01 실행(부산남컨가호안109-원안분) REV04" xfId="2858"/>
    <cellStyle name="_인원계획표 _적격 _투찰_부대입찰결과" xfId="2859"/>
    <cellStyle name="_인원계획표 _적격 _투찰_부대입찰결과_01 실행(군장산단) Rev00" xfId="2860"/>
    <cellStyle name="_인원계획표 _적격 _투찰_부대입찰결과_01 실행(군장산단) Rev00_01 실행(부산남컨가호안109-원안분) REV04" xfId="2861"/>
    <cellStyle name="_인원계획표 _적격 _투찰_부대입찰송부" xfId="2862"/>
    <cellStyle name="_인원계획표 _적격 _투찰_부대입찰송부(1차조정)" xfId="2863"/>
    <cellStyle name="_인원계획표 _적격 _투찰_부대입찰송부(1차조정)_01 실행(군장산단) Rev00" xfId="2864"/>
    <cellStyle name="_인원계획표 _적격 _투찰_부대입찰송부(1차조정)_01 실행(군장산단) Rev00_01 실행(부산남컨가호안109-원안분) REV04" xfId="2865"/>
    <cellStyle name="_인원계획표 _적격 _투찰_부대입찰송부_01 실행(군장산단) Rev00" xfId="2866"/>
    <cellStyle name="_인원계획표 _적격 _투찰_부대입찰송부_01 실행(군장산단) Rev00_01 실행(부산남컨가호안109-원안분) REV04" xfId="2867"/>
    <cellStyle name="_인원계획표 _적격 _투찰_부대입찰조정" xfId="2868"/>
    <cellStyle name="_인원계획표 _적격 _투찰_부대입찰조정_01 실행(군장산단) Rev00" xfId="2869"/>
    <cellStyle name="_인원계획표 _적격 _투찰_부대입찰조정_01 실행(군장산단) Rev00_01 실행(부산남컨가호안109-원안분) REV04" xfId="2870"/>
    <cellStyle name="_인원계획표 _적격 _투찰_부대입찰특별조건및내역송부" xfId="2871"/>
    <cellStyle name="_인원계획표 _적격 _투찰_부대입찰특별조건및내역송부_01 실행(군장산단) Rev00" xfId="2872"/>
    <cellStyle name="_인원계획표 _적격 _투찰_부대입찰특별조건및내역송부_01 실행(군장산단) Rev00_01 실행(부산남컨가호안109-원안분) REV04" xfId="2873"/>
    <cellStyle name="_인원계획표 _적격 _투찰_투찰" xfId="2874"/>
    <cellStyle name="_인원계획표 _적격 _투찰_투찰(8공구)" xfId="2875"/>
    <cellStyle name="_인원계획표 _적격 _투찰_투찰(8공구)_01 실행(군장산단) Rev00" xfId="2876"/>
    <cellStyle name="_인원계획표 _적격 _투찰_투찰(8공구)_01 실행(군장산단) Rev00_01 실행(부산남컨가호안109-원안분) REV04" xfId="2877"/>
    <cellStyle name="_인원계획표 _적격 _투찰_투찰(토목)" xfId="2878"/>
    <cellStyle name="_인원계획표 _적격 _투찰_투찰(토목)_01 실행(군장산단) Rev00" xfId="2879"/>
    <cellStyle name="_인원계획표 _적격 _투찰_투찰(토목)_01 실행(군장산단) Rev00_01 실행(부산남컨가호안109-원안분) REV04" xfId="2880"/>
    <cellStyle name="_인원계획표 _적격 _투찰_투찰_01 실행(군장산단) Rev00" xfId="2881"/>
    <cellStyle name="_인원계획표 _적격 _투찰_투찰_01 실행(군장산단) Rev00_01 실행(부산남컨가호안109-원안분) REV04" xfId="2882"/>
    <cellStyle name="_인원계획표 _적격 _투찰_투찰서" xfId="2883"/>
    <cellStyle name="_인원계획표 _적격 _투찰_투찰서_01 실행(군장산단) Rev00" xfId="2884"/>
    <cellStyle name="_인원계획표 _적격 _투찰_투찰서_01 실행(군장산단) Rev00_01 실행(부산남컨가호안109-원안분) REV04" xfId="2885"/>
    <cellStyle name="_인원계획표 _적격 _투찰서" xfId="2886"/>
    <cellStyle name="_인원계획표 _적격 _투찰서_01 실행(군장산단) Rev00" xfId="2887"/>
    <cellStyle name="_인원계획표 _적격 _투찰서_01 실행(군장산단) Rev00_01 실행(부산남컨가호안109-원안분) REV04" xfId="2888"/>
    <cellStyle name="_인원계획표 _제2종지구단위계획_선바위관광지" xfId="2889"/>
    <cellStyle name="_인원계획표 _제2종지구단위계획_선바위관광지_20090609_영덕농공단지내역서" xfId="2890"/>
    <cellStyle name="_인원계획표 _제2종지구단위계획_선바위관광지_총괄내역서(090223)" xfId="2891"/>
    <cellStyle name="_인원계획표 _조경이식실정보고(굴취신규)" xfId="10225"/>
    <cellStyle name="_인원계획표 _총괄내역서_도시관리계획결정(070907)_계약" xfId="2892"/>
    <cellStyle name="_인원계획표 _총괄내역서_타당성조사및도시관리계획결정(090115)" xfId="2893"/>
    <cellStyle name="_인원계획표 _총괄내역서_타당성조사및도시관리계획결정(090115)_20090609_영덕농공단지내역서" xfId="2894"/>
    <cellStyle name="_인원계획표 _총괄내역서_타당성조사및도시관리계획결정(090115)_총괄내역서(090223)" xfId="2895"/>
    <cellStyle name="_인원계획표 _토목(예산서)" xfId="2896"/>
    <cellStyle name="_인원계획표 _투찰" xfId="2897"/>
    <cellStyle name="_인원계획표 _투찰(14-1)" xfId="2898"/>
    <cellStyle name="_인원계획표 _투찰(14-1)_01 실행(군장산단) Rev00" xfId="2899"/>
    <cellStyle name="_인원계획표 _투찰(14-1)_01 실행(군장산단) Rev00_01 실행(부산남컨가호안109-원안분) REV04" xfId="2900"/>
    <cellStyle name="_인원계획표 _투찰(8공구)" xfId="2901"/>
    <cellStyle name="_인원계획표 _투찰(8공구)_01 실행(군장산단) Rev00" xfId="2902"/>
    <cellStyle name="_인원계획표 _투찰(8공구)_01 실행(군장산단) Rev00_01 실행(부산남컨가호안109-원안분) REV04" xfId="2903"/>
    <cellStyle name="_인원계획표 _투찰(고철10-4)" xfId="2904"/>
    <cellStyle name="_인원계획표 _투찰(고철10-4)_01 실행(군장산단) Rev00" xfId="2905"/>
    <cellStyle name="_인원계획표 _투찰(고철10-4)_01 실행(군장산단) Rev00_01 실행(부산남컨가호안109-원안분) REV04" xfId="2906"/>
    <cellStyle name="_인원계획표 _투찰(무안광주3공구)" xfId="2907"/>
    <cellStyle name="_인원계획표 _투찰(무안광주3공구)_01 실행(군장산단) Rev00" xfId="2908"/>
    <cellStyle name="_인원계획표 _투찰(무안광주3공구)_01 실행(군장산단) Rev00_01 실행(부산남컨가호안109-원안분) REV04" xfId="2909"/>
    <cellStyle name="_인원계획표 _투찰(토목)" xfId="2910"/>
    <cellStyle name="_인원계획표 _투찰(토목)_01 실행(군장산단) Rev00" xfId="2911"/>
    <cellStyle name="_인원계획표 _투찰(토목)_01 실행(군장산단) Rev00_01 실행(부산남컨가호안109-원안분) REV04" xfId="2912"/>
    <cellStyle name="_인원계획표 _투찰_01 실행(군장산단) Rev00" xfId="2913"/>
    <cellStyle name="_인원계획표 _투찰_01 실행(군장산단) Rev00_01 실행(부산남컨가호안109-원안분) REV04" xfId="2914"/>
    <cellStyle name="_인원계획표 _투찰_1" xfId="2915"/>
    <cellStyle name="_인원계획표 _투찰_1_01 실행(군장산단) Rev00" xfId="2916"/>
    <cellStyle name="_인원계획표 _투찰_1_01 실행(군장산단) Rev00_01 실행(부산남컨가호안109-원안분) REV04" xfId="2917"/>
    <cellStyle name="_인원계획표 _투찰_부대견적결과" xfId="2918"/>
    <cellStyle name="_인원계획표 _투찰_부대견적결과_01 실행(군장산단) Rev00" xfId="2919"/>
    <cellStyle name="_인원계획표 _투찰_부대견적결과_01 실행(군장산단) Rev00_01 실행(부산남컨가호안109-원안분) REV04" xfId="2920"/>
    <cellStyle name="_인원계획표 _투찰_부대견적결과1" xfId="2921"/>
    <cellStyle name="_인원계획표 _투찰_부대견적결과1_01 실행(군장산단) Rev00" xfId="2922"/>
    <cellStyle name="_인원계획표 _투찰_부대견적결과1_01 실행(군장산단) Rev00_01 실행(부산남컨가호안109-원안분) REV04" xfId="2923"/>
    <cellStyle name="_인원계획표 _투찰_부대견적의뢰" xfId="2924"/>
    <cellStyle name="_인원계획표 _투찰_부대견적의뢰_01 실행(군장산단) Rev00" xfId="2925"/>
    <cellStyle name="_인원계획표 _투찰_부대견적의뢰_01 실행(군장산단) Rev00_01 실행(부산남컨가호안109-원안분) REV04" xfId="2926"/>
    <cellStyle name="_인원계획표 _투찰_부대선정조정품의" xfId="2927"/>
    <cellStyle name="_인원계획표 _투찰_부대선정조정품의_01 실행(군장산단) Rev00" xfId="2928"/>
    <cellStyle name="_인원계획표 _투찰_부대선정조정품의_01 실행(군장산단) Rev00_01 실행(부산남컨가호안109-원안분) REV04" xfId="2929"/>
    <cellStyle name="_인원계획표 _투찰_부대입찰결과" xfId="2930"/>
    <cellStyle name="_인원계획표 _투찰_부대입찰결과_01 실행(군장산단) Rev00" xfId="2931"/>
    <cellStyle name="_인원계획표 _투찰_부대입찰결과_01 실행(군장산단) Rev00_01 실행(부산남컨가호안109-원안분) REV04" xfId="2932"/>
    <cellStyle name="_인원계획표 _투찰_부대입찰송부" xfId="2933"/>
    <cellStyle name="_인원계획표 _투찰_부대입찰송부(1차조정)" xfId="2934"/>
    <cellStyle name="_인원계획표 _투찰_부대입찰송부(1차조정)_01 실행(군장산단) Rev00" xfId="2935"/>
    <cellStyle name="_인원계획표 _투찰_부대입찰송부(1차조정)_01 실행(군장산단) Rev00_01 실행(부산남컨가호안109-원안분) REV04" xfId="2936"/>
    <cellStyle name="_인원계획표 _투찰_부대입찰송부_01 실행(군장산단) Rev00" xfId="2937"/>
    <cellStyle name="_인원계획표 _투찰_부대입찰송부_01 실행(군장산단) Rev00_01 실행(부산남컨가호안109-원안분) REV04" xfId="2938"/>
    <cellStyle name="_인원계획표 _투찰_부대입찰조정" xfId="2939"/>
    <cellStyle name="_인원계획표 _투찰_부대입찰조정_01 실행(군장산단) Rev00" xfId="2940"/>
    <cellStyle name="_인원계획표 _투찰_부대입찰조정_01 실행(군장산단) Rev00_01 실행(부산남컨가호안109-원안분) REV04" xfId="2941"/>
    <cellStyle name="_인원계획표 _투찰_부대입찰특별조건및내역송부" xfId="2942"/>
    <cellStyle name="_인원계획표 _투찰_부대입찰특별조건및내역송부_01 실행(군장산단) Rev00" xfId="2943"/>
    <cellStyle name="_인원계획표 _투찰_부대입찰특별조건및내역송부_01 실행(군장산단) Rev00_01 실행(부산남컨가호안109-원안분) REV04" xfId="2944"/>
    <cellStyle name="_인원계획표 _투찰_투찰" xfId="2945"/>
    <cellStyle name="_인원계획표 _투찰_투찰(8공구)" xfId="2946"/>
    <cellStyle name="_인원계획표 _투찰_투찰(8공구)_01 실행(군장산단) Rev00" xfId="2947"/>
    <cellStyle name="_인원계획표 _투찰_투찰(8공구)_01 실행(군장산단) Rev00_01 실행(부산남컨가호안109-원안분) REV04" xfId="2948"/>
    <cellStyle name="_인원계획표 _투찰_투찰(토목)" xfId="2949"/>
    <cellStyle name="_인원계획표 _투찰_투찰(토목)_01 실행(군장산단) Rev00" xfId="2950"/>
    <cellStyle name="_인원계획표 _투찰_투찰(토목)_01 실행(군장산단) Rev00_01 실행(부산남컨가호안109-원안분) REV04" xfId="2951"/>
    <cellStyle name="_인원계획표 _투찰_투찰_01 실행(군장산단) Rev00" xfId="2952"/>
    <cellStyle name="_인원계획표 _투찰_투찰_01 실행(군장산단) Rev00_01 실행(부산남컨가호안109-원안분) REV04" xfId="2953"/>
    <cellStyle name="_인원계획표 _투찰_투찰서" xfId="2954"/>
    <cellStyle name="_인원계획표 _투찰_투찰서_01 실행(군장산단) Rev00" xfId="2955"/>
    <cellStyle name="_인원계획표 _투찰_투찰서_01 실행(군장산단) Rev00_01 실행(부산남컨가호안109-원안분) REV04" xfId="2956"/>
    <cellStyle name="_인원계획표 _투찰내역" xfId="2957"/>
    <cellStyle name="_인원계획표 _투찰내역_1차준공검사원" xfId="2958"/>
    <cellStyle name="_인원계획표 _투찰내역_1차준공검사원_부대공1" xfId="2959"/>
    <cellStyle name="_인원계획표 _투찰내역_2차1회기공검사원(5월26일)1" xfId="2960"/>
    <cellStyle name="_인원계획표 _투찰내역_2차1회기공검사원(5월26일)1_부대공1" xfId="2961"/>
    <cellStyle name="_인원계획표 _투찰내역_Box 터파기 암판정" xfId="2962"/>
    <cellStyle name="_인원계획표 _투찰내역_Box 터파기 암판정_부대공1" xfId="2963"/>
    <cellStyle name="_인원계획표 _투찰내역_기성서류" xfId="2964"/>
    <cellStyle name="_인원계획표 _투찰내역_기성서류_부대공1" xfId="2965"/>
    <cellStyle name="_인원계획표 _투찰내역_부대공1" xfId="2966"/>
    <cellStyle name="_인원계획표 _투찰내역_부대입찰선금내역" xfId="2967"/>
    <cellStyle name="_인원계획표 _투찰내역_부대입찰선금내역_부대공1" xfId="2968"/>
    <cellStyle name="_인원계획표 _투찰내역_선급금 청구공문1" xfId="2969"/>
    <cellStyle name="_인원계획표 _투찰내역_선급금 청구공문1_부대공1" xfId="2970"/>
    <cellStyle name="_인원계획표 _투찰내역_수목이식(적송)" xfId="2971"/>
    <cellStyle name="_인원계획표 _투찰내역_수목이식(적송)_부대공1" xfId="2972"/>
    <cellStyle name="_인원계획표 _투찰내역_실정보고(차선,가드,갈매기)2" xfId="2973"/>
    <cellStyle name="_인원계획표 _투찰내역_실정보고(차선,가드,갈매기)2_부대공1" xfId="2974"/>
    <cellStyle name="_인원계획표 _투찰내역_은행이식(기계,바로정식)" xfId="2975"/>
    <cellStyle name="_인원계획표 _투찰내역_은행이식(기계,바로정식)_부대공1" xfId="2976"/>
    <cellStyle name="_인원계획표 _투찰내역_재료의 품질" xfId="2977"/>
    <cellStyle name="_인원계획표 _투찰내역_재료의 품질_부대공1" xfId="2978"/>
    <cellStyle name="_인원계획표 _투찰서" xfId="2979"/>
    <cellStyle name="_인원계획표 _투찰서_01 실행(군장산단) Rev00" xfId="2980"/>
    <cellStyle name="_인원계획표 _투찰서_01 실행(군장산단) Rev00_01 실행(부산남컨가호안109-원안분) REV04" xfId="2981"/>
    <cellStyle name="_인원계획표 _평동내역(01.09.07,실행3,관급계상)" xfId="10226"/>
    <cellStyle name="_인원계획표 _평동내역(87.9%실행)" xfId="10227"/>
    <cellStyle name="_인제,양구지장이전(5~6월)공사목록" xfId="10228"/>
    <cellStyle name="_인증견적자료" xfId="2982"/>
    <cellStyle name="_인천 FP견적" xfId="10229"/>
    <cellStyle name="_인천공항공사 e-HR시스템 구축 견적서(2007.08.22)" xfId="10230"/>
    <cellStyle name="_인천북항관공선부두(수정내역)" xfId="2983"/>
    <cellStyle name="_인천시 지하시설물통합정보시스템 구축사업 설계내역서_0514(FP)" xfId="2984"/>
    <cellStyle name="_인천시_설계(1006_내부망_수정)" xfId="10231"/>
    <cellStyle name="_인천지사 LOSS MAP1" xfId="10232"/>
    <cellStyle name="_인탑_GIS견적05-10-26" xfId="10233"/>
    <cellStyle name="_인트라넷개발내역" xfId="2985"/>
    <cellStyle name="_인포웹" xfId="10234"/>
    <cellStyle name="_일사분기(공사완료1)" xfId="10235"/>
    <cellStyle name="_일옥빌딩네트워크견적최종견적서" xfId="12608"/>
    <cellStyle name="_일위(김천)" xfId="10236"/>
    <cellStyle name="_일위(포천)" xfId="10237"/>
    <cellStyle name="_일위대가" xfId="10238"/>
    <cellStyle name="_일위대가_1" xfId="10239"/>
    <cellStyle name="_임계2개통확인" xfId="10240"/>
    <cellStyle name="_입찰표지 " xfId="2986"/>
    <cellStyle name="_입찰표지 _01 실행(군장산단) Rev00" xfId="2987"/>
    <cellStyle name="_입찰표지 _01 실행(군장산단) Rev00_01 실행(부산남컨가호안109-원안분) REV04" xfId="2988"/>
    <cellStyle name="_입찰표지 _01.설계내역2" xfId="2989"/>
    <cellStyle name="_입찰표지 _01설변내역서" xfId="10241"/>
    <cellStyle name="_입찰표지 _1변경내역서(ESC)" xfId="10242"/>
    <cellStyle name="_입찰표지 _1차준공검사원" xfId="2990"/>
    <cellStyle name="_입찰표지 _1차준공검사원_부대공1" xfId="2991"/>
    <cellStyle name="_입찰표지 _2차1회기공검사원(5월26일)1" xfId="2992"/>
    <cellStyle name="_입찰표지 _2차1회기공검사원(5월26일)1_부대공1" xfId="2993"/>
    <cellStyle name="_입찰표지 _2차변경내역서(ESC)" xfId="10243"/>
    <cellStyle name="_입찰표지 _2차분 하도급내역" xfId="2994"/>
    <cellStyle name="_입찰표지 _2차분 하도급내역_부대공1" xfId="2995"/>
    <cellStyle name="_입찰표지 _3공구투찰(103,078)" xfId="2996"/>
    <cellStyle name="_입찰표지 _3공구투찰(103,078)_1차준공검사원" xfId="2997"/>
    <cellStyle name="_입찰표지 _3공구투찰(103,078)_1차준공검사원_부대공1" xfId="2998"/>
    <cellStyle name="_입찰표지 _3공구투찰(103,078)_2차1회기공검사원(5월26일)1" xfId="2999"/>
    <cellStyle name="_입찰표지 _3공구투찰(103,078)_2차1회기공검사원(5월26일)1_부대공1" xfId="3000"/>
    <cellStyle name="_입찰표지 _3공구투찰(103,078)_Box 터파기 암판정" xfId="3001"/>
    <cellStyle name="_입찰표지 _3공구투찰(103,078)_Box 터파기 암판정_부대공1" xfId="3002"/>
    <cellStyle name="_입찰표지 _3공구투찰(103,078)_기성서류" xfId="3003"/>
    <cellStyle name="_입찰표지 _3공구투찰(103,078)_기성서류_부대공1" xfId="3004"/>
    <cellStyle name="_입찰표지 _3공구투찰(103,078)_부대공1" xfId="3005"/>
    <cellStyle name="_입찰표지 _3공구투찰(103,078)_부대입찰선금내역" xfId="3006"/>
    <cellStyle name="_입찰표지 _3공구투찰(103,078)_부대입찰선금내역_부대공1" xfId="3007"/>
    <cellStyle name="_입찰표지 _3공구투찰(103,078)_선급금 청구공문1" xfId="3008"/>
    <cellStyle name="_입찰표지 _3공구투찰(103,078)_선급금 청구공문1_부대공1" xfId="3009"/>
    <cellStyle name="_입찰표지 _3공구투찰(103,078)_수목이식(적송)" xfId="3010"/>
    <cellStyle name="_입찰표지 _3공구투찰(103,078)_수목이식(적송)_부대공1" xfId="3011"/>
    <cellStyle name="_입찰표지 _3공구투찰(103,078)_실정보고(차선,가드,갈매기)2" xfId="3012"/>
    <cellStyle name="_입찰표지 _3공구투찰(103,078)_실정보고(차선,가드,갈매기)2_부대공1" xfId="3013"/>
    <cellStyle name="_입찰표지 _3공구투찰(103,078)_은행이식(기계,바로정식)" xfId="3014"/>
    <cellStyle name="_입찰표지 _3공구투찰(103,078)_은행이식(기계,바로정식)_부대공1" xfId="3015"/>
    <cellStyle name="_입찰표지 _3공구투찰(103,078)_재료의 품질" xfId="3016"/>
    <cellStyle name="_입찰표지 _3공구투찰(103,078)_재료의 품질_부대공1" xfId="3017"/>
    <cellStyle name="_입찰표지 _Box 터파기 암판정" xfId="3018"/>
    <cellStyle name="_입찰표지 _Box 터파기 암판정_부대공1" xfId="3019"/>
    <cellStyle name="_입찰표지 _공문" xfId="3020"/>
    <cellStyle name="_입찰표지 _공문_부대공1" xfId="3021"/>
    <cellStyle name="_입찰표지 _공문_수목이식(적송)" xfId="3022"/>
    <cellStyle name="_입찰표지 _공문_수목이식(적송)_부대공1" xfId="3023"/>
    <cellStyle name="_입찰표지 _공문_은행이식(기계,바로정식)" xfId="3024"/>
    <cellStyle name="_입찰표지 _공문_은행이식(기계,바로정식)_부대공1" xfId="3025"/>
    <cellStyle name="_입찰표지 _공종별공사내용(광주참고용)" xfId="10244"/>
    <cellStyle name="_입찰표지 _공종별공사내용(평동)" xfId="10245"/>
    <cellStyle name="_입찰표지 _기성내역" xfId="3026"/>
    <cellStyle name="_입찰표지 _기성내역_부대공1" xfId="3027"/>
    <cellStyle name="_입찰표지 _기성서류" xfId="3028"/>
    <cellStyle name="_입찰표지 _기성서류_부대공1" xfId="3029"/>
    <cellStyle name="_입찰표지 _대안투찰내역(0221)" xfId="10246"/>
    <cellStyle name="_입찰표지 _대안투찰내역(0221)_공종별공사내용(광주참고용)" xfId="10247"/>
    <cellStyle name="_입찰표지 _대안투찰내역(0223)" xfId="10248"/>
    <cellStyle name="_입찰표지 _대안투찰내역(0223)_공종별공사내용(광주참고용)" xfId="10249"/>
    <cellStyle name="_입찰표지 _대안투찰내역(확정본0226)" xfId="10250"/>
    <cellStyle name="_입찰표지 _대안투찰내역(확정본0226)_공종별공사내용(광주참고용)" xfId="10251"/>
    <cellStyle name="_입찰표지 _도급실행0211" xfId="10252"/>
    <cellStyle name="_입찰표지 _도급실행0211_공종별공사내용(광주참고용)" xfId="10253"/>
    <cellStyle name="_입찰표지 _부대견적결과" xfId="3030"/>
    <cellStyle name="_입찰표지 _부대견적결과_01 실행(군장산단) Rev00" xfId="3031"/>
    <cellStyle name="_입찰표지 _부대견적결과_01 실행(군장산단) Rev00_01 실행(부산남컨가호안109-원안분) REV04" xfId="3032"/>
    <cellStyle name="_입찰표지 _부대견적결과1" xfId="3033"/>
    <cellStyle name="_입찰표지 _부대견적결과1_01 실행(군장산단) Rev00" xfId="3034"/>
    <cellStyle name="_입찰표지 _부대견적결과1_01 실행(군장산단) Rev00_01 실행(부산남컨가호안109-원안분) REV04" xfId="3035"/>
    <cellStyle name="_입찰표지 _부대견적의뢰" xfId="3036"/>
    <cellStyle name="_입찰표지 _부대견적의뢰_01 실행(군장산단) Rev00" xfId="3037"/>
    <cellStyle name="_입찰표지 _부대견적의뢰_01 실행(군장산단) Rev00_01 실행(부산남컨가호안109-원안분) REV04" xfId="3038"/>
    <cellStyle name="_입찰표지 _부대공1" xfId="3039"/>
    <cellStyle name="_입찰표지 _부대선정조정품의" xfId="3040"/>
    <cellStyle name="_입찰표지 _부대선정조정품의_01 실행(군장산단) Rev00" xfId="3041"/>
    <cellStyle name="_입찰표지 _부대선정조정품의_01 실행(군장산단) Rev00_01 실행(부산남컨가호안109-원안분) REV04" xfId="3042"/>
    <cellStyle name="_입찰표지 _부대입찰결과" xfId="3043"/>
    <cellStyle name="_입찰표지 _부대입찰결과_01 실행(군장산단) Rev00" xfId="3044"/>
    <cellStyle name="_입찰표지 _부대입찰결과_01 실행(군장산단) Rev00_01 실행(부산남컨가호안109-원안분) REV04" xfId="3045"/>
    <cellStyle name="_입찰표지 _부대입찰선금내역" xfId="3046"/>
    <cellStyle name="_입찰표지 _부대입찰선금내역_부대공1" xfId="3047"/>
    <cellStyle name="_입찰표지 _부대입찰송부" xfId="3048"/>
    <cellStyle name="_입찰표지 _부대입찰송부(1차조정)" xfId="3049"/>
    <cellStyle name="_입찰표지 _부대입찰송부(1차조정)_01 실행(군장산단) Rev00" xfId="3050"/>
    <cellStyle name="_입찰표지 _부대입찰송부(1차조정)_01 실행(군장산단) Rev00_01 실행(부산남컨가호안109-원안분) REV04" xfId="3051"/>
    <cellStyle name="_입찰표지 _부대입찰송부(무안광주)" xfId="3052"/>
    <cellStyle name="_입찰표지 _부대입찰송부(무안광주)_01 실행(군장산단) Rev00" xfId="3053"/>
    <cellStyle name="_입찰표지 _부대입찰송부(무안광주)_01 실행(군장산단) Rev00_01 실행(부산남컨가호안109-원안분) REV04" xfId="3054"/>
    <cellStyle name="_입찰표지 _부대입찰송부_01 실행(군장산단) Rev00" xfId="3055"/>
    <cellStyle name="_입찰표지 _부대입찰송부_01 실행(군장산단) Rev00_01 실행(부산남컨가호안109-원안분) REV04" xfId="3056"/>
    <cellStyle name="_입찰표지 _부대입찰조정" xfId="3057"/>
    <cellStyle name="_입찰표지 _부대입찰조정(광릉숲)" xfId="3058"/>
    <cellStyle name="_입찰표지 _부대입찰조정(광릉숲)_01 실행(군장산단) Rev00" xfId="3059"/>
    <cellStyle name="_입찰표지 _부대입찰조정(광릉숲)_01 실행(군장산단) Rev00_01 실행(부산남컨가호안109-원안분) REV04" xfId="3060"/>
    <cellStyle name="_입찰표지 _부대입찰조정_01 실행(군장산단) Rev00" xfId="3061"/>
    <cellStyle name="_입찰표지 _부대입찰조정_01 실행(군장산단) Rev00_01 실행(부산남컨가호안109-원안분) REV04" xfId="3062"/>
    <cellStyle name="_입찰표지 _부대입찰특별조건및내역송부" xfId="3063"/>
    <cellStyle name="_입찰표지 _부대입찰특별조건및내역송부(최저가)" xfId="3064"/>
    <cellStyle name="_입찰표지 _부대입찰특별조건및내역송부(최저가)_01 실행(군장산단) Rev00" xfId="3065"/>
    <cellStyle name="_입찰표지 _부대입찰특별조건및내역송부(최저가)_01 실행(군장산단) Rev00_01 실행(부산남컨가호안109-원안분) REV04" xfId="3066"/>
    <cellStyle name="_입찰표지 _부대입찰특별조건및내역송부_01 실행(군장산단) Rev00" xfId="3067"/>
    <cellStyle name="_입찰표지 _부대입찰특별조건및내역송부_01 실행(군장산단) Rev00_01 실행(부산남컨가호안109-원안분) REV04" xfId="3068"/>
    <cellStyle name="_입찰표지 _선급금 청구공문1" xfId="3069"/>
    <cellStyle name="_입찰표지 _선급금 청구공문1_부대공1" xfId="3070"/>
    <cellStyle name="_입찰표지 _성훈빌딩 신축전기공사" xfId="10254"/>
    <cellStyle name="_입찰표지 _수목이식(적송)" xfId="3071"/>
    <cellStyle name="_입찰표지 _수목이식(적송)_부대공1" xfId="3072"/>
    <cellStyle name="_입찰표지 _신풍-우성내역서(1차1회변경)" xfId="3073"/>
    <cellStyle name="_입찰표지 _신풍-우성내역서(1차1회변경)_부대공1" xfId="3074"/>
    <cellStyle name="_입찰표지 _신풍-우성내역서(1차공사)" xfId="3075"/>
    <cellStyle name="_입찰표지 _신풍-우성내역서(1차공사)_부대공1" xfId="3076"/>
    <cellStyle name="_입찰표지 _실정보고(차선,가드,갈매기)2" xfId="3077"/>
    <cellStyle name="_입찰표지 _실정보고(차선,가드,갈매기)2_부대공1" xfId="3078"/>
    <cellStyle name="_입찰표지 _실정보고(합성형강관말뚝)1" xfId="3079"/>
    <cellStyle name="_입찰표지 _실정보고(합성형강관말뚝)1_부대공1" xfId="3080"/>
    <cellStyle name="_입찰표지 _실정보고-1" xfId="3081"/>
    <cellStyle name="_입찰표지 _실정보고-1_부대공1" xfId="3082"/>
    <cellStyle name="_입찰표지 _은행(서울)" xfId="3083"/>
    <cellStyle name="_입찰표지 _은행(서울)_2차분 하도급내역" xfId="3084"/>
    <cellStyle name="_입찰표지 _은행(서울)_2차분 하도급내역_부대공1" xfId="3085"/>
    <cellStyle name="_입찰표지 _은행(서울)_Box 터파기 암판정" xfId="3086"/>
    <cellStyle name="_입찰표지 _은행(서울)_Box 터파기 암판정_부대공1" xfId="3087"/>
    <cellStyle name="_입찰표지 _은행(서울)_부대공1" xfId="3088"/>
    <cellStyle name="_입찰표지 _은행(서울)_수목이식(적송)" xfId="3089"/>
    <cellStyle name="_입찰표지 _은행(서울)_수목이식(적송)_부대공1" xfId="3090"/>
    <cellStyle name="_입찰표지 _은행(서울)_신풍-우성내역서(1차1회변경)" xfId="3091"/>
    <cellStyle name="_입찰표지 _은행(서울)_신풍-우성내역서(1차1회변경)_부대공1" xfId="3092"/>
    <cellStyle name="_입찰표지 _은행(서울)_신풍-우성내역서(1차공사)" xfId="3093"/>
    <cellStyle name="_입찰표지 _은행(서울)_신풍-우성내역서(1차공사)_부대공1" xfId="3094"/>
    <cellStyle name="_입찰표지 _은행(서울)_실정보고(합성형강관말뚝)1" xfId="3095"/>
    <cellStyle name="_입찰표지 _은행(서울)_실정보고(합성형강관말뚝)1_부대공1" xfId="3096"/>
    <cellStyle name="_입찰표지 _은행(서울)_실정보고-1" xfId="3097"/>
    <cellStyle name="_입찰표지 _은행(서울)_실정보고-1_부대공1" xfId="3098"/>
    <cellStyle name="_입찰표지 _재료의 품질" xfId="3099"/>
    <cellStyle name="_입찰표지 _재료의 품질_부대공1" xfId="3100"/>
    <cellStyle name="_입찰표지 _제2종지구단위계획_선바위관광지" xfId="3101"/>
    <cellStyle name="_입찰표지 _제2종지구단위계획_선바위관광지_20090609_영덕농공단지내역서" xfId="3102"/>
    <cellStyle name="_입찰표지 _제2종지구단위계획_선바위관광지_총괄내역서(090223)" xfId="3103"/>
    <cellStyle name="_입찰표지 _조경이식실정보고(굴취신규)" xfId="10255"/>
    <cellStyle name="_입찰표지 _총괄내역서_도시관리계획결정(070907)_계약" xfId="3104"/>
    <cellStyle name="_입찰표지 _총괄내역서_타당성조사및도시관리계획결정(090115)" xfId="3105"/>
    <cellStyle name="_입찰표지 _총괄내역서_타당성조사및도시관리계획결정(090115)_20090609_영덕농공단지내역서" xfId="3106"/>
    <cellStyle name="_입찰표지 _총괄내역서_타당성조사및도시관리계획결정(090115)_총괄내역서(090223)" xfId="3107"/>
    <cellStyle name="_입찰표지 _토목(예산서)" xfId="3108"/>
    <cellStyle name="_입찰표지 _투찰" xfId="3109"/>
    <cellStyle name="_입찰표지 _투찰(14-1)" xfId="3110"/>
    <cellStyle name="_입찰표지 _투찰(14-1)_01 실행(군장산단) Rev00" xfId="3111"/>
    <cellStyle name="_입찰표지 _투찰(14-1)_01 실행(군장산단) Rev00_01 실행(부산남컨가호안109-원안분) REV04" xfId="3112"/>
    <cellStyle name="_입찰표지 _투찰(8공구)" xfId="3113"/>
    <cellStyle name="_입찰표지 _투찰(8공구)_01 실행(군장산단) Rev00" xfId="3114"/>
    <cellStyle name="_입찰표지 _투찰(8공구)_01 실행(군장산단) Rev00_01 실행(부산남컨가호안109-원안분) REV04" xfId="3115"/>
    <cellStyle name="_입찰표지 _투찰(고철10-4)" xfId="3116"/>
    <cellStyle name="_입찰표지 _투찰(고철10-4)_01 실행(군장산단) Rev00" xfId="3117"/>
    <cellStyle name="_입찰표지 _투찰(고철10-4)_01 실행(군장산단) Rev00_01 실행(부산남컨가호안109-원안분) REV04" xfId="3118"/>
    <cellStyle name="_입찰표지 _투찰(무안광주3공구)" xfId="3119"/>
    <cellStyle name="_입찰표지 _투찰(무안광주3공구)_01 실행(군장산단) Rev00" xfId="3120"/>
    <cellStyle name="_입찰표지 _투찰(무안광주3공구)_01 실행(군장산단) Rev00_01 실행(부산남컨가호안109-원안분) REV04" xfId="3121"/>
    <cellStyle name="_입찰표지 _투찰(토목)" xfId="3122"/>
    <cellStyle name="_입찰표지 _투찰(토목)_01 실행(군장산단) Rev00" xfId="3123"/>
    <cellStyle name="_입찰표지 _투찰(토목)_01 실행(군장산단) Rev00_01 실행(부산남컨가호안109-원안분) REV04" xfId="3124"/>
    <cellStyle name="_입찰표지 _투찰_01 실행(군장산단) Rev00" xfId="3125"/>
    <cellStyle name="_입찰표지 _투찰_01 실행(군장산단) Rev00_01 실행(부산남컨가호안109-원안분) REV04" xfId="3126"/>
    <cellStyle name="_입찰표지 _투찰_1" xfId="3127"/>
    <cellStyle name="_입찰표지 _투찰_1_01 실행(군장산단) Rev00" xfId="3128"/>
    <cellStyle name="_입찰표지 _투찰_1_01 실행(군장산단) Rev00_01 실행(부산남컨가호안109-원안분) REV04" xfId="3129"/>
    <cellStyle name="_입찰표지 _투찰_부대견적결과" xfId="3130"/>
    <cellStyle name="_입찰표지 _투찰_부대견적결과_01 실행(군장산단) Rev00" xfId="3131"/>
    <cellStyle name="_입찰표지 _투찰_부대견적결과_01 실행(군장산단) Rev00_01 실행(부산남컨가호안109-원안분) REV04" xfId="3132"/>
    <cellStyle name="_입찰표지 _투찰_부대견적결과1" xfId="3133"/>
    <cellStyle name="_입찰표지 _투찰_부대견적결과1_01 실행(군장산단) Rev00" xfId="3134"/>
    <cellStyle name="_입찰표지 _투찰_부대견적결과1_01 실행(군장산단) Rev00_01 실행(부산남컨가호안109-원안분) REV04" xfId="3135"/>
    <cellStyle name="_입찰표지 _투찰_부대견적의뢰" xfId="3136"/>
    <cellStyle name="_입찰표지 _투찰_부대견적의뢰_01 실행(군장산단) Rev00" xfId="3137"/>
    <cellStyle name="_입찰표지 _투찰_부대견적의뢰_01 실행(군장산단) Rev00_01 실행(부산남컨가호안109-원안분) REV04" xfId="3138"/>
    <cellStyle name="_입찰표지 _투찰_부대선정조정품의" xfId="3139"/>
    <cellStyle name="_입찰표지 _투찰_부대선정조정품의_01 실행(군장산단) Rev00" xfId="3140"/>
    <cellStyle name="_입찰표지 _투찰_부대선정조정품의_01 실행(군장산단) Rev00_01 실행(부산남컨가호안109-원안분) REV04" xfId="3141"/>
    <cellStyle name="_입찰표지 _투찰_부대입찰결과" xfId="3142"/>
    <cellStyle name="_입찰표지 _투찰_부대입찰결과_01 실행(군장산단) Rev00" xfId="3143"/>
    <cellStyle name="_입찰표지 _투찰_부대입찰결과_01 실행(군장산단) Rev00_01 실행(부산남컨가호안109-원안분) REV04" xfId="3144"/>
    <cellStyle name="_입찰표지 _투찰_부대입찰송부" xfId="3145"/>
    <cellStyle name="_입찰표지 _투찰_부대입찰송부(1차조정)" xfId="3146"/>
    <cellStyle name="_입찰표지 _투찰_부대입찰송부(1차조정)_01 실행(군장산단) Rev00" xfId="3147"/>
    <cellStyle name="_입찰표지 _투찰_부대입찰송부(1차조정)_01 실행(군장산단) Rev00_01 실행(부산남컨가호안109-원안분) REV04" xfId="3148"/>
    <cellStyle name="_입찰표지 _투찰_부대입찰송부_01 실행(군장산단) Rev00" xfId="3149"/>
    <cellStyle name="_입찰표지 _투찰_부대입찰송부_01 실행(군장산단) Rev00_01 실행(부산남컨가호안109-원안분) REV04" xfId="3150"/>
    <cellStyle name="_입찰표지 _투찰_부대입찰조정" xfId="3151"/>
    <cellStyle name="_입찰표지 _투찰_부대입찰조정_01 실행(군장산단) Rev00" xfId="3152"/>
    <cellStyle name="_입찰표지 _투찰_부대입찰조정_01 실행(군장산단) Rev00_01 실행(부산남컨가호안109-원안분) REV04" xfId="3153"/>
    <cellStyle name="_입찰표지 _투찰_부대입찰특별조건및내역송부" xfId="3154"/>
    <cellStyle name="_입찰표지 _투찰_부대입찰특별조건및내역송부_01 실행(군장산단) Rev00" xfId="3155"/>
    <cellStyle name="_입찰표지 _투찰_부대입찰특별조건및내역송부_01 실행(군장산단) Rev00_01 실행(부산남컨가호안109-원안분) REV04" xfId="3156"/>
    <cellStyle name="_입찰표지 _투찰_투찰" xfId="3157"/>
    <cellStyle name="_입찰표지 _투찰_투찰(8공구)" xfId="3158"/>
    <cellStyle name="_입찰표지 _투찰_투찰(8공구)_01 실행(군장산단) Rev00" xfId="3159"/>
    <cellStyle name="_입찰표지 _투찰_투찰(8공구)_01 실행(군장산단) Rev00_01 실행(부산남컨가호안109-원안분) REV04" xfId="3160"/>
    <cellStyle name="_입찰표지 _투찰_투찰(토목)" xfId="3161"/>
    <cellStyle name="_입찰표지 _투찰_투찰(토목)_01 실행(군장산단) Rev00" xfId="3162"/>
    <cellStyle name="_입찰표지 _투찰_투찰(토목)_01 실행(군장산단) Rev00_01 실행(부산남컨가호안109-원안분) REV04" xfId="3163"/>
    <cellStyle name="_입찰표지 _투찰_투찰_01 실행(군장산단) Rev00" xfId="3164"/>
    <cellStyle name="_입찰표지 _투찰_투찰_01 실행(군장산단) Rev00_01 실행(부산남컨가호안109-원안분) REV04" xfId="3165"/>
    <cellStyle name="_입찰표지 _투찰_투찰서" xfId="3166"/>
    <cellStyle name="_입찰표지 _투찰_투찰서_01 실행(군장산단) Rev00" xfId="3167"/>
    <cellStyle name="_입찰표지 _투찰_투찰서_01 실행(군장산단) Rev00_01 실행(부산남컨가호안109-원안분) REV04" xfId="3168"/>
    <cellStyle name="_입찰표지 _투찰내역" xfId="3169"/>
    <cellStyle name="_입찰표지 _투찰내역_1차준공검사원" xfId="3170"/>
    <cellStyle name="_입찰표지 _투찰내역_1차준공검사원_부대공1" xfId="3171"/>
    <cellStyle name="_입찰표지 _투찰내역_2차1회기공검사원(5월26일)1" xfId="3172"/>
    <cellStyle name="_입찰표지 _투찰내역_2차1회기공검사원(5월26일)1_부대공1" xfId="3173"/>
    <cellStyle name="_입찰표지 _투찰내역_Box 터파기 암판정" xfId="3174"/>
    <cellStyle name="_입찰표지 _투찰내역_Box 터파기 암판정_부대공1" xfId="3175"/>
    <cellStyle name="_입찰표지 _투찰내역_기성서류" xfId="3176"/>
    <cellStyle name="_입찰표지 _투찰내역_기성서류_부대공1" xfId="3177"/>
    <cellStyle name="_입찰표지 _투찰내역_부대공1" xfId="3178"/>
    <cellStyle name="_입찰표지 _투찰내역_부대입찰선금내역" xfId="3179"/>
    <cellStyle name="_입찰표지 _투찰내역_부대입찰선금내역_부대공1" xfId="3180"/>
    <cellStyle name="_입찰표지 _투찰내역_선급금 청구공문1" xfId="3181"/>
    <cellStyle name="_입찰표지 _투찰내역_선급금 청구공문1_부대공1" xfId="3182"/>
    <cellStyle name="_입찰표지 _투찰내역_수목이식(적송)" xfId="3183"/>
    <cellStyle name="_입찰표지 _투찰내역_수목이식(적송)_부대공1" xfId="3184"/>
    <cellStyle name="_입찰표지 _투찰내역_실정보고(차선,가드,갈매기)2" xfId="3185"/>
    <cellStyle name="_입찰표지 _투찰내역_실정보고(차선,가드,갈매기)2_부대공1" xfId="3186"/>
    <cellStyle name="_입찰표지 _투찰내역_은행이식(기계,바로정식)" xfId="3187"/>
    <cellStyle name="_입찰표지 _투찰내역_은행이식(기계,바로정식)_부대공1" xfId="3188"/>
    <cellStyle name="_입찰표지 _투찰내역_재료의 품질" xfId="3189"/>
    <cellStyle name="_입찰표지 _투찰내역_재료의 품질_부대공1" xfId="3190"/>
    <cellStyle name="_입찰표지 _투찰서" xfId="3191"/>
    <cellStyle name="_입찰표지 _투찰서_01 실행(군장산단) Rev00" xfId="3192"/>
    <cellStyle name="_입찰표지 _투찰서_01 실행(군장산단) Rev00_01 실행(부산남컨가호안109-원안분) REV04" xfId="3193"/>
    <cellStyle name="_입찰표지 _평동내역(01.09.07,실행3,관급계상)" xfId="10256"/>
    <cellStyle name="_입찰표지 _평동내역(87.9%실행)" xfId="10257"/>
    <cellStyle name="_자동차제작결함시스템 서버 " xfId="10258"/>
    <cellStyle name="_자재기별" xfId="10259"/>
    <cellStyle name="_자재단가비교표" xfId="12609"/>
    <cellStyle name="_자재단가표" xfId="10260"/>
    <cellStyle name="_자재입고의뢰서" xfId="10261"/>
    <cellStyle name="_자재집계표" xfId="10262"/>
    <cellStyle name="_작승교교량공사" xfId="10263"/>
    <cellStyle name="_작업내역(전기,통신)" xfId="12610"/>
    <cellStyle name="_장비" xfId="3194"/>
    <cellStyle name="_장비&amp;통합배선(유선03)" xfId="12611"/>
    <cellStyle name="_장비견적분석" xfId="3195"/>
    <cellStyle name="_장산중학교내역(혁성)" xfId="3196"/>
    <cellStyle name="_장산중학교내역(혁성업체)" xfId="3197"/>
    <cellStyle name="_장산중학교내역하도급(혁성)" xfId="3198"/>
    <cellStyle name="_장성IC투찰" xfId="3199"/>
    <cellStyle name="_장성IC투찰_01 실행(군장산단) Rev00" xfId="3200"/>
    <cellStyle name="_장성IC투찰_01 실행(군장산단) Rev00_01 실행(부산남컨가호안109-원안분) REV04" xfId="3201"/>
    <cellStyle name="_장성IC투찰_경찰서-터미널간도로(투찰)②" xfId="3202"/>
    <cellStyle name="_장성IC투찰_경찰서-터미널간도로(투찰)②_01 실행(군장산단) Rev00" xfId="3203"/>
    <cellStyle name="_장성IC투찰_경찰서-터미널간도로(투찰)②_01 실행(군장산단) Rev00_01 실행(부산남컨가호안109-원안분) REV04" xfId="3204"/>
    <cellStyle name="_장성IC투찰_봉무지방산업단지도로(투찰)②" xfId="3205"/>
    <cellStyle name="_장성IC투찰_봉무지방산업단지도로(투찰)②_01 실행(군장산단) Rev00" xfId="3206"/>
    <cellStyle name="_장성IC투찰_봉무지방산업단지도로(투찰)②_01 실행(군장산단) Rev00_01 실행(부산남컨가호안109-원안분) REV04" xfId="3207"/>
    <cellStyle name="_장성IC투찰_봉무지방산업단지도로(투찰)②+0.250%" xfId="3208"/>
    <cellStyle name="_장성IC투찰_봉무지방산업단지도로(투찰)②+0.250%_01 실행(군장산단) Rev00" xfId="3209"/>
    <cellStyle name="_장성IC투찰_봉무지방산업단지도로(투찰)②+0.250%_01 실행(군장산단) Rev00_01 실행(부산남컨가호안109-원안분) REV04" xfId="3210"/>
    <cellStyle name="_장성IC투찰_합덕-신례원(2공구)투찰" xfId="3211"/>
    <cellStyle name="_장성IC투찰_합덕-신례원(2공구)투찰_01 실행(군장산단) Rev00" xfId="3212"/>
    <cellStyle name="_장성IC투찰_합덕-신례원(2공구)투찰_01 실행(군장산단) Rev00_01 실행(부산남컨가호안109-원안분) REV04" xfId="3213"/>
    <cellStyle name="_장성IC투찰_합덕-신례원(2공구)투찰_경찰서-터미널간도로(투찰)②" xfId="3214"/>
    <cellStyle name="_장성IC투찰_합덕-신례원(2공구)투찰_경찰서-터미널간도로(투찰)②_01 실행(군장산단) Rev00" xfId="3215"/>
    <cellStyle name="_장성IC투찰_합덕-신례원(2공구)투찰_경찰서-터미널간도로(투찰)②_01 실행(군장산단) Rev00_01 실행(부산남컨가호안109-원안분) REV04" xfId="3216"/>
    <cellStyle name="_장성IC투찰_합덕-신례원(2공구)투찰_봉무지방산업단지도로(투찰)②" xfId="3217"/>
    <cellStyle name="_장성IC투찰_합덕-신례원(2공구)투찰_봉무지방산업단지도로(투찰)②_01 실행(군장산단) Rev00" xfId="3218"/>
    <cellStyle name="_장성IC투찰_합덕-신례원(2공구)투찰_봉무지방산업단지도로(투찰)②_01 실행(군장산단) Rev00_01 실행(부산남컨가호안109-원안분) REV04" xfId="3219"/>
    <cellStyle name="_장성IC투찰_합덕-신례원(2공구)투찰_봉무지방산업단지도로(투찰)②+0.250%" xfId="3220"/>
    <cellStyle name="_장성IC투찰_합덕-신례원(2공구)투찰_봉무지방산업단지도로(투찰)②+0.250%_01 실행(군장산단) Rev00" xfId="3221"/>
    <cellStyle name="_장성IC투찰_합덕-신례원(2공구)투찰_봉무지방산업단지도로(투찰)②+0.250%_01 실행(군장산단) Rev00_01 실행(부산남컨가호안109-원안분) REV04" xfId="3222"/>
    <cellStyle name="_장성IC투찰_합덕-신례원(2공구)투찰_합덕-신례원(2공구)투찰" xfId="3223"/>
    <cellStyle name="_장성IC투찰_합덕-신례원(2공구)투찰_합덕-신례원(2공구)투찰_01 실행(군장산단) Rev00" xfId="3224"/>
    <cellStyle name="_장성IC투찰_합덕-신례원(2공구)투찰_합덕-신례원(2공구)투찰_01 실행(군장산단) Rev00_01 실행(부산남컨가호안109-원안분) REV04" xfId="3225"/>
    <cellStyle name="_장성IC투찰_합덕-신례원(2공구)투찰_합덕-신례원(2공구)투찰_경찰서-터미널간도로(투찰)②" xfId="3226"/>
    <cellStyle name="_장성IC투찰_합덕-신례원(2공구)투찰_합덕-신례원(2공구)투찰_경찰서-터미널간도로(투찰)②_01 실행(군장산단) Rev00" xfId="3227"/>
    <cellStyle name="_장성IC투찰_합덕-신례원(2공구)투찰_합덕-신례원(2공구)투찰_경찰서-터미널간도로(투찰)②_01 실행(군장산단) Rev00_01 실행(부산남컨가호안109-원안분) REV04" xfId="3228"/>
    <cellStyle name="_장성IC투찰_합덕-신례원(2공구)투찰_합덕-신례원(2공구)투찰_봉무지방산업단지도로(투찰)②" xfId="3229"/>
    <cellStyle name="_장성IC투찰_합덕-신례원(2공구)투찰_합덕-신례원(2공구)투찰_봉무지방산업단지도로(투찰)②_01 실행(군장산단) Rev00" xfId="3230"/>
    <cellStyle name="_장성IC투찰_합덕-신례원(2공구)투찰_합덕-신례원(2공구)투찰_봉무지방산업단지도로(투찰)②_01 실행(군장산단) Rev00_01 실행(부산남컨가호안109-원안분) REV04" xfId="3231"/>
    <cellStyle name="_장성IC투찰_합덕-신례원(2공구)투찰_합덕-신례원(2공구)투찰_봉무지방산업단지도로(투찰)②+0.250%" xfId="3232"/>
    <cellStyle name="_장성IC투찰_합덕-신례원(2공구)투찰_합덕-신례원(2공구)투찰_봉무지방산업단지도로(투찰)②+0.250%_01 실행(군장산단) Rev00" xfId="3233"/>
    <cellStyle name="_장성IC투찰_합덕-신례원(2공구)투찰_합덕-신례원(2공구)투찰_봉무지방산업단지도로(투찰)②+0.250%_01 실행(군장산단) Rev00_01 실행(부산남컨가호안109-원안분) REV04" xfId="3234"/>
    <cellStyle name="_장성호TY2" xfId="10264"/>
    <cellStyle name="_장성호TY2_2.여주jc7교" xfId="10265"/>
    <cellStyle name="_장양설계" xfId="10266"/>
    <cellStyle name="_장천3공구" xfId="10267"/>
    <cellStyle name="_장천4공구" xfId="10268"/>
    <cellStyle name="_장천5공구" xfId="10269"/>
    <cellStyle name="_장천6공구" xfId="10270"/>
    <cellStyle name="_장천총괄내역수량" xfId="10271"/>
    <cellStyle name="_장흥관측소(설계)-장비" xfId="10272"/>
    <cellStyle name="_재료비" xfId="10273"/>
    <cellStyle name="_저수지 생태공원 GB관리계획 및 조성계획수립 용역 설계내역서" xfId="3235"/>
    <cellStyle name="_저수지공원화사업" xfId="3236"/>
    <cellStyle name="_적격 " xfId="3237"/>
    <cellStyle name="_적격 _01 실행(군장산단) Rev00" xfId="3238"/>
    <cellStyle name="_적격 _01 실행(군장산단) Rev00_01 실행(부산남컨가호안109-원안분) REV04" xfId="3239"/>
    <cellStyle name="_적격 _부대견적결과" xfId="3240"/>
    <cellStyle name="_적격 _부대견적결과_01 실행(군장산단) Rev00" xfId="3241"/>
    <cellStyle name="_적격 _부대견적결과_01 실행(군장산단) Rev00_01 실행(부산남컨가호안109-원안분) REV04" xfId="3242"/>
    <cellStyle name="_적격 _부대견적결과1" xfId="3243"/>
    <cellStyle name="_적격 _부대견적결과1_01 실행(군장산단) Rev00" xfId="3244"/>
    <cellStyle name="_적격 _부대견적결과1_01 실행(군장산단) Rev00_01 실행(부산남컨가호안109-원안분) REV04" xfId="3245"/>
    <cellStyle name="_적격 _부대견적의뢰" xfId="3246"/>
    <cellStyle name="_적격 _부대견적의뢰_01 실행(군장산단) Rev00" xfId="3247"/>
    <cellStyle name="_적격 _부대견적의뢰_01 실행(군장산단) Rev00_01 실행(부산남컨가호안109-원안분) REV04" xfId="3248"/>
    <cellStyle name="_적격 _부대선정조정품의" xfId="3249"/>
    <cellStyle name="_적격 _부대선정조정품의_01 실행(군장산단) Rev00" xfId="3250"/>
    <cellStyle name="_적격 _부대선정조정품의_01 실행(군장산단) Rev00_01 실행(부산남컨가호안109-원안분) REV04" xfId="3251"/>
    <cellStyle name="_적격 _부대입찰결과" xfId="3252"/>
    <cellStyle name="_적격 _부대입찰결과_01 실행(군장산단) Rev00" xfId="3253"/>
    <cellStyle name="_적격 _부대입찰결과_01 실행(군장산단) Rev00_01 실행(부산남컨가호안109-원안분) REV04" xfId="3254"/>
    <cellStyle name="_적격 _부대입찰송부" xfId="3255"/>
    <cellStyle name="_적격 _부대입찰송부(1차조정)" xfId="3256"/>
    <cellStyle name="_적격 _부대입찰송부(1차조정)_01 실행(군장산단) Rev00" xfId="3257"/>
    <cellStyle name="_적격 _부대입찰송부(1차조정)_01 실행(군장산단) Rev00_01 실행(부산남컨가호안109-원안분) REV04" xfId="3258"/>
    <cellStyle name="_적격 _부대입찰송부(무안광주)" xfId="3259"/>
    <cellStyle name="_적격 _부대입찰송부(무안광주)_01 실행(군장산단) Rev00" xfId="3260"/>
    <cellStyle name="_적격 _부대입찰송부(무안광주)_01 실행(군장산단) Rev00_01 실행(부산남컨가호안109-원안분) REV04" xfId="3261"/>
    <cellStyle name="_적격 _부대입찰송부_01 실행(군장산단) Rev00" xfId="3262"/>
    <cellStyle name="_적격 _부대입찰송부_01 실행(군장산단) Rev00_01 실행(부산남컨가호안109-원안분) REV04" xfId="3263"/>
    <cellStyle name="_적격 _부대입찰조정" xfId="3264"/>
    <cellStyle name="_적격 _부대입찰조정(광릉숲)" xfId="3265"/>
    <cellStyle name="_적격 _부대입찰조정(광릉숲)_01 실행(군장산단) Rev00" xfId="3266"/>
    <cellStyle name="_적격 _부대입찰조정(광릉숲)_01 실행(군장산단) Rev00_01 실행(부산남컨가호안109-원안분) REV04" xfId="3267"/>
    <cellStyle name="_적격 _부대입찰조정_01 실행(군장산단) Rev00" xfId="3268"/>
    <cellStyle name="_적격 _부대입찰조정_01 실행(군장산단) Rev00_01 실행(부산남컨가호안109-원안분) REV04" xfId="3269"/>
    <cellStyle name="_적격 _부대입찰특별조건및내역송부" xfId="3270"/>
    <cellStyle name="_적격 _부대입찰특별조건및내역송부(최저가)" xfId="3271"/>
    <cellStyle name="_적격 _부대입찰특별조건및내역송부(최저가)_01 실행(군장산단) Rev00" xfId="3272"/>
    <cellStyle name="_적격 _부대입찰특별조건및내역송부(최저가)_01 실행(군장산단) Rev00_01 실행(부산남컨가호안109-원안분) REV04" xfId="3273"/>
    <cellStyle name="_적격 _부대입찰특별조건및내역송부_01 실행(군장산단) Rev00" xfId="3274"/>
    <cellStyle name="_적격 _부대입찰특별조건및내역송부_01 실행(군장산단) Rev00_01 실행(부산남컨가호안109-원안분) REV04" xfId="3275"/>
    <cellStyle name="_적격 _집행갑지 " xfId="3276"/>
    <cellStyle name="_적격 _집행갑지 _01 실행(군장산단) Rev00" xfId="3277"/>
    <cellStyle name="_적격 _집행갑지 _01 실행(군장산단) Rev00_01 실행(부산남컨가호안109-원안분) REV04" xfId="3278"/>
    <cellStyle name="_적격 _집행갑지 _부대견적결과" xfId="3279"/>
    <cellStyle name="_적격 _집행갑지 _부대견적결과_01 실행(군장산단) Rev00" xfId="3280"/>
    <cellStyle name="_적격 _집행갑지 _부대견적결과_01 실행(군장산단) Rev00_01 실행(부산남컨가호안109-원안분) REV04" xfId="3281"/>
    <cellStyle name="_적격 _집행갑지 _부대견적결과1" xfId="3282"/>
    <cellStyle name="_적격 _집행갑지 _부대견적결과1_01 실행(군장산단) Rev00" xfId="3283"/>
    <cellStyle name="_적격 _집행갑지 _부대견적결과1_01 실행(군장산단) Rev00_01 실행(부산남컨가호안109-원안분) REV04" xfId="3284"/>
    <cellStyle name="_적격 _집행갑지 _부대견적의뢰" xfId="3285"/>
    <cellStyle name="_적격 _집행갑지 _부대견적의뢰_01 실행(군장산단) Rev00" xfId="3286"/>
    <cellStyle name="_적격 _집행갑지 _부대견적의뢰_01 실행(군장산단) Rev00_01 실행(부산남컨가호안109-원안분) REV04" xfId="3287"/>
    <cellStyle name="_적격 _집행갑지 _부대선정조정품의" xfId="3288"/>
    <cellStyle name="_적격 _집행갑지 _부대선정조정품의_01 실행(군장산단) Rev00" xfId="3289"/>
    <cellStyle name="_적격 _집행갑지 _부대선정조정품의_01 실행(군장산단) Rev00_01 실행(부산남컨가호안109-원안분) REV04" xfId="3290"/>
    <cellStyle name="_적격 _집행갑지 _부대입찰결과" xfId="3291"/>
    <cellStyle name="_적격 _집행갑지 _부대입찰결과_01 실행(군장산단) Rev00" xfId="3292"/>
    <cellStyle name="_적격 _집행갑지 _부대입찰결과_01 실행(군장산단) Rev00_01 실행(부산남컨가호안109-원안분) REV04" xfId="3293"/>
    <cellStyle name="_적격 _집행갑지 _부대입찰송부" xfId="3294"/>
    <cellStyle name="_적격 _집행갑지 _부대입찰송부(1차조정)" xfId="3295"/>
    <cellStyle name="_적격 _집행갑지 _부대입찰송부(1차조정)_01 실행(군장산단) Rev00" xfId="3296"/>
    <cellStyle name="_적격 _집행갑지 _부대입찰송부(1차조정)_01 실행(군장산단) Rev00_01 실행(부산남컨가호안109-원안분) REV04" xfId="3297"/>
    <cellStyle name="_적격 _집행갑지 _부대입찰송부(무안광주)" xfId="3298"/>
    <cellStyle name="_적격 _집행갑지 _부대입찰송부(무안광주)_01 실행(군장산단) Rev00" xfId="3299"/>
    <cellStyle name="_적격 _집행갑지 _부대입찰송부(무안광주)_01 실행(군장산단) Rev00_01 실행(부산남컨가호안109-원안분) REV04" xfId="3300"/>
    <cellStyle name="_적격 _집행갑지 _부대입찰송부_01 실행(군장산단) Rev00" xfId="3301"/>
    <cellStyle name="_적격 _집행갑지 _부대입찰송부_01 실행(군장산단) Rev00_01 실행(부산남컨가호안109-원안분) REV04" xfId="3302"/>
    <cellStyle name="_적격 _집행갑지 _부대입찰조정" xfId="3303"/>
    <cellStyle name="_적격 _집행갑지 _부대입찰조정(광릉숲)" xfId="3304"/>
    <cellStyle name="_적격 _집행갑지 _부대입찰조정(광릉숲)_01 실행(군장산단) Rev00" xfId="3305"/>
    <cellStyle name="_적격 _집행갑지 _부대입찰조정(광릉숲)_01 실행(군장산단) Rev00_01 실행(부산남컨가호안109-원안분) REV04" xfId="3306"/>
    <cellStyle name="_적격 _집행갑지 _부대입찰조정_01 실행(군장산단) Rev00" xfId="3307"/>
    <cellStyle name="_적격 _집행갑지 _부대입찰조정_01 실행(군장산단) Rev00_01 실행(부산남컨가호안109-원안분) REV04" xfId="3308"/>
    <cellStyle name="_적격 _집행갑지 _부대입찰특별조건및내역송부" xfId="3309"/>
    <cellStyle name="_적격 _집행갑지 _부대입찰특별조건및내역송부(최저가)" xfId="3310"/>
    <cellStyle name="_적격 _집행갑지 _부대입찰특별조건및내역송부(최저가)_01 실행(군장산단) Rev00" xfId="3311"/>
    <cellStyle name="_적격 _집행갑지 _부대입찰특별조건및내역송부(최저가)_01 실행(군장산단) Rev00_01 실행(부산남컨가호안109-원안분) REV04" xfId="3312"/>
    <cellStyle name="_적격 _집행갑지 _부대입찰특별조건및내역송부_01 실행(군장산단) Rev00" xfId="3313"/>
    <cellStyle name="_적격 _집행갑지 _부대입찰특별조건및내역송부_01 실행(군장산단) Rev00_01 실행(부산남컨가호안109-원안분) REV04" xfId="3314"/>
    <cellStyle name="_적격 _집행갑지 _투찰" xfId="3315"/>
    <cellStyle name="_적격 _집행갑지 _투찰(14-1)" xfId="3316"/>
    <cellStyle name="_적격 _집행갑지 _투찰(14-1)_01 실행(군장산단) Rev00" xfId="3317"/>
    <cellStyle name="_적격 _집행갑지 _투찰(14-1)_01 실행(군장산단) Rev00_01 실행(부산남컨가호안109-원안분) REV04" xfId="3318"/>
    <cellStyle name="_적격 _집행갑지 _투찰(8공구)" xfId="3319"/>
    <cellStyle name="_적격 _집행갑지 _투찰(8공구)_01 실행(군장산단) Rev00" xfId="3320"/>
    <cellStyle name="_적격 _집행갑지 _투찰(8공구)_01 실행(군장산단) Rev00_01 실행(부산남컨가호안109-원안분) REV04" xfId="3321"/>
    <cellStyle name="_적격 _집행갑지 _투찰(고철10-4)" xfId="3322"/>
    <cellStyle name="_적격 _집행갑지 _투찰(고철10-4)_01 실행(군장산단) Rev00" xfId="3323"/>
    <cellStyle name="_적격 _집행갑지 _투찰(고철10-4)_01 실행(군장산단) Rev00_01 실행(부산남컨가호안109-원안분) REV04" xfId="3324"/>
    <cellStyle name="_적격 _집행갑지 _투찰(무안광주3공구)" xfId="3325"/>
    <cellStyle name="_적격 _집행갑지 _투찰(무안광주3공구)_01 실행(군장산단) Rev00" xfId="3326"/>
    <cellStyle name="_적격 _집행갑지 _투찰(무안광주3공구)_01 실행(군장산단) Rev00_01 실행(부산남컨가호안109-원안분) REV04" xfId="3327"/>
    <cellStyle name="_적격 _집행갑지 _투찰(토목)" xfId="3328"/>
    <cellStyle name="_적격 _집행갑지 _투찰(토목)_01 실행(군장산단) Rev00" xfId="3329"/>
    <cellStyle name="_적격 _집행갑지 _투찰(토목)_01 실행(군장산단) Rev00_01 실행(부산남컨가호안109-원안분) REV04" xfId="3330"/>
    <cellStyle name="_적격 _집행갑지 _투찰_01 실행(군장산단) Rev00" xfId="3331"/>
    <cellStyle name="_적격 _집행갑지 _투찰_01 실행(군장산단) Rev00_01 실행(부산남컨가호안109-원안분) REV04" xfId="3332"/>
    <cellStyle name="_적격 _집행갑지 _투찰_1" xfId="3333"/>
    <cellStyle name="_적격 _집행갑지 _투찰_1_01 실행(군장산단) Rev00" xfId="3334"/>
    <cellStyle name="_적격 _집행갑지 _투찰_1_01 실행(군장산단) Rev00_01 실행(부산남컨가호안109-원안분) REV04" xfId="3335"/>
    <cellStyle name="_적격 _집행갑지 _투찰_부대견적결과" xfId="3336"/>
    <cellStyle name="_적격 _집행갑지 _투찰_부대견적결과_01 실행(군장산단) Rev00" xfId="3337"/>
    <cellStyle name="_적격 _집행갑지 _투찰_부대견적결과_01 실행(군장산단) Rev00_01 실행(부산남컨가호안109-원안분) REV04" xfId="3338"/>
    <cellStyle name="_적격 _집행갑지 _투찰_부대견적결과1" xfId="3339"/>
    <cellStyle name="_적격 _집행갑지 _투찰_부대견적결과1_01 실행(군장산단) Rev00" xfId="3340"/>
    <cellStyle name="_적격 _집행갑지 _투찰_부대견적결과1_01 실행(군장산단) Rev00_01 실행(부산남컨가호안109-원안분) REV04" xfId="3341"/>
    <cellStyle name="_적격 _집행갑지 _투찰_부대견적의뢰" xfId="3342"/>
    <cellStyle name="_적격 _집행갑지 _투찰_부대견적의뢰_01 실행(군장산단) Rev00" xfId="3343"/>
    <cellStyle name="_적격 _집행갑지 _투찰_부대견적의뢰_01 실행(군장산단) Rev00_01 실행(부산남컨가호안109-원안분) REV04" xfId="3344"/>
    <cellStyle name="_적격 _집행갑지 _투찰_부대선정조정품의" xfId="3345"/>
    <cellStyle name="_적격 _집행갑지 _투찰_부대선정조정품의_01 실행(군장산단) Rev00" xfId="3346"/>
    <cellStyle name="_적격 _집행갑지 _투찰_부대선정조정품의_01 실행(군장산단) Rev00_01 실행(부산남컨가호안109-원안분) REV04" xfId="3347"/>
    <cellStyle name="_적격 _집행갑지 _투찰_부대입찰결과" xfId="3348"/>
    <cellStyle name="_적격 _집행갑지 _투찰_부대입찰결과_01 실행(군장산단) Rev00" xfId="3349"/>
    <cellStyle name="_적격 _집행갑지 _투찰_부대입찰결과_01 실행(군장산단) Rev00_01 실행(부산남컨가호안109-원안분) REV04" xfId="3350"/>
    <cellStyle name="_적격 _집행갑지 _투찰_부대입찰송부" xfId="3351"/>
    <cellStyle name="_적격 _집행갑지 _투찰_부대입찰송부(1차조정)" xfId="3352"/>
    <cellStyle name="_적격 _집행갑지 _투찰_부대입찰송부(1차조정)_01 실행(군장산단) Rev00" xfId="3353"/>
    <cellStyle name="_적격 _집행갑지 _투찰_부대입찰송부(1차조정)_01 실행(군장산단) Rev00_01 실행(부산남컨가호안109-원안분) REV04" xfId="3354"/>
    <cellStyle name="_적격 _집행갑지 _투찰_부대입찰송부_01 실행(군장산단) Rev00" xfId="3355"/>
    <cellStyle name="_적격 _집행갑지 _투찰_부대입찰송부_01 실행(군장산단) Rev00_01 실행(부산남컨가호안109-원안분) REV04" xfId="3356"/>
    <cellStyle name="_적격 _집행갑지 _투찰_부대입찰조정" xfId="3357"/>
    <cellStyle name="_적격 _집행갑지 _투찰_부대입찰조정_01 실행(군장산단) Rev00" xfId="3358"/>
    <cellStyle name="_적격 _집행갑지 _투찰_부대입찰조정_01 실행(군장산단) Rev00_01 실행(부산남컨가호안109-원안분) REV04" xfId="3359"/>
    <cellStyle name="_적격 _집행갑지 _투찰_부대입찰특별조건및내역송부" xfId="3360"/>
    <cellStyle name="_적격 _집행갑지 _투찰_부대입찰특별조건및내역송부_01 실행(군장산단) Rev00" xfId="3361"/>
    <cellStyle name="_적격 _집행갑지 _투찰_부대입찰특별조건및내역송부_01 실행(군장산단) Rev00_01 실행(부산남컨가호안109-원안분) REV04" xfId="3362"/>
    <cellStyle name="_적격 _집행갑지 _투찰_투찰" xfId="3363"/>
    <cellStyle name="_적격 _집행갑지 _투찰_투찰(8공구)" xfId="3364"/>
    <cellStyle name="_적격 _집행갑지 _투찰_투찰(8공구)_01 실행(군장산단) Rev00" xfId="3365"/>
    <cellStyle name="_적격 _집행갑지 _투찰_투찰(8공구)_01 실행(군장산단) Rev00_01 실행(부산남컨가호안109-원안분) REV04" xfId="3366"/>
    <cellStyle name="_적격 _집행갑지 _투찰_투찰(토목)" xfId="3367"/>
    <cellStyle name="_적격 _집행갑지 _투찰_투찰(토목)_01 실행(군장산단) Rev00" xfId="3368"/>
    <cellStyle name="_적격 _집행갑지 _투찰_투찰(토목)_01 실행(군장산단) Rev00_01 실행(부산남컨가호안109-원안분) REV04" xfId="3369"/>
    <cellStyle name="_적격 _집행갑지 _투찰_투찰_01 실행(군장산단) Rev00" xfId="3370"/>
    <cellStyle name="_적격 _집행갑지 _투찰_투찰_01 실행(군장산단) Rev00_01 실행(부산남컨가호안109-원안분) REV04" xfId="3371"/>
    <cellStyle name="_적격 _집행갑지 _투찰_투찰서" xfId="3372"/>
    <cellStyle name="_적격 _집행갑지 _투찰_투찰서_01 실행(군장산단) Rev00" xfId="3373"/>
    <cellStyle name="_적격 _집행갑지 _투찰_투찰서_01 실행(군장산단) Rev00_01 실행(부산남컨가호안109-원안분) REV04" xfId="3374"/>
    <cellStyle name="_적격 _집행갑지 _투찰서" xfId="3375"/>
    <cellStyle name="_적격 _집행갑지 _투찰서_01 실행(군장산단) Rev00" xfId="3376"/>
    <cellStyle name="_적격 _집행갑지 _투찰서_01 실행(군장산단) Rev00_01 실행(부산남컨가호안109-원안분) REV04" xfId="3377"/>
    <cellStyle name="_적격 _투찰" xfId="3378"/>
    <cellStyle name="_적격 _투찰(14-1)" xfId="3379"/>
    <cellStyle name="_적격 _투찰(14-1)_01 실행(군장산단) Rev00" xfId="3380"/>
    <cellStyle name="_적격 _투찰(14-1)_01 실행(군장산단) Rev00_01 실행(부산남컨가호안109-원안분) REV04" xfId="3381"/>
    <cellStyle name="_적격 _투찰(8공구)" xfId="3382"/>
    <cellStyle name="_적격 _투찰(8공구)_01 실행(군장산단) Rev00" xfId="3383"/>
    <cellStyle name="_적격 _투찰(8공구)_01 실행(군장산단) Rev00_01 실행(부산남컨가호안109-원안분) REV04" xfId="3384"/>
    <cellStyle name="_적격 _투찰(고철10-4)" xfId="3385"/>
    <cellStyle name="_적격 _투찰(고철10-4)_01 실행(군장산단) Rev00" xfId="3386"/>
    <cellStyle name="_적격 _투찰(고철10-4)_01 실행(군장산단) Rev00_01 실행(부산남컨가호안109-원안분) REV04" xfId="3387"/>
    <cellStyle name="_적격 _투찰(무안광주3공구)" xfId="3388"/>
    <cellStyle name="_적격 _투찰(무안광주3공구)_01 실행(군장산단) Rev00" xfId="3389"/>
    <cellStyle name="_적격 _투찰(무안광주3공구)_01 실행(군장산단) Rev00_01 실행(부산남컨가호안109-원안분) REV04" xfId="3390"/>
    <cellStyle name="_적격 _투찰(토목)" xfId="3391"/>
    <cellStyle name="_적격 _투찰(토목)_01 실행(군장산단) Rev00" xfId="3392"/>
    <cellStyle name="_적격 _투찰(토목)_01 실행(군장산단) Rev00_01 실행(부산남컨가호안109-원안분) REV04" xfId="3393"/>
    <cellStyle name="_적격 _투찰_01 실행(군장산단) Rev00" xfId="3394"/>
    <cellStyle name="_적격 _투찰_01 실행(군장산단) Rev00_01 실행(부산남컨가호안109-원안분) REV04" xfId="3395"/>
    <cellStyle name="_적격 _투찰_1" xfId="3396"/>
    <cellStyle name="_적격 _투찰_1_01 실행(군장산단) Rev00" xfId="3397"/>
    <cellStyle name="_적격 _투찰_1_01 실행(군장산단) Rev00_01 실행(부산남컨가호안109-원안분) REV04" xfId="3398"/>
    <cellStyle name="_적격 _투찰_부대견적결과" xfId="3399"/>
    <cellStyle name="_적격 _투찰_부대견적결과_01 실행(군장산단) Rev00" xfId="3400"/>
    <cellStyle name="_적격 _투찰_부대견적결과_01 실행(군장산단) Rev00_01 실행(부산남컨가호안109-원안분) REV04" xfId="3401"/>
    <cellStyle name="_적격 _투찰_부대견적결과1" xfId="3402"/>
    <cellStyle name="_적격 _투찰_부대견적결과1_01 실행(군장산단) Rev00" xfId="3403"/>
    <cellStyle name="_적격 _투찰_부대견적결과1_01 실행(군장산단) Rev00_01 실행(부산남컨가호안109-원안분) REV04" xfId="3404"/>
    <cellStyle name="_적격 _투찰_부대견적의뢰" xfId="3405"/>
    <cellStyle name="_적격 _투찰_부대견적의뢰_01 실행(군장산단) Rev00" xfId="3406"/>
    <cellStyle name="_적격 _투찰_부대견적의뢰_01 실행(군장산단) Rev00_01 실행(부산남컨가호안109-원안분) REV04" xfId="3407"/>
    <cellStyle name="_적격 _투찰_부대선정조정품의" xfId="3408"/>
    <cellStyle name="_적격 _투찰_부대선정조정품의_01 실행(군장산단) Rev00" xfId="3409"/>
    <cellStyle name="_적격 _투찰_부대선정조정품의_01 실행(군장산단) Rev00_01 실행(부산남컨가호안109-원안분) REV04" xfId="3410"/>
    <cellStyle name="_적격 _투찰_부대입찰결과" xfId="3411"/>
    <cellStyle name="_적격 _투찰_부대입찰결과_01 실행(군장산단) Rev00" xfId="3412"/>
    <cellStyle name="_적격 _투찰_부대입찰결과_01 실행(군장산단) Rev00_01 실행(부산남컨가호안109-원안분) REV04" xfId="3413"/>
    <cellStyle name="_적격 _투찰_부대입찰송부" xfId="3414"/>
    <cellStyle name="_적격 _투찰_부대입찰송부(1차조정)" xfId="3415"/>
    <cellStyle name="_적격 _투찰_부대입찰송부(1차조정)_01 실행(군장산단) Rev00" xfId="3416"/>
    <cellStyle name="_적격 _투찰_부대입찰송부(1차조정)_01 실행(군장산단) Rev00_01 실행(부산남컨가호안109-원안분) REV04" xfId="3417"/>
    <cellStyle name="_적격 _투찰_부대입찰송부_01 실행(군장산단) Rev00" xfId="3418"/>
    <cellStyle name="_적격 _투찰_부대입찰송부_01 실행(군장산단) Rev00_01 실행(부산남컨가호안109-원안분) REV04" xfId="3419"/>
    <cellStyle name="_적격 _투찰_부대입찰조정" xfId="3420"/>
    <cellStyle name="_적격 _투찰_부대입찰조정_01 실행(군장산단) Rev00" xfId="3421"/>
    <cellStyle name="_적격 _투찰_부대입찰조정_01 실행(군장산단) Rev00_01 실행(부산남컨가호안109-원안분) REV04" xfId="3422"/>
    <cellStyle name="_적격 _투찰_부대입찰특별조건및내역송부" xfId="3423"/>
    <cellStyle name="_적격 _투찰_부대입찰특별조건및내역송부_01 실행(군장산단) Rev00" xfId="3424"/>
    <cellStyle name="_적격 _투찰_부대입찰특별조건및내역송부_01 실행(군장산단) Rev00_01 실행(부산남컨가호안109-원안분) REV04" xfId="3425"/>
    <cellStyle name="_적격 _투찰_투찰" xfId="3426"/>
    <cellStyle name="_적격 _투찰_투찰(8공구)" xfId="3427"/>
    <cellStyle name="_적격 _투찰_투찰(8공구)_01 실행(군장산단) Rev00" xfId="3428"/>
    <cellStyle name="_적격 _투찰_투찰(8공구)_01 실행(군장산단) Rev00_01 실행(부산남컨가호안109-원안분) REV04" xfId="3429"/>
    <cellStyle name="_적격 _투찰_투찰(토목)" xfId="3430"/>
    <cellStyle name="_적격 _투찰_투찰(토목)_01 실행(군장산단) Rev00" xfId="3431"/>
    <cellStyle name="_적격 _투찰_투찰(토목)_01 실행(군장산단) Rev00_01 실행(부산남컨가호안109-원안분) REV04" xfId="3432"/>
    <cellStyle name="_적격 _투찰_투찰_01 실행(군장산단) Rev00" xfId="3433"/>
    <cellStyle name="_적격 _투찰_투찰_01 실행(군장산단) Rev00_01 실행(부산남컨가호안109-원안분) REV04" xfId="3434"/>
    <cellStyle name="_적격 _투찰_투찰서" xfId="3435"/>
    <cellStyle name="_적격 _투찰_투찰서_01 실행(군장산단) Rev00" xfId="3436"/>
    <cellStyle name="_적격 _투찰_투찰서_01 실행(군장산단) Rev00_01 실행(부산남컨가호안109-원안분) REV04" xfId="3437"/>
    <cellStyle name="_적격 _투찰서" xfId="3438"/>
    <cellStyle name="_적격 _투찰서_01 실행(군장산단) Rev00" xfId="3439"/>
    <cellStyle name="_적격 _투찰서_01 실행(군장산단) Rev00_01 실행(부산남컨가호안109-원안분) REV04" xfId="3440"/>
    <cellStyle name="_적격(화산) " xfId="3441"/>
    <cellStyle name="_적격(화산) _01 실행(군장산단) Rev00" xfId="3442"/>
    <cellStyle name="_적격(화산) _01 실행(군장산단) Rev00_01 실행(부산남컨가호안109-원안분) REV04" xfId="3443"/>
    <cellStyle name="_적격(화산) _01.설계내역2" xfId="3444"/>
    <cellStyle name="_적격(화산) _01설변내역서" xfId="10274"/>
    <cellStyle name="_적격(화산) _1변경내역서(ESC)" xfId="10275"/>
    <cellStyle name="_적격(화산) _1차준공검사원" xfId="3445"/>
    <cellStyle name="_적격(화산) _1차준공검사원_부대공1" xfId="3446"/>
    <cellStyle name="_적격(화산) _2차1회기공검사원(5월26일)1" xfId="3447"/>
    <cellStyle name="_적격(화산) _2차1회기공검사원(5월26일)1_부대공1" xfId="3448"/>
    <cellStyle name="_적격(화산) _2차변경내역서(ESC)" xfId="10276"/>
    <cellStyle name="_적격(화산) _2차분 하도급내역" xfId="3449"/>
    <cellStyle name="_적격(화산) _2차분 하도급내역_부대공1" xfId="3450"/>
    <cellStyle name="_적격(화산) _3공구투찰(103,078)" xfId="3451"/>
    <cellStyle name="_적격(화산) _3공구투찰(103,078)_1차준공검사원" xfId="3452"/>
    <cellStyle name="_적격(화산) _3공구투찰(103,078)_1차준공검사원_부대공1" xfId="3453"/>
    <cellStyle name="_적격(화산) _3공구투찰(103,078)_2차1회기공검사원(5월26일)1" xfId="3454"/>
    <cellStyle name="_적격(화산) _3공구투찰(103,078)_2차1회기공검사원(5월26일)1_부대공1" xfId="3455"/>
    <cellStyle name="_적격(화산) _3공구투찰(103,078)_Box 터파기 암판정" xfId="3456"/>
    <cellStyle name="_적격(화산) _3공구투찰(103,078)_Box 터파기 암판정_부대공1" xfId="3457"/>
    <cellStyle name="_적격(화산) _3공구투찰(103,078)_기성서류" xfId="3458"/>
    <cellStyle name="_적격(화산) _3공구투찰(103,078)_기성서류_부대공1" xfId="3459"/>
    <cellStyle name="_적격(화산) _3공구투찰(103,078)_부대공1" xfId="3460"/>
    <cellStyle name="_적격(화산) _3공구투찰(103,078)_부대입찰선금내역" xfId="3461"/>
    <cellStyle name="_적격(화산) _3공구투찰(103,078)_부대입찰선금내역_부대공1" xfId="3462"/>
    <cellStyle name="_적격(화산) _3공구투찰(103,078)_선급금 청구공문1" xfId="3463"/>
    <cellStyle name="_적격(화산) _3공구투찰(103,078)_선급금 청구공문1_부대공1" xfId="3464"/>
    <cellStyle name="_적격(화산) _3공구투찰(103,078)_수목이식(적송)" xfId="3465"/>
    <cellStyle name="_적격(화산) _3공구투찰(103,078)_수목이식(적송)_부대공1" xfId="3466"/>
    <cellStyle name="_적격(화산) _3공구투찰(103,078)_실정보고(차선,가드,갈매기)2" xfId="3467"/>
    <cellStyle name="_적격(화산) _3공구투찰(103,078)_실정보고(차선,가드,갈매기)2_부대공1" xfId="3468"/>
    <cellStyle name="_적격(화산) _3공구투찰(103,078)_은행이식(기계,바로정식)" xfId="3469"/>
    <cellStyle name="_적격(화산) _3공구투찰(103,078)_은행이식(기계,바로정식)_부대공1" xfId="3470"/>
    <cellStyle name="_적격(화산) _3공구투찰(103,078)_재료의 품질" xfId="3471"/>
    <cellStyle name="_적격(화산) _3공구투찰(103,078)_재료의 품질_부대공1" xfId="3472"/>
    <cellStyle name="_적격(화산) _Box 터파기 암판정" xfId="3473"/>
    <cellStyle name="_적격(화산) _Box 터파기 암판정_부대공1" xfId="3474"/>
    <cellStyle name="_적격(화산) _공문" xfId="3475"/>
    <cellStyle name="_적격(화산) _공문_부대공1" xfId="3476"/>
    <cellStyle name="_적격(화산) _공문_수목이식(적송)" xfId="3477"/>
    <cellStyle name="_적격(화산) _공문_수목이식(적송)_부대공1" xfId="3478"/>
    <cellStyle name="_적격(화산) _공문_은행이식(기계,바로정식)" xfId="3479"/>
    <cellStyle name="_적격(화산) _공문_은행이식(기계,바로정식)_부대공1" xfId="3480"/>
    <cellStyle name="_적격(화산) _공종별공사내용(광주참고용)" xfId="10277"/>
    <cellStyle name="_적격(화산) _공종별공사내용(평동)" xfId="10278"/>
    <cellStyle name="_적격(화산) _기성내역" xfId="3481"/>
    <cellStyle name="_적격(화산) _기성내역_부대공1" xfId="3482"/>
    <cellStyle name="_적격(화산) _기성서류" xfId="3483"/>
    <cellStyle name="_적격(화산) _기성서류_부대공1" xfId="3484"/>
    <cellStyle name="_적격(화산) _대안투찰내역(0221)" xfId="10279"/>
    <cellStyle name="_적격(화산) _대안투찰내역(0221)_공종별공사내용(광주참고용)" xfId="10280"/>
    <cellStyle name="_적격(화산) _대안투찰내역(0223)" xfId="10281"/>
    <cellStyle name="_적격(화산) _대안투찰내역(0223)_공종별공사내용(광주참고용)" xfId="10282"/>
    <cellStyle name="_적격(화산) _대안투찰내역(확정본0226)" xfId="10283"/>
    <cellStyle name="_적격(화산) _대안투찰내역(확정본0226)_공종별공사내용(광주참고용)" xfId="10284"/>
    <cellStyle name="_적격(화산) _도급실행0211" xfId="10285"/>
    <cellStyle name="_적격(화산) _도급실행0211_공종별공사내용(광주참고용)" xfId="10286"/>
    <cellStyle name="_적격(화산) _부대견적결과" xfId="3485"/>
    <cellStyle name="_적격(화산) _부대견적결과_01 실행(군장산단) Rev00" xfId="3486"/>
    <cellStyle name="_적격(화산) _부대견적결과_01 실행(군장산단) Rev00_01 실행(부산남컨가호안109-원안분) REV04" xfId="3487"/>
    <cellStyle name="_적격(화산) _부대견적결과1" xfId="3488"/>
    <cellStyle name="_적격(화산) _부대견적결과1_01 실행(군장산단) Rev00" xfId="3489"/>
    <cellStyle name="_적격(화산) _부대견적결과1_01 실행(군장산단) Rev00_01 실행(부산남컨가호안109-원안분) REV04" xfId="3490"/>
    <cellStyle name="_적격(화산) _부대견적의뢰" xfId="3491"/>
    <cellStyle name="_적격(화산) _부대견적의뢰_01 실행(군장산단) Rev00" xfId="3492"/>
    <cellStyle name="_적격(화산) _부대견적의뢰_01 실행(군장산단) Rev00_01 실행(부산남컨가호안109-원안분) REV04" xfId="3493"/>
    <cellStyle name="_적격(화산) _부대공1" xfId="3494"/>
    <cellStyle name="_적격(화산) _부대선정조정품의" xfId="3495"/>
    <cellStyle name="_적격(화산) _부대선정조정품의_01 실행(군장산단) Rev00" xfId="3496"/>
    <cellStyle name="_적격(화산) _부대선정조정품의_01 실행(군장산단) Rev00_01 실행(부산남컨가호안109-원안분) REV04" xfId="3497"/>
    <cellStyle name="_적격(화산) _부대입찰결과" xfId="3498"/>
    <cellStyle name="_적격(화산) _부대입찰결과_01 실행(군장산단) Rev00" xfId="3499"/>
    <cellStyle name="_적격(화산) _부대입찰결과_01 실행(군장산단) Rev00_01 실행(부산남컨가호안109-원안분) REV04" xfId="3500"/>
    <cellStyle name="_적격(화산) _부대입찰선금내역" xfId="3501"/>
    <cellStyle name="_적격(화산) _부대입찰선금내역_부대공1" xfId="3502"/>
    <cellStyle name="_적격(화산) _부대입찰송부" xfId="3503"/>
    <cellStyle name="_적격(화산) _부대입찰송부(1차조정)" xfId="3504"/>
    <cellStyle name="_적격(화산) _부대입찰송부(1차조정)_01 실행(군장산단) Rev00" xfId="3505"/>
    <cellStyle name="_적격(화산) _부대입찰송부(1차조정)_01 실행(군장산단) Rev00_01 실행(부산남컨가호안109-원안분) REV04" xfId="3506"/>
    <cellStyle name="_적격(화산) _부대입찰송부(무안광주)" xfId="3507"/>
    <cellStyle name="_적격(화산) _부대입찰송부(무안광주)_01 실행(군장산단) Rev00" xfId="3508"/>
    <cellStyle name="_적격(화산) _부대입찰송부(무안광주)_01 실행(군장산단) Rev00_01 실행(부산남컨가호안109-원안분) REV04" xfId="3509"/>
    <cellStyle name="_적격(화산) _부대입찰송부_01 실행(군장산단) Rev00" xfId="3510"/>
    <cellStyle name="_적격(화산) _부대입찰송부_01 실행(군장산단) Rev00_01 실행(부산남컨가호안109-원안분) REV04" xfId="3511"/>
    <cellStyle name="_적격(화산) _부대입찰조정" xfId="3512"/>
    <cellStyle name="_적격(화산) _부대입찰조정(광릉숲)" xfId="3513"/>
    <cellStyle name="_적격(화산) _부대입찰조정(광릉숲)_01 실행(군장산단) Rev00" xfId="3514"/>
    <cellStyle name="_적격(화산) _부대입찰조정(광릉숲)_01 실행(군장산단) Rev00_01 실행(부산남컨가호안109-원안분) REV04" xfId="3515"/>
    <cellStyle name="_적격(화산) _부대입찰조정_01 실행(군장산단) Rev00" xfId="3516"/>
    <cellStyle name="_적격(화산) _부대입찰조정_01 실행(군장산단) Rev00_01 실행(부산남컨가호안109-원안분) REV04" xfId="3517"/>
    <cellStyle name="_적격(화산) _부대입찰특별조건및내역송부" xfId="3518"/>
    <cellStyle name="_적격(화산) _부대입찰특별조건및내역송부(최저가)" xfId="3519"/>
    <cellStyle name="_적격(화산) _부대입찰특별조건및내역송부(최저가)_01 실행(군장산단) Rev00" xfId="3520"/>
    <cellStyle name="_적격(화산) _부대입찰특별조건및내역송부(최저가)_01 실행(군장산단) Rev00_01 실행(부산남컨가호안109-원안분) REV04" xfId="3521"/>
    <cellStyle name="_적격(화산) _부대입찰특별조건및내역송부_01 실행(군장산단) Rev00" xfId="3522"/>
    <cellStyle name="_적격(화산) _부대입찰특별조건및내역송부_01 실행(군장산단) Rev00_01 실행(부산남컨가호안109-원안분) REV04" xfId="3523"/>
    <cellStyle name="_적격(화산) _선급금 청구공문1" xfId="3524"/>
    <cellStyle name="_적격(화산) _선급금 청구공문1_부대공1" xfId="3525"/>
    <cellStyle name="_적격(화산) _성훈빌딩 신축전기공사" xfId="10287"/>
    <cellStyle name="_적격(화산) _수목이식(적송)" xfId="3526"/>
    <cellStyle name="_적격(화산) _수목이식(적송)_부대공1" xfId="3527"/>
    <cellStyle name="_적격(화산) _신풍-우성내역서(1차1회변경)" xfId="3528"/>
    <cellStyle name="_적격(화산) _신풍-우성내역서(1차1회변경)_부대공1" xfId="3529"/>
    <cellStyle name="_적격(화산) _신풍-우성내역서(1차공사)" xfId="3530"/>
    <cellStyle name="_적격(화산) _신풍-우성내역서(1차공사)_부대공1" xfId="3531"/>
    <cellStyle name="_적격(화산) _실정보고(차선,가드,갈매기)2" xfId="3532"/>
    <cellStyle name="_적격(화산) _실정보고(차선,가드,갈매기)2_부대공1" xfId="3533"/>
    <cellStyle name="_적격(화산) _실정보고(합성형강관말뚝)1" xfId="3534"/>
    <cellStyle name="_적격(화산) _실정보고(합성형강관말뚝)1_부대공1" xfId="3535"/>
    <cellStyle name="_적격(화산) _실정보고-1" xfId="3536"/>
    <cellStyle name="_적격(화산) _실정보고-1_부대공1" xfId="3537"/>
    <cellStyle name="_적격(화산) _은행(서울)" xfId="3538"/>
    <cellStyle name="_적격(화산) _은행(서울)_2차분 하도급내역" xfId="3539"/>
    <cellStyle name="_적격(화산) _은행(서울)_2차분 하도급내역_부대공1" xfId="3540"/>
    <cellStyle name="_적격(화산) _은행(서울)_Box 터파기 암판정" xfId="3541"/>
    <cellStyle name="_적격(화산) _은행(서울)_Box 터파기 암판정_부대공1" xfId="3542"/>
    <cellStyle name="_적격(화산) _은행(서울)_부대공1" xfId="3543"/>
    <cellStyle name="_적격(화산) _은행(서울)_수목이식(적송)" xfId="3544"/>
    <cellStyle name="_적격(화산) _은행(서울)_수목이식(적송)_부대공1" xfId="3545"/>
    <cellStyle name="_적격(화산) _은행(서울)_신풍-우성내역서(1차1회변경)" xfId="3546"/>
    <cellStyle name="_적격(화산) _은행(서울)_신풍-우성내역서(1차1회변경)_부대공1" xfId="3547"/>
    <cellStyle name="_적격(화산) _은행(서울)_신풍-우성내역서(1차공사)" xfId="3548"/>
    <cellStyle name="_적격(화산) _은행(서울)_신풍-우성내역서(1차공사)_부대공1" xfId="3549"/>
    <cellStyle name="_적격(화산) _은행(서울)_실정보고(합성형강관말뚝)1" xfId="3550"/>
    <cellStyle name="_적격(화산) _은행(서울)_실정보고(합성형강관말뚝)1_부대공1" xfId="3551"/>
    <cellStyle name="_적격(화산) _은행(서울)_실정보고-1" xfId="3552"/>
    <cellStyle name="_적격(화산) _은행(서울)_실정보고-1_부대공1" xfId="3553"/>
    <cellStyle name="_적격(화산) _재료의 품질" xfId="3554"/>
    <cellStyle name="_적격(화산) _재료의 품질_부대공1" xfId="3555"/>
    <cellStyle name="_적격(화산) _제2종지구단위계획_선바위관광지" xfId="3556"/>
    <cellStyle name="_적격(화산) _제2종지구단위계획_선바위관광지_20090609_영덕농공단지내역서" xfId="3557"/>
    <cellStyle name="_적격(화산) _제2종지구단위계획_선바위관광지_총괄내역서(090223)" xfId="3558"/>
    <cellStyle name="_적격(화산) _조경이식실정보고(굴취신규)" xfId="10288"/>
    <cellStyle name="_적격(화산) _총괄내역서_도시관리계획결정(070907)_계약" xfId="3559"/>
    <cellStyle name="_적격(화산) _총괄내역서_타당성조사및도시관리계획결정(090115)" xfId="3560"/>
    <cellStyle name="_적격(화산) _총괄내역서_타당성조사및도시관리계획결정(090115)_20090609_영덕농공단지내역서" xfId="3561"/>
    <cellStyle name="_적격(화산) _총괄내역서_타당성조사및도시관리계획결정(090115)_총괄내역서(090223)" xfId="3562"/>
    <cellStyle name="_적격(화산) _토목(예산서)" xfId="3563"/>
    <cellStyle name="_적격(화산) _투찰" xfId="3564"/>
    <cellStyle name="_적격(화산) _투찰(14-1)" xfId="3565"/>
    <cellStyle name="_적격(화산) _투찰(14-1)_01 실행(군장산단) Rev00" xfId="3566"/>
    <cellStyle name="_적격(화산) _투찰(14-1)_01 실행(군장산단) Rev00_01 실행(부산남컨가호안109-원안분) REV04" xfId="3567"/>
    <cellStyle name="_적격(화산) _투찰(8공구)" xfId="3568"/>
    <cellStyle name="_적격(화산) _투찰(8공구)_01 실행(군장산단) Rev00" xfId="3569"/>
    <cellStyle name="_적격(화산) _투찰(8공구)_01 실행(군장산단) Rev00_01 실행(부산남컨가호안109-원안분) REV04" xfId="3570"/>
    <cellStyle name="_적격(화산) _투찰(고철10-4)" xfId="3571"/>
    <cellStyle name="_적격(화산) _투찰(고철10-4)_01 실행(군장산단) Rev00" xfId="3572"/>
    <cellStyle name="_적격(화산) _투찰(고철10-4)_01 실행(군장산단) Rev00_01 실행(부산남컨가호안109-원안분) REV04" xfId="3573"/>
    <cellStyle name="_적격(화산) _투찰(무안광주3공구)" xfId="3574"/>
    <cellStyle name="_적격(화산) _투찰(무안광주3공구)_01 실행(군장산단) Rev00" xfId="3575"/>
    <cellStyle name="_적격(화산) _투찰(무안광주3공구)_01 실행(군장산단) Rev00_01 실행(부산남컨가호안109-원안분) REV04" xfId="3576"/>
    <cellStyle name="_적격(화산) _투찰(토목)" xfId="3577"/>
    <cellStyle name="_적격(화산) _투찰(토목)_01 실행(군장산단) Rev00" xfId="3578"/>
    <cellStyle name="_적격(화산) _투찰(토목)_01 실행(군장산단) Rev00_01 실행(부산남컨가호안109-원안분) REV04" xfId="3579"/>
    <cellStyle name="_적격(화산) _투찰_01 실행(군장산단) Rev00" xfId="3580"/>
    <cellStyle name="_적격(화산) _투찰_01 실행(군장산단) Rev00_01 실행(부산남컨가호안109-원안분) REV04" xfId="3581"/>
    <cellStyle name="_적격(화산) _투찰_1" xfId="3582"/>
    <cellStyle name="_적격(화산) _투찰_1_01 실행(군장산단) Rev00" xfId="3583"/>
    <cellStyle name="_적격(화산) _투찰_1_01 실행(군장산단) Rev00_01 실행(부산남컨가호안109-원안분) REV04" xfId="3584"/>
    <cellStyle name="_적격(화산) _투찰_부대견적결과" xfId="3585"/>
    <cellStyle name="_적격(화산) _투찰_부대견적결과_01 실행(군장산단) Rev00" xfId="3586"/>
    <cellStyle name="_적격(화산) _투찰_부대견적결과_01 실행(군장산단) Rev00_01 실행(부산남컨가호안109-원안분) REV04" xfId="3587"/>
    <cellStyle name="_적격(화산) _투찰_부대견적결과1" xfId="3588"/>
    <cellStyle name="_적격(화산) _투찰_부대견적결과1_01 실행(군장산단) Rev00" xfId="3589"/>
    <cellStyle name="_적격(화산) _투찰_부대견적결과1_01 실행(군장산단) Rev00_01 실행(부산남컨가호안109-원안분) REV04" xfId="3590"/>
    <cellStyle name="_적격(화산) _투찰_부대견적의뢰" xfId="3591"/>
    <cellStyle name="_적격(화산) _투찰_부대견적의뢰_01 실행(군장산단) Rev00" xfId="3592"/>
    <cellStyle name="_적격(화산) _투찰_부대견적의뢰_01 실행(군장산단) Rev00_01 실행(부산남컨가호안109-원안분) REV04" xfId="3593"/>
    <cellStyle name="_적격(화산) _투찰_부대선정조정품의" xfId="3594"/>
    <cellStyle name="_적격(화산) _투찰_부대선정조정품의_01 실행(군장산단) Rev00" xfId="3595"/>
    <cellStyle name="_적격(화산) _투찰_부대선정조정품의_01 실행(군장산단) Rev00_01 실행(부산남컨가호안109-원안분) REV04" xfId="3596"/>
    <cellStyle name="_적격(화산) _투찰_부대입찰결과" xfId="3597"/>
    <cellStyle name="_적격(화산) _투찰_부대입찰결과_01 실행(군장산단) Rev00" xfId="3598"/>
    <cellStyle name="_적격(화산) _투찰_부대입찰결과_01 실행(군장산단) Rev00_01 실행(부산남컨가호안109-원안분) REV04" xfId="3599"/>
    <cellStyle name="_적격(화산) _투찰_부대입찰송부" xfId="3600"/>
    <cellStyle name="_적격(화산) _투찰_부대입찰송부(1차조정)" xfId="3601"/>
    <cellStyle name="_적격(화산) _투찰_부대입찰송부(1차조정)_01 실행(군장산단) Rev00" xfId="3602"/>
    <cellStyle name="_적격(화산) _투찰_부대입찰송부(1차조정)_01 실행(군장산단) Rev00_01 실행(부산남컨가호안109-원안분) REV04" xfId="3603"/>
    <cellStyle name="_적격(화산) _투찰_부대입찰송부_01 실행(군장산단) Rev00" xfId="3604"/>
    <cellStyle name="_적격(화산) _투찰_부대입찰송부_01 실행(군장산단) Rev00_01 실행(부산남컨가호안109-원안분) REV04" xfId="3605"/>
    <cellStyle name="_적격(화산) _투찰_부대입찰조정" xfId="3606"/>
    <cellStyle name="_적격(화산) _투찰_부대입찰조정_01 실행(군장산단) Rev00" xfId="3607"/>
    <cellStyle name="_적격(화산) _투찰_부대입찰조정_01 실행(군장산단) Rev00_01 실행(부산남컨가호안109-원안분) REV04" xfId="3608"/>
    <cellStyle name="_적격(화산) _투찰_부대입찰특별조건및내역송부" xfId="3609"/>
    <cellStyle name="_적격(화산) _투찰_부대입찰특별조건및내역송부_01 실행(군장산단) Rev00" xfId="3610"/>
    <cellStyle name="_적격(화산) _투찰_부대입찰특별조건및내역송부_01 실행(군장산단) Rev00_01 실행(부산남컨가호안109-원안분) REV04" xfId="3611"/>
    <cellStyle name="_적격(화산) _투찰_투찰" xfId="3612"/>
    <cellStyle name="_적격(화산) _투찰_투찰(8공구)" xfId="3613"/>
    <cellStyle name="_적격(화산) _투찰_투찰(8공구)_01 실행(군장산단) Rev00" xfId="3614"/>
    <cellStyle name="_적격(화산) _투찰_투찰(8공구)_01 실행(군장산단) Rev00_01 실행(부산남컨가호안109-원안분) REV04" xfId="3615"/>
    <cellStyle name="_적격(화산) _투찰_투찰(토목)" xfId="3616"/>
    <cellStyle name="_적격(화산) _투찰_투찰(토목)_01 실행(군장산단) Rev00" xfId="3617"/>
    <cellStyle name="_적격(화산) _투찰_투찰(토목)_01 실행(군장산단) Rev00_01 실행(부산남컨가호안109-원안분) REV04" xfId="3618"/>
    <cellStyle name="_적격(화산) _투찰_투찰_01 실행(군장산단) Rev00" xfId="3619"/>
    <cellStyle name="_적격(화산) _투찰_투찰_01 실행(군장산단) Rev00_01 실행(부산남컨가호안109-원안분) REV04" xfId="3620"/>
    <cellStyle name="_적격(화산) _투찰_투찰서" xfId="3621"/>
    <cellStyle name="_적격(화산) _투찰_투찰서_01 실행(군장산단) Rev00" xfId="3622"/>
    <cellStyle name="_적격(화산) _투찰_투찰서_01 실행(군장산단) Rev00_01 실행(부산남컨가호안109-원안분) REV04" xfId="3623"/>
    <cellStyle name="_적격(화산) _투찰내역" xfId="3624"/>
    <cellStyle name="_적격(화산) _투찰내역_1차준공검사원" xfId="3625"/>
    <cellStyle name="_적격(화산) _투찰내역_1차준공검사원_부대공1" xfId="3626"/>
    <cellStyle name="_적격(화산) _투찰내역_2차1회기공검사원(5월26일)1" xfId="3627"/>
    <cellStyle name="_적격(화산) _투찰내역_2차1회기공검사원(5월26일)1_부대공1" xfId="3628"/>
    <cellStyle name="_적격(화산) _투찰내역_Box 터파기 암판정" xfId="3629"/>
    <cellStyle name="_적격(화산) _투찰내역_Box 터파기 암판정_부대공1" xfId="3630"/>
    <cellStyle name="_적격(화산) _투찰내역_기성서류" xfId="3631"/>
    <cellStyle name="_적격(화산) _투찰내역_기성서류_부대공1" xfId="3632"/>
    <cellStyle name="_적격(화산) _투찰내역_부대공1" xfId="3633"/>
    <cellStyle name="_적격(화산) _투찰내역_부대입찰선금내역" xfId="3634"/>
    <cellStyle name="_적격(화산) _투찰내역_부대입찰선금내역_부대공1" xfId="3635"/>
    <cellStyle name="_적격(화산) _투찰내역_선급금 청구공문1" xfId="3636"/>
    <cellStyle name="_적격(화산) _투찰내역_선급금 청구공문1_부대공1" xfId="3637"/>
    <cellStyle name="_적격(화산) _투찰내역_수목이식(적송)" xfId="3638"/>
    <cellStyle name="_적격(화산) _투찰내역_수목이식(적송)_부대공1" xfId="3639"/>
    <cellStyle name="_적격(화산) _투찰내역_실정보고(차선,가드,갈매기)2" xfId="3640"/>
    <cellStyle name="_적격(화산) _투찰내역_실정보고(차선,가드,갈매기)2_부대공1" xfId="3641"/>
    <cellStyle name="_적격(화산) _투찰내역_은행이식(기계,바로정식)" xfId="3642"/>
    <cellStyle name="_적격(화산) _투찰내역_은행이식(기계,바로정식)_부대공1" xfId="3643"/>
    <cellStyle name="_적격(화산) _투찰내역_재료의 품질" xfId="3644"/>
    <cellStyle name="_적격(화산) _투찰내역_재료의 품질_부대공1" xfId="3645"/>
    <cellStyle name="_적격(화산) _투찰서" xfId="3646"/>
    <cellStyle name="_적격(화산) _투찰서_01 실행(군장산단) Rev00" xfId="3647"/>
    <cellStyle name="_적격(화산) _투찰서_01 실행(군장산단) Rev00_01 실행(부산남컨가호안109-원안분) REV04" xfId="3648"/>
    <cellStyle name="_적격(화산) _평동내역(01.09.07,실행3,관급계상)" xfId="10289"/>
    <cellStyle name="_적격(화산) _평동내역(87.9%실행)" xfId="10290"/>
    <cellStyle name="_적격예상투찰" xfId="3649"/>
    <cellStyle name="_적격예상투찰_01 실행(군장산단) Rev00" xfId="3650"/>
    <cellStyle name="_적격예상투찰_01 실행(군장산단) Rev00_01 실행(부산남컨가호안109-원안분) REV04" xfId="3651"/>
    <cellStyle name="_적격예상투찰_적격" xfId="3652"/>
    <cellStyle name="_적격예상투찰_적격_01 실행(군장산단) Rev00" xfId="3653"/>
    <cellStyle name="_적격예상투찰_적격_01 실행(군장산단) Rev00_01 실행(부산남컨가호안109-원안분) REV04" xfId="3654"/>
    <cellStyle name="_적격예상투찰_적격심사평가" xfId="3655"/>
    <cellStyle name="_적격예상투찰_적격심사평가_01 실행(군장산단) Rev00" xfId="3656"/>
    <cellStyle name="_적격예상투찰_적격심사평가_01 실행(군장산단) Rev00_01 실행(부산남컨가호안109-원안분) REV04" xfId="3657"/>
    <cellStyle name="_전곡선사진입부야생화관찰원용역비계약내역서0716(1)" xfId="3658"/>
    <cellStyle name="_전기내역서(수변전동력)" xfId="10291"/>
    <cellStyle name="_전남상수도(투찰)⑤-2.42%" xfId="3659"/>
    <cellStyle name="_전사품질VOC(5월-10월)" xfId="10292"/>
    <cellStyle name="_전송기타예산내역서" xfId="10293"/>
    <cellStyle name="_전시영상" xfId="10294"/>
    <cellStyle name="_전원결선및 점검표(도봉,강북)" xfId="10295"/>
    <cellStyle name="_전자영상보고프로그램기능설계" xfId="10296"/>
    <cellStyle name="_전자지불(삼성SDS)" xfId="10297"/>
    <cellStyle name="_전자지불-(케이비)" xfId="10298"/>
    <cellStyle name="_전주시_UIS 확장사업 설계내역서_2" xfId="3660"/>
    <cellStyle name="_전주시관내(이서~용정)건설공사(신화)" xfId="3661"/>
    <cellStyle name="_전지역셀별아반트론현황" xfId="10299"/>
    <cellStyle name="_전체 개괄 내역(삼성SDS)" xfId="12612"/>
    <cellStyle name="_전체개략공사비(충남도청이전)-수정" xfId="3662"/>
    <cellStyle name="_전체분자재집계표" xfId="3663"/>
    <cellStyle name="_전체분자재집계표_04포장공" xfId="10300"/>
    <cellStyle name="_전체분자재집계표_3.구조물공" xfId="10301"/>
    <cellStyle name="_전체분자재집계표_3.구조물공_04포장공" xfId="10302"/>
    <cellStyle name="_전체분자재집계표_3.구조물공_3.구조물공" xfId="10303"/>
    <cellStyle name="_전체분자재집계표_3.구조물공_3.구조물공_04포장공" xfId="10304"/>
    <cellStyle name="_전체분자재집계표_3.구조물공_3.물공" xfId="10305"/>
    <cellStyle name="_전체분자재집계표_3.구조물공_3.물공_04포장공" xfId="10306"/>
    <cellStyle name="_전체분자재집계표_3.구조물공_보수량집계(우근)" xfId="10307"/>
    <cellStyle name="_전체분자재집계표_3.구조물공_보수량집계(우근)_04포장공" xfId="10308"/>
    <cellStyle name="_전체분자재집계표_3.구조물공_석축" xfId="10309"/>
    <cellStyle name="_전체분자재집계표_3.구조물공_석축_04포장공" xfId="10310"/>
    <cellStyle name="_전체분자재집계표_금산제수량(전체최종)" xfId="3664"/>
    <cellStyle name="_전체분자재집계표_금산제수량(전체최종)_04포장공" xfId="10311"/>
    <cellStyle name="_전체분자재집계표_금산제수량(전체최종)_3.구조물공" xfId="10312"/>
    <cellStyle name="_전체분자재집계표_금산제수량(전체최종)_3.구조물공_04포장공" xfId="10313"/>
    <cellStyle name="_전체분자재집계표_금산제수량(전체최종)_3.구조물공_3.구조물공" xfId="10314"/>
    <cellStyle name="_전체분자재집계표_금산제수량(전체최종)_3.구조물공_3.구조물공_04포장공" xfId="10315"/>
    <cellStyle name="_전체분자재집계표_금산제수량(전체최종)_3.구조물공_3.물공" xfId="10316"/>
    <cellStyle name="_전체분자재집계표_금산제수량(전체최종)_3.구조물공_3.물공_04포장공" xfId="10317"/>
    <cellStyle name="_전체분자재집계표_금산제수량(전체최종)_3.구조물공_보수량집계(우근)" xfId="10318"/>
    <cellStyle name="_전체분자재집계표_금산제수량(전체최종)_3.구조물공_보수량집계(우근)_04포장공" xfId="10319"/>
    <cellStyle name="_전체분자재집계표_금산제수량(전체최종)_3.구조물공_석축" xfId="10320"/>
    <cellStyle name="_전체분자재집계표_금산제수량(전체최종)_3.구조물공_석축_04포장공" xfId="10321"/>
    <cellStyle name="_전체분자재집계표_금산제수량(전체최종)_두릉1제 수량산출서" xfId="3665"/>
    <cellStyle name="_전체분자재집계표_금산제수량(전체최종)_배수구조물공" xfId="10322"/>
    <cellStyle name="_전체분자재집계표_금산제수량(전체최종)_배수구조물공_04포장공" xfId="10323"/>
    <cellStyle name="_전체분자재집계표_금산제수량(전체최종)_배수구조물공_3.구조물공" xfId="10324"/>
    <cellStyle name="_전체분자재집계표_금산제수량(전체최종)_배수구조물공_3.구조물공_04포장공" xfId="10325"/>
    <cellStyle name="_전체분자재집계표_금산제수량(전체최종)_배수구조물공_3.구조물공_3.구조물공" xfId="10326"/>
    <cellStyle name="_전체분자재집계표_금산제수량(전체최종)_배수구조물공_3.구조물공_3.구조물공_04포장공" xfId="10327"/>
    <cellStyle name="_전체분자재집계표_금산제수량(전체최종)_배수구조물공_3.구조물공_3.물공" xfId="10328"/>
    <cellStyle name="_전체분자재집계표_금산제수량(전체최종)_배수구조물공_3.구조물공_3.물공_04포장공" xfId="10329"/>
    <cellStyle name="_전체분자재집계표_금산제수량(전체최종)_배수구조물공_3.구조물공_보수량집계(우근)" xfId="10330"/>
    <cellStyle name="_전체분자재집계표_금산제수량(전체최종)_배수구조물공_3.구조물공_보수량집계(우근)_04포장공" xfId="10331"/>
    <cellStyle name="_전체분자재집계표_금산제수량(전체최종)_배수구조물공_3.구조물공_석축" xfId="10332"/>
    <cellStyle name="_전체분자재집계표_금산제수량(전체최종)_배수구조물공_3.구조물공_석축_04포장공" xfId="10333"/>
    <cellStyle name="_전체분자재집계표_금산제수량(전체최종)_우수집수정U형집계" xfId="10334"/>
    <cellStyle name="_전체분자재집계표_금산제수량(전체최종)_우수집수정U형집계_04포장공" xfId="10335"/>
    <cellStyle name="_전체분자재집계표_금산제수량(전체최종)_우수집수정U형집계_3.구조물공" xfId="10336"/>
    <cellStyle name="_전체분자재집계표_금산제수량(전체최종)_우수집수정U형집계_3.구조물공_04포장공" xfId="10337"/>
    <cellStyle name="_전체분자재집계표_금산제수량(전체최종)_우수집수정U형집계_3.구조물공_3.구조물공" xfId="10338"/>
    <cellStyle name="_전체분자재집계표_금산제수량(전체최종)_우수집수정U형집계_3.구조물공_3.구조물공_04포장공" xfId="10339"/>
    <cellStyle name="_전체분자재집계표_금산제수량(전체최종)_우수집수정U형집계_3.구조물공_3.물공" xfId="10340"/>
    <cellStyle name="_전체분자재집계표_금산제수량(전체최종)_우수집수정U형집계_3.구조물공_3.물공_04포장공" xfId="10341"/>
    <cellStyle name="_전체분자재집계표_금산제수량(전체최종)_우수집수정U형집계_3.구조물공_보수량집계(우근)" xfId="10342"/>
    <cellStyle name="_전체분자재집계표_금산제수량(전체최종)_우수집수정U형집계_3.구조물공_보수량집계(우근)_04포장공" xfId="10343"/>
    <cellStyle name="_전체분자재집계표_금산제수량(전체최종)_우수집수정U형집계_3.구조물공_석축" xfId="10344"/>
    <cellStyle name="_전체분자재집계표_금산제수량(전체최종)_우수집수정U형집계_3.구조물공_석축_04포장공" xfId="10345"/>
    <cellStyle name="_전체분자재집계표_금산제수량(전체최종)_인계1공구 수량산출" xfId="3666"/>
    <cellStyle name="_전체분자재집계표_금산제수량(전체최종)_총자재집계표" xfId="3667"/>
    <cellStyle name="_전체분자재집계표_금산제수량(전체최종)_콘크리트포장공" xfId="10346"/>
    <cellStyle name="_전체분자재집계표_금산제수량(전체최종)_콘크리트포장공_03포장공" xfId="10347"/>
    <cellStyle name="_전체분자재집계표_금산제수량(전체최종)_콘크리트포장공_03포장공_04포장공" xfId="10348"/>
    <cellStyle name="_전체분자재집계표_금산제수량(전체최종)_콘크리트포장공_04포장공" xfId="10349"/>
    <cellStyle name="_전체분자재집계표_금산제수량(전체최종)_콘크리트포장공_14수량산출서" xfId="10350"/>
    <cellStyle name="_전체분자재집계표_금산제수량(전체최종)_콘크리트포장공_14수량산출서_04포장공" xfId="10351"/>
    <cellStyle name="_전체분자재집계표_금산제수량(전체최종)_콘크리트포장공_수량산출서" xfId="10352"/>
    <cellStyle name="_전체분자재집계표_두릉1제 수량산출서" xfId="3668"/>
    <cellStyle name="_전체분자재집계표_배수구조물공" xfId="10353"/>
    <cellStyle name="_전체분자재집계표_배수구조물공_04포장공" xfId="10354"/>
    <cellStyle name="_전체분자재집계표_배수구조물공_3.구조물공" xfId="10355"/>
    <cellStyle name="_전체분자재집계표_배수구조물공_3.구조물공_04포장공" xfId="10356"/>
    <cellStyle name="_전체분자재집계표_배수구조물공_3.구조물공_3.구조물공" xfId="10357"/>
    <cellStyle name="_전체분자재집계표_배수구조물공_3.구조물공_3.구조물공_04포장공" xfId="10358"/>
    <cellStyle name="_전체분자재집계표_배수구조물공_3.구조물공_3.물공" xfId="10359"/>
    <cellStyle name="_전체분자재집계표_배수구조물공_3.구조물공_3.물공_04포장공" xfId="10360"/>
    <cellStyle name="_전체분자재집계표_배수구조물공_3.구조물공_보수량집계(우근)" xfId="10361"/>
    <cellStyle name="_전체분자재집계표_배수구조물공_3.구조물공_보수량집계(우근)_04포장공" xfId="10362"/>
    <cellStyle name="_전체분자재집계표_배수구조물공_3.구조물공_석축" xfId="10363"/>
    <cellStyle name="_전체분자재집계표_배수구조물공_3.구조물공_석축_04포장공" xfId="10364"/>
    <cellStyle name="_전체분자재집계표_우수집수정U형집계" xfId="10365"/>
    <cellStyle name="_전체분자재집계표_우수집수정U형집계_04포장공" xfId="10366"/>
    <cellStyle name="_전체분자재집계표_우수집수정U형집계_3.구조물공" xfId="10367"/>
    <cellStyle name="_전체분자재집계표_우수집수정U형집계_3.구조물공_04포장공" xfId="10368"/>
    <cellStyle name="_전체분자재집계표_우수집수정U형집계_3.구조물공_3.구조물공" xfId="10369"/>
    <cellStyle name="_전체분자재집계표_우수집수정U형집계_3.구조물공_3.구조물공_04포장공" xfId="10370"/>
    <cellStyle name="_전체분자재집계표_우수집수정U형집계_3.구조물공_3.물공" xfId="10371"/>
    <cellStyle name="_전체분자재집계표_우수집수정U형집계_3.구조물공_3.물공_04포장공" xfId="10372"/>
    <cellStyle name="_전체분자재집계표_우수집수정U형집계_3.구조물공_보수량집계(우근)" xfId="10373"/>
    <cellStyle name="_전체분자재집계표_우수집수정U형집계_3.구조물공_보수량집계(우근)_04포장공" xfId="10374"/>
    <cellStyle name="_전체분자재집계표_우수집수정U형집계_3.구조물공_석축" xfId="10375"/>
    <cellStyle name="_전체분자재집계표_우수집수정U형집계_3.구조물공_석축_04포장공" xfId="10376"/>
    <cellStyle name="_전체분자재집계표_인계1공구 수량산출" xfId="3669"/>
    <cellStyle name="_전체분자재집계표_총자재집계표" xfId="3670"/>
    <cellStyle name="_전체분자재집계표_콘크리트포장공" xfId="10377"/>
    <cellStyle name="_전체분자재집계표_콘크리트포장공_03포장공" xfId="10378"/>
    <cellStyle name="_전체분자재집계표_콘크리트포장공_03포장공_04포장공" xfId="10379"/>
    <cellStyle name="_전체분자재집계표_콘크리트포장공_04포장공" xfId="10380"/>
    <cellStyle name="_전체분자재집계표_콘크리트포장공_14수량산출서" xfId="10381"/>
    <cellStyle name="_전체분자재집계표_콘크리트포장공_14수량산출서_04포장공" xfId="10382"/>
    <cellStyle name="_전체분자재집계표_콘크리트포장공_수량산출서" xfId="10383"/>
    <cellStyle name="_정산-2" xfId="10384"/>
    <cellStyle name="_정왕호수공원 도시계획시설결정 및 공원조성계획 수립용역" xfId="3671"/>
    <cellStyle name="_정왕호수공원 도시계획시설결정 및 공원조성계획 수립용역(사전재해)" xfId="10385"/>
    <cellStyle name="_정읍시_UIS설계서(0302)" xfId="3672"/>
    <cellStyle name="_정읍시GIS 견적서_지노시스템1" xfId="12613"/>
    <cellStyle name="_정읍시내역서_최종" xfId="3673"/>
    <cellStyle name="_정통망 원가분석_최종_V.1.4(최종)" xfId="10386"/>
    <cellStyle name="_정통망 원가분석_최종_V.1.4(최종)_김K" xfId="10387"/>
    <cellStyle name="_제2종지구단위계획_선바위관광지ff" xfId="3674"/>
    <cellStyle name="_제2종지구단위계획설계내역서" xfId="3675"/>
    <cellStyle name="_제목" xfId="3676"/>
    <cellStyle name="_제목_내역서" xfId="3677"/>
    <cellStyle name="_제주_2006품질개선계획_0928" xfId="10388"/>
    <cellStyle name="_제주시_운용소프트웨어개발" xfId="3678"/>
    <cellStyle name="_제주한라병원_한국HP_021704(편집)" xfId="10389"/>
    <cellStyle name="_제천항공측량" xfId="3679"/>
    <cellStyle name="_조경이식실정보고(굴취신규)" xfId="10390"/>
    <cellStyle name="_조계종(DL580)060612" xfId="10391"/>
    <cellStyle name="_조곡소공원1127" xfId="3680"/>
    <cellStyle name="_조달청_계약내역(기성1차)" xfId="3681"/>
    <cellStyle name="_조사계약대비금액" xfId="3682"/>
    <cellStyle name="_조사설계용역 내역서" xfId="3683"/>
    <cellStyle name="_조선호텔(PowerBuilder)" xfId="10392"/>
    <cellStyle name="_조원고" xfId="10393"/>
    <cellStyle name="_종로중구 OFD함내역_2003_0806" xfId="10394"/>
    <cellStyle name="_종포농로" xfId="10395"/>
    <cellStyle name="_종합" xfId="10396"/>
    <cellStyle name="_종합기상정보시스템 2차년도 견적 2007 05 02 1058" xfId="10397"/>
    <cellStyle name="_종합기상정보시스템 2차년도 구축 및 슈퍼컴퓨터 2호기 성능보강 (개발부문) 2007 04 25 1620" xfId="10398"/>
    <cellStyle name="_주공_실행예산산출_040903_협상 (2)" xfId="3684"/>
    <cellStyle name="_준공기별계통도" xfId="10399"/>
    <cellStyle name="_준공내역.xls" xfId="10400"/>
    <cellStyle name="_준공서류양식(파워콤)" xfId="10401"/>
    <cellStyle name="_준공양식(kdn)" xfId="10402"/>
    <cellStyle name="_중공업groupware견적서" xfId="12614"/>
    <cellStyle name="_중도관광지(타당성조사2)" xfId="3685"/>
    <cellStyle name="_중림내역표지" xfId="3686"/>
    <cellStyle name="_중앙배수로(조경,호안)최종" xfId="10403"/>
    <cellStyle name="_쥬니퍼" xfId="10404"/>
    <cellStyle name="_증설종합분" xfId="10405"/>
    <cellStyle name="_지반조사비내역서_감포관광단지" xfId="3687"/>
    <cellStyle name="_지반조사비내역서_감포관광단지_고양관광문화단지 수변공원 용역비(실비정액방식)" xfId="10406"/>
    <cellStyle name="_지사-고객서비스부문총괄" xfId="10407"/>
    <cellStyle name="_지역특화특구2" xfId="3688"/>
    <cellStyle name="_지입자재검수요청서1" xfId="10408"/>
    <cellStyle name="_지장샘플" xfId="10409"/>
    <cellStyle name="_지장원본" xfId="10410"/>
    <cellStyle name="_지장이전11차준공사진" xfId="10411"/>
    <cellStyle name="_지장이전13차준공사진" xfId="10412"/>
    <cellStyle name="_지정과제1분기실적(확정990408)" xfId="3689"/>
    <cellStyle name="_지정과제1분기실적(확정990408)_1" xfId="3690"/>
    <cellStyle name="_지정과제2차심의list" xfId="3691"/>
    <cellStyle name="_지정과제2차심의list_1" xfId="3692"/>
    <cellStyle name="_지정과제2차심의list_2" xfId="3693"/>
    <cellStyle name="_지정과제2차심의결과" xfId="3694"/>
    <cellStyle name="_지정과제2차심의결과(금액조정후최종)" xfId="3695"/>
    <cellStyle name="_지정과제2차심의결과(금액조정후최종)_1" xfId="3696"/>
    <cellStyle name="_지정과제2차심의결과(금액조정후최종)_1_dimon" xfId="3697"/>
    <cellStyle name="_지정과제2차심의결과(금액조정후최종)_1_경영개선실적보고(전주공장)" xfId="3698"/>
    <cellStyle name="_지정과제2차심의결과(금액조정후최종)_1_별첨1_2" xfId="3699"/>
    <cellStyle name="_지정과제2차심의결과(금액조정후최종)_1_제안과제집계표(공장전체)" xfId="3700"/>
    <cellStyle name="_지정과제2차심의결과(금액조정후최종)_dimon" xfId="3701"/>
    <cellStyle name="_지정과제2차심의결과(금액조정후최종)_경영개선실적보고(전주공장)" xfId="3702"/>
    <cellStyle name="_지정과제2차심의결과(금액조정후최종)_별첨1_2" xfId="3703"/>
    <cellStyle name="_지정과제2차심의결과(금액조정후최종)_제안과제집계표(공장전체)" xfId="3704"/>
    <cellStyle name="_지정과제2차심의결과_1" xfId="3705"/>
    <cellStyle name="_지질조사비(본댐좌우안)-2" xfId="3706"/>
    <cellStyle name="_지하시설물 통합정보시스템 구축 사업 예산내역서_1.1" xfId="3707"/>
    <cellStyle name="_지하시설물(도로77㎞)측량설계10.31(최종)2급 15개" xfId="3708"/>
    <cellStyle name="_지하시설물_시스템_설계내역서" xfId="3709"/>
    <cellStyle name="_지하시설물관리현장지원시스템구축 산출내역서_1.0" xfId="3710"/>
    <cellStyle name="_지하시설물구축총괄분" xfId="3711"/>
    <cellStyle name="_지하시설물통합관리설계내역서_1.0" xfId="3712"/>
    <cellStyle name="_지하시설물통합및굴착복구관리 설계내역서_1.1" xfId="3713"/>
    <cellStyle name="_지하통합 보완개발 예상비용_v1" xfId="3714"/>
    <cellStyle name="_지형현황측량(238120)" xfId="3715"/>
    <cellStyle name="_직접경비" xfId="10413"/>
    <cellStyle name="_진도공가(무등통신)" xfId="10414"/>
    <cellStyle name="_진도군산출내역서_060703(5000)" xfId="10415"/>
    <cellStyle name="_진웅2" xfId="10416"/>
    <cellStyle name="_진주지사(동진주-060228)" xfId="10417"/>
    <cellStyle name="_진짜수평내역서틀" xfId="12615"/>
    <cellStyle name="_집계" xfId="3716"/>
    <cellStyle name="_집수정수량" xfId="10418"/>
    <cellStyle name="_집중관리(981231)" xfId="3717"/>
    <cellStyle name="_집중관리(981231)_1" xfId="3718"/>
    <cellStyle name="_집중관리(지정과제및 양식)" xfId="3719"/>
    <cellStyle name="_집중관리(지정과제및 양식)_1" xfId="3720"/>
    <cellStyle name="_집행(1)" xfId="3721"/>
    <cellStyle name="_집행(1)_간이배수펌프장설치에 따른 타당성용역내역" xfId="3722"/>
    <cellStyle name="_집행(1)_선정안(삼산)" xfId="3723"/>
    <cellStyle name="_집행(1)_선정안(삼산)_간이배수펌프장설치에 따른 타당성용역내역" xfId="3724"/>
    <cellStyle name="_집행(1)_추풍령" xfId="3725"/>
    <cellStyle name="_집행(1)_추풍령_간이배수펌프장설치에 따른 타당성용역내역" xfId="3726"/>
    <cellStyle name="_집행(1)_추풍령-1" xfId="3727"/>
    <cellStyle name="_집행(1)_추풍령-1_간이배수펌프장설치에 따른 타당성용역내역" xfId="3728"/>
    <cellStyle name="_집행(2)" xfId="3729"/>
    <cellStyle name="_집행(2)_간이배수펌프장설치에 따른 타당성용역내역" xfId="3730"/>
    <cellStyle name="_집행(2)_선정안(삼산)" xfId="3731"/>
    <cellStyle name="_집행(2)_선정안(삼산)_간이배수펌프장설치에 따른 타당성용역내역" xfId="3732"/>
    <cellStyle name="_집행(2)_추풍령" xfId="3733"/>
    <cellStyle name="_집행(2)_추풍령_간이배수펌프장설치에 따른 타당성용역내역" xfId="3734"/>
    <cellStyle name="_집행(2)_추풍령-1" xfId="3735"/>
    <cellStyle name="_집행(2)_추풍령-1_간이배수펌프장설치에 따른 타당성용역내역" xfId="3736"/>
    <cellStyle name="_집행갑지 " xfId="3737"/>
    <cellStyle name="_집행갑지 _01 실행(군장산단) Rev00" xfId="3738"/>
    <cellStyle name="_집행갑지 _01 실행(군장산단) Rev00_01 실행(부산남컨가호안109-원안분) REV04" xfId="3739"/>
    <cellStyle name="_집행갑지 _부대견적결과" xfId="3740"/>
    <cellStyle name="_집행갑지 _부대견적결과_01 실행(군장산단) Rev00" xfId="3741"/>
    <cellStyle name="_집행갑지 _부대견적결과_01 실행(군장산단) Rev00_01 실행(부산남컨가호안109-원안분) REV04" xfId="3742"/>
    <cellStyle name="_집행갑지 _부대견적결과1" xfId="3743"/>
    <cellStyle name="_집행갑지 _부대견적결과1_01 실행(군장산단) Rev00" xfId="3744"/>
    <cellStyle name="_집행갑지 _부대견적결과1_01 실행(군장산단) Rev00_01 실행(부산남컨가호안109-원안분) REV04" xfId="3745"/>
    <cellStyle name="_집행갑지 _부대견적의뢰" xfId="3746"/>
    <cellStyle name="_집행갑지 _부대견적의뢰_01 실행(군장산단) Rev00" xfId="3747"/>
    <cellStyle name="_집행갑지 _부대견적의뢰_01 실행(군장산단) Rev00_01 실행(부산남컨가호안109-원안분) REV04" xfId="3748"/>
    <cellStyle name="_집행갑지 _부대선정조정품의" xfId="3749"/>
    <cellStyle name="_집행갑지 _부대선정조정품의_01 실행(군장산단) Rev00" xfId="3750"/>
    <cellStyle name="_집행갑지 _부대선정조정품의_01 실행(군장산단) Rev00_01 실행(부산남컨가호안109-원안분) REV04" xfId="3751"/>
    <cellStyle name="_집행갑지 _부대입찰결과" xfId="3752"/>
    <cellStyle name="_집행갑지 _부대입찰결과_01 실행(군장산단) Rev00" xfId="3753"/>
    <cellStyle name="_집행갑지 _부대입찰결과_01 실행(군장산단) Rev00_01 실행(부산남컨가호안109-원안분) REV04" xfId="3754"/>
    <cellStyle name="_집행갑지 _부대입찰송부" xfId="3755"/>
    <cellStyle name="_집행갑지 _부대입찰송부(1차조정)" xfId="3756"/>
    <cellStyle name="_집행갑지 _부대입찰송부(1차조정)_01 실행(군장산단) Rev00" xfId="3757"/>
    <cellStyle name="_집행갑지 _부대입찰송부(1차조정)_01 실행(군장산단) Rev00_01 실행(부산남컨가호안109-원안분) REV04" xfId="3758"/>
    <cellStyle name="_집행갑지 _부대입찰송부(무안광주)" xfId="3759"/>
    <cellStyle name="_집행갑지 _부대입찰송부(무안광주)_01 실행(군장산단) Rev00" xfId="3760"/>
    <cellStyle name="_집행갑지 _부대입찰송부(무안광주)_01 실행(군장산단) Rev00_01 실행(부산남컨가호안109-원안분) REV04" xfId="3761"/>
    <cellStyle name="_집행갑지 _부대입찰송부_01 실행(군장산단) Rev00" xfId="3762"/>
    <cellStyle name="_집행갑지 _부대입찰송부_01 실행(군장산단) Rev00_01 실행(부산남컨가호안109-원안분) REV04" xfId="3763"/>
    <cellStyle name="_집행갑지 _부대입찰조정" xfId="3764"/>
    <cellStyle name="_집행갑지 _부대입찰조정(광릉숲)" xfId="3765"/>
    <cellStyle name="_집행갑지 _부대입찰조정(광릉숲)_01 실행(군장산단) Rev00" xfId="3766"/>
    <cellStyle name="_집행갑지 _부대입찰조정(광릉숲)_01 실행(군장산단) Rev00_01 실행(부산남컨가호안109-원안분) REV04" xfId="3767"/>
    <cellStyle name="_집행갑지 _부대입찰조정_01 실행(군장산단) Rev00" xfId="3768"/>
    <cellStyle name="_집행갑지 _부대입찰조정_01 실행(군장산단) Rev00_01 실행(부산남컨가호안109-원안분) REV04" xfId="3769"/>
    <cellStyle name="_집행갑지 _부대입찰특별조건및내역송부" xfId="3770"/>
    <cellStyle name="_집행갑지 _부대입찰특별조건및내역송부(최저가)" xfId="3771"/>
    <cellStyle name="_집행갑지 _부대입찰특별조건및내역송부(최저가)_01 실행(군장산단) Rev00" xfId="3772"/>
    <cellStyle name="_집행갑지 _부대입찰특별조건및내역송부(최저가)_01 실행(군장산단) Rev00_01 실행(부산남컨가호안109-원안분) REV04" xfId="3773"/>
    <cellStyle name="_집행갑지 _부대입찰특별조건및내역송부_01 실행(군장산단) Rev00" xfId="3774"/>
    <cellStyle name="_집행갑지 _부대입찰특별조건및내역송부_01 실행(군장산단) Rev00_01 실행(부산남컨가호안109-원안분) REV04" xfId="3775"/>
    <cellStyle name="_집행갑지 _투찰" xfId="3776"/>
    <cellStyle name="_집행갑지 _투찰(14-1)" xfId="3777"/>
    <cellStyle name="_집행갑지 _투찰(14-1)_01 실행(군장산단) Rev00" xfId="3778"/>
    <cellStyle name="_집행갑지 _투찰(14-1)_01 실행(군장산단) Rev00_01 실행(부산남컨가호안109-원안분) REV04" xfId="3779"/>
    <cellStyle name="_집행갑지 _투찰(8공구)" xfId="3780"/>
    <cellStyle name="_집행갑지 _투찰(8공구)_01 실행(군장산단) Rev00" xfId="3781"/>
    <cellStyle name="_집행갑지 _투찰(8공구)_01 실행(군장산단) Rev00_01 실행(부산남컨가호안109-원안분) REV04" xfId="3782"/>
    <cellStyle name="_집행갑지 _투찰(고철10-4)" xfId="3783"/>
    <cellStyle name="_집행갑지 _투찰(고철10-4)_01 실행(군장산단) Rev00" xfId="3784"/>
    <cellStyle name="_집행갑지 _투찰(고철10-4)_01 실행(군장산단) Rev00_01 실행(부산남컨가호안109-원안분) REV04" xfId="3785"/>
    <cellStyle name="_집행갑지 _투찰(무안광주3공구)" xfId="3786"/>
    <cellStyle name="_집행갑지 _투찰(무안광주3공구)_01 실행(군장산단) Rev00" xfId="3787"/>
    <cellStyle name="_집행갑지 _투찰(무안광주3공구)_01 실행(군장산단) Rev00_01 실행(부산남컨가호안109-원안분) REV04" xfId="3788"/>
    <cellStyle name="_집행갑지 _투찰(토목)" xfId="3789"/>
    <cellStyle name="_집행갑지 _투찰(토목)_01 실행(군장산단) Rev00" xfId="3790"/>
    <cellStyle name="_집행갑지 _투찰(토목)_01 실행(군장산단) Rev00_01 실행(부산남컨가호안109-원안분) REV04" xfId="3791"/>
    <cellStyle name="_집행갑지 _투찰_01 실행(군장산단) Rev00" xfId="3792"/>
    <cellStyle name="_집행갑지 _투찰_01 실행(군장산단) Rev00_01 실행(부산남컨가호안109-원안분) REV04" xfId="3793"/>
    <cellStyle name="_집행갑지 _투찰_1" xfId="3794"/>
    <cellStyle name="_집행갑지 _투찰_1_01 실행(군장산단) Rev00" xfId="3795"/>
    <cellStyle name="_집행갑지 _투찰_1_01 실행(군장산단) Rev00_01 실행(부산남컨가호안109-원안분) REV04" xfId="3796"/>
    <cellStyle name="_집행갑지 _투찰_부대견적결과" xfId="3797"/>
    <cellStyle name="_집행갑지 _투찰_부대견적결과_01 실행(군장산단) Rev00" xfId="3798"/>
    <cellStyle name="_집행갑지 _투찰_부대견적결과_01 실행(군장산단) Rev00_01 실행(부산남컨가호안109-원안분) REV04" xfId="3799"/>
    <cellStyle name="_집행갑지 _투찰_부대견적결과1" xfId="3800"/>
    <cellStyle name="_집행갑지 _투찰_부대견적결과1_01 실행(군장산단) Rev00" xfId="3801"/>
    <cellStyle name="_집행갑지 _투찰_부대견적결과1_01 실행(군장산단) Rev00_01 실행(부산남컨가호안109-원안분) REV04" xfId="3802"/>
    <cellStyle name="_집행갑지 _투찰_부대견적의뢰" xfId="3803"/>
    <cellStyle name="_집행갑지 _투찰_부대견적의뢰_01 실행(군장산단) Rev00" xfId="3804"/>
    <cellStyle name="_집행갑지 _투찰_부대견적의뢰_01 실행(군장산단) Rev00_01 실행(부산남컨가호안109-원안분) REV04" xfId="3805"/>
    <cellStyle name="_집행갑지 _투찰_부대선정조정품의" xfId="3806"/>
    <cellStyle name="_집행갑지 _투찰_부대선정조정품의_01 실행(군장산단) Rev00" xfId="3807"/>
    <cellStyle name="_집행갑지 _투찰_부대선정조정품의_01 실행(군장산단) Rev00_01 실행(부산남컨가호안109-원안분) REV04" xfId="3808"/>
    <cellStyle name="_집행갑지 _투찰_부대입찰결과" xfId="3809"/>
    <cellStyle name="_집행갑지 _투찰_부대입찰결과_01 실행(군장산단) Rev00" xfId="3810"/>
    <cellStyle name="_집행갑지 _투찰_부대입찰결과_01 실행(군장산단) Rev00_01 실행(부산남컨가호안109-원안분) REV04" xfId="3811"/>
    <cellStyle name="_집행갑지 _투찰_부대입찰송부" xfId="3812"/>
    <cellStyle name="_집행갑지 _투찰_부대입찰송부(1차조정)" xfId="3813"/>
    <cellStyle name="_집행갑지 _투찰_부대입찰송부(1차조정)_01 실행(군장산단) Rev00" xfId="3814"/>
    <cellStyle name="_집행갑지 _투찰_부대입찰송부(1차조정)_01 실행(군장산단) Rev00_01 실행(부산남컨가호안109-원안분) REV04" xfId="3815"/>
    <cellStyle name="_집행갑지 _투찰_부대입찰송부_01 실행(군장산단) Rev00" xfId="3816"/>
    <cellStyle name="_집행갑지 _투찰_부대입찰송부_01 실행(군장산단) Rev00_01 실행(부산남컨가호안109-원안분) REV04" xfId="3817"/>
    <cellStyle name="_집행갑지 _투찰_부대입찰조정" xfId="3818"/>
    <cellStyle name="_집행갑지 _투찰_부대입찰조정_01 실행(군장산단) Rev00" xfId="3819"/>
    <cellStyle name="_집행갑지 _투찰_부대입찰조정_01 실행(군장산단) Rev00_01 실행(부산남컨가호안109-원안분) REV04" xfId="3820"/>
    <cellStyle name="_집행갑지 _투찰_부대입찰특별조건및내역송부" xfId="3821"/>
    <cellStyle name="_집행갑지 _투찰_부대입찰특별조건및내역송부_01 실행(군장산단) Rev00" xfId="3822"/>
    <cellStyle name="_집행갑지 _투찰_부대입찰특별조건및내역송부_01 실행(군장산단) Rev00_01 실행(부산남컨가호안109-원안분) REV04" xfId="3823"/>
    <cellStyle name="_집행갑지 _투찰_투찰" xfId="3824"/>
    <cellStyle name="_집행갑지 _투찰_투찰(8공구)" xfId="3825"/>
    <cellStyle name="_집행갑지 _투찰_투찰(8공구)_01 실행(군장산단) Rev00" xfId="3826"/>
    <cellStyle name="_집행갑지 _투찰_투찰(8공구)_01 실행(군장산단) Rev00_01 실행(부산남컨가호안109-원안분) REV04" xfId="3827"/>
    <cellStyle name="_집행갑지 _투찰_투찰(토목)" xfId="3828"/>
    <cellStyle name="_집행갑지 _투찰_투찰(토목)_01 실행(군장산단) Rev00" xfId="3829"/>
    <cellStyle name="_집행갑지 _투찰_투찰(토목)_01 실행(군장산단) Rev00_01 실행(부산남컨가호안109-원안분) REV04" xfId="3830"/>
    <cellStyle name="_집행갑지 _투찰_투찰_01 실행(군장산단) Rev00" xfId="3831"/>
    <cellStyle name="_집행갑지 _투찰_투찰_01 실행(군장산단) Rev00_01 실행(부산남컨가호안109-원안분) REV04" xfId="3832"/>
    <cellStyle name="_집행갑지 _투찰_투찰서" xfId="3833"/>
    <cellStyle name="_집행갑지 _투찰_투찰서_01 실행(군장산단) Rev00" xfId="3834"/>
    <cellStyle name="_집행갑지 _투찰_투찰서_01 실행(군장산단) Rev00_01 실행(부산남컨가호안109-원안분) REV04" xfId="3835"/>
    <cellStyle name="_집행갑지 _투찰서" xfId="3836"/>
    <cellStyle name="_집행갑지 _투찰서_01 실행(군장산단) Rev00" xfId="3837"/>
    <cellStyle name="_집행갑지 _투찰서_01 실행(군장산단) Rev00_01 실행(부산남컨가호안109-원안분) REV04" xfId="3838"/>
    <cellStyle name="_짱PC방 (050127) - 정산중------------------------------함체사진3개부족" xfId="10419"/>
    <cellStyle name="_참고_설계내역서" xfId="10420"/>
    <cellStyle name="_참고공사 서류" xfId="10421"/>
    <cellStyle name="_창(에리트(설치제외)" xfId="10422"/>
    <cellStyle name="_창(에리트-최종)" xfId="10423"/>
    <cellStyle name="_창원 북면지역 도시개발사업(감계)" xfId="3839"/>
    <cellStyle name="_창원 북면지역 도시개발사업(동전)" xfId="3840"/>
    <cellStyle name="_창원 북면지역 도시개발사업(무동)" xfId="3841"/>
    <cellStyle name="_창원 북면지역 도시개발사업(신방)" xfId="3842"/>
    <cellStyle name="_창원상수도(투찰)-0.815%" xfId="3843"/>
    <cellStyle name="_창원상수도(투찰)-0.815%②" xfId="3844"/>
    <cellStyle name="_천곡5차" xfId="10424"/>
    <cellStyle name="_천곡주공4차." xfId="10425"/>
    <cellStyle name="_천안_견적서(V&amp;I)" xfId="12616"/>
    <cellStyle name="_천안시산출내역서_제출" xfId="12617"/>
    <cellStyle name="_철거분기별" xfId="10426"/>
    <cellStyle name="_철도청통합사령실(대명)" xfId="3845"/>
    <cellStyle name="_청도군청지적M150020050131" xfId="10427"/>
    <cellStyle name="_청도군청지적TINA20050128" xfId="10428"/>
    <cellStyle name="_청성공원 조성계획 내역서(080220)" xfId="3846"/>
    <cellStyle name="_청소년문화시설 조성사업 사전재해 견적서" xfId="3847"/>
    <cellStyle name="_청소년수련원(20070502)-2007 05 10" xfId="10429"/>
    <cellStyle name="_청주도시기본계획 변경설계서(최종)" xfId="3848"/>
    <cellStyle name="_청통골프장 기본 및 실시설계 발주내역서(060214)" xfId="3849"/>
    <cellStyle name="_총공사비내역서" xfId="10430"/>
    <cellStyle name="_총괄_2009.1.6(설계내역서-18만평기준)" xfId="3850"/>
    <cellStyle name="_총괄내역서(춘양)" xfId="3851"/>
    <cellStyle name="_총괄내역서_도시관리계획결정(080114)_계약(변경)" xfId="3852"/>
    <cellStyle name="_총괄단가산출근거표" xfId="10431"/>
    <cellStyle name="_총괄설계내역서(통영11(1).8)" xfId="10432"/>
    <cellStyle name="_총괄최종내역" xfId="10433"/>
    <cellStyle name="_총괄표(성주군)" xfId="3853"/>
    <cellStyle name="_총자재집계표" xfId="3854"/>
    <cellStyle name="_총집계" xfId="10434"/>
    <cellStyle name="_최종-1_방송기기 시설 최종(가야고)" xfId="10435"/>
    <cellStyle name="_최종-1_방송기기 시설 최종(가야고)_2004년 완선공사(최종본)" xfId="10436"/>
    <cellStyle name="_최종-1_방송기기 시설 최종(가야고)_안동전통문화콘텐츠박물관전시영상물구축(전시시설물)" xfId="10437"/>
    <cellStyle name="_최종-1_방송기기 시설 최종(가야고)_안동전통문화콘텐츠박물관전시영상물구축(전시시설물)_원가보고서(종합)-조달" xfId="10438"/>
    <cellStyle name="_최종-1_방송기기 시설 최종(가야고)_안동전통문화콘텐츠박물관전시영상물구축(전시시설물)_원가보고서(흑색)-조달" xfId="10439"/>
    <cellStyle name="_최종-1_방송기기 시설 최종(가야고)_원가계산서(화성상록)" xfId="10440"/>
    <cellStyle name="_최종-1_방송기기 시설 최종(가야고)_원가계산서(화성상록) (version 1)" xfId="10441"/>
    <cellStyle name="_최종-1_방송기기 시설 최종(가야고)_원가계산서(화성상록) (version 1)_원가보고서(종합)-조달" xfId="10442"/>
    <cellStyle name="_최종-1_방송기기 시설 최종(가야고)_원가계산서(화성상록) (version 1)_원가보고서(흑색)-조달" xfId="10443"/>
    <cellStyle name="_최종-1_방송기기 시설 최종(가야고)_원가계산서(화성상록)_원가보고서(종합)-조달" xfId="10444"/>
    <cellStyle name="_최종-1_방송기기 시설 최종(가야고)_원가계산서(화성상록)_원가보고서(흑색)-조달" xfId="10445"/>
    <cellStyle name="_최종내역서" xfId="3855"/>
    <cellStyle name="_추가 CCTV" xfId="10446"/>
    <cellStyle name="_추가) 문화재지표조사(김해OO산업단지)" xfId="3856"/>
    <cellStyle name="_추가183국목록(투심,)" xfId="10447"/>
    <cellStyle name="_추가물량" xfId="10448"/>
    <cellStyle name="_추곡" xfId="3857"/>
    <cellStyle name="_추곡_01.설계내역2" xfId="3858"/>
    <cellStyle name="_추곡_라멘교 토공" xfId="3859"/>
    <cellStyle name="_추곡_라멘교 토공_01.설계내역2" xfId="3860"/>
    <cellStyle name="_추곡_라멘교 토공_제2종지구단위계획_선바위관광지" xfId="3861"/>
    <cellStyle name="_추곡_라멘교 토공_제2종지구단위계획_선바위관광지_20090609_영덕농공단지내역서" xfId="3862"/>
    <cellStyle name="_추곡_라멘교 토공_제2종지구단위계획_선바위관광지_총괄내역서(090223)" xfId="3863"/>
    <cellStyle name="_추곡_라멘교 토공_총괄내역서_도시관리계획결정(070907)_계약" xfId="3864"/>
    <cellStyle name="_추곡_라멘교 토공_총괄내역서_타당성조사및도시관리계획결정(090115)" xfId="3865"/>
    <cellStyle name="_추곡_라멘교 토공_총괄내역서_타당성조사및도시관리계획결정(090115)_20090609_영덕농공단지내역서" xfId="3866"/>
    <cellStyle name="_추곡_라멘교 토공_총괄내역서_타당성조사및도시관리계획결정(090115)_총괄내역서(090223)" xfId="3867"/>
    <cellStyle name="_추곡_제2종지구단위계획_선바위관광지" xfId="3868"/>
    <cellStyle name="_추곡_제2종지구단위계획_선바위관광지_20090609_영덕농공단지내역서" xfId="3869"/>
    <cellStyle name="_추곡_제2종지구단위계획_선바위관광지_총괄내역서(090223)" xfId="3870"/>
    <cellStyle name="_추곡_총괄내역서_도시관리계획결정(070907)_계약" xfId="3871"/>
    <cellStyle name="_추곡_총괄내역서_타당성조사및도시관리계획결정(090115)" xfId="3872"/>
    <cellStyle name="_추곡_총괄내역서_타당성조사및도시관리계획결정(090115)_20090609_영덕농공단지내역서" xfId="3873"/>
    <cellStyle name="_추곡_총괄내역서_타당성조사및도시관리계획결정(090115)_총괄내역서(090223)" xfId="3874"/>
    <cellStyle name="_추곡_추곡" xfId="3875"/>
    <cellStyle name="_추곡_추곡_01.설계내역2" xfId="3876"/>
    <cellStyle name="_추곡_추곡_라멘교 토공" xfId="3877"/>
    <cellStyle name="_추곡_추곡_라멘교 토공_01.설계내역2" xfId="3878"/>
    <cellStyle name="_추곡_추곡_라멘교 토공_제2종지구단위계획_선바위관광지" xfId="3879"/>
    <cellStyle name="_추곡_추곡_라멘교 토공_제2종지구단위계획_선바위관광지_20090609_영덕농공단지내역서" xfId="3880"/>
    <cellStyle name="_추곡_추곡_라멘교 토공_제2종지구단위계획_선바위관광지_총괄내역서(090223)" xfId="3881"/>
    <cellStyle name="_추곡_추곡_라멘교 토공_총괄내역서_도시관리계획결정(070907)_계약" xfId="3882"/>
    <cellStyle name="_추곡_추곡_라멘교 토공_총괄내역서_타당성조사및도시관리계획결정(090115)" xfId="3883"/>
    <cellStyle name="_추곡_추곡_라멘교 토공_총괄내역서_타당성조사및도시관리계획결정(090115)_20090609_영덕농공단지내역서" xfId="3884"/>
    <cellStyle name="_추곡_추곡_라멘교 토공_총괄내역서_타당성조사및도시관리계획결정(090115)_총괄내역서(090223)" xfId="3885"/>
    <cellStyle name="_추곡_추곡_제2종지구단위계획_선바위관광지" xfId="3886"/>
    <cellStyle name="_추곡_추곡_제2종지구단위계획_선바위관광지_20090609_영덕농공단지내역서" xfId="3887"/>
    <cellStyle name="_추곡_추곡_제2종지구단위계획_선바위관광지_총괄내역서(090223)" xfId="3888"/>
    <cellStyle name="_추곡_추곡_총괄내역서_도시관리계획결정(070907)_계약" xfId="3889"/>
    <cellStyle name="_추곡_추곡_총괄내역서_타당성조사및도시관리계획결정(090115)" xfId="3890"/>
    <cellStyle name="_추곡_추곡_총괄내역서_타당성조사및도시관리계획결정(090115)_20090609_영덕농공단지내역서" xfId="3891"/>
    <cellStyle name="_추곡_추곡_총괄내역서_타당성조사및도시관리계획결정(090115)_총괄내역서(090223)" xfId="3892"/>
    <cellStyle name="_추곡_추곡_포장" xfId="3893"/>
    <cellStyle name="_추곡_추곡_포장_01.설계내역2" xfId="3894"/>
    <cellStyle name="_추곡_추곡_포장_라멘교 토공" xfId="3895"/>
    <cellStyle name="_추곡_추곡_포장_라멘교 토공_01.설계내역2" xfId="3896"/>
    <cellStyle name="_추곡_추곡_포장_라멘교 토공_제2종지구단위계획_선바위관광지" xfId="3897"/>
    <cellStyle name="_추곡_추곡_포장_라멘교 토공_제2종지구단위계획_선바위관광지_20090609_영덕농공단지내역서" xfId="3898"/>
    <cellStyle name="_추곡_추곡_포장_라멘교 토공_제2종지구단위계획_선바위관광지_총괄내역서(090223)" xfId="3899"/>
    <cellStyle name="_추곡_추곡_포장_라멘교 토공_총괄내역서_도시관리계획결정(070907)_계약" xfId="3900"/>
    <cellStyle name="_추곡_추곡_포장_라멘교 토공_총괄내역서_타당성조사및도시관리계획결정(090115)" xfId="3901"/>
    <cellStyle name="_추곡_추곡_포장_라멘교 토공_총괄내역서_타당성조사및도시관리계획결정(090115)_20090609_영덕농공단지내역서" xfId="3902"/>
    <cellStyle name="_추곡_추곡_포장_라멘교 토공_총괄내역서_타당성조사및도시관리계획결정(090115)_총괄내역서(090223)" xfId="3903"/>
    <cellStyle name="_추곡_추곡_포장_제2종지구단위계획_선바위관광지" xfId="3904"/>
    <cellStyle name="_추곡_추곡_포장_제2종지구단위계획_선바위관광지_20090609_영덕농공단지내역서" xfId="3905"/>
    <cellStyle name="_추곡_추곡_포장_제2종지구단위계획_선바위관광지_총괄내역서(090223)" xfId="3906"/>
    <cellStyle name="_추곡_추곡_포장_총괄내역서_도시관리계획결정(070907)_계약" xfId="3907"/>
    <cellStyle name="_추곡_추곡_포장_총괄내역서_타당성조사및도시관리계획결정(090115)" xfId="3908"/>
    <cellStyle name="_추곡_추곡_포장_총괄내역서_타당성조사및도시관리계획결정(090115)_20090609_영덕농공단지내역서" xfId="3909"/>
    <cellStyle name="_추곡_추곡_포장_총괄내역서_타당성조사및도시관리계획결정(090115)_총괄내역서(090223)" xfId="3910"/>
    <cellStyle name="_추곡_포장" xfId="3911"/>
    <cellStyle name="_추곡_포장_01.설계내역2" xfId="3912"/>
    <cellStyle name="_추곡_포장_라멘교 토공" xfId="3913"/>
    <cellStyle name="_추곡_포장_라멘교 토공_01.설계내역2" xfId="3914"/>
    <cellStyle name="_추곡_포장_라멘교 토공_제2종지구단위계획_선바위관광지" xfId="3915"/>
    <cellStyle name="_추곡_포장_라멘교 토공_제2종지구단위계획_선바위관광지_20090609_영덕농공단지내역서" xfId="3916"/>
    <cellStyle name="_추곡_포장_라멘교 토공_제2종지구단위계획_선바위관광지_총괄내역서(090223)" xfId="3917"/>
    <cellStyle name="_추곡_포장_라멘교 토공_총괄내역서_도시관리계획결정(070907)_계약" xfId="3918"/>
    <cellStyle name="_추곡_포장_라멘교 토공_총괄내역서_타당성조사및도시관리계획결정(090115)" xfId="3919"/>
    <cellStyle name="_추곡_포장_라멘교 토공_총괄내역서_타당성조사및도시관리계획결정(090115)_20090609_영덕농공단지내역서" xfId="3920"/>
    <cellStyle name="_추곡_포장_라멘교 토공_총괄내역서_타당성조사및도시관리계획결정(090115)_총괄내역서(090223)" xfId="3921"/>
    <cellStyle name="_추곡_포장_제2종지구단위계획_선바위관광지" xfId="3922"/>
    <cellStyle name="_추곡_포장_제2종지구단위계획_선바위관광지_20090609_영덕농공단지내역서" xfId="3923"/>
    <cellStyle name="_추곡_포장_제2종지구단위계획_선바위관광지_총괄내역서(090223)" xfId="3924"/>
    <cellStyle name="_추곡_포장_총괄내역서_도시관리계획결정(070907)_계약" xfId="3925"/>
    <cellStyle name="_추곡_포장_총괄내역서_타당성조사및도시관리계획결정(090115)" xfId="3926"/>
    <cellStyle name="_추곡_포장_총괄내역서_타당성조사및도시관리계획결정(090115)_20090609_영덕농공단지내역서" xfId="3927"/>
    <cellStyle name="_추곡_포장_총괄내역서_타당성조사및도시관리계획결정(090115)_총괄내역서(090223)" xfId="3928"/>
    <cellStyle name="_축령산야영수련장조성및기타공사(동일)" xfId="3929"/>
    <cellStyle name="_춘천misp 분배센타 이설공사" xfId="10449"/>
    <cellStyle name="_출력장비" xfId="12618"/>
    <cellStyle name="_충남대병원_이지케어텍_021604" xfId="10450"/>
    <cellStyle name="_충남도청 이전신도시 조성사업(변경)_설계내역서(조경제외)" xfId="3930"/>
    <cellStyle name="_충북지방경찰청" xfId="10451"/>
    <cellStyle name="_충주 ITS 소프트웨어 개발 상세 내역서(2006(1).04.13_1)" xfId="12619"/>
    <cellStyle name="_충주its 토목(산출기초-노임2005년하반기)(1)" xfId="12620"/>
    <cellStyle name="_충주its-비츠로제출용(신호제어기)" xfId="12621"/>
    <cellStyle name="_충주시 생산지시서(CCTV,VDS추가)_20060807" xfId="12622"/>
    <cellStyle name="_충주시견적서(CCTV,VDS)_20060811" xfId="12623"/>
    <cellStyle name="_측  구" xfId="3931"/>
    <cellStyle name="_측  구_04포장공" xfId="10452"/>
    <cellStyle name="_측  구_3.구조물공" xfId="10453"/>
    <cellStyle name="_측  구_3.구조물공_04포장공" xfId="10454"/>
    <cellStyle name="_측  구_3.구조물공_3.구조물공" xfId="10455"/>
    <cellStyle name="_측  구_3.구조물공_3.구조물공_04포장공" xfId="10456"/>
    <cellStyle name="_측  구_3.구조물공_3.물공" xfId="10457"/>
    <cellStyle name="_측  구_3.구조물공_3.물공_04포장공" xfId="10458"/>
    <cellStyle name="_측  구_3.구조물공_보수량집계(우근)" xfId="10459"/>
    <cellStyle name="_측  구_3.구조물공_보수량집계(우근)_04포장공" xfId="10460"/>
    <cellStyle name="_측  구_3.구조물공_석축" xfId="10461"/>
    <cellStyle name="_측  구_3.구조물공_석축_04포장공" xfId="10462"/>
    <cellStyle name="_측  구_두릉1제 수량산출서" xfId="3932"/>
    <cellStyle name="_측  구_배수구조물공" xfId="10463"/>
    <cellStyle name="_측  구_배수구조물공_04포장공" xfId="10464"/>
    <cellStyle name="_측  구_배수구조물공_3.구조물공" xfId="10465"/>
    <cellStyle name="_측  구_배수구조물공_3.구조물공_04포장공" xfId="10466"/>
    <cellStyle name="_측  구_배수구조물공_3.구조물공_3.구조물공" xfId="10467"/>
    <cellStyle name="_측  구_배수구조물공_3.구조물공_3.구조물공_04포장공" xfId="10468"/>
    <cellStyle name="_측  구_배수구조물공_3.구조물공_3.물공" xfId="10469"/>
    <cellStyle name="_측  구_배수구조물공_3.구조물공_3.물공_04포장공" xfId="10470"/>
    <cellStyle name="_측  구_배수구조물공_3.구조물공_보수량집계(우근)" xfId="10471"/>
    <cellStyle name="_측  구_배수구조물공_3.구조물공_보수량집계(우근)_04포장공" xfId="10472"/>
    <cellStyle name="_측  구_배수구조물공_3.구조물공_석축" xfId="10473"/>
    <cellStyle name="_측  구_배수구조물공_3.구조물공_석축_04포장공" xfId="10474"/>
    <cellStyle name="_측  구_우수집수정U형집계" xfId="10475"/>
    <cellStyle name="_측  구_우수집수정U형집계_04포장공" xfId="10476"/>
    <cellStyle name="_측  구_우수집수정U형집계_3.구조물공" xfId="10477"/>
    <cellStyle name="_측  구_우수집수정U형집계_3.구조물공_04포장공" xfId="10478"/>
    <cellStyle name="_측  구_우수집수정U형집계_3.구조물공_3.구조물공" xfId="10479"/>
    <cellStyle name="_측  구_우수집수정U형집계_3.구조물공_3.구조물공_04포장공" xfId="10480"/>
    <cellStyle name="_측  구_우수집수정U형집계_3.구조물공_3.물공" xfId="10481"/>
    <cellStyle name="_측  구_우수집수정U형집계_3.구조물공_3.물공_04포장공" xfId="10482"/>
    <cellStyle name="_측  구_우수집수정U형집계_3.구조물공_보수량집계(우근)" xfId="10483"/>
    <cellStyle name="_측  구_우수집수정U형집계_3.구조물공_보수량집계(우근)_04포장공" xfId="10484"/>
    <cellStyle name="_측  구_우수집수정U형집계_3.구조물공_석축" xfId="10485"/>
    <cellStyle name="_측  구_우수집수정U형집계_3.구조물공_석축_04포장공" xfId="10486"/>
    <cellStyle name="_측  구_인계1공구 수량산출" xfId="3933"/>
    <cellStyle name="_측  구_총자재집계표" xfId="3934"/>
    <cellStyle name="_측  구_콘크리트포장공" xfId="10487"/>
    <cellStyle name="_측  구_콘크리트포장공_03포장공" xfId="10488"/>
    <cellStyle name="_측  구_콘크리트포장공_03포장공_04포장공" xfId="10489"/>
    <cellStyle name="_측  구_콘크리트포장공_04포장공" xfId="10490"/>
    <cellStyle name="_측  구_콘크리트포장공_14수량산출서" xfId="10491"/>
    <cellStyle name="_측  구_콘크리트포장공_14수량산출서_04포장공" xfId="10492"/>
    <cellStyle name="_측  구_콘크리트포장공_수량산출서" xfId="10493"/>
    <cellStyle name="_측구공" xfId="3935"/>
    <cellStyle name="_측구공_04포장공" xfId="10494"/>
    <cellStyle name="_측구공_3.구조물공" xfId="10495"/>
    <cellStyle name="_측구공_3.구조물공_04포장공" xfId="10496"/>
    <cellStyle name="_측구공_3.구조물공_3.구조물공" xfId="10497"/>
    <cellStyle name="_측구공_3.구조물공_3.구조물공_04포장공" xfId="10498"/>
    <cellStyle name="_측구공_3.구조물공_3.물공" xfId="10499"/>
    <cellStyle name="_측구공_3.구조물공_3.물공_04포장공" xfId="10500"/>
    <cellStyle name="_측구공_3.구조물공_보수량집계(우근)" xfId="10501"/>
    <cellStyle name="_측구공_3.구조물공_보수량집계(우근)_04포장공" xfId="10502"/>
    <cellStyle name="_측구공_3.구조물공_석축" xfId="10503"/>
    <cellStyle name="_측구공_3.구조물공_석축_04포장공" xfId="10504"/>
    <cellStyle name="_측구공_금산제수량(전체최종)" xfId="3936"/>
    <cellStyle name="_측구공_금산제수량(전체최종)_04포장공" xfId="10505"/>
    <cellStyle name="_측구공_금산제수량(전체최종)_3.구조물공" xfId="10506"/>
    <cellStyle name="_측구공_금산제수량(전체최종)_3.구조물공_04포장공" xfId="10507"/>
    <cellStyle name="_측구공_금산제수량(전체최종)_3.구조물공_3.구조물공" xfId="10508"/>
    <cellStyle name="_측구공_금산제수량(전체최종)_3.구조물공_3.구조물공_04포장공" xfId="10509"/>
    <cellStyle name="_측구공_금산제수량(전체최종)_3.구조물공_3.물공" xfId="10510"/>
    <cellStyle name="_측구공_금산제수량(전체최종)_3.구조물공_3.물공_04포장공" xfId="10511"/>
    <cellStyle name="_측구공_금산제수량(전체최종)_3.구조물공_보수량집계(우근)" xfId="10512"/>
    <cellStyle name="_측구공_금산제수량(전체최종)_3.구조물공_보수량집계(우근)_04포장공" xfId="10513"/>
    <cellStyle name="_측구공_금산제수량(전체최종)_3.구조물공_석축" xfId="10514"/>
    <cellStyle name="_측구공_금산제수량(전체최종)_3.구조물공_석축_04포장공" xfId="10515"/>
    <cellStyle name="_측구공_금산제수량(전체최종)_두릉1제 수량산출서" xfId="3937"/>
    <cellStyle name="_측구공_금산제수량(전체최종)_배수구조물공" xfId="10516"/>
    <cellStyle name="_측구공_금산제수량(전체최종)_배수구조물공_04포장공" xfId="10517"/>
    <cellStyle name="_측구공_금산제수량(전체최종)_배수구조물공_3.구조물공" xfId="10518"/>
    <cellStyle name="_측구공_금산제수량(전체최종)_배수구조물공_3.구조물공_04포장공" xfId="10519"/>
    <cellStyle name="_측구공_금산제수량(전체최종)_배수구조물공_3.구조물공_3.구조물공" xfId="10520"/>
    <cellStyle name="_측구공_금산제수량(전체최종)_배수구조물공_3.구조물공_3.구조물공_04포장공" xfId="10521"/>
    <cellStyle name="_측구공_금산제수량(전체최종)_배수구조물공_3.구조물공_3.물공" xfId="10522"/>
    <cellStyle name="_측구공_금산제수량(전체최종)_배수구조물공_3.구조물공_3.물공_04포장공" xfId="10523"/>
    <cellStyle name="_측구공_금산제수량(전체최종)_배수구조물공_3.구조물공_보수량집계(우근)" xfId="10524"/>
    <cellStyle name="_측구공_금산제수량(전체최종)_배수구조물공_3.구조물공_보수량집계(우근)_04포장공" xfId="10525"/>
    <cellStyle name="_측구공_금산제수량(전체최종)_배수구조물공_3.구조물공_석축" xfId="10526"/>
    <cellStyle name="_측구공_금산제수량(전체최종)_배수구조물공_3.구조물공_석축_04포장공" xfId="10527"/>
    <cellStyle name="_측구공_금산제수량(전체최종)_우수집수정U형집계" xfId="10528"/>
    <cellStyle name="_측구공_금산제수량(전체최종)_우수집수정U형집계_04포장공" xfId="10529"/>
    <cellStyle name="_측구공_금산제수량(전체최종)_우수집수정U형집계_3.구조물공" xfId="10530"/>
    <cellStyle name="_측구공_금산제수량(전체최종)_우수집수정U형집계_3.구조물공_04포장공" xfId="10531"/>
    <cellStyle name="_측구공_금산제수량(전체최종)_우수집수정U형집계_3.구조물공_3.구조물공" xfId="10532"/>
    <cellStyle name="_측구공_금산제수량(전체최종)_우수집수정U형집계_3.구조물공_3.구조물공_04포장공" xfId="10533"/>
    <cellStyle name="_측구공_금산제수량(전체최종)_우수집수정U형집계_3.구조물공_3.물공" xfId="10534"/>
    <cellStyle name="_측구공_금산제수량(전체최종)_우수집수정U형집계_3.구조물공_3.물공_04포장공" xfId="10535"/>
    <cellStyle name="_측구공_금산제수량(전체최종)_우수집수정U형집계_3.구조물공_보수량집계(우근)" xfId="10536"/>
    <cellStyle name="_측구공_금산제수량(전체최종)_우수집수정U형집계_3.구조물공_보수량집계(우근)_04포장공" xfId="10537"/>
    <cellStyle name="_측구공_금산제수량(전체최종)_우수집수정U형집계_3.구조물공_석축" xfId="10538"/>
    <cellStyle name="_측구공_금산제수량(전체최종)_우수집수정U형집계_3.구조물공_석축_04포장공" xfId="10539"/>
    <cellStyle name="_측구공_금산제수량(전체최종)_인계1공구 수량산출" xfId="3938"/>
    <cellStyle name="_측구공_금산제수량(전체최종)_총자재집계표" xfId="3939"/>
    <cellStyle name="_측구공_금산제수량(전체최종)_콘크리트포장공" xfId="10540"/>
    <cellStyle name="_측구공_금산제수량(전체최종)_콘크리트포장공_03포장공" xfId="10541"/>
    <cellStyle name="_측구공_금산제수량(전체최종)_콘크리트포장공_03포장공_04포장공" xfId="10542"/>
    <cellStyle name="_측구공_금산제수량(전체최종)_콘크리트포장공_04포장공" xfId="10543"/>
    <cellStyle name="_측구공_금산제수량(전체최종)_콘크리트포장공_14수량산출서" xfId="10544"/>
    <cellStyle name="_측구공_금산제수량(전체최종)_콘크리트포장공_14수량산출서_04포장공" xfId="10545"/>
    <cellStyle name="_측구공_금산제수량(전체최종)_콘크리트포장공_수량산출서" xfId="10546"/>
    <cellStyle name="_측구공_두릉1제 수량산출서" xfId="3940"/>
    <cellStyle name="_측구공_배수구조물공" xfId="10547"/>
    <cellStyle name="_측구공_배수구조물공_04포장공" xfId="10548"/>
    <cellStyle name="_측구공_배수구조물공_3.구조물공" xfId="10549"/>
    <cellStyle name="_측구공_배수구조물공_3.구조물공_04포장공" xfId="10550"/>
    <cellStyle name="_측구공_배수구조물공_3.구조물공_3.구조물공" xfId="10551"/>
    <cellStyle name="_측구공_배수구조물공_3.구조물공_3.구조물공_04포장공" xfId="10552"/>
    <cellStyle name="_측구공_배수구조물공_3.구조물공_3.물공" xfId="10553"/>
    <cellStyle name="_측구공_배수구조물공_3.구조물공_3.물공_04포장공" xfId="10554"/>
    <cellStyle name="_측구공_배수구조물공_3.구조물공_보수량집계(우근)" xfId="10555"/>
    <cellStyle name="_측구공_배수구조물공_3.구조물공_보수량집계(우근)_04포장공" xfId="10556"/>
    <cellStyle name="_측구공_배수구조물공_3.구조물공_석축" xfId="10557"/>
    <cellStyle name="_측구공_배수구조물공_3.구조물공_석축_04포장공" xfId="10558"/>
    <cellStyle name="_측구공_우수집수정U형집계" xfId="10559"/>
    <cellStyle name="_측구공_우수집수정U형집계_04포장공" xfId="10560"/>
    <cellStyle name="_측구공_우수집수정U형집계_3.구조물공" xfId="10561"/>
    <cellStyle name="_측구공_우수집수정U형집계_3.구조물공_04포장공" xfId="10562"/>
    <cellStyle name="_측구공_우수집수정U형집계_3.구조물공_3.구조물공" xfId="10563"/>
    <cellStyle name="_측구공_우수집수정U형집계_3.구조물공_3.구조물공_04포장공" xfId="10564"/>
    <cellStyle name="_측구공_우수집수정U형집계_3.구조물공_3.물공" xfId="10565"/>
    <cellStyle name="_측구공_우수집수정U형집계_3.구조물공_3.물공_04포장공" xfId="10566"/>
    <cellStyle name="_측구공_우수집수정U형집계_3.구조물공_보수량집계(우근)" xfId="10567"/>
    <cellStyle name="_측구공_우수집수정U형집계_3.구조물공_보수량집계(우근)_04포장공" xfId="10568"/>
    <cellStyle name="_측구공_우수집수정U형집계_3.구조물공_석축" xfId="10569"/>
    <cellStyle name="_측구공_우수집수정U형집계_3.구조물공_석축_04포장공" xfId="10570"/>
    <cellStyle name="_측구공_인계1공구 수량산출" xfId="3941"/>
    <cellStyle name="_측구공_총자재집계표" xfId="3942"/>
    <cellStyle name="_측구공_콘크리트포장공" xfId="10571"/>
    <cellStyle name="_측구공_콘크리트포장공_03포장공" xfId="10572"/>
    <cellStyle name="_측구공_콘크리트포장공_03포장공_04포장공" xfId="10573"/>
    <cellStyle name="_측구공_콘크리트포장공_04포장공" xfId="10574"/>
    <cellStyle name="_측구공_콘크리트포장공_14수량산출서" xfId="10575"/>
    <cellStyle name="_측구공_콘크리트포장공_14수량산출서_04포장공" xfId="10576"/>
    <cellStyle name="_측구공_콘크리트포장공_수량산출서" xfId="10577"/>
    <cellStyle name="_측량(항측,감계)" xfId="3943"/>
    <cellStyle name="_측량(항측,동전)" xfId="3944"/>
    <cellStyle name="_측량(항측,무동)" xfId="3945"/>
    <cellStyle name="_측량(항측,신방)" xfId="3946"/>
    <cellStyle name="_침입감시 견적서" xfId="10578"/>
    <cellStyle name="_컴맹탈출" xfId="10579"/>
    <cellStyle name="_코리아링크" xfId="10580"/>
    <cellStyle name="_코마스HW(1023)" xfId="3947"/>
    <cellStyle name="_콘크리트포장공" xfId="10581"/>
    <cellStyle name="_콘크리트포장공_03포장공" xfId="10582"/>
    <cellStyle name="_콘크리트포장공_03포장공_04포장공" xfId="10583"/>
    <cellStyle name="_콘크리트포장공_04포장공" xfId="10584"/>
    <cellStyle name="_콘크리트포장공_14수량산출서" xfId="10585"/>
    <cellStyle name="_콘크리트포장공_14수량산출서_04포장공" xfId="10586"/>
    <cellStyle name="_콘크리트포장공_수량산출서" xfId="10587"/>
    <cellStyle name="_콘테이너" xfId="10588"/>
    <cellStyle name="_콤텍시스템" xfId="10589"/>
    <cellStyle name="_크라샤장 암 운반비" xfId="12624"/>
    <cellStyle name="_클레임 요청한딜 1018" xfId="10590"/>
    <cellStyle name="_클레임 요청한딜 1018_0808 FY08Q4 HP Low end server 가격표(WS)" xfId="10591"/>
    <cellStyle name="_클레임 요청한딜 1018_2008_5월 100시리즈 HP Low end server 가격표(WS)v1" xfId="10592"/>
    <cellStyle name="_클레임 요청한딜 1018_Book1" xfId="10593"/>
    <cellStyle name="_클레임 요청한딜 1018_ISS_FY08_8월가격표" xfId="10594"/>
    <cellStyle name="_타이거아이ML350T04X3.0-0830" xfId="10595"/>
    <cellStyle name="_태백시 GIS 용역비 기준단가표" xfId="3948"/>
    <cellStyle name="_태백시 지리정보시스템 구축(수정)" xfId="3949"/>
    <cellStyle name="_태평양아파트" xfId="10596"/>
    <cellStyle name="_탭증설1차" xfId="10597"/>
    <cellStyle name="_터미널현장 토사반입(낙찰적용,시속35)" xfId="3950"/>
    <cellStyle name="_테라테크" xfId="10598"/>
    <cellStyle name="_테마공사새로03" xfId="10599"/>
    <cellStyle name="_토공" xfId="3951"/>
    <cellStyle name="_토공(궁기지구)" xfId="10600"/>
    <cellStyle name="_토공_04포장공" xfId="10601"/>
    <cellStyle name="_토공_1" xfId="10602"/>
    <cellStyle name="_토공_3.구조물공" xfId="10603"/>
    <cellStyle name="_토공_3.구조물공_04포장공" xfId="10604"/>
    <cellStyle name="_토공_3.구조물공_3.구조물공" xfId="10605"/>
    <cellStyle name="_토공_3.구조물공_3.구조물공_04포장공" xfId="10606"/>
    <cellStyle name="_토공_3.구조물공_3.물공" xfId="10607"/>
    <cellStyle name="_토공_3.구조물공_3.물공_04포장공" xfId="10608"/>
    <cellStyle name="_토공_3.구조물공_보수량집계(우근)" xfId="10609"/>
    <cellStyle name="_토공_3.구조물공_보수량집계(우근)_04포장공" xfId="10610"/>
    <cellStyle name="_토공_3.구조물공_석축" xfId="10611"/>
    <cellStyle name="_토공_3.구조물공_석축_04포장공" xfId="10612"/>
    <cellStyle name="_토공_금산제수량(전체최종)" xfId="3952"/>
    <cellStyle name="_토공_금산제수량(전체최종)_04포장공" xfId="10613"/>
    <cellStyle name="_토공_금산제수량(전체최종)_3.구조물공" xfId="10614"/>
    <cellStyle name="_토공_금산제수량(전체최종)_3.구조물공_04포장공" xfId="10615"/>
    <cellStyle name="_토공_금산제수량(전체최종)_3.구조물공_3.구조물공" xfId="10616"/>
    <cellStyle name="_토공_금산제수량(전체최종)_3.구조물공_3.구조물공_04포장공" xfId="10617"/>
    <cellStyle name="_토공_금산제수량(전체최종)_3.구조물공_3.물공" xfId="10618"/>
    <cellStyle name="_토공_금산제수량(전체최종)_3.구조물공_3.물공_04포장공" xfId="10619"/>
    <cellStyle name="_토공_금산제수량(전체최종)_3.구조물공_보수량집계(우근)" xfId="10620"/>
    <cellStyle name="_토공_금산제수량(전체최종)_3.구조물공_보수량집계(우근)_04포장공" xfId="10621"/>
    <cellStyle name="_토공_금산제수량(전체최종)_3.구조물공_석축" xfId="10622"/>
    <cellStyle name="_토공_금산제수량(전체최종)_3.구조물공_석축_04포장공" xfId="10623"/>
    <cellStyle name="_토공_금산제수량(전체최종)_두릉1제 수량산출서" xfId="3953"/>
    <cellStyle name="_토공_금산제수량(전체최종)_배수구조물공" xfId="10624"/>
    <cellStyle name="_토공_금산제수량(전체최종)_배수구조물공_04포장공" xfId="10625"/>
    <cellStyle name="_토공_금산제수량(전체최종)_배수구조물공_3.구조물공" xfId="10626"/>
    <cellStyle name="_토공_금산제수량(전체최종)_배수구조물공_3.구조물공_04포장공" xfId="10627"/>
    <cellStyle name="_토공_금산제수량(전체최종)_배수구조물공_3.구조물공_3.구조물공" xfId="10628"/>
    <cellStyle name="_토공_금산제수량(전체최종)_배수구조물공_3.구조물공_3.구조물공_04포장공" xfId="10629"/>
    <cellStyle name="_토공_금산제수량(전체최종)_배수구조물공_3.구조물공_3.물공" xfId="10630"/>
    <cellStyle name="_토공_금산제수량(전체최종)_배수구조물공_3.구조물공_3.물공_04포장공" xfId="10631"/>
    <cellStyle name="_토공_금산제수량(전체최종)_배수구조물공_3.구조물공_보수량집계(우근)" xfId="10632"/>
    <cellStyle name="_토공_금산제수량(전체최종)_배수구조물공_3.구조물공_보수량집계(우근)_04포장공" xfId="10633"/>
    <cellStyle name="_토공_금산제수량(전체최종)_배수구조물공_3.구조물공_석축" xfId="10634"/>
    <cellStyle name="_토공_금산제수량(전체최종)_배수구조물공_3.구조물공_석축_04포장공" xfId="10635"/>
    <cellStyle name="_토공_금산제수량(전체최종)_우수집수정U형집계" xfId="10636"/>
    <cellStyle name="_토공_금산제수량(전체최종)_우수집수정U형집계_04포장공" xfId="10637"/>
    <cellStyle name="_토공_금산제수량(전체최종)_우수집수정U형집계_3.구조물공" xfId="10638"/>
    <cellStyle name="_토공_금산제수량(전체최종)_우수집수정U형집계_3.구조물공_04포장공" xfId="10639"/>
    <cellStyle name="_토공_금산제수량(전체최종)_우수집수정U형집계_3.구조물공_3.구조물공" xfId="10640"/>
    <cellStyle name="_토공_금산제수량(전체최종)_우수집수정U형집계_3.구조물공_3.구조물공_04포장공" xfId="10641"/>
    <cellStyle name="_토공_금산제수량(전체최종)_우수집수정U형집계_3.구조물공_3.물공" xfId="10642"/>
    <cellStyle name="_토공_금산제수량(전체최종)_우수집수정U형집계_3.구조물공_3.물공_04포장공" xfId="10643"/>
    <cellStyle name="_토공_금산제수량(전체최종)_우수집수정U형집계_3.구조물공_보수량집계(우근)" xfId="10644"/>
    <cellStyle name="_토공_금산제수량(전체최종)_우수집수정U형집계_3.구조물공_보수량집계(우근)_04포장공" xfId="10645"/>
    <cellStyle name="_토공_금산제수량(전체최종)_우수집수정U형집계_3.구조물공_석축" xfId="10646"/>
    <cellStyle name="_토공_금산제수량(전체최종)_우수집수정U형집계_3.구조물공_석축_04포장공" xfId="10647"/>
    <cellStyle name="_토공_금산제수량(전체최종)_인계1공구 수량산출" xfId="3954"/>
    <cellStyle name="_토공_금산제수량(전체최종)_총자재집계표" xfId="3955"/>
    <cellStyle name="_토공_금산제수량(전체최종)_콘크리트포장공" xfId="10648"/>
    <cellStyle name="_토공_금산제수량(전체최종)_콘크리트포장공_03포장공" xfId="10649"/>
    <cellStyle name="_토공_금산제수량(전체최종)_콘크리트포장공_03포장공_04포장공" xfId="10650"/>
    <cellStyle name="_토공_금산제수량(전체최종)_콘크리트포장공_04포장공" xfId="10651"/>
    <cellStyle name="_토공_금산제수량(전체최종)_콘크리트포장공_14수량산출서" xfId="10652"/>
    <cellStyle name="_토공_금산제수량(전체최종)_콘크리트포장공_14수량산출서_04포장공" xfId="10653"/>
    <cellStyle name="_토공_금산제수량(전체최종)_콘크리트포장공_수량산출서" xfId="10654"/>
    <cellStyle name="_토공_당평변경" xfId="10655"/>
    <cellStyle name="_토공_두릉1제 수량산출서" xfId="3956"/>
    <cellStyle name="_토공_배수구조물공" xfId="10656"/>
    <cellStyle name="_토공_배수구조물공_04포장공" xfId="10657"/>
    <cellStyle name="_토공_배수구조물공_3.구조물공" xfId="10658"/>
    <cellStyle name="_토공_배수구조물공_3.구조물공_04포장공" xfId="10659"/>
    <cellStyle name="_토공_배수구조물공_3.구조물공_3.구조물공" xfId="10660"/>
    <cellStyle name="_토공_배수구조물공_3.구조물공_3.구조물공_04포장공" xfId="10661"/>
    <cellStyle name="_토공_배수구조물공_3.구조물공_3.물공" xfId="10662"/>
    <cellStyle name="_토공_배수구조물공_3.구조물공_3.물공_04포장공" xfId="10663"/>
    <cellStyle name="_토공_배수구조물공_3.구조물공_보수량집계(우근)" xfId="10664"/>
    <cellStyle name="_토공_배수구조물공_3.구조물공_보수량집계(우근)_04포장공" xfId="10665"/>
    <cellStyle name="_토공_배수구조물공_3.구조물공_석축" xfId="10666"/>
    <cellStyle name="_토공_배수구조물공_3.구조물공_석축_04포장공" xfId="10667"/>
    <cellStyle name="_토공_안심교량" xfId="10668"/>
    <cellStyle name="_토공_안심변경" xfId="10669"/>
    <cellStyle name="_토공_우수집수정U형집계" xfId="10670"/>
    <cellStyle name="_토공_우수집수정U형집계_04포장공" xfId="10671"/>
    <cellStyle name="_토공_우수집수정U형집계_3.구조물공" xfId="10672"/>
    <cellStyle name="_토공_우수집수정U형집계_3.구조물공_04포장공" xfId="10673"/>
    <cellStyle name="_토공_우수집수정U형집계_3.구조물공_3.구조물공" xfId="10674"/>
    <cellStyle name="_토공_우수집수정U형집계_3.구조물공_3.구조물공_04포장공" xfId="10675"/>
    <cellStyle name="_토공_우수집수정U형집계_3.구조물공_3.물공" xfId="10676"/>
    <cellStyle name="_토공_우수집수정U형집계_3.구조물공_3.물공_04포장공" xfId="10677"/>
    <cellStyle name="_토공_우수집수정U형집계_3.구조물공_보수량집계(우근)" xfId="10678"/>
    <cellStyle name="_토공_우수집수정U형집계_3.구조물공_보수량집계(우근)_04포장공" xfId="10679"/>
    <cellStyle name="_토공_우수집수정U형집계_3.구조물공_석축" xfId="10680"/>
    <cellStyle name="_토공_우수집수정U형집계_3.구조물공_석축_04포장공" xfId="10681"/>
    <cellStyle name="_토공_인계1공구 수량산출" xfId="3957"/>
    <cellStyle name="_토공_총자재집계표" xfId="3958"/>
    <cellStyle name="_토공_콘크리트포장공" xfId="10682"/>
    <cellStyle name="_토공_콘크리트포장공_03포장공" xfId="10683"/>
    <cellStyle name="_토공_콘크리트포장공_03포장공_04포장공" xfId="10684"/>
    <cellStyle name="_토공_콘크리트포장공_04포장공" xfId="10685"/>
    <cellStyle name="_토공_콘크리트포장공_14수량산출서" xfId="10686"/>
    <cellStyle name="_토공_콘크리트포장공_14수량산출서_04포장공" xfId="10687"/>
    <cellStyle name="_토공_콘크리트포장공_수량산출서" xfId="10688"/>
    <cellStyle name="_토공1" xfId="10689"/>
    <cellStyle name="_토공-1차" xfId="10690"/>
    <cellStyle name="_토공-관로공-구조물공-가시설공-포장공" xfId="10691"/>
    <cellStyle name="_토공깨기" xfId="10692"/>
    <cellStyle name="_토공변경" xfId="10693"/>
    <cellStyle name="_토목공내역서" xfId="3959"/>
    <cellStyle name="_토질내역서(우곡)" xfId="3960"/>
    <cellStyle name="_토질부문설계변경내역서" xfId="3961"/>
    <cellStyle name="_토질조사(감계)" xfId="3962"/>
    <cellStyle name="_토질조사(동전)" xfId="3963"/>
    <cellStyle name="_토질조사(무동)" xfId="3964"/>
    <cellStyle name="_토질조사(신방)" xfId="3965"/>
    <cellStyle name="_토질조사내역서(부안)" xfId="3966"/>
    <cellStyle name="_토질조사세부내역서" xfId="10694"/>
    <cellStyle name="_토질조사세부내역서_고양관광문화단지 수변공원 용역비(실비정액방식)" xfId="10695"/>
    <cellStyle name="_통신(일위대가) 통신_(최종본)" xfId="12625"/>
    <cellStyle name="_통신설계변경내역서" xfId="10696"/>
    <cellStyle name="_통영일원 지장물조사 용역" xfId="3967"/>
    <cellStyle name="_통탄 광 설계서" xfId="10697"/>
    <cellStyle name="_통합산출(장비공사)0802" xfId="12626"/>
    <cellStyle name="_통합서버_검수확인서" xfId="12627"/>
    <cellStyle name="_투입인력MM_v2.0" xfId="10698"/>
    <cellStyle name="_투찰" xfId="3968"/>
    <cellStyle name="_투찰(14-1)" xfId="3969"/>
    <cellStyle name="_투찰(14-1)_01 실행(군장산단) Rev00" xfId="3970"/>
    <cellStyle name="_투찰(14-1)_01 실행(군장산단) Rev00_01 실행(부산남컨가호안109-원안분) REV04" xfId="3971"/>
    <cellStyle name="_투찰(8공구)" xfId="3972"/>
    <cellStyle name="_투찰(8공구)_01 실행(군장산단) Rev00" xfId="3973"/>
    <cellStyle name="_투찰(8공구)_01 실행(군장산단) Rev00_01 실행(부산남컨가호안109-원안분) REV04" xfId="3974"/>
    <cellStyle name="_투찰(고철10-4)" xfId="3975"/>
    <cellStyle name="_투찰(고철10-4)_01 실행(군장산단) Rev00" xfId="3976"/>
    <cellStyle name="_투찰(고철10-4)_01 실행(군장산단) Rev00_01 실행(부산남컨가호안109-원안분) REV04" xfId="3977"/>
    <cellStyle name="_투찰(무안광주3공구)" xfId="3978"/>
    <cellStyle name="_투찰(무안광주3공구)_01 실행(군장산단) Rev00" xfId="3979"/>
    <cellStyle name="_투찰(무안광주3공구)_01 실행(군장산단) Rev00_01 실행(부산남컨가호안109-원안분) REV04" xfId="3980"/>
    <cellStyle name="_투찰(토목)" xfId="3981"/>
    <cellStyle name="_투찰(토목)_01 실행(군장산단) Rev00" xfId="3982"/>
    <cellStyle name="_투찰(토목)_01 실행(군장산단) Rev00_01 실행(부산남컨가호안109-원안분) REV04" xfId="3983"/>
    <cellStyle name="_투찰_01 실행(군장산단) Rev00" xfId="3984"/>
    <cellStyle name="_투찰_01 실행(군장산단) Rev00_01 실행(부산남컨가호안109-원안분) REV04" xfId="3985"/>
    <cellStyle name="_투찰_1" xfId="3986"/>
    <cellStyle name="_투찰_1_01 실행(군장산단) Rev00" xfId="3987"/>
    <cellStyle name="_투찰_1_01 실행(군장산단) Rev00_01 실행(부산남컨가호안109-원안분) REV04" xfId="3988"/>
    <cellStyle name="_투찰_부대견적결과" xfId="3989"/>
    <cellStyle name="_투찰_부대견적결과_01 실행(군장산단) Rev00" xfId="3990"/>
    <cellStyle name="_투찰_부대견적결과_01 실행(군장산단) Rev00_01 실행(부산남컨가호안109-원안분) REV04" xfId="3991"/>
    <cellStyle name="_투찰_부대견적결과1" xfId="3992"/>
    <cellStyle name="_투찰_부대견적결과1_01 실행(군장산단) Rev00" xfId="3993"/>
    <cellStyle name="_투찰_부대견적결과1_01 실행(군장산단) Rev00_01 실행(부산남컨가호안109-원안분) REV04" xfId="3994"/>
    <cellStyle name="_투찰_부대견적의뢰" xfId="3995"/>
    <cellStyle name="_투찰_부대견적의뢰_01 실행(군장산단) Rev00" xfId="3996"/>
    <cellStyle name="_투찰_부대견적의뢰_01 실행(군장산단) Rev00_01 실행(부산남컨가호안109-원안분) REV04" xfId="3997"/>
    <cellStyle name="_투찰_부대선정조정품의" xfId="3998"/>
    <cellStyle name="_투찰_부대선정조정품의_01 실행(군장산단) Rev00" xfId="3999"/>
    <cellStyle name="_투찰_부대선정조정품의_01 실행(군장산단) Rev00_01 실행(부산남컨가호안109-원안분) REV04" xfId="4000"/>
    <cellStyle name="_투찰_부대입찰결과" xfId="4001"/>
    <cellStyle name="_투찰_부대입찰결과_01 실행(군장산단) Rev00" xfId="4002"/>
    <cellStyle name="_투찰_부대입찰결과_01 실행(군장산단) Rev00_01 실행(부산남컨가호안109-원안분) REV04" xfId="4003"/>
    <cellStyle name="_투찰_부대입찰송부" xfId="4004"/>
    <cellStyle name="_투찰_부대입찰송부(1차조정)" xfId="4005"/>
    <cellStyle name="_투찰_부대입찰송부(1차조정)_01 실행(군장산단) Rev00" xfId="4006"/>
    <cellStyle name="_투찰_부대입찰송부(1차조정)_01 실행(군장산단) Rev00_01 실행(부산남컨가호안109-원안분) REV04" xfId="4007"/>
    <cellStyle name="_투찰_부대입찰송부_01 실행(군장산단) Rev00" xfId="4008"/>
    <cellStyle name="_투찰_부대입찰송부_01 실행(군장산단) Rev00_01 실행(부산남컨가호안109-원안분) REV04" xfId="4009"/>
    <cellStyle name="_투찰_부대입찰조정" xfId="4010"/>
    <cellStyle name="_투찰_부대입찰조정_01 실행(군장산단) Rev00" xfId="4011"/>
    <cellStyle name="_투찰_부대입찰조정_01 실행(군장산단) Rev00_01 실행(부산남컨가호안109-원안분) REV04" xfId="4012"/>
    <cellStyle name="_투찰_부대입찰특별조건및내역송부" xfId="4013"/>
    <cellStyle name="_투찰_부대입찰특별조건및내역송부_01 실행(군장산단) Rev00" xfId="4014"/>
    <cellStyle name="_투찰_부대입찰특별조건및내역송부_01 실행(군장산단) Rev00_01 실행(부산남컨가호안109-원안분) REV04" xfId="4015"/>
    <cellStyle name="_투찰_투찰" xfId="4016"/>
    <cellStyle name="_투찰_투찰(8공구)" xfId="4017"/>
    <cellStyle name="_투찰_투찰(8공구)_01 실행(군장산단) Rev00" xfId="4018"/>
    <cellStyle name="_투찰_투찰(8공구)_01 실행(군장산단) Rev00_01 실행(부산남컨가호안109-원안분) REV04" xfId="4019"/>
    <cellStyle name="_투찰_투찰(토목)" xfId="4020"/>
    <cellStyle name="_투찰_투찰(토목)_01 실행(군장산단) Rev00" xfId="4021"/>
    <cellStyle name="_투찰_투찰(토목)_01 실행(군장산단) Rev00_01 실행(부산남컨가호안109-원안분) REV04" xfId="4022"/>
    <cellStyle name="_투찰_투찰_01 실행(군장산단) Rev00" xfId="4023"/>
    <cellStyle name="_투찰_투찰_01 실행(군장산단) Rev00_01 실행(부산남컨가호안109-원안분) REV04" xfId="4024"/>
    <cellStyle name="_투찰_투찰서" xfId="4025"/>
    <cellStyle name="_투찰_투찰서_01 실행(군장산단) Rev00" xfId="4026"/>
    <cellStyle name="_투찰_투찰서_01 실행(군장산단) Rev00_01 실행(부산남컨가호안109-원안분) REV04" xfId="4027"/>
    <cellStyle name="_투찰서" xfId="4028"/>
    <cellStyle name="_투찰서_01 실행(군장산단) Rev00" xfId="4029"/>
    <cellStyle name="_투찰서_01 실행(군장산단) Rev00_01 실행(부산남컨가호안109-원안분) REV04" xfId="4030"/>
    <cellStyle name="_트라이얼_KTG_HW_040302" xfId="10699"/>
    <cellStyle name="_트라이탑MSA1000-1201" xfId="10700"/>
    <cellStyle name="_특기시방서" xfId="10701"/>
    <cellStyle name="_특기시방서1" xfId="10702"/>
    <cellStyle name="_파미힐스(030705)" xfId="10703"/>
    <cellStyle name="_파워원본.XLS" xfId="10704"/>
    <cellStyle name="_파워콤간이공사관련" xfId="10705"/>
    <cellStyle name="_파워콤기별양식" xfId="10706"/>
    <cellStyle name="_파워콤서류견본(신설준공서류)" xfId="10707"/>
    <cellStyle name="_파주 GIS 시스템설계서(도로,상,하수 시스템)_050406" xfId="4031"/>
    <cellStyle name="_파주시_도로 및 상,하수 범용 도입_050314" xfId="4032"/>
    <cellStyle name="_평동내역(01.09.07,실행3,관급계상)" xfId="10708"/>
    <cellStyle name="_평동내역(87.9%실행)" xfId="10709"/>
    <cellStyle name="_평촌교수량" xfId="10710"/>
    <cellStyle name="_평촌교수량_070201  정삼각뿔형어초 설계예산서(국화도해역)-최종2" xfId="10711"/>
    <cellStyle name="_평촌교수량_070201  정삼각뿔형어초 설계예산서(국화도해역)-최종2_0704" xfId="10712"/>
    <cellStyle name="_평촌교수량_070201  정삼각뿔형어초 설계예산서(국화도해역)-최종2_도급내역서" xfId="10713"/>
    <cellStyle name="_평촌교수량_070201  정삼각뿔형어초 설계예산서(국화도해역)-최종2_도급내역서_외파수도 정삼각뿔형 인공어초 도면수정" xfId="10714"/>
    <cellStyle name="_평촌교수량_070201  정삼각뿔형어초 설계예산서(국화도해역)-최종2_도급내역서_외파수도 정삼각뿔형 인공어초 설치-20070801" xfId="10715"/>
    <cellStyle name="_평촌교수량_070201  정삼각뿔형어초 설계예산서(국화도해역)-최종2_도급내역서_정삼각뿔형어초(2월29일)수정작업(1)" xfId="10716"/>
    <cellStyle name="_평촌교수량_070201정삼각뿔형어초설계예산서(국화도해역)-최종2" xfId="10717"/>
    <cellStyle name="_평촌교수량_2007남해군 소규모바다목장조성사업(통합)" xfId="10718"/>
    <cellStyle name="_평촌교수량_2007남해군 소규모바다목장조성사업(팔각상자,TTP)" xfId="10719"/>
    <cellStyle name="_평촌교수량_2007팔각상자형설계서(1차년도)" xfId="10720"/>
    <cellStyle name="_평촌교수량_2007팔각상자형설계서(1차년도)(수정작업1월14일)" xfId="10721"/>
    <cellStyle name="_평촌교수량_TTP및피복석시설공사설계서(5월6일)" xfId="10722"/>
    <cellStyle name="_평촌교수량_TTP시설공사설계서(1차년도)(1월14일수정작업)" xfId="10723"/>
    <cellStyle name="_평촌교수량_TTP시설공사설계서(2차년도)" xfId="10724"/>
    <cellStyle name="_평촌교수량_거제 남부다대" xfId="10725"/>
    <cellStyle name="_평촌교수량_경기도 - 도급내역서" xfId="10726"/>
    <cellStyle name="_평촌교수량_남해 상주 노도해역 인공어초 제작 및 시설공사-착공내역" xfId="10727"/>
    <cellStyle name="_평촌교수량_내역서" xfId="10728"/>
    <cellStyle name="_평촌교수량_동서동권역 소규모바다목장 사업(정삼각뿔형어초)설계서" xfId="10729"/>
    <cellStyle name="_평촌교수량_동서동권역소규모바다목장사업(정삼각뿔형어초)설계서(1)" xfId="10730"/>
    <cellStyle name="_평촌교수량_동서동권역소규모바다목장사업(정삼각뿔형어초)설계서(10월)" xfId="10731"/>
    <cellStyle name="_평촌교수량_사천시 소규모 바다목장사업(상자형)수정중" xfId="10732"/>
    <cellStyle name="_평촌교수량_외파수도 정삼각뿔형 인공어초 도면수정" xfId="10733"/>
    <cellStyle name="_평촌교수량_외파수도 정삼각뿔형 인공어초 설치-20070801" xfId="10734"/>
    <cellStyle name="_평촌교수량_정삼각뿔어초 설계예산서(1월9일)" xfId="10735"/>
    <cellStyle name="_평촌교수량_정삼각뿔어초 설계예산서(1월9일)_도급내역서" xfId="10736"/>
    <cellStyle name="_평촌교수량_정삼각뿔어초 설계예산서(1월9일)_도급내역서_외파수도 정삼각뿔형 인공어초 도면수정" xfId="10737"/>
    <cellStyle name="_평촌교수량_정삼각뿔어초 설계예산서(1월9일)_도급내역서_외파수도 정삼각뿔형 인공어초 설치-20070801" xfId="10738"/>
    <cellStyle name="_평촌교수량_정삼각뿔어초 설계예산서(1월9일)_도급내역서_정삼각뿔형어초(2월29일)수정작업(1)" xfId="10739"/>
    <cellStyle name="_평촌교수량_정삼각뿔어초 설계예산서(2007년)" xfId="10740"/>
    <cellStyle name="_평촌교수량_정삼각뿔어초 설계예산서(2007년)_도급내역서" xfId="10741"/>
    <cellStyle name="_평촌교수량_정삼각뿔어초 설계예산서(2007년)_도급내역서_외파수도 정삼각뿔형 인공어초 도면수정" xfId="10742"/>
    <cellStyle name="_평촌교수량_정삼각뿔어초 설계예산서(2007년)_도급내역서_외파수도 정삼각뿔형 인공어초 설치-20070801" xfId="10743"/>
    <cellStyle name="_평촌교수량_정삼각뿔어초 설계예산서(2007년)_도급내역서_정삼각뿔형어초(2월29일)수정작업(1)" xfId="10744"/>
    <cellStyle name="_평촌교수량_정삼각뿔어초 설계예산서(중구소무이도.영흥외리)-관급별도" xfId="10745"/>
    <cellStyle name="_평촌교수량_정삼각뿔어초 설계예산서(중구소무이도.영흥외리)-관급별도(자재단가변경)" xfId="10746"/>
    <cellStyle name="_평촌교수량_정삼각뿔어초 설계예산서(중구소무이도.영흥외리)-관급별도(자재단가변경)_외파수도 정삼각뿔형 인공어초 도면수정" xfId="10747"/>
    <cellStyle name="_평촌교수량_정삼각뿔어초 설계예산서(중구소무이도.영흥외리)-관급별도(자재단가변경)_외파수도 정삼각뿔형 인공어초 설치-20070801" xfId="10748"/>
    <cellStyle name="_평촌교수량_정삼각뿔어초 설계예산서(중구소무이도.영흥외리)-관급별도(자재단가변경)_정삼각뿔형어초(2월29일)수정작업(1)" xfId="10749"/>
    <cellStyle name="_평촌교수량_정삼각뿔어초 설계예산서(중구소무이도.영흥외리)-관급별도_도급내역서" xfId="10750"/>
    <cellStyle name="_평촌교수량_정삼각뿔어초 설계예산서(중구소무이도.영흥외리)-관급별도_도급내역서_외파수도 정삼각뿔형 인공어초 도면수정" xfId="10751"/>
    <cellStyle name="_평촌교수량_정삼각뿔어초 설계예산서(중구소무이도.영흥외리)-관급별도_도급내역서_외파수도 정삼각뿔형 인공어초 설치-20070801" xfId="10752"/>
    <cellStyle name="_평촌교수량_정삼각뿔어초 설계예산서(중구소무이도.영흥외리)-관급별도_도급내역서_정삼각뿔형어초(2월29일)수정작업(1)" xfId="10753"/>
    <cellStyle name="_평촌교수량_정삼각뿔형 인공어초 설계예산서 (전체분)" xfId="10754"/>
    <cellStyle name="_평촌교수량_정삼각뿔형 인공어초 설계예산서 (전체분)_도급내역서" xfId="10755"/>
    <cellStyle name="_평촌교수량_정삼각뿔형 인공어초 설계예산서 (전체분)_도급내역서_외파수도 정삼각뿔형 인공어초 도면수정" xfId="10756"/>
    <cellStyle name="_평촌교수량_정삼각뿔형 인공어초 설계예산서 (전체분)_도급내역서_외파수도 정삼각뿔형 인공어초 설치-20070801" xfId="10757"/>
    <cellStyle name="_평촌교수량_정삼각뿔형 인공어초 설계예산서 (전체분)_도급내역서_정삼각뿔형어초(2월29일)수정작업(1)" xfId="10758"/>
    <cellStyle name="_평촌교수량_정삼각뿔형어초(2월29일)수정작업(1)" xfId="10759"/>
    <cellStyle name="_평촌교수량_정삼각뿔형어초(비계공 포함시)" xfId="10760"/>
    <cellStyle name="_평촌교수량_정삼각뿔형어초설계서(100개)금오도" xfId="10761"/>
    <cellStyle name="_평촌교수량_정삼각뿔형어초설계서(2차년도)" xfId="10762"/>
    <cellStyle name="_평촌교수량_정삼각뿔형어초설계서(2차년도)(변경 준비)" xfId="10763"/>
    <cellStyle name="_평촌교수량_정삼각뿔형어초설계서(2차년도)(일상감사후)" xfId="10764"/>
    <cellStyle name="_평촌교수량_정삼각뿔형어초설계서(60개)" xfId="10765"/>
    <cellStyle name="_평촌교수량_정삼각뿔형어초설계서(사천시)" xfId="10766"/>
    <cellStyle name="_평촌교수량_정삼각형뿔형(시설공사)" xfId="10767"/>
    <cellStyle name="_평촌교수량_착공내역서" xfId="10768"/>
    <cellStyle name="_평촌교수량_화성도급" xfId="10769"/>
    <cellStyle name="_평택내리관광지조성계획 및 타당성조사용역" xfId="4033"/>
    <cellStyle name="_평화의댐내역서최종(OLD)" xfId="12628"/>
    <cellStyle name="_평화정공4006 견적" xfId="10770"/>
    <cellStyle name="_폐기물깨기" xfId="10771"/>
    <cellStyle name="_포스장비" xfId="4034"/>
    <cellStyle name="_포인트(2005.10현재.11.17일수정)별 도급비 비율" xfId="10772"/>
    <cellStyle name="_포장" xfId="4035"/>
    <cellStyle name="_포장_01.설계내역2" xfId="4036"/>
    <cellStyle name="_포장_라멘교 토공" xfId="4037"/>
    <cellStyle name="_포장_라멘교 토공_01.설계내역2" xfId="4038"/>
    <cellStyle name="_포장_라멘교 토공_제2종지구단위계획_선바위관광지" xfId="4039"/>
    <cellStyle name="_포장_라멘교 토공_제2종지구단위계획_선바위관광지_20090609_영덕농공단지내역서" xfId="4040"/>
    <cellStyle name="_포장_라멘교 토공_제2종지구단위계획_선바위관광지_총괄내역서(090223)" xfId="4041"/>
    <cellStyle name="_포장_라멘교 토공_총괄내역서_도시관리계획결정(070907)_계약" xfId="4042"/>
    <cellStyle name="_포장_라멘교 토공_총괄내역서_타당성조사및도시관리계획결정(090115)" xfId="4043"/>
    <cellStyle name="_포장_라멘교 토공_총괄내역서_타당성조사및도시관리계획결정(090115)_20090609_영덕농공단지내역서" xfId="4044"/>
    <cellStyle name="_포장_라멘교 토공_총괄내역서_타당성조사및도시관리계획결정(090115)_총괄내역서(090223)" xfId="4045"/>
    <cellStyle name="_포장_제2종지구단위계획_선바위관광지" xfId="4046"/>
    <cellStyle name="_포장_제2종지구단위계획_선바위관광지_20090609_영덕농공단지내역서" xfId="4047"/>
    <cellStyle name="_포장_제2종지구단위계획_선바위관광지_총괄내역서(090223)" xfId="4048"/>
    <cellStyle name="_포장_총괄내역서_도시관리계획결정(070907)_계약" xfId="4049"/>
    <cellStyle name="_포장_총괄내역서_타당성조사및도시관리계획결정(090115)" xfId="4050"/>
    <cellStyle name="_포장_총괄내역서_타당성조사및도시관리계획결정(090115)_20090609_영덕농공단지내역서" xfId="4051"/>
    <cellStyle name="_포장_총괄내역서_타당성조사및도시관리계획결정(090115)_총괄내역서(090223)" xfId="4052"/>
    <cellStyle name="_포장공(괴목배수로)" xfId="10773"/>
    <cellStyle name="_포장수량" xfId="10774"/>
    <cellStyle name="_포천 시가화예정용지 제1종지구단위계획(총괄내역서)-보정" xfId="10775"/>
    <cellStyle name="_포천GIS설계_전체" xfId="4053"/>
    <cellStyle name="_포천시 UIS 시스템부문 설계내역서_1.0" xfId="4054"/>
    <cellStyle name="_포항교도소(대동)" xfId="4055"/>
    <cellStyle name="_포항교도소(원본)" xfId="4056"/>
    <cellStyle name="_포항시벽천실시설계(2006.04)" xfId="4057"/>
    <cellStyle name="_포항실행견적내역" xfId="12629"/>
    <cellStyle name="_표본설계" xfId="4058"/>
    <cellStyle name="_표본설계서" xfId="4059"/>
    <cellStyle name="_표시핀설치(ok)" xfId="4060"/>
    <cellStyle name="_표준1" xfId="10776"/>
    <cellStyle name="_표준견적서ML350G3" xfId="10777"/>
    <cellStyle name="_표준견적서ML570G2" xfId="10778"/>
    <cellStyle name="_표준견적서RACK OPTION" xfId="10779"/>
    <cellStyle name="_표준데이타_코아회선" xfId="10780"/>
    <cellStyle name="_표지" xfId="4061"/>
    <cellStyle name="_표지판시설물 (version 1)" xfId="10781"/>
    <cellStyle name="_품관소_F6800_F4800_0820" xfId="10782"/>
    <cellStyle name="_품셈1" xfId="10783"/>
    <cellStyle name="_풍기인삼랜드설계내역서(최종)" xfId="4062"/>
    <cellStyle name="_퓨쳐시스템_신원정보기술견적040219" xfId="10784"/>
    <cellStyle name="_피복-통신비(2005.11.11근무인원대상)" xfId="10785"/>
    <cellStyle name="_하가흥변경" xfId="10786"/>
    <cellStyle name="_하도급양식" xfId="4063"/>
    <cellStyle name="_하드웨어사양서" xfId="4064"/>
    <cellStyle name="_하반기 광코아 측정계획1" xfId="10787"/>
    <cellStyle name="_하수관거 산출" xfId="10788"/>
    <cellStyle name="_하수관거 산출_1-(금액상승)변경-아치텐트-PVDF-(3mx3mx2.5m)" xfId="10789"/>
    <cellStyle name="_하수관거 산출_1-(금액상승)변경-아치텐트-PVDF-(3mx3mx2.5m)_(조폐공사발송) 약품처리시설" xfId="10790"/>
    <cellStyle name="_하수관거 산출_1-(금액상승)변경-아치텐트-PVDF-(3mx3mx2.5m)_(조폐공사발송) 약품처리시설_2004년 완선공사(최종본)" xfId="10791"/>
    <cellStyle name="_하수관거 산출_1-(금액상승)변경-아치텐트-PVDF-(3mx3mx2.5m)_(조폐공사발송) 약품처리시설_안동전통문화콘텐츠박물관전시영상물구축(전시시설물)" xfId="10792"/>
    <cellStyle name="_하수관거 산출_1-(금액상승)변경-아치텐트-PVDF-(3mx3mx2.5m)_(조폐공사발송) 약품처리시설_안동전통문화콘텐츠박물관전시영상물구축(전시시설물)_원가보고서(종합)-조달" xfId="10793"/>
    <cellStyle name="_하수관거 산출_1-(금액상승)변경-아치텐트-PVDF-(3mx3mx2.5m)_(조폐공사발송) 약품처리시설_안동전통문화콘텐츠박물관전시영상물구축(전시시설물)_원가보고서(흑색)-조달" xfId="10794"/>
    <cellStyle name="_하수관거 산출_1-(금액상승)변경-아치텐트-PVDF-(3mx3mx2.5m)_(조폐공사발송) 약품처리시설_원가계산서(화성상록)" xfId="10795"/>
    <cellStyle name="_하수관거 산출_1-(금액상승)변경-아치텐트-PVDF-(3mx3mx2.5m)_(조폐공사발송) 약품처리시설_원가계산서(화성상록) (version 1)" xfId="10796"/>
    <cellStyle name="_하수관거 산출_1-(금액상승)변경-아치텐트-PVDF-(3mx3mx2.5m)_(조폐공사발송) 약품처리시설_원가계산서(화성상록) (version 1)_원가보고서(종합)-조달" xfId="10797"/>
    <cellStyle name="_하수관거 산출_1-(금액상승)변경-아치텐트-PVDF-(3mx3mx2.5m)_(조폐공사발송) 약품처리시설_원가계산서(화성상록) (version 1)_원가보고서(흑색)-조달" xfId="10798"/>
    <cellStyle name="_하수관거 산출_1-(금액상승)변경-아치텐트-PVDF-(3mx3mx2.5m)_(조폐공사발송) 약품처리시설_원가계산서(화성상록)_원가보고서(종합)-조달" xfId="10799"/>
    <cellStyle name="_하수관거 산출_1-(금액상승)변경-아치텐트-PVDF-(3mx3mx2.5m)_(조폐공사발송) 약품처리시설_원가계산서(화성상록)_원가보고서(흑색)-조달" xfId="10800"/>
    <cellStyle name="_하수관거 산출_1-(금액상승)변경-아치텐트-PVDF-(3mx3mx2.5m)_2004년 완선공사(최종본)" xfId="10801"/>
    <cellStyle name="_하수관거 산출_1-(금액상승)변경-아치텐트-PVDF-(3mx3mx2.5m)_안동전통문화콘텐츠박물관전시영상물구축(전시시설물)" xfId="10802"/>
    <cellStyle name="_하수관거 산출_1-(금액상승)변경-아치텐트-PVDF-(3mx3mx2.5m)_안동전통문화콘텐츠박물관전시영상물구축(전시시설물)_원가보고서(종합)-조달" xfId="10803"/>
    <cellStyle name="_하수관거 산출_1-(금액상승)변경-아치텐트-PVDF-(3mx3mx2.5m)_안동전통문화콘텐츠박물관전시영상물구축(전시시설물)_원가보고서(흑색)-조달" xfId="10804"/>
    <cellStyle name="_하수관거 산출_1-(금액상승)변경-아치텐트-PVDF-(3mx3mx2.5m)_원가계산서(화성상록)" xfId="10805"/>
    <cellStyle name="_하수관거 산출_1-(금액상승)변경-아치텐트-PVDF-(3mx3mx2.5m)_원가계산서(화성상록) (version 1)" xfId="10806"/>
    <cellStyle name="_하수관거 산출_1-(금액상승)변경-아치텐트-PVDF-(3mx3mx2.5m)_원가계산서(화성상록) (version 1)_원가보고서(종합)-조달" xfId="10807"/>
    <cellStyle name="_하수관거 산출_1-(금액상승)변경-아치텐트-PVDF-(3mx3mx2.5m)_원가계산서(화성상록) (version 1)_원가보고서(흑색)-조달" xfId="10808"/>
    <cellStyle name="_하수관거 산출_1-(금액상승)변경-아치텐트-PVDF-(3mx3mx2.5m)_원가계산서(화성상록)_원가보고서(종합)-조달" xfId="10809"/>
    <cellStyle name="_하수관거 산출_1-(금액상승)변경-아치텐트-PVDF-(3mx3mx2.5m)_원가계산서(화성상록)_원가보고서(흑색)-조달" xfId="10810"/>
    <cellStyle name="_하수관거 산출_2004년 완선공사(최종본)" xfId="10811"/>
    <cellStyle name="_하수관거 산출_안동전통문화콘텐츠박물관전시영상물구축(전시시설물)" xfId="10812"/>
    <cellStyle name="_하수관거 산출_안동전통문화콘텐츠박물관전시영상물구축(전시시설물)_원가보고서(종합)-조달" xfId="10813"/>
    <cellStyle name="_하수관거 산출_안동전통문화콘텐츠박물관전시영상물구축(전시시설물)_원가보고서(흑색)-조달" xfId="10814"/>
    <cellStyle name="_하수관거 산출_원가계산서(화성상록)" xfId="10815"/>
    <cellStyle name="_하수관거 산출_원가계산서(화성상록) (version 1)" xfId="10816"/>
    <cellStyle name="_하수관거 산출_원가계산서(화성상록) (version 1)_원가보고서(종합)-조달" xfId="10817"/>
    <cellStyle name="_하수관거 산출_원가계산서(화성상록) (version 1)_원가보고서(흑색)-조달" xfId="10818"/>
    <cellStyle name="_하수관거 산출_원가계산서(화성상록)_원가보고서(종합)-조달" xfId="10819"/>
    <cellStyle name="_하수관거 산출_원가계산서(화성상록)_원가보고서(흑색)-조달" xfId="10820"/>
    <cellStyle name="_학성간173R5-컴맹탈출" xfId="10821"/>
    <cellStyle name="_한강시민공원통합시스템_산출내역서_050617" xfId="4065"/>
    <cellStyle name="_한국 DB CIES견적(1011)" xfId="10822"/>
    <cellStyle name="_한국DB 8-27  한동진" xfId="10823"/>
    <cellStyle name="_한국게이츠-1" xfId="10824"/>
    <cellStyle name="_한국데이타베이스진흥센타 e-HR시스템 견적서 (2007.11.20)" xfId="10825"/>
    <cellStyle name="_한국데이터베이스진흥센터(이종서연구원님)_v890_0601" xfId="10826"/>
    <cellStyle name="_한국데이터베이스진흥센터_xweb_20070525" xfId="10827"/>
    <cellStyle name="_한국여성정책연구원-물품구매확장개발-_견적서-070522-1" xfId="10828"/>
    <cellStyle name="_한국은행_SSO Agent(KM시스템)_한국DB진행센타_070813" xfId="10829"/>
    <cellStyle name="_한국전자인증_중기청 전자협약 견적서" xfId="10830"/>
    <cellStyle name="_한국철강(050718)_xw4200_원가" xfId="10831"/>
    <cellStyle name="_한솔건설(주)" xfId="12630"/>
    <cellStyle name="_한전연구견적" xfId="4066"/>
    <cellStyle name="_한천(1공구)수량산출서" xfId="4067"/>
    <cellStyle name="_한천(1공구)수량산출서_04포장공" xfId="10832"/>
    <cellStyle name="_한천(1공구)수량산출서_3.구조물공" xfId="10833"/>
    <cellStyle name="_한천(1공구)수량산출서_3.구조물공_04포장공" xfId="10834"/>
    <cellStyle name="_한천(1공구)수량산출서_3.구조물공_3.구조물공" xfId="10835"/>
    <cellStyle name="_한천(1공구)수량산출서_3.구조물공_3.구조물공_04포장공" xfId="10836"/>
    <cellStyle name="_한천(1공구)수량산출서_3.구조물공_3.물공" xfId="10837"/>
    <cellStyle name="_한천(1공구)수량산출서_3.구조물공_3.물공_04포장공" xfId="10838"/>
    <cellStyle name="_한천(1공구)수량산출서_3.구조물공_보수량집계(우근)" xfId="10839"/>
    <cellStyle name="_한천(1공구)수량산출서_3.구조물공_보수량집계(우근)_04포장공" xfId="10840"/>
    <cellStyle name="_한천(1공구)수량산출서_3.구조물공_석축" xfId="10841"/>
    <cellStyle name="_한천(1공구)수량산출서_3.구조물공_석축_04포장공" xfId="10842"/>
    <cellStyle name="_한천(1공구)수량산출서_두릉1제 수량산출서" xfId="4068"/>
    <cellStyle name="_한천(1공구)수량산출서_배수구조물공" xfId="10843"/>
    <cellStyle name="_한천(1공구)수량산출서_배수구조물공_04포장공" xfId="10844"/>
    <cellStyle name="_한천(1공구)수량산출서_배수구조물공_3.구조물공" xfId="10845"/>
    <cellStyle name="_한천(1공구)수량산출서_배수구조물공_3.구조물공_04포장공" xfId="10846"/>
    <cellStyle name="_한천(1공구)수량산출서_배수구조물공_3.구조물공_3.구조물공" xfId="10847"/>
    <cellStyle name="_한천(1공구)수량산출서_배수구조물공_3.구조물공_3.구조물공_04포장공" xfId="10848"/>
    <cellStyle name="_한천(1공구)수량산출서_배수구조물공_3.구조물공_3.물공" xfId="10849"/>
    <cellStyle name="_한천(1공구)수량산출서_배수구조물공_3.구조물공_3.물공_04포장공" xfId="10850"/>
    <cellStyle name="_한천(1공구)수량산출서_배수구조물공_3.구조물공_보수량집계(우근)" xfId="10851"/>
    <cellStyle name="_한천(1공구)수량산출서_배수구조물공_3.구조물공_보수량집계(우근)_04포장공" xfId="10852"/>
    <cellStyle name="_한천(1공구)수량산출서_배수구조물공_3.구조물공_석축" xfId="10853"/>
    <cellStyle name="_한천(1공구)수량산출서_배수구조물공_3.구조물공_석축_04포장공" xfId="10854"/>
    <cellStyle name="_한천(1공구)수량산출서_우수집수정U형집계" xfId="10855"/>
    <cellStyle name="_한천(1공구)수량산출서_우수집수정U형집계_04포장공" xfId="10856"/>
    <cellStyle name="_한천(1공구)수량산출서_우수집수정U형집계_3.구조물공" xfId="10857"/>
    <cellStyle name="_한천(1공구)수량산출서_우수집수정U형집계_3.구조물공_04포장공" xfId="10858"/>
    <cellStyle name="_한천(1공구)수량산출서_우수집수정U형집계_3.구조물공_3.구조물공" xfId="10859"/>
    <cellStyle name="_한천(1공구)수량산출서_우수집수정U형집계_3.구조물공_3.구조물공_04포장공" xfId="10860"/>
    <cellStyle name="_한천(1공구)수량산출서_우수집수정U형집계_3.구조물공_3.물공" xfId="10861"/>
    <cellStyle name="_한천(1공구)수량산출서_우수집수정U형집계_3.구조물공_3.물공_04포장공" xfId="10862"/>
    <cellStyle name="_한천(1공구)수량산출서_우수집수정U형집계_3.구조물공_보수량집계(우근)" xfId="10863"/>
    <cellStyle name="_한천(1공구)수량산출서_우수집수정U형집계_3.구조물공_보수량집계(우근)_04포장공" xfId="10864"/>
    <cellStyle name="_한천(1공구)수량산출서_우수집수정U형집계_3.구조물공_석축" xfId="10865"/>
    <cellStyle name="_한천(1공구)수량산출서_우수집수정U형집계_3.구조물공_석축_04포장공" xfId="10866"/>
    <cellStyle name="_한천(1공구)수량산출서_인계1공구 수량산출" xfId="4069"/>
    <cellStyle name="_한천(1공구)수량산출서_총자재집계표" xfId="4070"/>
    <cellStyle name="_한천(1공구)수량산출서_콘크리트포장공" xfId="10867"/>
    <cellStyle name="_한천(1공구)수량산출서_콘크리트포장공_03포장공" xfId="10868"/>
    <cellStyle name="_한천(1공구)수량산출서_콘크리트포장공_03포장공_04포장공" xfId="10869"/>
    <cellStyle name="_한천(1공구)수량산출서_콘크리트포장공_04포장공" xfId="10870"/>
    <cellStyle name="_한천(1공구)수량산출서_콘크리트포장공_14수량산출서" xfId="10871"/>
    <cellStyle name="_한천(1공구)수량산출서_콘크리트포장공_14수량산출서_04포장공" xfId="10872"/>
    <cellStyle name="_한천(1공구)수량산출서_콘크리트포장공_수량산출서" xfId="10873"/>
    <cellStyle name="_한화증권_Op공수및견적080211" xfId="10874"/>
    <cellStyle name="_합의서" xfId="4071"/>
    <cellStyle name="_합의서_간이배수펌프장설치에 따른 타당성용역내역" xfId="4072"/>
    <cellStyle name="_합의서_선정안(삼산)" xfId="4073"/>
    <cellStyle name="_합의서_선정안(삼산)_간이배수펌프장설치에 따른 타당성용역내역" xfId="4074"/>
    <cellStyle name="_합의서_추풍령" xfId="4075"/>
    <cellStyle name="_합의서_추풍령_간이배수펌프장설치에 따른 타당성용역내역" xfId="4076"/>
    <cellStyle name="_합의서_추풍령-1" xfId="4077"/>
    <cellStyle name="_합의서_추풍령-1_간이배수펌프장설치에 따른 타당성용역내역" xfId="4078"/>
    <cellStyle name="_합천 도시관리계획및지형도면고시설계서" xfId="4079"/>
    <cellStyle name="_항공사진_관리시스템_아세아_2차" xfId="4080"/>
    <cellStyle name="_항공사진촬영,DB구축,수치표고자료구축,영상지도제작" xfId="4081"/>
    <cellStyle name="_항공사진측량용역 설계서(28만평)" xfId="4082"/>
    <cellStyle name="_항공측량(1.65㎢)" xfId="4083"/>
    <cellStyle name="_항측" xfId="12631"/>
    <cellStyle name="_항측(원가)" xfId="4084"/>
    <cellStyle name="_항측내역(5.15최종)" xfId="4085"/>
    <cellStyle name="_항측설계(총괄분)" xfId="4086"/>
    <cellStyle name="_항측표본설계서" xfId="4087"/>
    <cellStyle name="_해군C4I_HP원가(3월22일)" xfId="10875"/>
    <cellStyle name="_해당지금회분(2공구)" xfId="10876"/>
    <cellStyle name="_해운대구청-음식물자원화시설(최종)" xfId="10877"/>
    <cellStyle name="_향산복명" xfId="10878"/>
    <cellStyle name="_현대타운빌 실행" xfId="10879"/>
    <cellStyle name="_현장장비_견적" xfId="12632"/>
    <cellStyle name="_현장채무발생내역" xfId="10880"/>
    <cellStyle name="_현진아파트" xfId="10881"/>
    <cellStyle name="_호남선두계역외2개소연결통로" xfId="4088"/>
    <cellStyle name="_호미견적_2006_09_12" xfId="12633"/>
    <cellStyle name="_호안블럭" xfId="4089"/>
    <cellStyle name="_호안블럭_04포장공" xfId="10882"/>
    <cellStyle name="_호안블럭_3.구조물공" xfId="10883"/>
    <cellStyle name="_호안블럭_3.구조물공_04포장공" xfId="10884"/>
    <cellStyle name="_호안블럭_3.구조물공_3.구조물공" xfId="10885"/>
    <cellStyle name="_호안블럭_3.구조물공_3.구조물공_04포장공" xfId="10886"/>
    <cellStyle name="_호안블럭_3.구조물공_3.물공" xfId="10887"/>
    <cellStyle name="_호안블럭_3.구조물공_3.물공_04포장공" xfId="10888"/>
    <cellStyle name="_호안블럭_3.구조물공_보수량집계(우근)" xfId="10889"/>
    <cellStyle name="_호안블럭_3.구조물공_보수량집계(우근)_04포장공" xfId="10890"/>
    <cellStyle name="_호안블럭_3.구조물공_석축" xfId="10891"/>
    <cellStyle name="_호안블럭_3.구조물공_석축_04포장공" xfId="10892"/>
    <cellStyle name="_호안블럭_두릉1제 수량산출서" xfId="4090"/>
    <cellStyle name="_호안블럭_배수구조물공" xfId="10893"/>
    <cellStyle name="_호안블럭_배수구조물공_04포장공" xfId="10894"/>
    <cellStyle name="_호안블럭_배수구조물공_3.구조물공" xfId="10895"/>
    <cellStyle name="_호안블럭_배수구조물공_3.구조물공_04포장공" xfId="10896"/>
    <cellStyle name="_호안블럭_배수구조물공_3.구조물공_3.구조물공" xfId="10897"/>
    <cellStyle name="_호안블럭_배수구조물공_3.구조물공_3.구조물공_04포장공" xfId="10898"/>
    <cellStyle name="_호안블럭_배수구조물공_3.구조물공_3.물공" xfId="10899"/>
    <cellStyle name="_호안블럭_배수구조물공_3.구조물공_3.물공_04포장공" xfId="10900"/>
    <cellStyle name="_호안블럭_배수구조물공_3.구조물공_보수량집계(우근)" xfId="10901"/>
    <cellStyle name="_호안블럭_배수구조물공_3.구조물공_보수량집계(우근)_04포장공" xfId="10902"/>
    <cellStyle name="_호안블럭_배수구조물공_3.구조물공_석축" xfId="10903"/>
    <cellStyle name="_호안블럭_배수구조물공_3.구조물공_석축_04포장공" xfId="10904"/>
    <cellStyle name="_호안블럭_우수집수정U형집계" xfId="10905"/>
    <cellStyle name="_호안블럭_우수집수정U형집계_04포장공" xfId="10906"/>
    <cellStyle name="_호안블럭_우수집수정U형집계_3.구조물공" xfId="10907"/>
    <cellStyle name="_호안블럭_우수집수정U형집계_3.구조물공_04포장공" xfId="10908"/>
    <cellStyle name="_호안블럭_우수집수정U형집계_3.구조물공_3.구조물공" xfId="10909"/>
    <cellStyle name="_호안블럭_우수집수정U형집계_3.구조물공_3.구조물공_04포장공" xfId="10910"/>
    <cellStyle name="_호안블럭_우수집수정U형집계_3.구조물공_3.물공" xfId="10911"/>
    <cellStyle name="_호안블럭_우수집수정U형집계_3.구조물공_3.물공_04포장공" xfId="10912"/>
    <cellStyle name="_호안블럭_우수집수정U형집계_3.구조물공_보수량집계(우근)" xfId="10913"/>
    <cellStyle name="_호안블럭_우수집수정U형집계_3.구조물공_보수량집계(우근)_04포장공" xfId="10914"/>
    <cellStyle name="_호안블럭_우수집수정U형집계_3.구조물공_석축" xfId="10915"/>
    <cellStyle name="_호안블럭_우수집수정U형집계_3.구조물공_석축_04포장공" xfId="10916"/>
    <cellStyle name="_호안블럭_인계1공구 수량산출" xfId="4091"/>
    <cellStyle name="_호안블럭_총자재집계표" xfId="4092"/>
    <cellStyle name="_호안블럭_콘크리트포장공" xfId="10917"/>
    <cellStyle name="_호안블럭_콘크리트포장공_03포장공" xfId="10918"/>
    <cellStyle name="_호안블럭_콘크리트포장공_03포장공_04포장공" xfId="10919"/>
    <cellStyle name="_호안블럭_콘크리트포장공_04포장공" xfId="10920"/>
    <cellStyle name="_호안블럭_콘크리트포장공_14수량산출서" xfId="10921"/>
    <cellStyle name="_호안블럭_콘크리트포장공_14수량산출서_04포장공" xfId="10922"/>
    <cellStyle name="_호안블럭_콘크리트포장공_수량산출서" xfId="10923"/>
    <cellStyle name="_호안블럭수량" xfId="10924"/>
    <cellStyle name="_홈플러스인천가좌점-수의계약용" xfId="12634"/>
    <cellStyle name="_홍제초 수목이식(2차)" xfId="4093"/>
    <cellStyle name="_홍제초등학교(강산)" xfId="4094"/>
    <cellStyle name="_홍제토목" xfId="4095"/>
    <cellStyle name="_홍천(노천1지구)-1공구" xfId="4096"/>
    <cellStyle name="_홍천(노천1지구)-1공구_2(변경)-토공" xfId="4097"/>
    <cellStyle name="_홍천군 시청각관리 종합_크로니아이티" xfId="10925"/>
    <cellStyle name="_홍천중(강임계약내역)" xfId="4098"/>
    <cellStyle name="_화성동탄내역서(0419)" xfId="4099"/>
    <cellStyle name="_화조리세진기업앞 배수로정비" xfId="10926"/>
    <cellStyle name="_화천평화생태공원실시설계 내역서-1 (06.11.8)" xfId="4100"/>
    <cellStyle name="_환경기초 민간위탁(공동오수-개별오수)-KKKK " xfId="10927"/>
    <cellStyle name="_환경기초 민간위탁(공동오수-개별오수)-KKKK _1-(금액상승)변경-아치텐트-PVDF-(3mx3mx2.5m)" xfId="10928"/>
    <cellStyle name="_환경기초 민간위탁(공동오수-개별오수)-KKKK _1-(금액상승)변경-아치텐트-PVDF-(3mx3mx2.5m)_(조폐공사발송) 약품처리시설" xfId="10929"/>
    <cellStyle name="_환경기초 민간위탁(공동오수-개별오수)-KKKK _1-(금액상승)변경-아치텐트-PVDF-(3mx3mx2.5m)_(조폐공사발송) 약품처리시설_2004년 완선공사(최종본)" xfId="10930"/>
    <cellStyle name="_환경기초 민간위탁(공동오수-개별오수)-KKKK _1-(금액상승)변경-아치텐트-PVDF-(3mx3mx2.5m)_(조폐공사발송) 약품처리시설_안동전통문화콘텐츠박물관전시영상물구축(전시시설물)" xfId="10931"/>
    <cellStyle name="_환경기초 민간위탁(공동오수-개별오수)-KKKK _1-(금액상승)변경-아치텐트-PVDF-(3mx3mx2.5m)_(조폐공사발송) 약품처리시설_안동전통문화콘텐츠박물관전시영상물구축(전시시설물)_원가보고서(종합)-조달" xfId="10932"/>
    <cellStyle name="_환경기초 민간위탁(공동오수-개별오수)-KKKK _1-(금액상승)변경-아치텐트-PVDF-(3mx3mx2.5m)_(조폐공사발송) 약품처리시설_안동전통문화콘텐츠박물관전시영상물구축(전시시설물)_원가보고서(흑색)-조달" xfId="10933"/>
    <cellStyle name="_환경기초 민간위탁(공동오수-개별오수)-KKKK _1-(금액상승)변경-아치텐트-PVDF-(3mx3mx2.5m)_(조폐공사발송) 약품처리시설_원가계산서(화성상록)" xfId="10934"/>
    <cellStyle name="_환경기초 민간위탁(공동오수-개별오수)-KKKK _1-(금액상승)변경-아치텐트-PVDF-(3mx3mx2.5m)_(조폐공사발송) 약품처리시설_원가계산서(화성상록) (version 1)" xfId="10935"/>
    <cellStyle name="_환경기초 민간위탁(공동오수-개별오수)-KKKK _1-(금액상승)변경-아치텐트-PVDF-(3mx3mx2.5m)_(조폐공사발송) 약품처리시설_원가계산서(화성상록) (version 1)_원가보고서(종합)-조달" xfId="10936"/>
    <cellStyle name="_환경기초 민간위탁(공동오수-개별오수)-KKKK _1-(금액상승)변경-아치텐트-PVDF-(3mx3mx2.5m)_(조폐공사발송) 약품처리시설_원가계산서(화성상록) (version 1)_원가보고서(흑색)-조달" xfId="10937"/>
    <cellStyle name="_환경기초 민간위탁(공동오수-개별오수)-KKKK _1-(금액상승)변경-아치텐트-PVDF-(3mx3mx2.5m)_(조폐공사발송) 약품처리시설_원가계산서(화성상록)_원가보고서(종합)-조달" xfId="10938"/>
    <cellStyle name="_환경기초 민간위탁(공동오수-개별오수)-KKKK _1-(금액상승)변경-아치텐트-PVDF-(3mx3mx2.5m)_(조폐공사발송) 약품처리시설_원가계산서(화성상록)_원가보고서(흑색)-조달" xfId="10939"/>
    <cellStyle name="_환경기초 민간위탁(공동오수-개별오수)-KKKK _1-(금액상승)변경-아치텐트-PVDF-(3mx3mx2.5m)_2004년 완선공사(최종본)" xfId="10940"/>
    <cellStyle name="_환경기초 민간위탁(공동오수-개별오수)-KKKK _1-(금액상승)변경-아치텐트-PVDF-(3mx3mx2.5m)_안동전통문화콘텐츠박물관전시영상물구축(전시시설물)" xfId="10941"/>
    <cellStyle name="_환경기초 민간위탁(공동오수-개별오수)-KKKK _1-(금액상승)변경-아치텐트-PVDF-(3mx3mx2.5m)_안동전통문화콘텐츠박물관전시영상물구축(전시시설물)_원가보고서(종합)-조달" xfId="10942"/>
    <cellStyle name="_환경기초 민간위탁(공동오수-개별오수)-KKKK _1-(금액상승)변경-아치텐트-PVDF-(3mx3mx2.5m)_안동전통문화콘텐츠박물관전시영상물구축(전시시설물)_원가보고서(흑색)-조달" xfId="10943"/>
    <cellStyle name="_환경기초 민간위탁(공동오수-개별오수)-KKKK _1-(금액상승)변경-아치텐트-PVDF-(3mx3mx2.5m)_원가계산서(화성상록)" xfId="10944"/>
    <cellStyle name="_환경기초 민간위탁(공동오수-개별오수)-KKKK _1-(금액상승)변경-아치텐트-PVDF-(3mx3mx2.5m)_원가계산서(화성상록) (version 1)" xfId="10945"/>
    <cellStyle name="_환경기초 민간위탁(공동오수-개별오수)-KKKK _1-(금액상승)변경-아치텐트-PVDF-(3mx3mx2.5m)_원가계산서(화성상록) (version 1)_원가보고서(종합)-조달" xfId="10946"/>
    <cellStyle name="_환경기초 민간위탁(공동오수-개별오수)-KKKK _1-(금액상승)변경-아치텐트-PVDF-(3mx3mx2.5m)_원가계산서(화성상록) (version 1)_원가보고서(흑색)-조달" xfId="10947"/>
    <cellStyle name="_환경기초 민간위탁(공동오수-개별오수)-KKKK _1-(금액상승)변경-아치텐트-PVDF-(3mx3mx2.5m)_원가계산서(화성상록)_원가보고서(종합)-조달" xfId="10948"/>
    <cellStyle name="_환경기초 민간위탁(공동오수-개별오수)-KKKK _1-(금액상승)변경-아치텐트-PVDF-(3mx3mx2.5m)_원가계산서(화성상록)_원가보고서(흑색)-조달" xfId="10949"/>
    <cellStyle name="_환경기초 민간위탁(공동오수-개별오수)-KKKK _1.컴퓨터용 책상" xfId="10950"/>
    <cellStyle name="_환경기초 민간위탁(공동오수-개별오수)-KKKK _1.컴퓨터용 책상_2004년 완선공사(최종본)" xfId="10951"/>
    <cellStyle name="_환경기초 민간위탁(공동오수-개별오수)-KKKK _1.컴퓨터용 책상_안동전통문화콘텐츠박물관전시영상물구축(전시시설물)" xfId="10952"/>
    <cellStyle name="_환경기초 민간위탁(공동오수-개별오수)-KKKK _1.컴퓨터용 책상_안동전통문화콘텐츠박물관전시영상물구축(전시시설물)_원가보고서(종합)-조달" xfId="10953"/>
    <cellStyle name="_환경기초 민간위탁(공동오수-개별오수)-KKKK _1.컴퓨터용 책상_안동전통문화콘텐츠박물관전시영상물구축(전시시설물)_원가보고서(흑색)-조달" xfId="10954"/>
    <cellStyle name="_환경기초 민간위탁(공동오수-개별오수)-KKKK _1.컴퓨터용 책상_원가계산서(화성상록)" xfId="10955"/>
    <cellStyle name="_환경기초 민간위탁(공동오수-개별오수)-KKKK _1.컴퓨터용 책상_원가계산서(화성상록) (version 1)" xfId="10956"/>
    <cellStyle name="_환경기초 민간위탁(공동오수-개별오수)-KKKK _1.컴퓨터용 책상_원가계산서(화성상록) (version 1)_원가보고서(종합)-조달" xfId="10957"/>
    <cellStyle name="_환경기초 민간위탁(공동오수-개별오수)-KKKK _1.컴퓨터용 책상_원가계산서(화성상록) (version 1)_원가보고서(흑색)-조달" xfId="10958"/>
    <cellStyle name="_환경기초 민간위탁(공동오수-개별오수)-KKKK _1.컴퓨터용 책상_원가계산서(화성상록)_원가보고서(종합)-조달" xfId="10959"/>
    <cellStyle name="_환경기초 민간위탁(공동오수-개별오수)-KKKK _1.컴퓨터용 책상_원가계산서(화성상록)_원가보고서(흑색)-조달" xfId="10960"/>
    <cellStyle name="_환경기초 민간위탁(공동오수-개별오수)-KKKK _2004년 완선공사(최종본)" xfId="10961"/>
    <cellStyle name="_환경기초 민간위탁(공동오수-개별오수)-KKKK _발안천교(수정)" xfId="10962"/>
    <cellStyle name="_환경기초 민간위탁(공동오수-개별오수)-KKKK _안동전통문화콘텐츠박물관전시영상물구축(전시시설물)" xfId="10963"/>
    <cellStyle name="_환경기초 민간위탁(공동오수-개별오수)-KKKK _안동전통문화콘텐츠박물관전시영상물구축(전시시설물)_원가보고서(종합)-조달" xfId="10964"/>
    <cellStyle name="_환경기초 민간위탁(공동오수-개별오수)-KKKK _안동전통문화콘텐츠박물관전시영상물구축(전시시설물)_원가보고서(흑색)-조달" xfId="10965"/>
    <cellStyle name="_환경기초 민간위탁(공동오수-개별오수)-KKKK _원가계산서(화성상록)" xfId="10966"/>
    <cellStyle name="_환경기초 민간위탁(공동오수-개별오수)-KKKK _원가계산서(화성상록) (version 1)" xfId="10967"/>
    <cellStyle name="_환경기초 민간위탁(공동오수-개별오수)-KKKK _원가계산서(화성상록) (version 1)_원가보고서(종합)-조달" xfId="10968"/>
    <cellStyle name="_환경기초 민간위탁(공동오수-개별오수)-KKKK _원가계산서(화성상록) (version 1)_원가보고서(흑색)-조달" xfId="10969"/>
    <cellStyle name="_환경기초 민간위탁(공동오수-개별오수)-KKKK _원가계산서(화성상록)_원가보고서(종합)-조달" xfId="10970"/>
    <cellStyle name="_환경기초 민간위탁(공동오수-개별오수)-KKKK _원가계산서(화성상록)_원가보고서(흑색)-조달" xfId="10971"/>
    <cellStyle name="_환경기초 민간위탁(공동오수-개별오수)-KKKK _초지기 2라인 광택시설 보완" xfId="10972"/>
    <cellStyle name="_환경기초 민간위탁(공동오수-개별오수)-KKKK _초지기 2라인 광택시설 보완_2004년 완선공사(최종본)" xfId="10973"/>
    <cellStyle name="_환경기초 민간위탁(공동오수-개별오수)-KKKK _초지기 2라인 광택시설 보완_안동전통문화콘텐츠박물관전시영상물구축(전시시설물)" xfId="10974"/>
    <cellStyle name="_환경기초 민간위탁(공동오수-개별오수)-KKKK _초지기 2라인 광택시설 보완_안동전통문화콘텐츠박물관전시영상물구축(전시시설물)_원가보고서(종합)-조달" xfId="10975"/>
    <cellStyle name="_환경기초 민간위탁(공동오수-개별오수)-KKKK _초지기 2라인 광택시설 보완_안동전통문화콘텐츠박물관전시영상물구축(전시시설물)_원가보고서(흑색)-조달" xfId="10976"/>
    <cellStyle name="_환경기초 민간위탁(공동오수-개별오수)-KKKK _초지기 2라인 광택시설 보완_원가계산서(화성상록)" xfId="10977"/>
    <cellStyle name="_환경기초 민간위탁(공동오수-개별오수)-KKKK _초지기 2라인 광택시설 보완_원가계산서(화성상록) (version 1)" xfId="10978"/>
    <cellStyle name="_환경기초 민간위탁(공동오수-개별오수)-KKKK _초지기 2라인 광택시설 보완_원가계산서(화성상록) (version 1)_원가보고서(종합)-조달" xfId="10979"/>
    <cellStyle name="_환경기초 민간위탁(공동오수-개별오수)-KKKK _초지기 2라인 광택시설 보완_원가계산서(화성상록) (version 1)_원가보고서(흑색)-조달" xfId="10980"/>
    <cellStyle name="_환경기초 민간위탁(공동오수-개별오수)-KKKK _초지기 2라인 광택시설 보완_원가계산서(화성상록)_원가보고서(종합)-조달" xfId="10981"/>
    <cellStyle name="_환경기초 민간위탁(공동오수-개별오수)-KKKK _초지기 2라인 광택시설 보완_원가계산서(화성상록)_원가보고서(흑색)-조달" xfId="10982"/>
    <cellStyle name="_환경평가(시흥군자지구)" xfId="4101"/>
    <cellStyle name="_환평, 검토" xfId="4102"/>
    <cellStyle name="_회사 VAN 원가분석 양식_최종_V.1.5(최종)" xfId="10983"/>
    <cellStyle name="_회선-코아개통내역서(양식)" xfId="10984"/>
    <cellStyle name="_횡배수공" xfId="10985"/>
    <cellStyle name="_횡배수관" xfId="4103"/>
    <cellStyle name="_횡배수관_04포장공" xfId="10986"/>
    <cellStyle name="_횡배수관_3.구조물공" xfId="10987"/>
    <cellStyle name="_횡배수관_3.구조물공_04포장공" xfId="10988"/>
    <cellStyle name="_횡배수관_3.구조물공_3.구조물공" xfId="10989"/>
    <cellStyle name="_횡배수관_3.구조물공_3.구조물공_04포장공" xfId="10990"/>
    <cellStyle name="_횡배수관_3.구조물공_3.물공" xfId="10991"/>
    <cellStyle name="_횡배수관_3.구조물공_3.물공_04포장공" xfId="10992"/>
    <cellStyle name="_횡배수관_3.구조물공_보수량집계(우근)" xfId="10993"/>
    <cellStyle name="_횡배수관_3.구조물공_보수량집계(우근)_04포장공" xfId="10994"/>
    <cellStyle name="_횡배수관_3.구조물공_석축" xfId="10995"/>
    <cellStyle name="_횡배수관_3.구조물공_석축_04포장공" xfId="10996"/>
    <cellStyle name="_횡배수관_금산제수량(전체최종)" xfId="4104"/>
    <cellStyle name="_횡배수관_금산제수량(전체최종)_04포장공" xfId="10997"/>
    <cellStyle name="_횡배수관_금산제수량(전체최종)_3.구조물공" xfId="10998"/>
    <cellStyle name="_횡배수관_금산제수량(전체최종)_3.구조물공_04포장공" xfId="10999"/>
    <cellStyle name="_횡배수관_금산제수량(전체최종)_3.구조물공_3.구조물공" xfId="11000"/>
    <cellStyle name="_횡배수관_금산제수량(전체최종)_3.구조물공_3.구조물공_04포장공" xfId="11001"/>
    <cellStyle name="_횡배수관_금산제수량(전체최종)_3.구조물공_3.물공" xfId="11002"/>
    <cellStyle name="_횡배수관_금산제수량(전체최종)_3.구조물공_3.물공_04포장공" xfId="11003"/>
    <cellStyle name="_횡배수관_금산제수량(전체최종)_3.구조물공_보수량집계(우근)" xfId="11004"/>
    <cellStyle name="_횡배수관_금산제수량(전체최종)_3.구조물공_보수량집계(우근)_04포장공" xfId="11005"/>
    <cellStyle name="_횡배수관_금산제수량(전체최종)_3.구조물공_석축" xfId="11006"/>
    <cellStyle name="_횡배수관_금산제수량(전체최종)_3.구조물공_석축_04포장공" xfId="11007"/>
    <cellStyle name="_횡배수관_금산제수량(전체최종)_두릉1제 수량산출서" xfId="4105"/>
    <cellStyle name="_횡배수관_금산제수량(전체최종)_배수구조물공" xfId="11008"/>
    <cellStyle name="_횡배수관_금산제수량(전체최종)_배수구조물공_04포장공" xfId="11009"/>
    <cellStyle name="_횡배수관_금산제수량(전체최종)_배수구조물공_3.구조물공" xfId="11010"/>
    <cellStyle name="_횡배수관_금산제수량(전체최종)_배수구조물공_3.구조물공_04포장공" xfId="11011"/>
    <cellStyle name="_횡배수관_금산제수량(전체최종)_배수구조물공_3.구조물공_3.구조물공" xfId="11012"/>
    <cellStyle name="_횡배수관_금산제수량(전체최종)_배수구조물공_3.구조물공_3.구조물공_04포장공" xfId="11013"/>
    <cellStyle name="_횡배수관_금산제수량(전체최종)_배수구조물공_3.구조물공_3.물공" xfId="11014"/>
    <cellStyle name="_횡배수관_금산제수량(전체최종)_배수구조물공_3.구조물공_3.물공_04포장공" xfId="11015"/>
    <cellStyle name="_횡배수관_금산제수량(전체최종)_배수구조물공_3.구조물공_보수량집계(우근)" xfId="11016"/>
    <cellStyle name="_횡배수관_금산제수량(전체최종)_배수구조물공_3.구조물공_보수량집계(우근)_04포장공" xfId="11017"/>
    <cellStyle name="_횡배수관_금산제수량(전체최종)_배수구조물공_3.구조물공_석축" xfId="11018"/>
    <cellStyle name="_횡배수관_금산제수량(전체최종)_배수구조물공_3.구조물공_석축_04포장공" xfId="11019"/>
    <cellStyle name="_횡배수관_금산제수량(전체최종)_우수집수정U형집계" xfId="11020"/>
    <cellStyle name="_횡배수관_금산제수량(전체최종)_우수집수정U형집계_04포장공" xfId="11021"/>
    <cellStyle name="_횡배수관_금산제수량(전체최종)_우수집수정U형집계_3.구조물공" xfId="11022"/>
    <cellStyle name="_횡배수관_금산제수량(전체최종)_우수집수정U형집계_3.구조물공_04포장공" xfId="11023"/>
    <cellStyle name="_횡배수관_금산제수량(전체최종)_우수집수정U형집계_3.구조물공_3.구조물공" xfId="11024"/>
    <cellStyle name="_횡배수관_금산제수량(전체최종)_우수집수정U형집계_3.구조물공_3.구조물공_04포장공" xfId="11025"/>
    <cellStyle name="_횡배수관_금산제수량(전체최종)_우수집수정U형집계_3.구조물공_3.물공" xfId="11026"/>
    <cellStyle name="_횡배수관_금산제수량(전체최종)_우수집수정U형집계_3.구조물공_3.물공_04포장공" xfId="11027"/>
    <cellStyle name="_횡배수관_금산제수량(전체최종)_우수집수정U형집계_3.구조물공_보수량집계(우근)" xfId="11028"/>
    <cellStyle name="_횡배수관_금산제수량(전체최종)_우수집수정U형집계_3.구조물공_보수량집계(우근)_04포장공" xfId="11029"/>
    <cellStyle name="_횡배수관_금산제수량(전체최종)_우수집수정U형집계_3.구조물공_석축" xfId="11030"/>
    <cellStyle name="_횡배수관_금산제수량(전체최종)_우수집수정U형집계_3.구조물공_석축_04포장공" xfId="11031"/>
    <cellStyle name="_횡배수관_금산제수량(전체최종)_인계1공구 수량산출" xfId="4106"/>
    <cellStyle name="_횡배수관_금산제수량(전체최종)_총자재집계표" xfId="4107"/>
    <cellStyle name="_횡배수관_금산제수량(전체최종)_콘크리트포장공" xfId="11032"/>
    <cellStyle name="_횡배수관_금산제수량(전체최종)_콘크리트포장공_03포장공" xfId="11033"/>
    <cellStyle name="_횡배수관_금산제수량(전체최종)_콘크리트포장공_03포장공_04포장공" xfId="11034"/>
    <cellStyle name="_횡배수관_금산제수량(전체최종)_콘크리트포장공_04포장공" xfId="11035"/>
    <cellStyle name="_횡배수관_금산제수량(전체최종)_콘크리트포장공_14수량산출서" xfId="11036"/>
    <cellStyle name="_횡배수관_금산제수량(전체최종)_콘크리트포장공_14수량산출서_04포장공" xfId="11037"/>
    <cellStyle name="_횡배수관_금산제수량(전체최종)_콘크리트포장공_수량산출서" xfId="11038"/>
    <cellStyle name="_횡배수관_두릉1제 수량산출서" xfId="4108"/>
    <cellStyle name="_횡배수관_배수구조물공" xfId="11039"/>
    <cellStyle name="_횡배수관_배수구조물공_04포장공" xfId="11040"/>
    <cellStyle name="_횡배수관_배수구조물공_3.구조물공" xfId="11041"/>
    <cellStyle name="_횡배수관_배수구조물공_3.구조물공_04포장공" xfId="11042"/>
    <cellStyle name="_횡배수관_배수구조물공_3.구조물공_3.구조물공" xfId="11043"/>
    <cellStyle name="_횡배수관_배수구조물공_3.구조물공_3.구조물공_04포장공" xfId="11044"/>
    <cellStyle name="_횡배수관_배수구조물공_3.구조물공_3.물공" xfId="11045"/>
    <cellStyle name="_횡배수관_배수구조물공_3.구조물공_3.물공_04포장공" xfId="11046"/>
    <cellStyle name="_횡배수관_배수구조물공_3.구조물공_보수량집계(우근)" xfId="11047"/>
    <cellStyle name="_횡배수관_배수구조물공_3.구조물공_보수량집계(우근)_04포장공" xfId="11048"/>
    <cellStyle name="_횡배수관_배수구조물공_3.구조물공_석축" xfId="11049"/>
    <cellStyle name="_횡배수관_배수구조물공_3.구조물공_석축_04포장공" xfId="11050"/>
    <cellStyle name="_횡배수관_우수집수정U형집계" xfId="11051"/>
    <cellStyle name="_횡배수관_우수집수정U형집계_04포장공" xfId="11052"/>
    <cellStyle name="_횡배수관_우수집수정U형집계_3.구조물공" xfId="11053"/>
    <cellStyle name="_횡배수관_우수집수정U형집계_3.구조물공_04포장공" xfId="11054"/>
    <cellStyle name="_횡배수관_우수집수정U형집계_3.구조물공_3.구조물공" xfId="11055"/>
    <cellStyle name="_횡배수관_우수집수정U형집계_3.구조물공_3.구조물공_04포장공" xfId="11056"/>
    <cellStyle name="_횡배수관_우수집수정U형집계_3.구조물공_3.물공" xfId="11057"/>
    <cellStyle name="_횡배수관_우수집수정U형집계_3.구조물공_3.물공_04포장공" xfId="11058"/>
    <cellStyle name="_횡배수관_우수집수정U형집계_3.구조물공_보수량집계(우근)" xfId="11059"/>
    <cellStyle name="_횡배수관_우수집수정U형집계_3.구조물공_보수량집계(우근)_04포장공" xfId="11060"/>
    <cellStyle name="_횡배수관_우수집수정U형집계_3.구조물공_석축" xfId="11061"/>
    <cellStyle name="_횡배수관_우수집수정U형집계_3.구조물공_석축_04포장공" xfId="11062"/>
    <cellStyle name="_횡배수관_인계1공구 수량산출" xfId="4109"/>
    <cellStyle name="_횡배수관_총자재집계표" xfId="4110"/>
    <cellStyle name="_횡배수관_콘크리트포장공" xfId="11063"/>
    <cellStyle name="_횡배수관_콘크리트포장공_03포장공" xfId="11064"/>
    <cellStyle name="_횡배수관_콘크리트포장공_03포장공_04포장공" xfId="11065"/>
    <cellStyle name="_횡배수관_콘크리트포장공_04포장공" xfId="11066"/>
    <cellStyle name="_횡배수관_콘크리트포장공_14수량산출서" xfId="11067"/>
    <cellStyle name="_횡배수관_콘크리트포장공_14수량산출서_04포장공" xfId="11068"/>
    <cellStyle name="_횡배수관_콘크리트포장공_수량산출서" xfId="11069"/>
    <cellStyle name="_횡배수토공및석축토공" xfId="11070"/>
    <cellStyle name="_효성인포메이션시스템(노동연구원 AMS500 " xfId="11071"/>
    <cellStyle name="``" xfId="4111"/>
    <cellStyle name="¨" xfId="11072"/>
    <cellStyle name="¨_01.20090507_설계내역서_1개소_2차로용_2개소_1차로용_원가산정_운암내부" xfId="11073"/>
    <cellStyle name="´þ" xfId="4112"/>
    <cellStyle name="´þ·?" xfId="11074"/>
    <cellStyle name="´þ·¯" xfId="4113"/>
    <cellStyle name="’E‰Y [0.00]_laroux" xfId="4114"/>
    <cellStyle name="’E‰Y_laroux" xfId="4115"/>
    <cellStyle name="¤@?e_TEST-1" xfId="4116"/>
    <cellStyle name="+,-,0" xfId="4117"/>
    <cellStyle name="=C:\WINDOWS\SYSTEM32\COMMAND.COM" xfId="4118"/>
    <cellStyle name="=C:\WINNT\SYSTEM32\COMMAND.COM" xfId="11075"/>
    <cellStyle name="=SUM(D46|F46)=0&lt;0&gt;(0)" xfId="11076"/>
    <cellStyle name="△ []" xfId="4119"/>
    <cellStyle name="△ [0]" xfId="4120"/>
    <cellStyle name="△백분율" xfId="4121"/>
    <cellStyle name="△콤마" xfId="4122"/>
    <cellStyle name="●" xfId="12635"/>
    <cellStyle name="°ia¤¼o " xfId="4123"/>
    <cellStyle name="°ia¤¼o¼ya¡" xfId="11077"/>
    <cellStyle name="°íá¤¼ò¼ýá¡" xfId="4124"/>
    <cellStyle name="°ia¤aa " xfId="4125"/>
    <cellStyle name="°ia¤aa·a1" xfId="11078"/>
    <cellStyle name="°íá¤ãâ·â1" xfId="4126"/>
    <cellStyle name="°ia¤aa·a2" xfId="11079"/>
    <cellStyle name="°íá¤ãâ·â2" xfId="4127"/>
    <cellStyle name="•W_laroux" xfId="4128"/>
    <cellStyle name="" xfId="11080"/>
    <cellStyle name="_01.20090507_설계내역서_1개소_2차로용_2개소_1차로용_원가산정_운암내부" xfId="11081"/>
    <cellStyle name="_2007년 도로명주소기반표준전자지도 DB구축 예산설계서_v2.0_070206" xfId="11082"/>
    <cellStyle name="_2007년 도로명주소기반표준전자지도 DB구축 예산설계서_v2.0_070206_광주시 다차원DB를 활용한 업무지원시스템_080411" xfId="12636"/>
    <cellStyle name="_강제어초(철골가공조립)-수정후(수량이 틀림)" xfId="11083"/>
    <cellStyle name="_개발비" xfId="11084"/>
    <cellStyle name="_공장설립 온라인 지원시스템(최종본)" xfId="11085"/>
    <cellStyle name="_광주시 다차원DB를 활용한 업무지원시스템_080411" xfId="12637"/>
    <cellStyle name="_방축소하천교(2008.9)" xfId="11086"/>
    <cellStyle name="_성산건설(주)" xfId="11087"/>
    <cellStyle name="_싸인텔레콤-전광판(최종보고서)" xfId="11088"/>
    <cellStyle name="_완성공사 원가분석(08년도)" xfId="11089"/>
    <cellStyle name="_원가(도천5교제출본)" xfId="11090"/>
    <cellStyle name="_원가보고서(거화1)" xfId="11091"/>
    <cellStyle name="_유성ENT(연기군)" xfId="11092"/>
    <cellStyle name="_측구수로관" xfId="11093"/>
    <cellStyle name="0" xfId="4129"/>
    <cellStyle name="0 2" xfId="4130"/>
    <cellStyle name="0 2 2" xfId="4131"/>
    <cellStyle name="0 3" xfId="4132"/>
    <cellStyle name="0 3 2" xfId="4133"/>
    <cellStyle name="0 4" xfId="4134"/>
    <cellStyle name="0 4 2" xfId="4135"/>
    <cellStyle name="0 5" xfId="4136"/>
    <cellStyle name="0%" xfId="11094"/>
    <cellStyle name="0,0_x000d__x000a_NA_x000d__x000a_" xfId="11095"/>
    <cellStyle name="0,0_x000d__x000a_NA_x000d__x000a_ 2" xfId="12638"/>
    <cellStyle name="0.0" xfId="17"/>
    <cellStyle name="0.0 2" xfId="4137"/>
    <cellStyle name="0.0 2 2" xfId="4138"/>
    <cellStyle name="0.0 3" xfId="4139"/>
    <cellStyle name="0.0 3 2" xfId="4140"/>
    <cellStyle name="0.0 4" xfId="4141"/>
    <cellStyle name="0.0 4 2" xfId="4142"/>
    <cellStyle name="0.0 5" xfId="4143"/>
    <cellStyle name="0.0%" xfId="11096"/>
    <cellStyle name="0.0_02. 설계내역_시스템_20090407_v1" xfId="11097"/>
    <cellStyle name="0.00" xfId="18"/>
    <cellStyle name="0.00 2" xfId="4144"/>
    <cellStyle name="0.00%" xfId="11098"/>
    <cellStyle name="0.00_02. 설계내역_시스템_20090407_v1" xfId="11099"/>
    <cellStyle name="0.000%" xfId="11100"/>
    <cellStyle name="0.0000%" xfId="11101"/>
    <cellStyle name="0_01.20090507_설계내역서_1개소_2차로용_2개소_1차로용_원가산정_운암내부" xfId="11102"/>
    <cellStyle name="00" xfId="4145"/>
    <cellStyle name="0뾍R_x0005_?뾍b_x0005_" xfId="11103"/>
    <cellStyle name="¼yAU(R)" xfId="11104"/>
    <cellStyle name="¾È°ÇÈ¸°è¹ýÀÎ" xfId="4146"/>
    <cellStyle name="1" xfId="4147"/>
    <cellStyle name="1 2" xfId="12639"/>
    <cellStyle name="1_00-예산서양식100" xfId="4148"/>
    <cellStyle name="1_0821_설계변경내역서(고창성송최종)" xfId="11105"/>
    <cellStyle name="1_11.21(심사)" xfId="11106"/>
    <cellStyle name="1_2.전주시" xfId="11107"/>
    <cellStyle name="1_345kv신안산변전토건공사(해동완료)" xfId="4149"/>
    <cellStyle name="1_92내역서(도시학교숲(통일광장외3개소)" xfId="11108"/>
    <cellStyle name="1_Book3" xfId="4150"/>
    <cellStyle name="1_laroux" xfId="4151"/>
    <cellStyle name="1_laroux_ATC-YOON1" xfId="4152"/>
    <cellStyle name="1_total" xfId="4153"/>
    <cellStyle name="1_total_목동내역" xfId="4154"/>
    <cellStyle name="1_total_현충묘지-예산서(조경)" xfId="4155"/>
    <cellStyle name="1_total_현충묘지-예산서(조경)_목동내역" xfId="4156"/>
    <cellStyle name="1_total_현충묘지-예산서(조경)_예산서-엑셀변환양식100" xfId="4157"/>
    <cellStyle name="1_total_현충묘지-예산서(조경)_예산서-엑셀변환양식100_목동내역" xfId="4158"/>
    <cellStyle name="1_tree" xfId="4159"/>
    <cellStyle name="1_tree_목동내역" xfId="4160"/>
    <cellStyle name="1_tree_수량산출" xfId="4161"/>
    <cellStyle name="1_tree_수량산출_목동내역" xfId="4162"/>
    <cellStyle name="1_tree_수량산출_현충묘지-예산서(조경)" xfId="4163"/>
    <cellStyle name="1_tree_수량산출_현충묘지-예산서(조경)_목동내역" xfId="4164"/>
    <cellStyle name="1_tree_수량산출_현충묘지-예산서(조경)_예산서-엑셀변환양식100" xfId="4165"/>
    <cellStyle name="1_tree_수량산출_현충묘지-예산서(조경)_예산서-엑셀변환양식100_목동내역" xfId="4166"/>
    <cellStyle name="1_tree_현충묘지-예산서(조경)" xfId="4167"/>
    <cellStyle name="1_tree_현충묘지-예산서(조경)_목동내역" xfId="4168"/>
    <cellStyle name="1_tree_현충묘지-예산서(조경)_예산서-엑셀변환양식100" xfId="4169"/>
    <cellStyle name="1_tree_현충묘지-예산서(조경)_예산서-엑셀변환양식100_목동내역" xfId="4170"/>
    <cellStyle name="1_강릉대학술정보지원센터총괄(월드2낙찰)" xfId="4171"/>
    <cellStyle name="1_고창여고내역서" xfId="11109"/>
    <cellStyle name="1_고창전기최종519" xfId="11110"/>
    <cellStyle name="1_굴전단일로외1개소(신)" xfId="11111"/>
    <cellStyle name="1_귀인APT(보안)" xfId="11112"/>
    <cellStyle name="1_금강Ⅱ지구김제2-2공구토목공사(동도)" xfId="4172"/>
    <cellStyle name="1_길동배수지건설공사(구보)" xfId="4173"/>
    <cellStyle name="1_내역서" xfId="11113"/>
    <cellStyle name="1_내역서(완주청사)" xfId="11114"/>
    <cellStyle name="1_내역서(최종)" xfId="11115"/>
    <cellStyle name="1_단가조사표" xfId="4174"/>
    <cellStyle name="1_단가조사표_1011소각" xfId="4175"/>
    <cellStyle name="1_단가조사표_1113교~1" xfId="4176"/>
    <cellStyle name="1_단가조사표_121내역" xfId="4177"/>
    <cellStyle name="1_단가조사표_객토량" xfId="4178"/>
    <cellStyle name="1_단가조사표_교통센~1" xfId="4179"/>
    <cellStyle name="1_단가조사표_교통센터412" xfId="4180"/>
    <cellStyle name="1_단가조사표_교통수" xfId="4181"/>
    <cellStyle name="1_단가조사표_교통수량산출서" xfId="4182"/>
    <cellStyle name="1_단가조사표_구조물대가 (2)" xfId="4183"/>
    <cellStyle name="1_단가조사표_내역서 (2)" xfId="4184"/>
    <cellStyle name="1_단가조사표_대전관저지구" xfId="4185"/>
    <cellStyle name="1_단가조사표_동측지~1" xfId="4186"/>
    <cellStyle name="1_단가조사표_동측지원422" xfId="4187"/>
    <cellStyle name="1_단가조사표_동측지원512" xfId="4188"/>
    <cellStyle name="1_단가조사표_동측지원524" xfId="4189"/>
    <cellStyle name="1_단가조사표_부대422" xfId="4190"/>
    <cellStyle name="1_단가조사표_부대시설" xfId="4191"/>
    <cellStyle name="1_단가조사표_소각수~1" xfId="4192"/>
    <cellStyle name="1_단가조사표_소각수내역서" xfId="4193"/>
    <cellStyle name="1_단가조사표_소각수목2" xfId="4194"/>
    <cellStyle name="1_단가조사표_수량산출서 (2)" xfId="4195"/>
    <cellStyle name="1_단가조사표_엑스포~1" xfId="4196"/>
    <cellStyle name="1_단가조사표_엑스포한빛1" xfId="4197"/>
    <cellStyle name="1_단가조사표_여객터미널331" xfId="4198"/>
    <cellStyle name="1_단가조사표_여객터미널513" xfId="4199"/>
    <cellStyle name="1_단가조사표_여객터미널629" xfId="4200"/>
    <cellStyle name="1_단가조사표_외곽도로616" xfId="4201"/>
    <cellStyle name="1_단가조사표_원가계~1" xfId="4202"/>
    <cellStyle name="1_단가조사표_유기질" xfId="4203"/>
    <cellStyle name="1_단가조사표_자재조서 (2)" xfId="4204"/>
    <cellStyle name="1_단가조사표_총괄내역" xfId="4205"/>
    <cellStyle name="1_단가조사표_총괄내역 (2)" xfId="4206"/>
    <cellStyle name="1_단가조사표_터미널도로403" xfId="4207"/>
    <cellStyle name="1_단가조사표_터미널도로429" xfId="4208"/>
    <cellStyle name="1_단가조사표_포장일위" xfId="4209"/>
    <cellStyle name="1_당동(청강)" xfId="4210"/>
    <cellStyle name="1_당동(청강디스켓1)" xfId="4211"/>
    <cellStyle name="1_대전목양초" xfId="4212"/>
    <cellStyle name="1_대전서붕고하도급" xfId="4213"/>
    <cellStyle name="1_대호지~석문간지방도확포장공사(신일)" xfId="4214"/>
    <cellStyle name="1_등촌고등총괄(동현하도급)" xfId="4215"/>
    <cellStyle name="1_마현~생창국도건설공사" xfId="4216"/>
    <cellStyle name="1_명암지-산성간" xfId="4217"/>
    <cellStyle name="1_목동내역" xfId="4218"/>
    <cellStyle name="1_문화재샘플" xfId="4219"/>
    <cellStyle name="1_백산설계변경" xfId="11116"/>
    <cellStyle name="1_백석지구농촌용수개발사업(대원)" xfId="4220"/>
    <cellStyle name="1_병목안배수지건설(100%)" xfId="4221"/>
    <cellStyle name="1_봉곡중총괄(대지완결)" xfId="4222"/>
    <cellStyle name="1_부대입찰확약서" xfId="4223"/>
    <cellStyle name="1_부산해사고(100%)" xfId="4224"/>
    <cellStyle name="1_부안물의거리경관조명설치공사(개략예산)-LED등업체에서 설계변경해온내역서" xfId="11117"/>
    <cellStyle name="1_사본 - 설계변경내역서(고창성송부하계산서)" xfId="11118"/>
    <cellStyle name="1_새들초등학교(동성)" xfId="4225"/>
    <cellStyle name="1_서울대학교사범대교육정보관(에스와이비작업완료)" xfId="4226"/>
    <cellStyle name="1_서울도림초등학교(신한디스켓)" xfId="4227"/>
    <cellStyle name="1_서울화일초(덕동)" xfId="4228"/>
    <cellStyle name="1_설계내역서" xfId="11119"/>
    <cellStyle name="1_설계변경-1" xfId="11120"/>
    <cellStyle name="1_설계변경내역" xfId="11121"/>
    <cellStyle name="1_설계변경내역서" xfId="11122"/>
    <cellStyle name="1_설계변경내역서(고창성송0519)-복구" xfId="11123"/>
    <cellStyle name="1_설계변경내역서(고창성송부하계산서)" xfId="11124"/>
    <cellStyle name="1_설계변경내역서(최종분)" xfId="11125"/>
    <cellStyle name="1_설계변경최종" xfId="11126"/>
    <cellStyle name="1_성산배수지건설공사(덕동)" xfId="4229"/>
    <cellStyle name="1_송정리역사(토목완료林)" xfId="11127"/>
    <cellStyle name="1_수도권매립지하도급(명도)" xfId="4230"/>
    <cellStyle name="1_수정갑지" xfId="4231"/>
    <cellStyle name="1_시민계략공사" xfId="4232"/>
    <cellStyle name="1_시민계략공사_2002년도각종계산서너릿제터널등7개소" xfId="11128"/>
    <cellStyle name="1_시민계략공사_2002년도각종계산서하반기원본" xfId="11129"/>
    <cellStyle name="1_시민계략공사_2002년도각종계산서하반기원본_구례향토전시판매장신축공사(전기)" xfId="11130"/>
    <cellStyle name="1_시민계략공사_2002년도각종계산서하반기원본_기산초냉난방시설공사(3월19일)" xfId="11131"/>
    <cellStyle name="1_시민계략공사_2002년도각종계산서하반기원본_내역(해양수산청)" xfId="11132"/>
    <cellStyle name="1_시민계략공사_2002년도각종계산서하반기원본_냉난방 내역 샘플" xfId="11133"/>
    <cellStyle name="1_시민계략공사_2002년도각종계산서하반기원본_냉난방 내역 샘플_신광중냉.난방시설공사(수정)" xfId="11134"/>
    <cellStyle name="1_시민계략공사_2002년도각종계산서하반기원본_냉난방 내역 샘플_월야초교통신시설공사(최종)" xfId="11135"/>
    <cellStyle name="1_시민계략공사_2002년도각종계산서하반기원본_동신대앞교차로 교통신호등 설치공사'" xfId="11136"/>
    <cellStyle name="1_시민계략공사_2002년도각종계산서하반기원본_동신대앞교차로 교통신호등 설치공사'_석곡동사무소신축통신공사" xfId="11137"/>
    <cellStyle name="1_시민계략공사_2002년도각종계산서하반기원본_동신대앞교차로 교통신호등 설치공사'_영광해양수산사무실신축공사(전기)-6월18일(최종)" xfId="11138"/>
    <cellStyle name="1_시민계략공사_2002년도각종계산서하반기원본_석곡동사무소신축통신공사" xfId="11139"/>
    <cellStyle name="1_시민계략공사_2002년도각종계산서하반기원본_신광중냉.난방시설공사(수정)" xfId="11140"/>
    <cellStyle name="1_시민계략공사_2002년도각종계산서하반기원본_신광중냉.난방시설공사(수정)_1" xfId="11141"/>
    <cellStyle name="1_시민계략공사_2002년도각종계산서하반기원본_신광중냉.난방시설공사(수정)_신광중냉.난방시설공사(수정)" xfId="11142"/>
    <cellStyle name="1_시민계략공사_2002년도각종계산서하반기원본_신광중냉.난방시설공사(수정)_월야초교통신시설공사(최종)" xfId="11143"/>
    <cellStyle name="1_시민계략공사_2002년도각종계산서하반기원본_영광서초등학교냉난방개선공사(11월16일)" xfId="11144"/>
    <cellStyle name="1_시민계략공사_2002년도각종계산서하반기원본_영광해양수산사무소신축공사(통신)-6월10일" xfId="11145"/>
    <cellStyle name="1_시민계략공사_2002년도각종계산서하반기원본_영광해양수산사무실신축공사(전기)" xfId="11146"/>
    <cellStyle name="1_시민계략공사_2002년도각종계산서하반기원본_영광해양수산사무실신축공사(전기)-5월21일" xfId="11147"/>
    <cellStyle name="1_시민계략공사_2002년도각종계산서하반기원본_영광해양수산사무실신축공사(전기)-6월10일" xfId="11148"/>
    <cellStyle name="1_시민계략공사_2002년도각종계산서하반기원본_영광해양수산사무실신축공사(전기)-6월18일(최종)" xfId="11149"/>
    <cellStyle name="1_시민계략공사_2002년도각종계산서하반기원본_영광해양수산사무실신축공사(전기)-6월4일" xfId="11150"/>
    <cellStyle name="1_시민계략공사_2002년도각종계산서하반기원본_월야초교통신시설공사(최종)" xfId="11151"/>
    <cellStyle name="1_시민계략공사_2002년도각종계산서하반기원본_율촌도서관신축공사(전기)노임조정(납품내역)" xfId="11152"/>
    <cellStyle name="1_시민계략공사_2002년도각종계산서하반기원본_율촌도서관신축공사(전기)노임조정(납품내역)_석곡동사무소신축통신공사" xfId="11153"/>
    <cellStyle name="1_시민계략공사_2002년도각종계산서하반기원본_율촌도서관신축공사(전기)노임조정(납품내역)_영광해양수산사무실신축공사(전기)" xfId="11154"/>
    <cellStyle name="1_시민계략공사_2002년도각종계산서하반기원본_율촌도서관신축공사(전기)노임조정(납품내역)_영광해양수산사무실신축공사(전기)-6월18일(최종)" xfId="11155"/>
    <cellStyle name="1_시민계략공사_2002년도각종계산서하반기원본_일곡동사무소신축전기공사(내역)" xfId="11156"/>
    <cellStyle name="1_시민계략공사_2002년도각종계산서하반기원본_전남대학교pilot plant신축공사(전기)" xfId="11157"/>
    <cellStyle name="1_시민계략공사_2002년도각종계산서하반기원본_전남대학교pilot plant신축공사(전기)-1차공사분(최종)" xfId="11158"/>
    <cellStyle name="1_시민계략공사_2002년도각종계산서하반기원본_전남대학교pilot plant신축공사(전기)-1차공사분(최종)_석곡동사무소신축통신공사" xfId="11159"/>
    <cellStyle name="1_시민계략공사_2002년도각종계산서하반기원본_전남대학교pilot plant신축공사(전기)-1차공사분(최종)_영광해양수산사무실신축공사(전기)" xfId="11160"/>
    <cellStyle name="1_시민계략공사_2002년도각종계산서하반기원본_전남대학교pilot plant신축공사(전기)-1차공사분(최종)_영광해양수산사무실신축공사(전기)-6월18일(최종)" xfId="11161"/>
    <cellStyle name="1_시민계략공사_2002년도각종계산서하반기원본_중앙초등학교키폰설비공사1월31일변경(관급별도)" xfId="11162"/>
    <cellStyle name="1_시민계략공사_2002년도각종계산서하반기원본_중앙초등학교키폰설비공사1월31일변경(관급별도)_석곡동사무소신축통신공사" xfId="11163"/>
    <cellStyle name="1_시민계략공사_2002년도각종계산서하반기원본_중앙초등학교키폰설비공사1월31일변경(관급별도)_영광해양수산사무실신축공사(전기)-6월18일(최종)" xfId="11164"/>
    <cellStyle name="1_시민계략공사_2003년 각종계산서" xfId="11165"/>
    <cellStyle name="1_시민계략공사_2003년 각종계산서(읽기전용)" xfId="11166"/>
    <cellStyle name="1_시민계략공사_2003년 각종계산서(읽기전용)_강당리프팅" xfId="11167"/>
    <cellStyle name="1_시민계략공사_2003년 각종계산서(읽기전용)_관급자재 (양지중)" xfId="11168"/>
    <cellStyle name="1_시민계략공사_2003년 각종계산서(읽기전용)_광림초(일대단가)" xfId="11169"/>
    <cellStyle name="1_시민계략공사_2003년 각종계산서(읽기전용)_광림초교 교사 신축공사(전기)" xfId="11170"/>
    <cellStyle name="1_시민계략공사_2003년 각종계산서(읽기전용)_광주체육고기숙사및수영장증축공사" xfId="11171"/>
    <cellStyle name="1_시민계략공사_2003년 각종계산서(읽기전용)_광주체육고기숙사및수영장증축공사(전기)" xfId="11172"/>
    <cellStyle name="1_시민계략공사_2003년 각종계산서(읽기전용)_내역서(전기)" xfId="11173"/>
    <cellStyle name="1_시민계략공사_2003년 각종계산서(읽기전용)_내역서(전기)_강당리프팅" xfId="11174"/>
    <cellStyle name="1_시민계략공사_2003년 각종계산서(읽기전용)_내역서(전기)_관급자재 (양지중)" xfId="11175"/>
    <cellStyle name="1_시민계략공사_2003년 각종계산서(읽기전용)_내역서(전기)_광림초(일대단가)" xfId="11176"/>
    <cellStyle name="1_시민계략공사_2003년 각종계산서(읽기전용)_내역서(전기)_광림초교 교사 신축공사(전기)" xfId="11177"/>
    <cellStyle name="1_시민계략공사_2003년 각종계산서(읽기전용)_내역서(전기)_광주체육고기숙사및수영장증축공사" xfId="11178"/>
    <cellStyle name="1_시민계략공사_2003년 각종계산서(읽기전용)_내역서(전기)_광주체육고기숙사및수영장증축공사(전기)" xfId="11179"/>
    <cellStyle name="1_시민계략공사_2003년 각종계산서(읽기전용)_내역서(전기)_노안마을회관창고증축공사" xfId="11180"/>
    <cellStyle name="1_시민계략공사_2003년 각종계산서(읽기전용)_내역서(전기)_노안마을회관창고증축공사_도서관2층휴게실내부시설공사" xfId="11181"/>
    <cellStyle name="1_시민계략공사_2003년 각종계산서(읽기전용)_내역서(전기)_도서관2층휴게실내부시설공사" xfId="11182"/>
    <cellStyle name="1_시민계략공사_2003년 각종계산서(읽기전용)_내역서(전기)_동신대앞교차로 교통신호등 설치공사'" xfId="11183"/>
    <cellStyle name="1_시민계략공사_2003년 각종계산서(읽기전용)_내역서(전기)_동신대앞교차로 교통신호등 설치공사'_석곡동사무소신축통신공사" xfId="11184"/>
    <cellStyle name="1_시민계략공사_2003년 각종계산서(읽기전용)_내역서(전기)_동신대앞교차로 교통신호등 설치공사'_영광해양수산사무실신축공사(전기)-6월18일(최종)" xfId="11185"/>
    <cellStyle name="1_시민계략공사_2003년 각종계산서(읽기전용)_내역서(전기)_석곡동사무소신축통신공사" xfId="11186"/>
    <cellStyle name="1_시민계략공사_2003년 각종계산서(읽기전용)_내역서(전기)_수배전반 관급자재 (양지중)" xfId="11187"/>
    <cellStyle name="1_시민계략공사_2003년 각종계산서(읽기전용)_내역서(전기)_신광중냉.난방시설공사(수정)" xfId="11188"/>
    <cellStyle name="1_시민계략공사_2003년 각종계산서(읽기전용)_내역서(전기)_양지중교사신축전기공사(최종)" xfId="11189"/>
    <cellStyle name="1_시민계략공사_2003년 각종계산서(읽기전용)_내역서(전기)_양지중학교 교사 신축공사" xfId="11190"/>
    <cellStyle name="1_시민계략공사_2003년 각종계산서(읽기전용)_내역서(전기)_연제초교교사신축전기" xfId="11191"/>
    <cellStyle name="1_시민계략공사_2003년 각종계산서(읽기전용)_내역서(전기)_영광해양수산사무실신축공사(전기)" xfId="11192"/>
    <cellStyle name="1_시민계략공사_2003년 각종계산서(읽기전용)_내역서(전기)_영광해양수산사무실신축공사(전기)-5월21일" xfId="11193"/>
    <cellStyle name="1_시민계략공사_2003년 각종계산서(읽기전용)_내역서(전기)_영광해양수산사무실신축공사(전기)-6월18일(최종)" xfId="11194"/>
    <cellStyle name="1_시민계략공사_2003년 각종계산서(읽기전용)_내역서(전기)_월야초교통신시설공사(최종)" xfId="11195"/>
    <cellStyle name="1_시민계략공사_2003년 각종계산서(읽기전용)_내역서(전기)_인성고등학교 냉,난방시설공사" xfId="11196"/>
    <cellStyle name="1_시민계략공사_2003년 각종계산서(읽기전용)_내역서(전기)_전기단가(완료)" xfId="11197"/>
    <cellStyle name="1_시민계략공사_2003년 각종계산서(읽기전용)_내역서(전기)_조명기구수량-" xfId="11198"/>
    <cellStyle name="1_시민계략공사_2003년 각종계산서(읽기전용)_내역서(전기)_중앙초등학교키폰설비공사1월31일변경(공사포함)" xfId="11199"/>
    <cellStyle name="1_시민계략공사_2003년 각종계산서(읽기전용)_내역서(전기)_중앙초등학교키폰설비공사1월31일변경(관급별도)" xfId="11200"/>
    <cellStyle name="1_시민계략공사_2003년 각종계산서(읽기전용)_내역서(전기)_중앙초등학교키폰설비공사1월31일변경(관급별도)_석곡동사무소신축통신공사" xfId="11201"/>
    <cellStyle name="1_시민계략공사_2003년 각종계산서(읽기전용)_내역서(전기)_중앙초등학교키폰설비공사1월31일변경(관급별도)_영광해양수산사무실신축공사(전기)-6월18일(최종)" xfId="11202"/>
    <cellStyle name="1_시민계략공사_2003년 각종계산서(읽기전용)_내역서(전기)_청사개보수전기공사" xfId="11203"/>
    <cellStyle name="1_시민계략공사_2003년 각종계산서(읽기전용)_내역서(전기)_체육고등학교키폰설비공사(삼성)" xfId="11204"/>
    <cellStyle name="1_시민계략공사_2003년 각종계산서(읽기전용)_내역서(전기)_평동산단 진입도로(5공구)04년4월16일-전기" xfId="11205"/>
    <cellStyle name="1_시민계략공사_2003년 각종계산서(읽기전용)_내역서(전기)_평동산단진입도로(광주여대~호남고속도로간)개설공사-전기(3공구 설계변경)-11월변경" xfId="11206"/>
    <cellStyle name="1_시민계략공사_2003년 각종계산서(읽기전용)_내역서(전기)_해양수산부 완도권 합동청사 전기설비공사" xfId="11207"/>
    <cellStyle name="1_시민계략공사_2003년 각종계산서(읽기전용)_내역서(전기)_화개2초교 교사신축통신공사 (내역서-이지텍크)" xfId="11208"/>
    <cellStyle name="1_시민계략공사_2003년 각종계산서(읽기전용)_내역서(전기)_화개2초교 교사신축통신공사 (내역서-이지텍크)_석곡동사무소신축통신공사" xfId="11209"/>
    <cellStyle name="1_시민계략공사_2003년 각종계산서(읽기전용)_내역서(전기)_화개2초교 교사신축통신공사 (내역서-이지텍크)_영광해양수산사무실신축공사(전기)" xfId="11210"/>
    <cellStyle name="1_시민계략공사_2003년 각종계산서(읽기전용)_내역서(전기)_화개2초교 교사신축통신공사 (내역서-이지텍크)_영광해양수산사무실신축공사(전기)-6월18일(최종)" xfId="11211"/>
    <cellStyle name="1_시민계략공사_2003년 각종계산서(읽기전용)_내역서(전기)_화개2초교 교사신축통신공사 (내역서-이지텍크)_중앙초등학교키폰설비공사1월31일변경(관급별도)" xfId="11212"/>
    <cellStyle name="1_시민계략공사_2003년 각종계산서(읽기전용)_내역서(전기)_화개2초교 교사신축통신공사 (내역서-이지텍크)_중앙초등학교키폰설비공사1월31일변경(관급별도)_석곡동사무소신축통신공사" xfId="11213"/>
    <cellStyle name="1_시민계략공사_2003년 각종계산서(읽기전용)_내역서(전기)_화개2초교 교사신축통신공사 (내역서-이지텍크)_중앙초등학교키폰설비공사1월31일변경(관급별도)_영광해양수산사무실신축공사(전기)-6월18일(최종)" xfId="11214"/>
    <cellStyle name="1_시민계략공사_2003년 각종계산서(읽기전용)_노안마을회관창고증축공사" xfId="11215"/>
    <cellStyle name="1_시민계략공사_2003년 각종계산서(읽기전용)_노안마을회관창고증축공사_도서관2층휴게실내부시설공사" xfId="11216"/>
    <cellStyle name="1_시민계략공사_2003년 각종계산서(읽기전용)_도서관2층휴게실내부시설공사" xfId="11217"/>
    <cellStyle name="1_시민계략공사_2003년 각종계산서(읽기전용)_동신대앞교차로 교통신호등 설치공사'" xfId="11218"/>
    <cellStyle name="1_시민계략공사_2003년 각종계산서(읽기전용)_동신대앞교차로 교통신호등 설치공사'_석곡동사무소신축통신공사" xfId="11219"/>
    <cellStyle name="1_시민계략공사_2003년 각종계산서(읽기전용)_동신대앞교차로 교통신호등 설치공사'_영광해양수산사무실신축공사(전기)-6월18일(최종)" xfId="11220"/>
    <cellStyle name="1_시민계략공사_2003년 각종계산서(읽기전용)_석곡동사무소신축통신공사" xfId="11221"/>
    <cellStyle name="1_시민계략공사_2003년 각종계산서(읽기전용)_수배전반 관급자재 (양지중)" xfId="11222"/>
    <cellStyle name="1_시민계략공사_2003년 각종계산서(읽기전용)_신광중냉.난방시설공사(수정)" xfId="11223"/>
    <cellStyle name="1_시민계략공사_2003년 각종계산서(읽기전용)_양지중교사신축전기공사(최종)" xfId="11224"/>
    <cellStyle name="1_시민계략공사_2003년 각종계산서(읽기전용)_양지중학교 교사 신축공사" xfId="11225"/>
    <cellStyle name="1_시민계략공사_2003년 각종계산서(읽기전용)_연제초교교사신축전기" xfId="11226"/>
    <cellStyle name="1_시민계략공사_2003년 각종계산서(읽기전용)_영광해양수산사무실신축공사(전기)" xfId="11227"/>
    <cellStyle name="1_시민계략공사_2003년 각종계산서(읽기전용)_영광해양수산사무실신축공사(전기)-5월21일" xfId="11228"/>
    <cellStyle name="1_시민계략공사_2003년 각종계산서(읽기전용)_영광해양수산사무실신축공사(전기)-6월18일(최종)" xfId="11229"/>
    <cellStyle name="1_시민계략공사_2003년 각종계산서(읽기전용)_월야초교통신시설공사(최종)" xfId="11230"/>
    <cellStyle name="1_시민계략공사_2003년 각종계산서(읽기전용)_인성고등학교 냉,난방시설공사" xfId="11231"/>
    <cellStyle name="1_시민계략공사_2003년 각종계산서(읽기전용)_전기단가(완료)" xfId="11232"/>
    <cellStyle name="1_시민계략공사_2003년 각종계산서(읽기전용)_조명기구수량-" xfId="11233"/>
    <cellStyle name="1_시민계략공사_2003년 각종계산서(읽기전용)_중앙초등학교키폰설비공사1월31일변경(공사포함)" xfId="11234"/>
    <cellStyle name="1_시민계략공사_2003년 각종계산서(읽기전용)_중앙초등학교키폰설비공사1월31일변경(관급별도)" xfId="11235"/>
    <cellStyle name="1_시민계략공사_2003년 각종계산서(읽기전용)_중앙초등학교키폰설비공사1월31일변경(관급별도)_석곡동사무소신축통신공사" xfId="11236"/>
    <cellStyle name="1_시민계략공사_2003년 각종계산서(읽기전용)_중앙초등학교키폰설비공사1월31일변경(관급별도)_영광해양수산사무실신축공사(전기)-6월18일(최종)" xfId="11237"/>
    <cellStyle name="1_시민계략공사_2003년 각종계산서(읽기전용)_청사개보수전기공사" xfId="11238"/>
    <cellStyle name="1_시민계략공사_2003년 각종계산서(읽기전용)_체육고등학교키폰설비공사(삼성)" xfId="11239"/>
    <cellStyle name="1_시민계략공사_2003년 각종계산서(읽기전용)_평동산단 진입도로(5공구)04년4월16일-전기" xfId="11240"/>
    <cellStyle name="1_시민계략공사_2003년 각종계산서(읽기전용)_평동산단진입도로(광주여대~호남고속도로간)개설공사-전기(3공구 설계변경)-11월변경" xfId="11241"/>
    <cellStyle name="1_시민계략공사_2003년 각종계산서(읽기전용)_해양수산부 완도권 합동청사 전기설비공사" xfId="11242"/>
    <cellStyle name="1_시민계략공사_2003년 각종계산서(읽기전용)_화개2초교 교사신축통신공사 (내역서-이지텍크)" xfId="11243"/>
    <cellStyle name="1_시민계략공사_2003년 각종계산서(읽기전용)_화개2초교 교사신축통신공사 (내역서-이지텍크)_석곡동사무소신축통신공사" xfId="11244"/>
    <cellStyle name="1_시민계략공사_2003년 각종계산서(읽기전용)_화개2초교 교사신축통신공사 (내역서-이지텍크)_영광해양수산사무실신축공사(전기)" xfId="11245"/>
    <cellStyle name="1_시민계략공사_2003년 각종계산서(읽기전용)_화개2초교 교사신축통신공사 (내역서-이지텍크)_영광해양수산사무실신축공사(전기)-6월18일(최종)" xfId="11246"/>
    <cellStyle name="1_시민계략공사_2003년 각종계산서(읽기전용)_화개2초교 교사신축통신공사 (내역서-이지텍크)_중앙초등학교키폰설비공사1월31일변경(관급별도)" xfId="11247"/>
    <cellStyle name="1_시민계략공사_2003년 각종계산서(읽기전용)_화개2초교 교사신축통신공사 (내역서-이지텍크)_중앙초등학교키폰설비공사1월31일변경(관급별도)_석곡동사무소신축통신공사" xfId="11248"/>
    <cellStyle name="1_시민계략공사_2003년 각종계산서(읽기전용)_화개2초교 교사신축통신공사 (내역서-이지텍크)_중앙초등학교키폰설비공사1월31일변경(관급별도)_영광해양수산사무실신축공사(전기)-6월18일(최종)" xfId="11249"/>
    <cellStyle name="1_시민계략공사_각종계산서" xfId="11250"/>
    <cellStyle name="1_시민계략공사_각종계산서(석곡동사무소)" xfId="11251"/>
    <cellStyle name="1_시민계략공사_계산서" xfId="11252"/>
    <cellStyle name="1_시민계략공사_계산서_동신대앞교차로 교통신호등 설치공사'" xfId="11253"/>
    <cellStyle name="1_시민계략공사_계산서_동신대앞교차로 교통신호등 설치공사'_석곡동사무소신축통신공사" xfId="11254"/>
    <cellStyle name="1_시민계략공사_계산서_동신대앞교차로 교통신호등 설치공사'_영광해양수산사무실신축공사(전기)-6월18일(최종)" xfId="11255"/>
    <cellStyle name="1_시민계략공사_계산서_석곡동사무소신축통신공사" xfId="11256"/>
    <cellStyle name="1_시민계략공사_계산서_영광해양수산사무실신축공사(전기)" xfId="11257"/>
    <cellStyle name="1_시민계략공사_계산서_영광해양수산사무실신축공사(전기)-6월18일(최종)" xfId="11258"/>
    <cellStyle name="1_시민계략공사_계산서및내역서5월15일변경" xfId="11259"/>
    <cellStyle name="1_시민계략공사_계산서및내역서5월9일변경" xfId="11260"/>
    <cellStyle name="1_시민계략공사_광양중동중학교실증축공사(전기)-4월10일한번더" xfId="11261"/>
    <cellStyle name="1_시민계략공사_남부시장_시설현대화사업-전기공사(계약11(1)" xfId="11262"/>
    <cellStyle name="1_시민계략공사_납품설계내역" xfId="11263"/>
    <cellStyle name="1_시민계략공사_매곡동 00교회 신축공사" xfId="11264"/>
    <cellStyle name="1_시민계략공사_무안연꽃방죽(4월9일)한번더" xfId="11265"/>
    <cellStyle name="1_시민계략공사_보일약국~순국비간 도로개설 가로등설치공사" xfId="11266"/>
    <cellStyle name="1_시민계략공사_복지관 부하계산서" xfId="11267"/>
    <cellStyle name="1_시민계략공사_복지관 부하계산서_강당리프팅" xfId="11268"/>
    <cellStyle name="1_시민계략공사_복지관 부하계산서_관급자재 (양지중)" xfId="11269"/>
    <cellStyle name="1_시민계략공사_복지관 부하계산서_광림초(일대단가)" xfId="11270"/>
    <cellStyle name="1_시민계략공사_복지관 부하계산서_광림초교 교사 신축공사(전기)" xfId="11271"/>
    <cellStyle name="1_시민계략공사_복지관 부하계산서_광주체육고기숙사및수영장증축공사" xfId="11272"/>
    <cellStyle name="1_시민계략공사_복지관 부하계산서_광주체육고기숙사및수영장증축공사(전기)" xfId="11273"/>
    <cellStyle name="1_시민계략공사_복지관 부하계산서_내역서(전기)" xfId="11274"/>
    <cellStyle name="1_시민계략공사_복지관 부하계산서_내역서(전기)_강당리프팅" xfId="11275"/>
    <cellStyle name="1_시민계략공사_복지관 부하계산서_내역서(전기)_관급자재 (양지중)" xfId="11276"/>
    <cellStyle name="1_시민계략공사_복지관 부하계산서_내역서(전기)_광림초(일대단가)" xfId="11277"/>
    <cellStyle name="1_시민계략공사_복지관 부하계산서_내역서(전기)_광림초교 교사 신축공사(전기)" xfId="11278"/>
    <cellStyle name="1_시민계략공사_복지관 부하계산서_내역서(전기)_광주체육고기숙사및수영장증축공사" xfId="11279"/>
    <cellStyle name="1_시민계략공사_복지관 부하계산서_내역서(전기)_광주체육고기숙사및수영장증축공사(전기)" xfId="11280"/>
    <cellStyle name="1_시민계략공사_복지관 부하계산서_내역서(전기)_노안마을회관창고증축공사" xfId="11281"/>
    <cellStyle name="1_시민계략공사_복지관 부하계산서_내역서(전기)_노안마을회관창고증축공사_도서관2층휴게실내부시설공사" xfId="11282"/>
    <cellStyle name="1_시민계략공사_복지관 부하계산서_내역서(전기)_도서관2층휴게실내부시설공사" xfId="11283"/>
    <cellStyle name="1_시민계략공사_복지관 부하계산서_내역서(전기)_동신대앞교차로 교통신호등 설치공사'" xfId="11284"/>
    <cellStyle name="1_시민계략공사_복지관 부하계산서_내역서(전기)_동신대앞교차로 교통신호등 설치공사'_석곡동사무소신축통신공사" xfId="11285"/>
    <cellStyle name="1_시민계략공사_복지관 부하계산서_내역서(전기)_동신대앞교차로 교통신호등 설치공사'_영광해양수산사무실신축공사(전기)-6월18일(최종)" xfId="11286"/>
    <cellStyle name="1_시민계략공사_복지관 부하계산서_내역서(전기)_석곡동사무소신축통신공사" xfId="11287"/>
    <cellStyle name="1_시민계략공사_복지관 부하계산서_내역서(전기)_수배전반 관급자재 (양지중)" xfId="11288"/>
    <cellStyle name="1_시민계략공사_복지관 부하계산서_내역서(전기)_신광중냉.난방시설공사(수정)" xfId="11289"/>
    <cellStyle name="1_시민계략공사_복지관 부하계산서_내역서(전기)_양지중교사신축전기공사(최종)" xfId="11290"/>
    <cellStyle name="1_시민계략공사_복지관 부하계산서_내역서(전기)_양지중학교 교사 신축공사" xfId="11291"/>
    <cellStyle name="1_시민계략공사_복지관 부하계산서_내역서(전기)_연제초교교사신축전기" xfId="11292"/>
    <cellStyle name="1_시민계략공사_복지관 부하계산서_내역서(전기)_영광해양수산사무실신축공사(전기)" xfId="11293"/>
    <cellStyle name="1_시민계략공사_복지관 부하계산서_내역서(전기)_영광해양수산사무실신축공사(전기)-5월21일" xfId="11294"/>
    <cellStyle name="1_시민계략공사_복지관 부하계산서_내역서(전기)_영광해양수산사무실신축공사(전기)-6월18일(최종)" xfId="11295"/>
    <cellStyle name="1_시민계략공사_복지관 부하계산서_내역서(전기)_월야초교통신시설공사(최종)" xfId="11296"/>
    <cellStyle name="1_시민계략공사_복지관 부하계산서_내역서(전기)_인성고등학교 냉,난방시설공사" xfId="11297"/>
    <cellStyle name="1_시민계략공사_복지관 부하계산서_내역서(전기)_전기단가(완료)" xfId="11298"/>
    <cellStyle name="1_시민계략공사_복지관 부하계산서_내역서(전기)_조명기구수량-" xfId="11299"/>
    <cellStyle name="1_시민계략공사_복지관 부하계산서_내역서(전기)_중앙초등학교키폰설비공사1월31일변경(공사포함)" xfId="11300"/>
    <cellStyle name="1_시민계략공사_복지관 부하계산서_내역서(전기)_중앙초등학교키폰설비공사1월31일변경(관급별도)" xfId="11301"/>
    <cellStyle name="1_시민계략공사_복지관 부하계산서_내역서(전기)_중앙초등학교키폰설비공사1월31일변경(관급별도)_석곡동사무소신축통신공사" xfId="11302"/>
    <cellStyle name="1_시민계략공사_복지관 부하계산서_내역서(전기)_중앙초등학교키폰설비공사1월31일변경(관급별도)_영광해양수산사무실신축공사(전기)-6월18일(최종)" xfId="11303"/>
    <cellStyle name="1_시민계략공사_복지관 부하계산서_내역서(전기)_청사개보수전기공사" xfId="11304"/>
    <cellStyle name="1_시민계략공사_복지관 부하계산서_내역서(전기)_체육고등학교키폰설비공사(삼성)" xfId="11305"/>
    <cellStyle name="1_시민계략공사_복지관 부하계산서_내역서(전기)_평동산단 진입도로(5공구)04년4월16일-전기" xfId="11306"/>
    <cellStyle name="1_시민계략공사_복지관 부하계산서_내역서(전기)_평동산단진입도로(광주여대~호남고속도로간)개설공사-전기(3공구 설계변경)-11월변경" xfId="11307"/>
    <cellStyle name="1_시민계략공사_복지관 부하계산서_내역서(전기)_해양수산부 완도권 합동청사 전기설비공사" xfId="11308"/>
    <cellStyle name="1_시민계략공사_복지관 부하계산서_내역서(전기)_화개2초교 교사신축통신공사 (내역서-이지텍크)" xfId="11309"/>
    <cellStyle name="1_시민계략공사_복지관 부하계산서_내역서(전기)_화개2초교 교사신축통신공사 (내역서-이지텍크)_석곡동사무소신축통신공사" xfId="11310"/>
    <cellStyle name="1_시민계략공사_복지관 부하계산서_내역서(전기)_화개2초교 교사신축통신공사 (내역서-이지텍크)_영광해양수산사무실신축공사(전기)" xfId="11311"/>
    <cellStyle name="1_시민계략공사_복지관 부하계산서_내역서(전기)_화개2초교 교사신축통신공사 (내역서-이지텍크)_영광해양수산사무실신축공사(전기)-6월18일(최종)" xfId="11312"/>
    <cellStyle name="1_시민계략공사_복지관 부하계산서_내역서(전기)_화개2초교 교사신축통신공사 (내역서-이지텍크)_중앙초등학교키폰설비공사1월31일변경(관급별도)" xfId="11313"/>
    <cellStyle name="1_시민계략공사_복지관 부하계산서_내역서(전기)_화개2초교 교사신축통신공사 (내역서-이지텍크)_중앙초등학교키폰설비공사1월31일변경(관급별도)_석곡동사무소신축통신공사" xfId="11314"/>
    <cellStyle name="1_시민계략공사_복지관 부하계산서_내역서(전기)_화개2초교 교사신축통신공사 (내역서-이지텍크)_중앙초등학교키폰설비공사1월31일변경(관급별도)_영광해양수산사무실신축공사(전기)-6월18일(최종)" xfId="11315"/>
    <cellStyle name="1_시민계략공사_복지관 부하계산서_노안마을회관창고증축공사" xfId="11316"/>
    <cellStyle name="1_시민계략공사_복지관 부하계산서_노안마을회관창고증축공사_도서관2층휴게실내부시설공사" xfId="11317"/>
    <cellStyle name="1_시민계략공사_복지관 부하계산서_도서관2층휴게실내부시설공사" xfId="11318"/>
    <cellStyle name="1_시민계략공사_복지관 부하계산서_동신대앞교차로 교통신호등 설치공사'" xfId="11319"/>
    <cellStyle name="1_시민계략공사_복지관 부하계산서_동신대앞교차로 교통신호등 설치공사'_석곡동사무소신축통신공사" xfId="11320"/>
    <cellStyle name="1_시민계략공사_복지관 부하계산서_동신대앞교차로 교통신호등 설치공사'_영광해양수산사무실신축공사(전기)-6월18일(최종)" xfId="11321"/>
    <cellStyle name="1_시민계략공사_복지관 부하계산서_석곡동사무소신축통신공사" xfId="11322"/>
    <cellStyle name="1_시민계략공사_복지관 부하계산서_수배전반 관급자재 (양지중)" xfId="11323"/>
    <cellStyle name="1_시민계략공사_복지관 부하계산서_신광중냉.난방시설공사(수정)" xfId="11324"/>
    <cellStyle name="1_시민계략공사_복지관 부하계산서_양지중교사신축전기공사(최종)" xfId="11325"/>
    <cellStyle name="1_시민계략공사_복지관 부하계산서_양지중학교 교사 신축공사" xfId="11326"/>
    <cellStyle name="1_시민계략공사_복지관 부하계산서_연제초교교사신축전기" xfId="11327"/>
    <cellStyle name="1_시민계략공사_복지관 부하계산서_영광해양수산사무실신축공사(전기)" xfId="11328"/>
    <cellStyle name="1_시민계략공사_복지관 부하계산서_영광해양수산사무실신축공사(전기)-5월21일" xfId="11329"/>
    <cellStyle name="1_시민계략공사_복지관 부하계산서_영광해양수산사무실신축공사(전기)-6월18일(최종)" xfId="11330"/>
    <cellStyle name="1_시민계략공사_복지관 부하계산서_월야초교통신시설공사(최종)" xfId="11331"/>
    <cellStyle name="1_시민계략공사_복지관 부하계산서_인성고등학교 냉,난방시설공사" xfId="11332"/>
    <cellStyle name="1_시민계략공사_복지관 부하계산서_전기단가(완료)" xfId="11333"/>
    <cellStyle name="1_시민계략공사_복지관 부하계산서_조명기구수량-" xfId="11334"/>
    <cellStyle name="1_시민계략공사_복지관 부하계산서_중앙초등학교키폰설비공사1월31일변경(공사포함)" xfId="11335"/>
    <cellStyle name="1_시민계략공사_복지관 부하계산서_중앙초등학교키폰설비공사1월31일변경(관급별도)" xfId="11336"/>
    <cellStyle name="1_시민계략공사_복지관 부하계산서_중앙초등학교키폰설비공사1월31일변경(관급별도)_석곡동사무소신축통신공사" xfId="11337"/>
    <cellStyle name="1_시민계략공사_복지관 부하계산서_중앙초등학교키폰설비공사1월31일변경(관급별도)_영광해양수산사무실신축공사(전기)-6월18일(최종)" xfId="11338"/>
    <cellStyle name="1_시민계략공사_복지관 부하계산서_청사개보수전기공사" xfId="11339"/>
    <cellStyle name="1_시민계략공사_복지관 부하계산서_체육고등학교키폰설비공사(삼성)" xfId="11340"/>
    <cellStyle name="1_시민계략공사_복지관 부하계산서_평동산단 진입도로(5공구)04년4월16일-전기" xfId="11341"/>
    <cellStyle name="1_시민계략공사_복지관 부하계산서_평동산단진입도로(광주여대~호남고속도로간)개설공사-전기(3공구 설계변경)-11월변경" xfId="11342"/>
    <cellStyle name="1_시민계략공사_복지관 부하계산서_해양수산부 완도권 합동청사 전기설비공사" xfId="11343"/>
    <cellStyle name="1_시민계략공사_복지관 부하계산서_화개2초교 교사신축통신공사 (내역서-이지텍크)" xfId="11344"/>
    <cellStyle name="1_시민계략공사_복지관 부하계산서_화개2초교 교사신축통신공사 (내역서-이지텍크)_석곡동사무소신축통신공사" xfId="11345"/>
    <cellStyle name="1_시민계략공사_복지관 부하계산서_화개2초교 교사신축통신공사 (내역서-이지텍크)_영광해양수산사무실신축공사(전기)" xfId="11346"/>
    <cellStyle name="1_시민계략공사_복지관 부하계산서_화개2초교 교사신축통신공사 (내역서-이지텍크)_영광해양수산사무실신축공사(전기)-6월18일(최종)" xfId="11347"/>
    <cellStyle name="1_시민계략공사_복지관 부하계산서_화개2초교 교사신축통신공사 (내역서-이지텍크)_중앙초등학교키폰설비공사1월31일변경(관급별도)" xfId="11348"/>
    <cellStyle name="1_시민계략공사_복지관 부하계산서_화개2초교 교사신축통신공사 (내역서-이지텍크)_중앙초등학교키폰설비공사1월31일변경(관급별도)_석곡동사무소신축통신공사" xfId="11349"/>
    <cellStyle name="1_시민계략공사_복지관 부하계산서_화개2초교 교사신축통신공사 (내역서-이지텍크)_중앙초등학교키폰설비공사1월31일변경(관급별도)_영광해양수산사무실신축공사(전기)-6월18일(최종)" xfId="11350"/>
    <cellStyle name="1_시민계략공사_봉산면보건지소신축공사(전기)11월30일변경" xfId="11351"/>
    <cellStyle name="1_시민계략공사_부하계산서" xfId="11352"/>
    <cellStyle name="1_시민계략공사_부하계산서-백운중" xfId="11353"/>
    <cellStyle name="1_시민계략공사_북문로(팔마로)가로등설치공사(변경)3월11일" xfId="11354"/>
    <cellStyle name="1_시민계략공사_북문팔마로확포장공사가로등" xfId="11355"/>
    <cellStyle name="1_시민계략공사_비상부하,발전기용량 계산서" xfId="11356"/>
    <cellStyle name="1_시민계략공사_비상부하,발전기용량 계산서_강당리프팅" xfId="11357"/>
    <cellStyle name="1_시민계략공사_비상부하,발전기용량 계산서_관급자재 (양지중)" xfId="11358"/>
    <cellStyle name="1_시민계략공사_비상부하,발전기용량 계산서_광림초(일대단가)" xfId="11359"/>
    <cellStyle name="1_시민계략공사_비상부하,발전기용량 계산서_광림초교 교사 신축공사(전기)" xfId="11360"/>
    <cellStyle name="1_시민계략공사_비상부하,발전기용량 계산서_광주체육고기숙사및수영장증축공사" xfId="11361"/>
    <cellStyle name="1_시민계략공사_비상부하,발전기용량 계산서_광주체육고기숙사및수영장증축공사(전기)" xfId="11362"/>
    <cellStyle name="1_시민계략공사_비상부하,발전기용량 계산서_내역서(전기)" xfId="11363"/>
    <cellStyle name="1_시민계략공사_비상부하,발전기용량 계산서_내역서(전기)_강당리프팅" xfId="11364"/>
    <cellStyle name="1_시민계략공사_비상부하,발전기용량 계산서_내역서(전기)_관급자재 (양지중)" xfId="11365"/>
    <cellStyle name="1_시민계략공사_비상부하,발전기용량 계산서_내역서(전기)_광림초(일대단가)" xfId="11366"/>
    <cellStyle name="1_시민계략공사_비상부하,발전기용량 계산서_내역서(전기)_광림초교 교사 신축공사(전기)" xfId="11367"/>
    <cellStyle name="1_시민계략공사_비상부하,발전기용량 계산서_내역서(전기)_광주체육고기숙사및수영장증축공사" xfId="11368"/>
    <cellStyle name="1_시민계략공사_비상부하,발전기용량 계산서_내역서(전기)_광주체육고기숙사및수영장증축공사(전기)" xfId="11369"/>
    <cellStyle name="1_시민계략공사_비상부하,발전기용량 계산서_내역서(전기)_노안마을회관창고증축공사" xfId="11370"/>
    <cellStyle name="1_시민계략공사_비상부하,발전기용량 계산서_내역서(전기)_노안마을회관창고증축공사_도서관2층휴게실내부시설공사" xfId="11371"/>
    <cellStyle name="1_시민계략공사_비상부하,발전기용량 계산서_내역서(전기)_도서관2층휴게실내부시설공사" xfId="11372"/>
    <cellStyle name="1_시민계략공사_비상부하,발전기용량 계산서_내역서(전기)_동신대앞교차로 교통신호등 설치공사'" xfId="11373"/>
    <cellStyle name="1_시민계략공사_비상부하,발전기용량 계산서_내역서(전기)_동신대앞교차로 교통신호등 설치공사'_석곡동사무소신축통신공사" xfId="11374"/>
    <cellStyle name="1_시민계략공사_비상부하,발전기용량 계산서_내역서(전기)_동신대앞교차로 교통신호등 설치공사'_영광해양수산사무실신축공사(전기)-6월18일(최종)" xfId="11375"/>
    <cellStyle name="1_시민계략공사_비상부하,발전기용량 계산서_내역서(전기)_석곡동사무소신축통신공사" xfId="11376"/>
    <cellStyle name="1_시민계략공사_비상부하,발전기용량 계산서_내역서(전기)_수배전반 관급자재 (양지중)" xfId="11377"/>
    <cellStyle name="1_시민계략공사_비상부하,발전기용량 계산서_내역서(전기)_신광중냉.난방시설공사(수정)" xfId="11378"/>
    <cellStyle name="1_시민계략공사_비상부하,발전기용량 계산서_내역서(전기)_양지중교사신축전기공사(최종)" xfId="11379"/>
    <cellStyle name="1_시민계략공사_비상부하,발전기용량 계산서_내역서(전기)_양지중학교 교사 신축공사" xfId="11380"/>
    <cellStyle name="1_시민계략공사_비상부하,발전기용량 계산서_내역서(전기)_연제초교교사신축전기" xfId="11381"/>
    <cellStyle name="1_시민계략공사_비상부하,발전기용량 계산서_내역서(전기)_영광해양수산사무실신축공사(전기)" xfId="11382"/>
    <cellStyle name="1_시민계략공사_비상부하,발전기용량 계산서_내역서(전기)_영광해양수산사무실신축공사(전기)-5월21일" xfId="11383"/>
    <cellStyle name="1_시민계략공사_비상부하,발전기용량 계산서_내역서(전기)_영광해양수산사무실신축공사(전기)-6월18일(최종)" xfId="11384"/>
    <cellStyle name="1_시민계략공사_비상부하,발전기용량 계산서_내역서(전기)_월야초교통신시설공사(최종)" xfId="11385"/>
    <cellStyle name="1_시민계략공사_비상부하,발전기용량 계산서_내역서(전기)_인성고등학교 냉,난방시설공사" xfId="11386"/>
    <cellStyle name="1_시민계략공사_비상부하,발전기용량 계산서_내역서(전기)_전기단가(완료)" xfId="11387"/>
    <cellStyle name="1_시민계략공사_비상부하,발전기용량 계산서_내역서(전기)_조명기구수량-" xfId="11388"/>
    <cellStyle name="1_시민계략공사_비상부하,발전기용량 계산서_내역서(전기)_중앙초등학교키폰설비공사1월31일변경(공사포함)" xfId="11389"/>
    <cellStyle name="1_시민계략공사_비상부하,발전기용량 계산서_내역서(전기)_중앙초등학교키폰설비공사1월31일변경(관급별도)" xfId="11390"/>
    <cellStyle name="1_시민계략공사_비상부하,발전기용량 계산서_내역서(전기)_중앙초등학교키폰설비공사1월31일변경(관급별도)_석곡동사무소신축통신공사" xfId="11391"/>
    <cellStyle name="1_시민계략공사_비상부하,발전기용량 계산서_내역서(전기)_중앙초등학교키폰설비공사1월31일변경(관급별도)_영광해양수산사무실신축공사(전기)-6월18일(최종)" xfId="11392"/>
    <cellStyle name="1_시민계략공사_비상부하,발전기용량 계산서_내역서(전기)_청사개보수전기공사" xfId="11393"/>
    <cellStyle name="1_시민계략공사_비상부하,발전기용량 계산서_내역서(전기)_체육고등학교키폰설비공사(삼성)" xfId="11394"/>
    <cellStyle name="1_시민계략공사_비상부하,발전기용량 계산서_내역서(전기)_평동산단 진입도로(5공구)04년4월16일-전기" xfId="11395"/>
    <cellStyle name="1_시민계략공사_비상부하,발전기용량 계산서_내역서(전기)_평동산단진입도로(광주여대~호남고속도로간)개설공사-전기(3공구 설계변경)-11월변경" xfId="11396"/>
    <cellStyle name="1_시민계략공사_비상부하,발전기용량 계산서_내역서(전기)_해양수산부 완도권 합동청사 전기설비공사" xfId="11397"/>
    <cellStyle name="1_시민계략공사_비상부하,발전기용량 계산서_내역서(전기)_화개2초교 교사신축통신공사 (내역서-이지텍크)" xfId="11398"/>
    <cellStyle name="1_시민계략공사_비상부하,발전기용량 계산서_내역서(전기)_화개2초교 교사신축통신공사 (내역서-이지텍크)_석곡동사무소신축통신공사" xfId="11399"/>
    <cellStyle name="1_시민계략공사_비상부하,발전기용량 계산서_내역서(전기)_화개2초교 교사신축통신공사 (내역서-이지텍크)_영광해양수산사무실신축공사(전기)" xfId="11400"/>
    <cellStyle name="1_시민계략공사_비상부하,발전기용량 계산서_내역서(전기)_화개2초교 교사신축통신공사 (내역서-이지텍크)_영광해양수산사무실신축공사(전기)-6월18일(최종)" xfId="11401"/>
    <cellStyle name="1_시민계략공사_비상부하,발전기용량 계산서_내역서(전기)_화개2초교 교사신축통신공사 (내역서-이지텍크)_중앙초등학교키폰설비공사1월31일변경(관급별도)" xfId="11402"/>
    <cellStyle name="1_시민계략공사_비상부하,발전기용량 계산서_내역서(전기)_화개2초교 교사신축통신공사 (내역서-이지텍크)_중앙초등학교키폰설비공사1월31일변경(관급별도)_석곡동사무소신축통신공사" xfId="11403"/>
    <cellStyle name="1_시민계략공사_비상부하,발전기용량 계산서_내역서(전기)_화개2초교 교사신축통신공사 (내역서-이지텍크)_중앙초등학교키폰설비공사1월31일변경(관급별도)_영광해양수산사무실신축공사(전기)-6월18일(최종)" xfId="11404"/>
    <cellStyle name="1_시민계략공사_비상부하,발전기용량 계산서_노안마을회관창고증축공사" xfId="11405"/>
    <cellStyle name="1_시민계략공사_비상부하,발전기용량 계산서_노안마을회관창고증축공사_도서관2층휴게실내부시설공사" xfId="11406"/>
    <cellStyle name="1_시민계략공사_비상부하,발전기용량 계산서_도서관2층휴게실내부시설공사" xfId="11407"/>
    <cellStyle name="1_시민계략공사_비상부하,발전기용량 계산서_동신대앞교차로 교통신호등 설치공사'" xfId="11408"/>
    <cellStyle name="1_시민계략공사_비상부하,발전기용량 계산서_동신대앞교차로 교통신호등 설치공사'_석곡동사무소신축통신공사" xfId="11409"/>
    <cellStyle name="1_시민계략공사_비상부하,발전기용량 계산서_동신대앞교차로 교통신호등 설치공사'_영광해양수산사무실신축공사(전기)-6월18일(최종)" xfId="11410"/>
    <cellStyle name="1_시민계략공사_비상부하,발전기용량 계산서_석곡동사무소신축통신공사" xfId="11411"/>
    <cellStyle name="1_시민계략공사_비상부하,발전기용량 계산서_수배전반 관급자재 (양지중)" xfId="11412"/>
    <cellStyle name="1_시민계략공사_비상부하,발전기용량 계산서_신광중냉.난방시설공사(수정)" xfId="11413"/>
    <cellStyle name="1_시민계략공사_비상부하,발전기용량 계산서_양지중교사신축전기공사(최종)" xfId="11414"/>
    <cellStyle name="1_시민계략공사_비상부하,발전기용량 계산서_양지중학교 교사 신축공사" xfId="11415"/>
    <cellStyle name="1_시민계략공사_비상부하,발전기용량 계산서_연제초교교사신축전기" xfId="11416"/>
    <cellStyle name="1_시민계략공사_비상부하,발전기용량 계산서_영광해양수산사무실신축공사(전기)" xfId="11417"/>
    <cellStyle name="1_시민계략공사_비상부하,발전기용량 계산서_영광해양수산사무실신축공사(전기)-5월21일" xfId="11418"/>
    <cellStyle name="1_시민계략공사_비상부하,발전기용량 계산서_영광해양수산사무실신축공사(전기)-6월18일(최종)" xfId="11419"/>
    <cellStyle name="1_시민계략공사_비상부하,발전기용량 계산서_월야초교통신시설공사(최종)" xfId="11420"/>
    <cellStyle name="1_시민계략공사_비상부하,발전기용량 계산서_인성고등학교 냉,난방시설공사" xfId="11421"/>
    <cellStyle name="1_시민계략공사_비상부하,발전기용량 계산서_전기단가(완료)" xfId="11422"/>
    <cellStyle name="1_시민계략공사_비상부하,발전기용량 계산서_조명기구수량-" xfId="11423"/>
    <cellStyle name="1_시민계략공사_비상부하,발전기용량 계산서_중앙초등학교키폰설비공사1월31일변경(공사포함)" xfId="11424"/>
    <cellStyle name="1_시민계략공사_비상부하,발전기용량 계산서_중앙초등학교키폰설비공사1월31일변경(관급별도)" xfId="11425"/>
    <cellStyle name="1_시민계략공사_비상부하,발전기용량 계산서_중앙초등학교키폰설비공사1월31일변경(관급별도)_석곡동사무소신축통신공사" xfId="11426"/>
    <cellStyle name="1_시민계략공사_비상부하,발전기용량 계산서_중앙초등학교키폰설비공사1월31일변경(관급별도)_영광해양수산사무실신축공사(전기)-6월18일(최종)" xfId="11427"/>
    <cellStyle name="1_시민계략공사_비상부하,발전기용량 계산서_청사개보수전기공사" xfId="11428"/>
    <cellStyle name="1_시민계략공사_비상부하,발전기용량 계산서_체육고등학교키폰설비공사(삼성)" xfId="11429"/>
    <cellStyle name="1_시민계략공사_비상부하,발전기용량 계산서_평동산단 진입도로(5공구)04년4월16일-전기" xfId="11430"/>
    <cellStyle name="1_시민계략공사_비상부하,발전기용량 계산서_평동산단진입도로(광주여대~호남고속도로간)개설공사-전기(3공구 설계변경)-11월변경" xfId="11431"/>
    <cellStyle name="1_시민계략공사_비상부하,발전기용량 계산서_해양수산부 완도권 합동청사 전기설비공사" xfId="11432"/>
    <cellStyle name="1_시민계략공사_비상부하,발전기용량 계산서_화개2초교 교사신축통신공사 (내역서-이지텍크)" xfId="11433"/>
    <cellStyle name="1_시민계략공사_비상부하,발전기용량 계산서_화개2초교 교사신축통신공사 (내역서-이지텍크)_석곡동사무소신축통신공사" xfId="11434"/>
    <cellStyle name="1_시민계략공사_비상부하,발전기용량 계산서_화개2초교 교사신축통신공사 (내역서-이지텍크)_영광해양수산사무실신축공사(전기)" xfId="11435"/>
    <cellStyle name="1_시민계략공사_비상부하,발전기용량 계산서_화개2초교 교사신축통신공사 (내역서-이지텍크)_영광해양수산사무실신축공사(전기)-6월18일(최종)" xfId="11436"/>
    <cellStyle name="1_시민계략공사_비상부하,발전기용량 계산서_화개2초교 교사신축통신공사 (내역서-이지텍크)_중앙초등학교키폰설비공사1월31일변경(관급별도)" xfId="11437"/>
    <cellStyle name="1_시민계략공사_비상부하,발전기용량 계산서_화개2초교 교사신축통신공사 (내역서-이지텍크)_중앙초등학교키폰설비공사1월31일변경(관급별도)_석곡동사무소신축통신공사" xfId="11438"/>
    <cellStyle name="1_시민계략공사_비상부하,발전기용량 계산서_화개2초교 교사신축통신공사 (내역서-이지텍크)_중앙초등학교키폰설비공사1월31일변경(관급별도)_영광해양수산사무실신축공사(전기)-6월18일(최종)" xfId="11439"/>
    <cellStyle name="1_시민계략공사_신금지구 각종계산서" xfId="11440"/>
    <cellStyle name="1_시민계략공사_여수화력발전소" xfId="11441"/>
    <cellStyle name="1_시민계략공사_여수화력발전소_동신대앞교차로 교통신호등 설치공사'" xfId="11442"/>
    <cellStyle name="1_시민계략공사_여수화력발전소_동신대앞교차로 교통신호등 설치공사'_석곡동사무소신축통신공사" xfId="11443"/>
    <cellStyle name="1_시민계략공사_여수화력발전소_동신대앞교차로 교통신호등 설치공사'_영광해양수산사무실신축공사(전기)-6월18일(최종)" xfId="11444"/>
    <cellStyle name="1_시민계략공사_여수화력발전소_석곡동사무소신축통신공사" xfId="11445"/>
    <cellStyle name="1_시민계략공사_여수화력발전소_영광해양수산사무실신축공사(전기)-6월18일(최종)" xfId="11446"/>
    <cellStyle name="1_시민계략공사_여수화력발전소_중앙초등학교키폰설비공사1월31일변경(관급별도)" xfId="11447"/>
    <cellStyle name="1_시민계략공사_여수화력발전소_중앙초등학교키폰설비공사1월31일변경(관급별도)_석곡동사무소신축통신공사" xfId="11448"/>
    <cellStyle name="1_시민계략공사_여수화력발전소_중앙초등학교키폰설비공사1월31일변경(관급별도)_영광해양수산사무실신축공사(전기)-6월18일(최종)" xfId="11449"/>
    <cellStyle name="1_시민계략공사_여수화력발전소-부하계산" xfId="11450"/>
    <cellStyle name="1_시민계략공사_여수화력발전소-부하계산_동신대앞교차로 교통신호등 설치공사'" xfId="11451"/>
    <cellStyle name="1_시민계략공사_여수화력발전소-부하계산_동신대앞교차로 교통신호등 설치공사'_석곡동사무소신축통신공사" xfId="11452"/>
    <cellStyle name="1_시민계략공사_여수화력발전소-부하계산_동신대앞교차로 교통신호등 설치공사'_영광해양수산사무실신축공사(전기)-6월18일(최종)" xfId="11453"/>
    <cellStyle name="1_시민계략공사_여수화력발전소-부하계산_석곡동사무소신축통신공사" xfId="11454"/>
    <cellStyle name="1_시민계략공사_여수화력발전소-부하계산_영광해양수산사무실신축공사(전기)-6월18일(최종)" xfId="11455"/>
    <cellStyle name="1_시민계략공사_여수화력발전소-부하계산_중앙초등학교키폰설비공사1월31일변경(관급별도)" xfId="11456"/>
    <cellStyle name="1_시민계략공사_여수화력발전소-부하계산_중앙초등학교키폰설비공사1월31일변경(관급별도)_석곡동사무소신축통신공사" xfId="11457"/>
    <cellStyle name="1_시민계략공사_여수화력발전소-부하계산_중앙초등학교키폰설비공사1월31일변경(관급별도)_영광해양수산사무실신축공사(전기)-6월18일(최종)" xfId="11458"/>
    <cellStyle name="1_시민계략공사_율촌중학교심야전기" xfId="11459"/>
    <cellStyle name="1_시민계략공사_전기공내역서" xfId="4233"/>
    <cellStyle name="1_시민계략공사_전기변경.11-최종" xfId="11460"/>
    <cellStyle name="1_시민계략공사_전기-한남" xfId="4234"/>
    <cellStyle name="1_시민계략공사_전기-한남_침해2차변경8월16일" xfId="11461"/>
    <cellStyle name="1_시민계략공사_조도계산서" xfId="11462"/>
    <cellStyle name="1_시민계략공사_조도계산서_강당리프팅" xfId="11463"/>
    <cellStyle name="1_시민계략공사_조도계산서_관급자재 (양지중)" xfId="11464"/>
    <cellStyle name="1_시민계략공사_조도계산서_광림초(일대단가)" xfId="11465"/>
    <cellStyle name="1_시민계략공사_조도계산서_광림초교 교사 신축공사(전기)" xfId="11466"/>
    <cellStyle name="1_시민계략공사_조도계산서_광주체육고기숙사및수영장증축공사" xfId="11467"/>
    <cellStyle name="1_시민계략공사_조도계산서_광주체육고기숙사및수영장증축공사(전기)" xfId="11468"/>
    <cellStyle name="1_시민계략공사_조도계산서_내역서(전기)" xfId="11469"/>
    <cellStyle name="1_시민계략공사_조도계산서_내역서(전기)_강당리프팅" xfId="11470"/>
    <cellStyle name="1_시민계략공사_조도계산서_내역서(전기)_관급자재 (양지중)" xfId="11471"/>
    <cellStyle name="1_시민계략공사_조도계산서_내역서(전기)_광림초(일대단가)" xfId="11472"/>
    <cellStyle name="1_시민계략공사_조도계산서_내역서(전기)_광림초교 교사 신축공사(전기)" xfId="11473"/>
    <cellStyle name="1_시민계략공사_조도계산서_내역서(전기)_광주체육고기숙사및수영장증축공사" xfId="11474"/>
    <cellStyle name="1_시민계략공사_조도계산서_내역서(전기)_광주체육고기숙사및수영장증축공사(전기)" xfId="11475"/>
    <cellStyle name="1_시민계략공사_조도계산서_내역서(전기)_노안마을회관창고증축공사" xfId="11476"/>
    <cellStyle name="1_시민계략공사_조도계산서_내역서(전기)_노안마을회관창고증축공사_도서관2층휴게실내부시설공사" xfId="11477"/>
    <cellStyle name="1_시민계략공사_조도계산서_내역서(전기)_도서관2층휴게실내부시설공사" xfId="11478"/>
    <cellStyle name="1_시민계략공사_조도계산서_내역서(전기)_동신대앞교차로 교통신호등 설치공사'" xfId="11479"/>
    <cellStyle name="1_시민계략공사_조도계산서_내역서(전기)_동신대앞교차로 교통신호등 설치공사'_석곡동사무소신축통신공사" xfId="11480"/>
    <cellStyle name="1_시민계략공사_조도계산서_내역서(전기)_동신대앞교차로 교통신호등 설치공사'_영광해양수산사무실신축공사(전기)-6월18일(최종)" xfId="11481"/>
    <cellStyle name="1_시민계략공사_조도계산서_내역서(전기)_석곡동사무소신축통신공사" xfId="11482"/>
    <cellStyle name="1_시민계략공사_조도계산서_내역서(전기)_수배전반 관급자재 (양지중)" xfId="11483"/>
    <cellStyle name="1_시민계략공사_조도계산서_내역서(전기)_신광중냉.난방시설공사(수정)" xfId="11484"/>
    <cellStyle name="1_시민계략공사_조도계산서_내역서(전기)_양지중교사신축전기공사(최종)" xfId="11485"/>
    <cellStyle name="1_시민계략공사_조도계산서_내역서(전기)_양지중학교 교사 신축공사" xfId="11486"/>
    <cellStyle name="1_시민계략공사_조도계산서_내역서(전기)_연제초교교사신축전기" xfId="11487"/>
    <cellStyle name="1_시민계략공사_조도계산서_내역서(전기)_영광해양수산사무실신축공사(전기)" xfId="11488"/>
    <cellStyle name="1_시민계략공사_조도계산서_내역서(전기)_영광해양수산사무실신축공사(전기)-5월21일" xfId="11489"/>
    <cellStyle name="1_시민계략공사_조도계산서_내역서(전기)_영광해양수산사무실신축공사(전기)-6월18일(최종)" xfId="11490"/>
    <cellStyle name="1_시민계략공사_조도계산서_내역서(전기)_월야초교통신시설공사(최종)" xfId="11491"/>
    <cellStyle name="1_시민계략공사_조도계산서_내역서(전기)_인성고등학교 냉,난방시설공사" xfId="11492"/>
    <cellStyle name="1_시민계략공사_조도계산서_내역서(전기)_전기단가(완료)" xfId="11493"/>
    <cellStyle name="1_시민계략공사_조도계산서_내역서(전기)_조명기구수량-" xfId="11494"/>
    <cellStyle name="1_시민계략공사_조도계산서_내역서(전기)_중앙초등학교키폰설비공사1월31일변경(공사포함)" xfId="11495"/>
    <cellStyle name="1_시민계략공사_조도계산서_내역서(전기)_중앙초등학교키폰설비공사1월31일변경(관급별도)" xfId="11496"/>
    <cellStyle name="1_시민계략공사_조도계산서_내역서(전기)_중앙초등학교키폰설비공사1월31일변경(관급별도)_석곡동사무소신축통신공사" xfId="11497"/>
    <cellStyle name="1_시민계략공사_조도계산서_내역서(전기)_중앙초등학교키폰설비공사1월31일변경(관급별도)_영광해양수산사무실신축공사(전기)-6월18일(최종)" xfId="11498"/>
    <cellStyle name="1_시민계략공사_조도계산서_내역서(전기)_청사개보수전기공사" xfId="11499"/>
    <cellStyle name="1_시민계략공사_조도계산서_내역서(전기)_체육고등학교키폰설비공사(삼성)" xfId="11500"/>
    <cellStyle name="1_시민계략공사_조도계산서_내역서(전기)_평동산단 진입도로(5공구)04년4월16일-전기" xfId="11501"/>
    <cellStyle name="1_시민계략공사_조도계산서_내역서(전기)_평동산단진입도로(광주여대~호남고속도로간)개설공사-전기(3공구 설계변경)-11월변경" xfId="11502"/>
    <cellStyle name="1_시민계략공사_조도계산서_내역서(전기)_해양수산부 완도권 합동청사 전기설비공사" xfId="11503"/>
    <cellStyle name="1_시민계략공사_조도계산서_내역서(전기)_화개2초교 교사신축통신공사 (내역서-이지텍크)" xfId="11504"/>
    <cellStyle name="1_인천북항관공선부두(수정내역)" xfId="4235"/>
    <cellStyle name="1_장산중학교내역(혁성)" xfId="4236"/>
    <cellStyle name="1_장산중학교내역(혁성업체)" xfId="4237"/>
    <cellStyle name="1_장산중학교내역하도급(혁성)" xfId="4238"/>
    <cellStyle name="1_전주시관내(이서~용정)건설공사(신화)" xfId="4239"/>
    <cellStyle name="1_조사계약대비금액" xfId="4240"/>
    <cellStyle name="1_천천고고등학교교사신축공사(산출내역집계표)" xfId="4241"/>
    <cellStyle name="1_철도청통합사령실(대명)" xfId="4242"/>
    <cellStyle name="1_폐기물" xfId="4243"/>
    <cellStyle name="1_포항교도소(대동)" xfId="4244"/>
    <cellStyle name="1_포항교도소(원본)" xfId="4245"/>
    <cellStyle name="1_하도급관리계획서" xfId="4246"/>
    <cellStyle name="1_하도급양식" xfId="4247"/>
    <cellStyle name="1_현충묘지-수량산출서" xfId="4248"/>
    <cellStyle name="10" xfId="11505"/>
    <cellStyle name="100" xfId="11506"/>
    <cellStyle name="10공/㎥" xfId="4249"/>
    <cellStyle name="11" xfId="4250"/>
    <cellStyle name="111" xfId="4251"/>
    <cellStyle name="120" xfId="11507"/>
    <cellStyle name="19990216" xfId="11508"/>
    <cellStyle name="¹e" xfId="4252"/>
    <cellStyle name="¹eº" xfId="4253"/>
    <cellStyle name="¹éº" xfId="4254"/>
    <cellStyle name="¹eº_감곡 건축(양수장 관리사)보완최종" xfId="4255"/>
    <cellStyle name="¹éº_마곡보완" xfId="4256"/>
    <cellStyle name="¹eº_신태인배수장제진기" xfId="4257"/>
    <cellStyle name="¹éº_율북보완" xfId="4258"/>
    <cellStyle name="¹eº_음성양수장단가보완(건축)" xfId="4259"/>
    <cellStyle name="¹eºÐA² [0]" xfId="4260"/>
    <cellStyle name="¹eºÐA² [2]" xfId="4261"/>
    <cellStyle name="1월" xfId="4262"/>
    <cellStyle name="2" xfId="4263"/>
    <cellStyle name="2)" xfId="4264"/>
    <cellStyle name="2_laroux" xfId="4265"/>
    <cellStyle name="2_laroux_ATC-YOON1" xfId="4266"/>
    <cellStyle name="2_단가조사표" xfId="4267"/>
    <cellStyle name="2_단가조사표_1011소각" xfId="4268"/>
    <cellStyle name="2_단가조사표_1113교~1" xfId="4269"/>
    <cellStyle name="2_단가조사표_121내역" xfId="4270"/>
    <cellStyle name="2_단가조사표_객토량" xfId="4271"/>
    <cellStyle name="2_단가조사표_교통센~1" xfId="4272"/>
    <cellStyle name="2_단가조사표_교통센터412" xfId="4273"/>
    <cellStyle name="2_단가조사표_교통수" xfId="4274"/>
    <cellStyle name="2_단가조사표_교통수량산출서" xfId="4275"/>
    <cellStyle name="2_단가조사표_구조물대가 (2)" xfId="4276"/>
    <cellStyle name="2_단가조사표_내역서 (2)" xfId="4277"/>
    <cellStyle name="2_단가조사표_대전관저지구" xfId="4278"/>
    <cellStyle name="2_단가조사표_동측지~1" xfId="4279"/>
    <cellStyle name="2_단가조사표_동측지원422" xfId="4280"/>
    <cellStyle name="2_단가조사표_동측지원512" xfId="4281"/>
    <cellStyle name="2_단가조사표_동측지원524" xfId="4282"/>
    <cellStyle name="2_단가조사표_부대422" xfId="4283"/>
    <cellStyle name="2_단가조사표_부대시설" xfId="4284"/>
    <cellStyle name="2_단가조사표_소각수~1" xfId="4285"/>
    <cellStyle name="2_단가조사표_소각수내역서" xfId="4286"/>
    <cellStyle name="2_단가조사표_소각수목2" xfId="4287"/>
    <cellStyle name="2_단가조사표_수량산출서 (2)" xfId="4288"/>
    <cellStyle name="2_단가조사표_엑스포~1" xfId="4289"/>
    <cellStyle name="2_단가조사표_엑스포한빛1" xfId="4290"/>
    <cellStyle name="2_단가조사표_여객터미널331" xfId="4291"/>
    <cellStyle name="2_단가조사표_여객터미널513" xfId="4292"/>
    <cellStyle name="2_단가조사표_여객터미널629" xfId="4293"/>
    <cellStyle name="2_단가조사표_외곽도로616" xfId="4294"/>
    <cellStyle name="2_단가조사표_원가계~1" xfId="4295"/>
    <cellStyle name="2_단가조사표_유기질" xfId="4296"/>
    <cellStyle name="2_단가조사표_자재조서 (2)" xfId="4297"/>
    <cellStyle name="2_단가조사표_총괄내역" xfId="4298"/>
    <cellStyle name="2_단가조사표_총괄내역 (2)" xfId="4299"/>
    <cellStyle name="2_단가조사표_터미널도로403" xfId="4300"/>
    <cellStyle name="2_단가조사표_터미널도로429" xfId="4301"/>
    <cellStyle name="2_단가조사표_포장일위" xfId="4302"/>
    <cellStyle name="20% - Accent1" xfId="4303"/>
    <cellStyle name="20% - Accent2" xfId="4304"/>
    <cellStyle name="20% - Accent3" xfId="4305"/>
    <cellStyle name="20% - Accent4" xfId="4306"/>
    <cellStyle name="20% - Accent5" xfId="4307"/>
    <cellStyle name="20% - Accent6" xfId="4308"/>
    <cellStyle name="20% - 강조색1 2" xfId="4309"/>
    <cellStyle name="20% - 강조색1 2 2" xfId="4310"/>
    <cellStyle name="20% - 강조색1 2 3" xfId="4311"/>
    <cellStyle name="20% - 강조색1 3" xfId="4312"/>
    <cellStyle name="20% - 강조색1 4" xfId="4313"/>
    <cellStyle name="20% - 강조색2 2" xfId="4314"/>
    <cellStyle name="20% - 강조색2 2 2" xfId="4315"/>
    <cellStyle name="20% - 강조색2 2 3" xfId="4316"/>
    <cellStyle name="20% - 강조색2 3" xfId="4317"/>
    <cellStyle name="20% - 강조색2 3 2" xfId="4318"/>
    <cellStyle name="20% - 강조색2 3 2 2" xfId="4319"/>
    <cellStyle name="20% - 강조색2 3 2 3" xfId="4320"/>
    <cellStyle name="20% - 강조색2 4" xfId="4321"/>
    <cellStyle name="20% - 강조색3 2" xfId="4322"/>
    <cellStyle name="20% - 강조색3 2 2" xfId="4323"/>
    <cellStyle name="20% - 강조색3 2 3" xfId="4324"/>
    <cellStyle name="20% - 강조색3 3" xfId="4325"/>
    <cellStyle name="20% - 강조색3 3 2" xfId="4326"/>
    <cellStyle name="20% - 강조색3 3 2 2" xfId="4327"/>
    <cellStyle name="20% - 강조색3 3 2 3" xfId="4328"/>
    <cellStyle name="20% - 강조색3 4" xfId="4329"/>
    <cellStyle name="20% - 강조색4 2" xfId="4330"/>
    <cellStyle name="20% - 강조색4 2 2" xfId="4331"/>
    <cellStyle name="20% - 강조색4 2 3" xfId="4332"/>
    <cellStyle name="20% - 강조색4 3" xfId="4333"/>
    <cellStyle name="20% - 강조색4 3 2" xfId="4334"/>
    <cellStyle name="20% - 강조색4 3 2 2" xfId="4335"/>
    <cellStyle name="20% - 강조색4 3 2 3" xfId="4336"/>
    <cellStyle name="20% - 강조색4 4" xfId="4337"/>
    <cellStyle name="20% - 강조색5 2" xfId="4338"/>
    <cellStyle name="20% - 강조색5 2 2" xfId="4339"/>
    <cellStyle name="20% - 강조색5 2 3" xfId="4340"/>
    <cellStyle name="20% - 강조색5 3" xfId="4341"/>
    <cellStyle name="20% - 강조색5 4" xfId="4342"/>
    <cellStyle name="20% - 강조색6 2" xfId="4343"/>
    <cellStyle name="20% - 강조색6 2 2" xfId="4344"/>
    <cellStyle name="20% - 강조색6 2 3" xfId="4345"/>
    <cellStyle name="20% - 강조색6 3" xfId="4346"/>
    <cellStyle name="20% - 강조색6 3 2" xfId="4347"/>
    <cellStyle name="20% - 강조색6 3 2 2" xfId="4348"/>
    <cellStyle name="20% - 강조색6 3 2 3" xfId="4349"/>
    <cellStyle name="20% - 강조색6 4" xfId="4350"/>
    <cellStyle name="2자리" xfId="4351"/>
    <cellStyle name="3" xfId="11509"/>
    <cellStyle name="³?a" xfId="4352"/>
    <cellStyle name="³?a￥" xfId="11510"/>
    <cellStyle name="3_산#2-2설비별기본물량산출 집계 " xfId="11511"/>
    <cellStyle name="3_산#7-5 비파괴검사(RT) " xfId="11512"/>
    <cellStyle name="3_산세약품소요량 " xfId="11513"/>
    <cellStyle name="³¯â¥" xfId="4353"/>
    <cellStyle name="40% - Accent1" xfId="4354"/>
    <cellStyle name="40% - Accent2" xfId="4355"/>
    <cellStyle name="40% - Accent3" xfId="4356"/>
    <cellStyle name="40% - Accent4" xfId="4357"/>
    <cellStyle name="40% - Accent5" xfId="4358"/>
    <cellStyle name="40% - Accent6" xfId="4359"/>
    <cellStyle name="40% - 강조색1 2" xfId="4360"/>
    <cellStyle name="40% - 강조색1 2 2" xfId="4361"/>
    <cellStyle name="40% - 강조색1 2 3" xfId="4362"/>
    <cellStyle name="40% - 강조색1 3" xfId="4363"/>
    <cellStyle name="40% - 강조색1 4" xfId="4364"/>
    <cellStyle name="40% - 강조색2 2" xfId="4365"/>
    <cellStyle name="40% - 강조색2 2 2" xfId="4366"/>
    <cellStyle name="40% - 강조색2 2 3" xfId="4367"/>
    <cellStyle name="40% - 강조색2 3" xfId="4368"/>
    <cellStyle name="40% - 강조색2 4" xfId="4369"/>
    <cellStyle name="40% - 강조색3 2" xfId="4370"/>
    <cellStyle name="40% - 강조색3 2 2" xfId="4371"/>
    <cellStyle name="40% - 강조색3 2 3" xfId="4372"/>
    <cellStyle name="40% - 강조색3 3" xfId="4373"/>
    <cellStyle name="40% - 강조색3 4" xfId="4374"/>
    <cellStyle name="40% - 강조색4 2" xfId="4375"/>
    <cellStyle name="40% - 강조색4 2 2" xfId="4376"/>
    <cellStyle name="40% - 강조색4 2 3" xfId="4377"/>
    <cellStyle name="40% - 강조색4 3" xfId="4378"/>
    <cellStyle name="40% - 강조색4 4" xfId="4379"/>
    <cellStyle name="40% - 강조색5 2" xfId="4380"/>
    <cellStyle name="40% - 강조색5 2 2" xfId="4381"/>
    <cellStyle name="40% - 강조색5 2 3" xfId="4382"/>
    <cellStyle name="40% - 강조색5 3" xfId="4383"/>
    <cellStyle name="40% - 강조색5 4" xfId="4384"/>
    <cellStyle name="40% - 강조색6 2" xfId="4385"/>
    <cellStyle name="40% - 강조색6 2 2" xfId="4386"/>
    <cellStyle name="40% - 강조색6 2 3" xfId="4387"/>
    <cellStyle name="40% - 강조색6 3" xfId="4388"/>
    <cellStyle name="40% - 강조색6 4" xfId="4389"/>
    <cellStyle name="6" xfId="11514"/>
    <cellStyle name="60" xfId="19"/>
    <cellStyle name="60% - Accent1" xfId="4390"/>
    <cellStyle name="60% - Accent2" xfId="4391"/>
    <cellStyle name="60% - Accent3" xfId="4392"/>
    <cellStyle name="60% - Accent4" xfId="4393"/>
    <cellStyle name="60% - Accent5" xfId="4394"/>
    <cellStyle name="60% - Accent6" xfId="4395"/>
    <cellStyle name="60% - 강조색1 2" xfId="4396"/>
    <cellStyle name="60% - 강조색1 2 2" xfId="4397"/>
    <cellStyle name="60% - 강조색1 3" xfId="4398"/>
    <cellStyle name="60% - 강조색1 4" xfId="4399"/>
    <cellStyle name="60% - 강조색2 2" xfId="4400"/>
    <cellStyle name="60% - 강조색2 2 2" xfId="4401"/>
    <cellStyle name="60% - 강조색2 3" xfId="4402"/>
    <cellStyle name="60% - 강조색2 4" xfId="4403"/>
    <cellStyle name="60% - 강조색3 2" xfId="4404"/>
    <cellStyle name="60% - 강조색3 2 2" xfId="4405"/>
    <cellStyle name="60% - 강조색3 3" xfId="4406"/>
    <cellStyle name="60% - 강조색3 4" xfId="4407"/>
    <cellStyle name="60% - 강조색4 2" xfId="4408"/>
    <cellStyle name="60% - 강조색4 2 2" xfId="4409"/>
    <cellStyle name="60% - 강조색4 3" xfId="4410"/>
    <cellStyle name="60% - 강조색4 4" xfId="4411"/>
    <cellStyle name="60% - 강조색5 2" xfId="4412"/>
    <cellStyle name="60% - 강조색5 2 2" xfId="4413"/>
    <cellStyle name="60% - 강조색5 3" xfId="4414"/>
    <cellStyle name="60% - 강조색5 4" xfId="4415"/>
    <cellStyle name="60% - 강조색6 2" xfId="4416"/>
    <cellStyle name="60% - 강조색6 2 2" xfId="4417"/>
    <cellStyle name="60% - 강조색6 3" xfId="4418"/>
    <cellStyle name="60% - 강조색6 4" xfId="4419"/>
    <cellStyle name="_x0014_7." xfId="11515"/>
    <cellStyle name="80" xfId="11516"/>
    <cellStyle name="８０" xfId="11517"/>
    <cellStyle name="800" xfId="11518"/>
    <cellStyle name="82" xfId="4420"/>
    <cellStyle name="9.6" xfId="20"/>
    <cellStyle name="90" xfId="4421"/>
    <cellStyle name="96" xfId="11519"/>
    <cellStyle name="A" xfId="4422"/>
    <cellStyle name="a [0]_mud plant bolted" xfId="4423"/>
    <cellStyle name="Ā _x0010_က랐_xdc01_땯_x0001_" xfId="4424"/>
    <cellStyle name="a)" xfId="11520"/>
    <cellStyle name="a_Q2 FY96" xfId="11521"/>
    <cellStyle name="A¡§¡©¡Ë¡þ¡ËO_AO¡§uRCN¢®¨úU " xfId="11522"/>
    <cellStyle name="A¡§¡ⓒ¡E¡þ¡EO [0]_AO¡§uRCN￠R¨uU " xfId="11523"/>
    <cellStyle name="A¡§¡ⓒ¡E¡þ¡EO_AO¡§uRCN￠R¨uU " xfId="11524"/>
    <cellStyle name="A¨­???? [0]_INQUIRY ????¨?¡?A??A?ª " xfId="11525"/>
    <cellStyle name="A¨­????_INQUIRY ????¨?¡?A??A?ª " xfId="11526"/>
    <cellStyle name="A¨­￠￢￠O [0]_¡¾aA￠￢" xfId="11527"/>
    <cellStyle name="A¨­¢¬¢Ò [0]_INQUIRY ¢¯¥ì¨ú¡ÀA©¬A©ª " xfId="11528"/>
    <cellStyle name="A¨­￠￢￠O_¡¾aA￠￢" xfId="11529"/>
    <cellStyle name="A¨­¢¬¢Ò_INQUIRY ¢¯¥ì¨ú¡ÀA©¬A©ª " xfId="11530"/>
    <cellStyle name="A1" xfId="4425"/>
    <cellStyle name="a-4" xfId="4426"/>
    <cellStyle name="aa" xfId="11531"/>
    <cellStyle name="AA 2" xfId="12640"/>
    <cellStyle name="Aⓒ­" xfId="4427"/>
    <cellStyle name="Accent1" xfId="4428"/>
    <cellStyle name="Accent2" xfId="4429"/>
    <cellStyle name="Accent3" xfId="4430"/>
    <cellStyle name="Accent4" xfId="4431"/>
    <cellStyle name="Accent5" xfId="4432"/>
    <cellStyle name="Accent6" xfId="4433"/>
    <cellStyle name="Actual Date" xfId="11532"/>
    <cellStyle name="Ae" xfId="4434"/>
    <cellStyle name="Åë" xfId="4435"/>
    <cellStyle name="Ae_01 투찰(원안-최종)-050817작업" xfId="4436"/>
    <cellStyle name="Åë_마곡보완" xfId="4437"/>
    <cellStyle name="Ae_신태인배수장제진기" xfId="4438"/>
    <cellStyle name="Åë_율북보완" xfId="4439"/>
    <cellStyle name="Ae_음성양수장단가보완(건축)" xfId="4440"/>
    <cellStyle name="Aee­ " xfId="4441"/>
    <cellStyle name="Aee­  2" xfId="12641"/>
    <cellStyle name="Aee­ [" xfId="4442"/>
    <cellStyle name="Åëè­ [" xfId="4443"/>
    <cellStyle name="Aee­ [_감곡 건축(양수장 관리사)보완최종" xfId="4444"/>
    <cellStyle name="Åëè­ [_마곡보완" xfId="4445"/>
    <cellStyle name="Aee­ [_신태인배수장제진기" xfId="4446"/>
    <cellStyle name="Åëè­ [_율북보완" xfId="4447"/>
    <cellStyle name="Aee­ [_음성양수장단가보완(건축)" xfId="4448"/>
    <cellStyle name="AeE­ [0]_ 2ÆAAþº° " xfId="4449"/>
    <cellStyle name="ÅëÈ­ [0]_¸ðÇü¸·" xfId="11533"/>
    <cellStyle name="AeE­ [0]_¿­¸° INT" xfId="12642"/>
    <cellStyle name="ÅëÈ­ [0]_»óºÎ¼ö·®Áý°è " xfId="11534"/>
    <cellStyle name="AeE­ [0]_°eE¹_11¿a½A " xfId="21"/>
    <cellStyle name="ÅëÈ­ [0]_¼Ò¿ä¿¹»ê¸í¼¼ " xfId="11535"/>
    <cellStyle name="AeE­ [0]_¼oAI¼º " xfId="11536"/>
    <cellStyle name="ÅëÈ­ [0]_42°³¿ù" xfId="4450"/>
    <cellStyle name="AeE­ [0]_7°eE¹ " xfId="4451"/>
    <cellStyle name="ÅëÈ­ [0]_7°èÈ¹ " xfId="4452"/>
    <cellStyle name="AeE­ [0]_A￥°i¹°·u¼¾AI" xfId="4453"/>
    <cellStyle name="ÅëÈ­ [0]_Á¾ÇÕ½Å¼³ " xfId="11537"/>
    <cellStyle name="AeE­ [0]_A¾COA¶°AºÐ " xfId="11538"/>
    <cellStyle name="ÅëÈ­ [0]_Á¾ÇÕÃ¶°ÅºÐ " xfId="11539"/>
    <cellStyle name="AeE­ [0]_A¾COA¶°AºÐ  2" xfId="12643"/>
    <cellStyle name="ÅëÈ­ [0]_Á¾ÇÕÃ¶°ÅºÐ  2" xfId="12644"/>
    <cellStyle name="AeE­ [0]_AMT " xfId="11540"/>
    <cellStyle name="ÅëÈ­ [0]_INQUIRY ¿µ¾÷ÃßÁø " xfId="4454"/>
    <cellStyle name="AeE­ [0]_INQUIRY ¿μ¾÷AßAø " xfId="4455"/>
    <cellStyle name="Åëè­ [0]_laro" xfId="4456"/>
    <cellStyle name="AeE­ [0]_º≫¼± ±æ¾i±uºI ¼o·R Ay°eC￥ " xfId="4457"/>
    <cellStyle name="ÅëÈ­ [0]_Sheet1" xfId="4458"/>
    <cellStyle name="AeE­ [0]_SP ¹°μ¿¹× ¿UAO " xfId="11541"/>
    <cellStyle name="Aee­ _01 시행" xfId="4459"/>
    <cellStyle name="AeE­_ 2ÆAAþº° " xfId="4460"/>
    <cellStyle name="ÅëÈ­_¸ðÇü¸·" xfId="11542"/>
    <cellStyle name="AeE­_¿­¸° INT" xfId="12645"/>
    <cellStyle name="ÅëÈ­_»óºÎ¼ö·®Áý°è " xfId="11543"/>
    <cellStyle name="AeE­_°eE¹_11¿a½A " xfId="22"/>
    <cellStyle name="ÅëÈ­_¼Ò¿ä¿¹»ê¸í¼¼ " xfId="11544"/>
    <cellStyle name="AeE­_¼oAI¼º " xfId="11545"/>
    <cellStyle name="ÅëÈ­_42°³¿ù" xfId="4461"/>
    <cellStyle name="AeE­_7°eE¹ " xfId="4462"/>
    <cellStyle name="ÅëÈ­_7°èÈ¹ " xfId="4463"/>
    <cellStyle name="AeE­_A￥°i¹°·u¼¾AI" xfId="4464"/>
    <cellStyle name="ÅëÈ­_Á¾ÇÕ½Å¼³ " xfId="11546"/>
    <cellStyle name="AeE­_A¾COA¶°AºÐ " xfId="11547"/>
    <cellStyle name="ÅëÈ­_Á¾ÇÕÃ¶°ÅºÐ " xfId="11548"/>
    <cellStyle name="AeE­_A¾COA¶°AºÐ  2" xfId="12646"/>
    <cellStyle name="ÅëÈ­_Á¾ÇÕÃ¶°ÅºÐ  2" xfId="12647"/>
    <cellStyle name="AeE­_AMT " xfId="11549"/>
    <cellStyle name="ÅëÈ­_INQUIRY ¿µ¾÷ÃßÁø " xfId="4465"/>
    <cellStyle name="AeE­_INQUIRY ¿μ¾÷AßAø " xfId="4466"/>
    <cellStyle name="Åëè­_laro" xfId="4467"/>
    <cellStyle name="AeE­_º≫¼± ±æ¾i±uºI ¼o·R Ay°eC￥ " xfId="4468"/>
    <cellStyle name="ÅëÈ­_Sheet1" xfId="4469"/>
    <cellStyle name="AeE­_SP ¹°μ¿¹× ¿UAO " xfId="11550"/>
    <cellStyle name="Aee¡" xfId="4470"/>
    <cellStyle name="AeE¡? [0]_INQUIRY ????¨?¡?A??A?ª " xfId="11551"/>
    <cellStyle name="AeE¡?_INQUIRY ????¨?¡?A??A?ª " xfId="11552"/>
    <cellStyle name="AeE¡© [0]_INQUIRY ¢¯¥ì¨ú¡ÀA©¬A©ª " xfId="11553"/>
    <cellStyle name="AeE¡©_INQUIRY ¢¯¥ì¨ú¡ÀA©¬A©ª " xfId="11554"/>
    <cellStyle name="Aee¡ⓒ " xfId="4471"/>
    <cellStyle name="AeE¡ⓒ [0]_¡¾aA￠￢" xfId="11555"/>
    <cellStyle name="AeE¡ⓒ_¡¾aA￠￢" xfId="11556"/>
    <cellStyle name="AeE¢®¨Ï [0]_AO¡§uRCN¢®¨úU " xfId="11557"/>
    <cellStyle name="AeE¢®¨Ï_AO¡§uRCN¢®¨úU " xfId="11558"/>
    <cellStyle name="AeE￠R¨I [0]_AO¡§uRCN￠R¨uU " xfId="11559"/>
    <cellStyle name="AeE￠R¨I_AO¡§uRCN￠R¨uU " xfId="11560"/>
    <cellStyle name="Æu¼ " xfId="4472"/>
    <cellStyle name="Æû¼¾æ®" xfId="4473"/>
    <cellStyle name="Æu¼¾æR" xfId="11561"/>
    <cellStyle name="ALIGNMENT" xfId="23"/>
    <cellStyle name="AoA¤μCAo ¾EA½" xfId="4474"/>
    <cellStyle name="args.style" xfId="4475"/>
    <cellStyle name="Aþ" xfId="4476"/>
    <cellStyle name="Äþ" xfId="4477"/>
    <cellStyle name="Aþ_감곡 건축(양수장 관리사)보완최종" xfId="4478"/>
    <cellStyle name="Äþ_마곡보완" xfId="4479"/>
    <cellStyle name="Aþ_신태인배수장제진기" xfId="4480"/>
    <cellStyle name="Äþ_율북보완" xfId="4481"/>
    <cellStyle name="Aþ_음성양수장단가보완(건축)" xfId="4482"/>
    <cellStyle name="Aþ¸" xfId="4483"/>
    <cellStyle name="Aþ¸¶ [" xfId="4484"/>
    <cellStyle name="Äþ¸¶ [" xfId="4485"/>
    <cellStyle name="Aþ¸¶ [_감곡 건축(양수장 관리사)보완최종" xfId="4486"/>
    <cellStyle name="Äþ¸¶ [_마곡보완" xfId="4487"/>
    <cellStyle name="Aþ¸¶ [_신태인배수장제진기" xfId="4488"/>
    <cellStyle name="Äþ¸¶ [_율북보완" xfId="4489"/>
    <cellStyle name="Aþ¸¶ [_음성양수장단가보완(건축)" xfId="4490"/>
    <cellStyle name="AÞ¸¶ [0]_ 2ÆAAþº° " xfId="4491"/>
    <cellStyle name="ÄÞ¸¶ [0]_¸ðÇü¸·" xfId="11562"/>
    <cellStyle name="AÞ¸¶ [0]_¿­¸° INT" xfId="12648"/>
    <cellStyle name="ÄÞ¸¶ [0]_»óºÎ¼ö·®Áý°è " xfId="11563"/>
    <cellStyle name="AÞ¸¶ [0]_°eE¹_11¿a½A " xfId="24"/>
    <cellStyle name="ÄÞ¸¶ [0]_¼Ò¿ä¿¹»ê¸í¼¼ " xfId="11564"/>
    <cellStyle name="AÞ¸¶ [0]_¼oAI¼º " xfId="11565"/>
    <cellStyle name="ÄÞ¸¶ [0]_42°³¿ù" xfId="4492"/>
    <cellStyle name="AÞ¸¶ [0]_7°eE¹ " xfId="4493"/>
    <cellStyle name="ÄÞ¸¶ [0]_7°èÈ¹ " xfId="4494"/>
    <cellStyle name="AÞ¸¶ [0]_A￥°i¹°·u¼¾AI" xfId="4495"/>
    <cellStyle name="ÄÞ¸¶ [0]_Á¾ÇÕ½Å¼³ " xfId="11566"/>
    <cellStyle name="AÞ¸¶ [0]_A¾COA¶°AºÐ " xfId="11567"/>
    <cellStyle name="ÄÞ¸¶ [0]_Á¾ÇÕÃ¶°ÅºÐ " xfId="11568"/>
    <cellStyle name="AÞ¸¶ [0]_A¾COA¶°AºÐ  2" xfId="12649"/>
    <cellStyle name="ÄÞ¸¶ [0]_Á¾ÇÕÃ¶°ÅºÐ  2" xfId="12650"/>
    <cellStyle name="AÞ¸¶ [0]_AN°y(1.25) " xfId="11569"/>
    <cellStyle name="ÄÞ¸¶ [0]_INQUIRY ¿µ¾÷ÃßÁø " xfId="4496"/>
    <cellStyle name="AÞ¸¶ [0]_INQUIRY ¿μ¾÷AßAø " xfId="4497"/>
    <cellStyle name="Äþ¸¶ [0]_laro" xfId="4498"/>
    <cellStyle name="AÞ¸¶ [0]_º≫¼± ±æ¾i±uºI ¼o·R Ay°eC￥ " xfId="4499"/>
    <cellStyle name="AÞ¸¶ [2]" xfId="4500"/>
    <cellStyle name="AÞ¸¶_ 2ÆAAþº° " xfId="4501"/>
    <cellStyle name="ÄÞ¸¶_¸ðÇü¸·" xfId="11570"/>
    <cellStyle name="AÞ¸¶_¿­¸° INT" xfId="12651"/>
    <cellStyle name="ÄÞ¸¶_»óºÎ¼ö·®Áý°è " xfId="11571"/>
    <cellStyle name="AÞ¸¶_°eE¹_11¿a½A " xfId="25"/>
    <cellStyle name="ÄÞ¸¶_¼Ò¿ä¿¹»ê¸í¼¼ " xfId="11572"/>
    <cellStyle name="AÞ¸¶_¼oAI¼º " xfId="11573"/>
    <cellStyle name="ÄÞ¸¶_42°³¿ù" xfId="4502"/>
    <cellStyle name="AÞ¸¶_7°eE¹ " xfId="4503"/>
    <cellStyle name="ÄÞ¸¶_7°èÈ¹ " xfId="4504"/>
    <cellStyle name="AÞ¸¶_A￥°i¹°·u¼¾AI" xfId="4505"/>
    <cellStyle name="ÄÞ¸¶_Á¾ÇÕ½Å¼³ " xfId="11574"/>
    <cellStyle name="AÞ¸¶_A¾COA¶°AºÐ " xfId="11575"/>
    <cellStyle name="ÄÞ¸¶_Á¾ÇÕÃ¶°ÅºÐ " xfId="11576"/>
    <cellStyle name="AÞ¸¶_A¾COA¶°AºÐ  2" xfId="12652"/>
    <cellStyle name="ÄÞ¸¶_Á¾ÇÕÃ¶°ÅºÐ  2" xfId="12653"/>
    <cellStyle name="AÞ¸¶_AN°y(1.25) " xfId="11577"/>
    <cellStyle name="ÄÞ¸¶_INQUIRY ¿µ¾÷ÃßÁø " xfId="4506"/>
    <cellStyle name="AÞ¸¶_INQUIRY ¿μ¾÷AßAø " xfId="4507"/>
    <cellStyle name="Äþ¸¶_laro" xfId="4508"/>
    <cellStyle name="AÞ¸¶_º≫¼± ±æ¾i±uºI ¼o·R Ay°eC￥ " xfId="4509"/>
    <cellStyle name="Àú¸®¼ö" xfId="4510"/>
    <cellStyle name="Àú¸®¼ö0" xfId="4511"/>
    <cellStyle name="Au¸r " xfId="4512"/>
    <cellStyle name="Au¸r¼" xfId="4513"/>
    <cellStyle name="Au¸R¼o" xfId="11578"/>
    <cellStyle name="Au¸R¼o0" xfId="11579"/>
    <cellStyle name="_x0001_b" xfId="4514"/>
    <cellStyle name="_x0002_b" xfId="11580"/>
    <cellStyle name="b?þ?b?þ?b?þ?b?þ?b?þ?b?þ?b?þ?b?þ?b?þ?b?þ?b灌þ?b?þ?&lt;?b?þ?b濬þ?b?þ?b?þ昰_x0018_?þ????_x0008_" xfId="11581"/>
    <cellStyle name="b?þ?b?þ?b?þ?b灌þ?b?þ?&lt;?b?þ?b濬þ?b?þ?b?þ昰_x0018_?þ????_x0008_" xfId="11582"/>
    <cellStyle name="b␌þකb濰þඪb瀠þයb灌þ්b炈þ宐&lt;෢b濈þෲb濬þขb瀐þฒb瀰þ昰_x0018_⋸þ㤕䰀ጤܕ_x0008_" xfId="11583"/>
    <cellStyle name="BA" xfId="4515"/>
    <cellStyle name="Background" xfId="4516"/>
    <cellStyle name="Bad" xfId="4517"/>
    <cellStyle name="body" xfId="4518"/>
    <cellStyle name="BoldHdr" xfId="4519"/>
    <cellStyle name="Border" xfId="11584"/>
    <cellStyle name="Bridge " xfId="11585"/>
    <cellStyle name="b椬ៜ_x000c_Comma_ODCOS " xfId="11586"/>
    <cellStyle name="b嬜þപb嬼þഺb孬þൊb⍜þ൚b⍼þ൪b⎨þൺb⏜þඊb␌þකb濰þඪb瀠þයb灌þ්b炈þ宐&lt;෢b濈þෲb濬þขb瀐þฒb瀰þ昰_x0018_⋸þ㤕䰀ጤܕ_x0008_" xfId="11587"/>
    <cellStyle name="C" xfId="4520"/>
    <cellStyle name="C:\Data\MS\Excel" xfId="11588"/>
    <cellStyle name="C_TITLE" xfId="11589"/>
    <cellStyle name="C_TITLE_남면 용수리 4반 웃말 교량-08년결산서기준(최종본)" xfId="11590"/>
    <cellStyle name="C_TITLE_옥포해안산책데크구매(제조구매)-제출(수정용)" xfId="11591"/>
    <cellStyle name="C¡?A¨ª_¡?c¨?¡?¨?I¨?¡Æ AN¡Æe " xfId="11592"/>
    <cellStyle name="C¡IA¨ª_¡¾e¡Æⓒ¡En" xfId="11593"/>
    <cellStyle name="C¡ÍA¨ª_¡íc¨ú¡À¨¬I¨¬¡Æ AN¡Æe " xfId="11594"/>
    <cellStyle name="C¢®IA¡§¨£_AO¡§uRCN¢®¨úU " xfId="11595"/>
    <cellStyle name="C￠RIA¡§¨￡_AO¡§uRCN￠R¨uU " xfId="11596"/>
    <cellStyle name="C￥" xfId="4521"/>
    <cellStyle name="Ç¥" xfId="4522"/>
    <cellStyle name="C￥_감곡 건축(양수장 관리사)보완최종" xfId="4523"/>
    <cellStyle name="Ç¥_마곡보완" xfId="4524"/>
    <cellStyle name="C￥_신태인배수장제진기" xfId="4525"/>
    <cellStyle name="Ç¥_율북보완" xfId="4526"/>
    <cellStyle name="C￥_음성양수장단가보완(건축)" xfId="4527"/>
    <cellStyle name="C￥AØ_  FAB AIA¤  " xfId="4528"/>
    <cellStyle name="Ç¥ÁØ_#3E4¿î»ê" xfId="4529"/>
    <cellStyle name="C￥AØ_¸AAa.¼OAI " xfId="26"/>
    <cellStyle name="Ç¥ÁØ_¸ðÇü¸·" xfId="11597"/>
    <cellStyle name="C￥AØ_¿¹≫e¿aA≫ " xfId="11598"/>
    <cellStyle name="Ç¥ÁØ_¿¹°¡»êÁ¤" xfId="4530"/>
    <cellStyle name="C￥AØ_¿i¿μ¾E " xfId="11599"/>
    <cellStyle name="Ç¥ÁØ_±â¼ú°ËÅä" xfId="4531"/>
    <cellStyle name="C￥AØ_≫c¾÷ºIº° AN°e " xfId="4532"/>
    <cellStyle name="Ç¥ÁØ_°¡¼³" xfId="11600"/>
    <cellStyle name="C￥AØ_¼oAI¼º " xfId="11601"/>
    <cellStyle name="Ç¥ÁØ_½½·¡ºêÃ¶±ÙÁý°è " xfId="11602"/>
    <cellStyle name="C￥AØ_½CCa¿¹≫e¼­ " xfId="4533"/>
    <cellStyle name="Ç¥ÁØ_³ëÀÓ´Ü°¡ " xfId="4534"/>
    <cellStyle name="C￥AØ_95,96 ºn±³ " xfId="4535"/>
    <cellStyle name="Ç¥ÁØ_95,96 ºñ±³ " xfId="4536"/>
    <cellStyle name="C￥AØ_A¾CO½A¼³ " xfId="11603"/>
    <cellStyle name="Ç¥ÁØ_Á¾ÇÕ½Å¼³ " xfId="11604"/>
    <cellStyle name="C￥AØ_A¾CO½A¼³  2" xfId="12654"/>
    <cellStyle name="Ç¥ÁØ_Á¾ÇÕ½Å¼³  2" xfId="12655"/>
    <cellStyle name="C￥AØ_A¾CO½A¼³ _의령군 UPIS 유지관리 설계서_0816" xfId="11605"/>
    <cellStyle name="Ç¥ÁØ_Á¾ÇÕÃ¶°ÅºÐ " xfId="11606"/>
    <cellStyle name="C￥AØ_A¾COA¶°AºÐ  2" xfId="12656"/>
    <cellStyle name="Ç¥ÁØ_Á¾ÇÕÃ¶°ÅºÐ  2" xfId="12657"/>
    <cellStyle name="C￥AØ_A¾COA¶°AºÐ _의령군 UPIS 유지관리 설계서_0816" xfId="11607"/>
    <cellStyle name="Ç¥ÁØ_Àü·Â¼ÕÀÍºÐ¼®" xfId="11608"/>
    <cellStyle name="C￥AØ_Au·A¼OAIºÐ¼R" xfId="11609"/>
    <cellStyle name="Ç¥ÁØ_Áý°èÇ¥(2¿ù) " xfId="4537"/>
    <cellStyle name="C￥AØ_C°¼A(AoAO) " xfId="4538"/>
    <cellStyle name="Ç¥ÁØ_Ç°¼À(ÁöÀÔ) " xfId="4539"/>
    <cellStyle name="C￥AØ_CoAa°u¸Rºn(Ao¹æ) " xfId="11610"/>
    <cellStyle name="Ç¥ÁØ_ÇöÈ²_¹®Á¦Á¡ " xfId="11611"/>
    <cellStyle name="C￥AØ_E¸AaAO½A " xfId="11612"/>
    <cellStyle name="Ç¥ÁØ_Sheet1 (2)" xfId="4540"/>
    <cellStyle name="C￥AØ_Sheet1_¿μ¾÷CoE² " xfId="11613"/>
    <cellStyle name="Ç¥ÁØ_Sheet1_0N-HANDLING " xfId="11614"/>
    <cellStyle name="C￥AØ_Sheet1_Ay°eC￥(2¿u) " xfId="11615"/>
    <cellStyle name="Ç¥ÁØ_Sheet1_Áý°èÇ¥(2¿ù) " xfId="11616"/>
    <cellStyle name="C￥AØ_SOON1 " xfId="4541"/>
    <cellStyle name="Calc Currency (0)" xfId="27"/>
    <cellStyle name="Calc Currency (0) 2" xfId="4542"/>
    <cellStyle name="Calc Currency (0) 3" xfId="4543"/>
    <cellStyle name="Calc Currency (0) 4" xfId="4544"/>
    <cellStyle name="Calc Currency (0) 5" xfId="4545"/>
    <cellStyle name="Calc Currency (0) 6" xfId="4546"/>
    <cellStyle name="Calc Currency (0) 7" xfId="4547"/>
    <cellStyle name="Calc Currency (0)_09.03.23_장지천 하천기본계획및 하천대장작성(변경) 내역(2008.12품셈적용)" xfId="4548"/>
    <cellStyle name="Calc Currency (2)" xfId="4549"/>
    <cellStyle name="Calc Percent (0)" xfId="4550"/>
    <cellStyle name="Calc Percent (1)" xfId="4551"/>
    <cellStyle name="Calc Percent (2)" xfId="4552"/>
    <cellStyle name="Calc Units (0)" xfId="4553"/>
    <cellStyle name="Calc Units (1)" xfId="4554"/>
    <cellStyle name="Calc Units (2)" xfId="4555"/>
    <cellStyle name="Calc Units (2) 2" xfId="4556"/>
    <cellStyle name="Calculation" xfId="4557"/>
    <cellStyle name="Calculation 2" xfId="4558"/>
    <cellStyle name="Calculation 2 2" xfId="4559"/>
    <cellStyle name="Calculation 3" xfId="4560"/>
    <cellStyle name="Calculation 3 2" xfId="4561"/>
    <cellStyle name="Calculation 4" xfId="4562"/>
    <cellStyle name="Calculation 4 2" xfId="4563"/>
    <cellStyle name="Calculation 5" xfId="4564"/>
    <cellStyle name="category" xfId="28"/>
    <cellStyle name="Check Cell" xfId="4565"/>
    <cellStyle name="CIAIÆU¸μAⓒ" xfId="4566"/>
    <cellStyle name="ⓒo" xfId="4567"/>
    <cellStyle name="Çõ»ê" xfId="4568"/>
    <cellStyle name="Co≫" xfId="4569"/>
    <cellStyle name="Co≫e" xfId="11617"/>
    <cellStyle name="CODE" xfId="4570"/>
    <cellStyle name="ⓒoe¨￢¨￠Aⓒ÷_¡¾aA￠￢" xfId="11618"/>
    <cellStyle name="ColHdr" xfId="4571"/>
    <cellStyle name="ColHdr 2" xfId="4572"/>
    <cellStyle name="ColHdr 2 2" xfId="4573"/>
    <cellStyle name="ColHdr 3" xfId="4574"/>
    <cellStyle name="ColHdr 3 2" xfId="4575"/>
    <cellStyle name="ColHdr 4" xfId="4576"/>
    <cellStyle name="ColHdr 4 2" xfId="4577"/>
    <cellStyle name="ColHdr 5" xfId="4578"/>
    <cellStyle name="Column Heading" xfId="4579"/>
    <cellStyle name="Column Heading 2" xfId="4580"/>
    <cellStyle name="Column Heading 2 2" xfId="4581"/>
    <cellStyle name="Column Heading 3" xfId="4582"/>
    <cellStyle name="Column Heading 3 2" xfId="4583"/>
    <cellStyle name="Column Heading 4" xfId="4584"/>
    <cellStyle name="Column Heading 4 2" xfId="4585"/>
    <cellStyle name="Column Heading 5" xfId="4586"/>
    <cellStyle name="Column Headings" xfId="4587"/>
    <cellStyle name="columns_array" xfId="4588"/>
    <cellStyle name="Comma" xfId="29"/>
    <cellStyle name="Comma  - Style1" xfId="11619"/>
    <cellStyle name="Comma  - Style2" xfId="11620"/>
    <cellStyle name="Comma  - Style3" xfId="11621"/>
    <cellStyle name="Comma  - Style4" xfId="11622"/>
    <cellStyle name="Comma  - Style5" xfId="11623"/>
    <cellStyle name="Comma  - Style6" xfId="11624"/>
    <cellStyle name="Comma  - Style7" xfId="11625"/>
    <cellStyle name="Comma  - Style8" xfId="11626"/>
    <cellStyle name="Comma [0]" xfId="30"/>
    <cellStyle name="Comma [0] 2" xfId="4589"/>
    <cellStyle name="Comma [0]_Full Year FY96_재고관리 " xfId="11627"/>
    <cellStyle name="Comma [00]" xfId="4590"/>
    <cellStyle name="Comma 2" xfId="4591"/>
    <cellStyle name="Comma 3" xfId="4592"/>
    <cellStyle name="Comma 4" xfId="4593"/>
    <cellStyle name="comma zerodec" xfId="31"/>
    <cellStyle name="comma zerodec 2" xfId="4594"/>
    <cellStyle name="comma zerodec 3" xfId="4595"/>
    <cellStyle name="Comma_----" xfId="4596"/>
    <cellStyle name="Comma0" xfId="32"/>
    <cellStyle name="Comma0 2" xfId="4597"/>
    <cellStyle name="Commm_laroux_12~3SO2_97회비_laroux" xfId="33"/>
    <cellStyle name="Comm뼬_E&amp;ONW2" xfId="4598"/>
    <cellStyle name="Company Info" xfId="4599"/>
    <cellStyle name="Contents Heading 1" xfId="4600"/>
    <cellStyle name="Contents Heading 2" xfId="4601"/>
    <cellStyle name="Contents Heading 3" xfId="4602"/>
    <cellStyle name="Copied" xfId="34"/>
    <cellStyle name="CoverHeadline1" xfId="4603"/>
    <cellStyle name="Curr" xfId="4604"/>
    <cellStyle name="Curr 2" xfId="4605"/>
    <cellStyle name="Curr 2 2" xfId="4606"/>
    <cellStyle name="Curr 3" xfId="4607"/>
    <cellStyle name="Curr 3 2" xfId="4608"/>
    <cellStyle name="Curr 4" xfId="4609"/>
    <cellStyle name="Curr 4 2" xfId="4610"/>
    <cellStyle name="Curr 5" xfId="4611"/>
    <cellStyle name="Curren" xfId="4612"/>
    <cellStyle name="Curren?퐀?" xfId="4613"/>
    <cellStyle name="Curren?_x0012_퐀_x0017_?" xfId="4614"/>
    <cellStyle name="Currenby_Cash&amp;DSO Chart" xfId="11628"/>
    <cellStyle name="Currency" xfId="35"/>
    <cellStyle name="Currency (0.00)" xfId="11629"/>
    <cellStyle name="Currency [0]" xfId="36"/>
    <cellStyle name="Currency [0] 2" xfId="11630"/>
    <cellStyle name="Currency [0]_Full Year FY96_재고관리 " xfId="11631"/>
    <cellStyle name="Currency [00]" xfId="4615"/>
    <cellStyle name="Currency [ﺜ]_P&amp;L_laroux" xfId="4616"/>
    <cellStyle name="Currency 10" xfId="4617"/>
    <cellStyle name="Currency 11" xfId="4618"/>
    <cellStyle name="Currency 12" xfId="4619"/>
    <cellStyle name="Currency 13" xfId="4620"/>
    <cellStyle name="Currency 14" xfId="4621"/>
    <cellStyle name="Currency 15" xfId="4622"/>
    <cellStyle name="Currency 16" xfId="4623"/>
    <cellStyle name="Currency 17" xfId="4624"/>
    <cellStyle name="Currency 18" xfId="4625"/>
    <cellStyle name="Currency 19" xfId="4626"/>
    <cellStyle name="Currency 2" xfId="4627"/>
    <cellStyle name="Currency 20" xfId="4628"/>
    <cellStyle name="Currency 21" xfId="4629"/>
    <cellStyle name="Currency 22" xfId="4630"/>
    <cellStyle name="Currency 23" xfId="4631"/>
    <cellStyle name="Currency 24" xfId="4632"/>
    <cellStyle name="Currency 25" xfId="4633"/>
    <cellStyle name="Currency 26" xfId="4634"/>
    <cellStyle name="Currency 27" xfId="4635"/>
    <cellStyle name="Currency 28" xfId="4636"/>
    <cellStyle name="Currency 29" xfId="4637"/>
    <cellStyle name="Currency 3" xfId="4638"/>
    <cellStyle name="Currency 3 2" xfId="4639"/>
    <cellStyle name="Currency 30" xfId="4640"/>
    <cellStyle name="Currency 31" xfId="4641"/>
    <cellStyle name="Currency 32" xfId="4642"/>
    <cellStyle name="Currency 33" xfId="4643"/>
    <cellStyle name="Currency 34" xfId="4644"/>
    <cellStyle name="Currency 35" xfId="4645"/>
    <cellStyle name="Currency 36" xfId="4646"/>
    <cellStyle name="Currency 4" xfId="4647"/>
    <cellStyle name="Currency 4 2" xfId="4648"/>
    <cellStyle name="Currency 5" xfId="4649"/>
    <cellStyle name="Currency 5 2" xfId="4650"/>
    <cellStyle name="Currency 6" xfId="4651"/>
    <cellStyle name="Currency 7" xfId="4652"/>
    <cellStyle name="Currency 8" xfId="4653"/>
    <cellStyle name="Currency 9" xfId="4654"/>
    <cellStyle name="currency-$" xfId="11632"/>
    <cellStyle name="Currency(￦)" xfId="4655"/>
    <cellStyle name="Currency_----" xfId="4656"/>
    <cellStyle name="Currency0" xfId="37"/>
    <cellStyle name="Currency0 2" xfId="4657"/>
    <cellStyle name="Currency0 3" xfId="4658"/>
    <cellStyle name="Currency1" xfId="38"/>
    <cellStyle name="Currency1 2" xfId="11633"/>
    <cellStyle name="Data" xfId="4659"/>
    <cellStyle name="Date" xfId="39"/>
    <cellStyle name="Date 2" xfId="40"/>
    <cellStyle name="Date 2 2" xfId="4660"/>
    <cellStyle name="Date 3" xfId="4661"/>
    <cellStyle name="Date Short" xfId="4662"/>
    <cellStyle name="Date_----" xfId="4663"/>
    <cellStyle name="de" xfId="11634"/>
    <cellStyle name="DELTA" xfId="11635"/>
    <cellStyle name="Dezimal [0]_Ausdruck RUND (D)" xfId="11636"/>
    <cellStyle name="Dezimal_Ausdruck RUND (D)" xfId="11637"/>
    <cellStyle name="discount" xfId="11638"/>
    <cellStyle name="Display" xfId="4664"/>
    <cellStyle name="Display 2" xfId="4665"/>
    <cellStyle name="Display 2 2" xfId="4666"/>
    <cellStyle name="Display 3" xfId="4667"/>
    <cellStyle name="Display 3 2" xfId="4668"/>
    <cellStyle name="Display 4" xfId="4669"/>
    <cellStyle name="Display 4 2" xfId="4670"/>
    <cellStyle name="Display 5" xfId="4671"/>
    <cellStyle name="Display Price" xfId="4672"/>
    <cellStyle name="Display Price 2" xfId="4673"/>
    <cellStyle name="Display Price 2 2" xfId="4674"/>
    <cellStyle name="Display Price 3" xfId="4675"/>
    <cellStyle name="Display Price 3 2" xfId="4676"/>
    <cellStyle name="Display Price 4" xfId="4677"/>
    <cellStyle name="Display Price 4 2" xfId="4678"/>
    <cellStyle name="Display Price 5" xfId="4679"/>
    <cellStyle name="Dollar (zero dec)" xfId="41"/>
    <cellStyle name="Dollar (zero dec) 2" xfId="4680"/>
    <cellStyle name="Dollar (zero dec) 3" xfId="4681"/>
    <cellStyle name="EA" xfId="4682"/>
    <cellStyle name="EA 2" xfId="4683"/>
    <cellStyle name="EA 2 2" xfId="4684"/>
    <cellStyle name="EA 3" xfId="4685"/>
    <cellStyle name="EA 3 2" xfId="4686"/>
    <cellStyle name="EA 4" xfId="4687"/>
    <cellStyle name="EA 4 2" xfId="4688"/>
    <cellStyle name="EA 5" xfId="4689"/>
    <cellStyle name="E­æo±" xfId="4690"/>
    <cellStyle name="E­æo±a" xfId="4691"/>
    <cellStyle name="E­æo±ae￡" xfId="11639"/>
    <cellStyle name="È­æó±âè£" xfId="4692"/>
    <cellStyle name="E­æo±ae￡0" xfId="11640"/>
    <cellStyle name="È­æó±âè£0" xfId="4693"/>
    <cellStyle name="EDS" xfId="11641"/>
    <cellStyle name="eet1_Q1" xfId="11642"/>
    <cellStyle name="Enter Currency (0)" xfId="4694"/>
    <cellStyle name="Enter Currency (2)" xfId="4695"/>
    <cellStyle name="Enter Units (0)" xfId="4696"/>
    <cellStyle name="Enter Units (1)" xfId="4697"/>
    <cellStyle name="Enter Units (2)" xfId="4698"/>
    <cellStyle name="Enter Units (2) 2" xfId="4699"/>
    <cellStyle name="Entered" xfId="42"/>
    <cellStyle name="entry" xfId="11643"/>
    <cellStyle name="Euro" xfId="4700"/>
    <cellStyle name="Euro 2" xfId="4701"/>
    <cellStyle name="Explanatory Text" xfId="4702"/>
    <cellStyle name="F2" xfId="43"/>
    <cellStyle name="F2 2" xfId="12658"/>
    <cellStyle name="F3" xfId="44"/>
    <cellStyle name="F3 2" xfId="12659"/>
    <cellStyle name="F4" xfId="45"/>
    <cellStyle name="F4 2" xfId="4703"/>
    <cellStyle name="F5" xfId="46"/>
    <cellStyle name="F5 2" xfId="12660"/>
    <cellStyle name="F6" xfId="47"/>
    <cellStyle name="F6 2" xfId="12661"/>
    <cellStyle name="F7" xfId="48"/>
    <cellStyle name="F7 2" xfId="12662"/>
    <cellStyle name="F8" xfId="49"/>
    <cellStyle name="F8 2" xfId="4704"/>
    <cellStyle name="factor yes" xfId="11644"/>
    <cellStyle name="FinePrint" xfId="4705"/>
    <cellStyle name="Fixed" xfId="50"/>
    <cellStyle name="Fixed 2" xfId="51"/>
    <cellStyle name="Fixed 2 2" xfId="4706"/>
    <cellStyle name="Fixed 3" xfId="4707"/>
    <cellStyle name="Fixed_2009년 주민숙원사업 정비공사(설계내역서)" xfId="52"/>
    <cellStyle name="Followed Hyperlink" xfId="4708"/>
    <cellStyle name="g" xfId="11645"/>
    <cellStyle name="G/표준" xfId="4709"/>
    <cellStyle name="Good" xfId="4710"/>
    <cellStyle name="Grey" xfId="53"/>
    <cellStyle name="Grey 2" xfId="4711"/>
    <cellStyle name="Grey 3" xfId="11646"/>
    <cellStyle name="Grey 4" xfId="11647"/>
    <cellStyle name="Grey_총괄표" xfId="11648"/>
    <cellStyle name="GreyOrWhite" xfId="11649"/>
    <cellStyle name="H1" xfId="4712"/>
    <cellStyle name="H2" xfId="4713"/>
    <cellStyle name="head" xfId="4714"/>
    <cellStyle name="head 1" xfId="4715"/>
    <cellStyle name="head 1-1" xfId="4716"/>
    <cellStyle name="HEADER" xfId="54"/>
    <cellStyle name="Header 1" xfId="11650"/>
    <cellStyle name="Header 2" xfId="11651"/>
    <cellStyle name="Header Center" xfId="11652"/>
    <cellStyle name="Header1" xfId="55"/>
    <cellStyle name="Header2" xfId="56"/>
    <cellStyle name="Header2 2" xfId="4717"/>
    <cellStyle name="Header2 2 2" xfId="4718"/>
    <cellStyle name="Header2 2 2 2" xfId="4719"/>
    <cellStyle name="Header2 2 3" xfId="4720"/>
    <cellStyle name="Header2 2 3 2" xfId="4721"/>
    <cellStyle name="Header2 2 4" xfId="4722"/>
    <cellStyle name="Header2 2 4 2" xfId="4723"/>
    <cellStyle name="Header2 2 5" xfId="4724"/>
    <cellStyle name="Header2 3" xfId="4725"/>
    <cellStyle name="Header2 3 2" xfId="4726"/>
    <cellStyle name="Header2 3 2 2" xfId="4727"/>
    <cellStyle name="Header2 3 3" xfId="4728"/>
    <cellStyle name="Header2 3 3 2" xfId="4729"/>
    <cellStyle name="Header2 3 4" xfId="4730"/>
    <cellStyle name="Header2 3 4 2" xfId="4731"/>
    <cellStyle name="Header2 3 5" xfId="4732"/>
    <cellStyle name="Header2 4" xfId="4733"/>
    <cellStyle name="Header2 4 2" xfId="4734"/>
    <cellStyle name="Heading" xfId="4735"/>
    <cellStyle name="Heading 1" xfId="57"/>
    <cellStyle name="Heading 1 2" xfId="11653"/>
    <cellStyle name="Heading 2" xfId="58"/>
    <cellStyle name="Heading 2 2" xfId="11654"/>
    <cellStyle name="Heading 3" xfId="4736"/>
    <cellStyle name="Heading 4" xfId="4737"/>
    <cellStyle name="Heading 5" xfId="4738"/>
    <cellStyle name="Heading 5 2" xfId="4739"/>
    <cellStyle name="Heading 6" xfId="4740"/>
    <cellStyle name="Heading 6 2" xfId="4741"/>
    <cellStyle name="Heading 7" xfId="4742"/>
    <cellStyle name="Heading 7 2" xfId="4743"/>
    <cellStyle name="Heading 8" xfId="4744"/>
    <cellStyle name="Heading1" xfId="59"/>
    <cellStyle name="HEADING1 2" xfId="60"/>
    <cellStyle name="HEADING1 2 2" xfId="4745"/>
    <cellStyle name="Heading1 3" xfId="4746"/>
    <cellStyle name="Heading1_남계-유마간 군도 설계예산서" xfId="61"/>
    <cellStyle name="Heading2" xfId="62"/>
    <cellStyle name="HEADING2 2" xfId="63"/>
    <cellStyle name="HEADING2 2 2" xfId="4747"/>
    <cellStyle name="Heading2 3" xfId="4748"/>
    <cellStyle name="Heading2_남계-유마간 군도 설계예산서" xfId="64"/>
    <cellStyle name="Heading2Divider" xfId="4749"/>
    <cellStyle name="Heading2Divider 2" xfId="4750"/>
    <cellStyle name="Heading2Divider 2 2" xfId="4751"/>
    <cellStyle name="Heading2Divider 3" xfId="4752"/>
    <cellStyle name="Heading2Divider 3 2" xfId="4753"/>
    <cellStyle name="Heading2Divider 4" xfId="4754"/>
    <cellStyle name="Heading2Divider 4 2" xfId="4755"/>
    <cellStyle name="Heading2Divider 5" xfId="4756"/>
    <cellStyle name="HEADINGS" xfId="4757"/>
    <cellStyle name="HEADINGSTOP" xfId="4758"/>
    <cellStyle name="heet1æꂘß_x0001__x0001__x0010__x0001_ဠ" xfId="11655"/>
    <cellStyle name="HelpStyle" xfId="65"/>
    <cellStyle name="Helv8_PFD4.XLS" xfId="66"/>
    <cellStyle name="HIGHLIGHT" xfId="11656"/>
    <cellStyle name="HP Logo" xfId="11657"/>
    <cellStyle name="Hyperlink" xfId="4759"/>
    <cellStyle name="Hyperlink 2" xfId="12663"/>
    <cellStyle name="Input" xfId="4760"/>
    <cellStyle name="Input [yellow]" xfId="67"/>
    <cellStyle name="Input [yellow] 2" xfId="4761"/>
    <cellStyle name="Input [yellow] 2 2" xfId="4762"/>
    <cellStyle name="Input [yellow] 2 2 2" xfId="4763"/>
    <cellStyle name="Input [yellow] 2 3" xfId="4764"/>
    <cellStyle name="Input [yellow] 2 3 2" xfId="4765"/>
    <cellStyle name="Input [yellow] 2 4" xfId="4766"/>
    <cellStyle name="Input [yellow] 2 4 2" xfId="4767"/>
    <cellStyle name="Input [yellow] 2 5" xfId="4768"/>
    <cellStyle name="Input [yellow] 3" xfId="4769"/>
    <cellStyle name="Input [yellow] 3 2" xfId="4770"/>
    <cellStyle name="Input [yellow] 3 2 2" xfId="4771"/>
    <cellStyle name="Input [yellow] 3 3" xfId="4772"/>
    <cellStyle name="Input [yellow] 3 3 2" xfId="4773"/>
    <cellStyle name="Input [yellow] 3 4" xfId="4774"/>
    <cellStyle name="Input [yellow] 3 4 2" xfId="4775"/>
    <cellStyle name="Input [yellow] 3 5" xfId="4776"/>
    <cellStyle name="Input [yellow] 4" xfId="4777"/>
    <cellStyle name="Input [yellow] 4 2" xfId="4778"/>
    <cellStyle name="Input [yellow] 5" xfId="11658"/>
    <cellStyle name="Input [yellow]_총괄표" xfId="11659"/>
    <cellStyle name="Input 10" xfId="4779"/>
    <cellStyle name="Input 11" xfId="4780"/>
    <cellStyle name="Input 12" xfId="4781"/>
    <cellStyle name="Input 13" xfId="4782"/>
    <cellStyle name="Input 14" xfId="4783"/>
    <cellStyle name="Input 15" xfId="4784"/>
    <cellStyle name="Input 16" xfId="4785"/>
    <cellStyle name="Input 17" xfId="4786"/>
    <cellStyle name="Input 2" xfId="4787"/>
    <cellStyle name="Input 2 2" xfId="4788"/>
    <cellStyle name="Input 3" xfId="4789"/>
    <cellStyle name="Input 3 2" xfId="4790"/>
    <cellStyle name="Input 4" xfId="4791"/>
    <cellStyle name="Input 4 2" xfId="4792"/>
    <cellStyle name="Input 5" xfId="4793"/>
    <cellStyle name="Input 5 2" xfId="4794"/>
    <cellStyle name="Input 6" xfId="4795"/>
    <cellStyle name="Input 6 2" xfId="4796"/>
    <cellStyle name="Input 7" xfId="4797"/>
    <cellStyle name="Input 7 2" xfId="4798"/>
    <cellStyle name="Input 8" xfId="4799"/>
    <cellStyle name="Input 9" xfId="4800"/>
    <cellStyle name="Input Price" xfId="4801"/>
    <cellStyle name="Input Quantity" xfId="4802"/>
    <cellStyle name="Input Single Cell" xfId="4803"/>
    <cellStyle name="Input Single Cell 2" xfId="4804"/>
    <cellStyle name="Input Single Cell 2 2" xfId="4805"/>
    <cellStyle name="Input Single Cell 3" xfId="4806"/>
    <cellStyle name="Input Single Cell 3 2" xfId="4807"/>
    <cellStyle name="Input Single Cell 4" xfId="4808"/>
    <cellStyle name="Input Single Cell 4 2" xfId="4809"/>
    <cellStyle name="Input Single Cell 5" xfId="4810"/>
    <cellStyle name="InputBodyCurr" xfId="4811"/>
    <cellStyle name="InputBodyDate" xfId="4812"/>
    <cellStyle name="InputBodyText" xfId="4813"/>
    <cellStyle name="InputColor" xfId="4814"/>
    <cellStyle name="InputColor 2" xfId="4815"/>
    <cellStyle name="InputColor 2 2" xfId="4816"/>
    <cellStyle name="InputColor 3" xfId="4817"/>
    <cellStyle name="InputColor 3 2" xfId="4818"/>
    <cellStyle name="InputColor 4" xfId="4819"/>
    <cellStyle name="InputColor 4 2" xfId="4820"/>
    <cellStyle name="InputColor 5" xfId="4821"/>
    <cellStyle name="Item" xfId="4822"/>
    <cellStyle name="Item Input" xfId="4823"/>
    <cellStyle name="jin" xfId="4824"/>
    <cellStyle name="Jun" xfId="11660"/>
    <cellStyle name="kg" xfId="4825"/>
    <cellStyle name="kg 2" xfId="4826"/>
    <cellStyle name="kg 2 2" xfId="4827"/>
    <cellStyle name="kg 3" xfId="4828"/>
    <cellStyle name="kg 3 2" xfId="4829"/>
    <cellStyle name="kg 4" xfId="4830"/>
    <cellStyle name="kg 4 2" xfId="4831"/>
    <cellStyle name="kg 5" xfId="4832"/>
    <cellStyle name="Komma [0]_BINV" xfId="4833"/>
    <cellStyle name="Komma_BINV" xfId="4834"/>
    <cellStyle name="KPMG Heading 1" xfId="11661"/>
    <cellStyle name="KPMG Heading 2" xfId="11662"/>
    <cellStyle name="KPMG Heading 3" xfId="11663"/>
    <cellStyle name="KPMG Heading 4" xfId="11664"/>
    <cellStyle name="KPMG Normal" xfId="11665"/>
    <cellStyle name="KPMG Normal Text" xfId="11666"/>
    <cellStyle name="KPMG Normal_REALITY RATES" xfId="11667"/>
    <cellStyle name="Kurrency_Currency (a) (3)_PERSONAL" xfId="11668"/>
    <cellStyle name="ℓ" xfId="4835"/>
    <cellStyle name="ℓ 2" xfId="4836"/>
    <cellStyle name="ℓ 2 2" xfId="4837"/>
    <cellStyle name="ℓ 3" xfId="4838"/>
    <cellStyle name="ℓ 3 2" xfId="4839"/>
    <cellStyle name="ℓ 4" xfId="4840"/>
    <cellStyle name="ℓ 4 2" xfId="4841"/>
    <cellStyle name="ℓ 5" xfId="4842"/>
    <cellStyle name="L`" xfId="12664"/>
    <cellStyle name="left" xfId="68"/>
    <cellStyle name="Less than 5" xfId="11669"/>
    <cellStyle name="Link Currency (0)" xfId="4843"/>
    <cellStyle name="Link Currency (2)" xfId="4844"/>
    <cellStyle name="Link Units (0)" xfId="4845"/>
    <cellStyle name="Link Units (1)" xfId="4846"/>
    <cellStyle name="Link Units (2)" xfId="4847"/>
    <cellStyle name="Link Units (2) 2" xfId="4848"/>
    <cellStyle name="Linked Cell" xfId="4849"/>
    <cellStyle name="M" xfId="4850"/>
    <cellStyle name="M 2" xfId="4851"/>
    <cellStyle name="M 2 2" xfId="4852"/>
    <cellStyle name="M 3" xfId="4853"/>
    <cellStyle name="M 3 2" xfId="4854"/>
    <cellStyle name="M 4" xfId="4855"/>
    <cellStyle name="M 4 2" xfId="4856"/>
    <cellStyle name="M 5" xfId="4857"/>
    <cellStyle name="M_4월일위목록" xfId="4858"/>
    <cellStyle name="M_4월일위목록 2" xfId="4859"/>
    <cellStyle name="M_4월일위목록 2 2" xfId="4860"/>
    <cellStyle name="M_4월일위목록 3" xfId="4861"/>
    <cellStyle name="M_4월일위목록 3 2" xfId="4862"/>
    <cellStyle name="M_4월일위목록 4" xfId="4863"/>
    <cellStyle name="M_4월일위목록 4 2" xfId="4864"/>
    <cellStyle name="M_4월일위목록 5" xfId="4865"/>
    <cellStyle name="M2" xfId="4866"/>
    <cellStyle name="M2 2" xfId="4867"/>
    <cellStyle name="M2 2 2" xfId="4868"/>
    <cellStyle name="M2 3" xfId="4869"/>
    <cellStyle name="M2 3 2" xfId="4870"/>
    <cellStyle name="M2 4" xfId="4871"/>
    <cellStyle name="M2 4 2" xfId="4872"/>
    <cellStyle name="M2 5" xfId="4873"/>
    <cellStyle name="M3" xfId="4874"/>
    <cellStyle name="Midtitle" xfId="4875"/>
    <cellStyle name="Millares [0]_laroux" xfId="11670"/>
    <cellStyle name="Millares_laroux" xfId="11671"/>
    <cellStyle name="Milliers [0]_399GC10" xfId="4876"/>
    <cellStyle name="Milliers_399GC10" xfId="4877"/>
    <cellStyle name="mma_CASH &amp; DSO" xfId="4878"/>
    <cellStyle name="Model" xfId="69"/>
    <cellStyle name="Mon?aire [0]_399GC10" xfId="4879"/>
    <cellStyle name="Mon?aire_399GC10" xfId="4880"/>
    <cellStyle name="Moneda [0]_laroux" xfId="11672"/>
    <cellStyle name="Moneda_laroux" xfId="11673"/>
    <cellStyle name="MS Proofing Tools" xfId="4881"/>
    <cellStyle name="n" xfId="11674"/>
    <cellStyle name="N0" xfId="11675"/>
    <cellStyle name="Neutral" xfId="4882"/>
    <cellStyle name="New" xfId="11676"/>
    <cellStyle name="NEW정렬" xfId="4883"/>
    <cellStyle name="no dec" xfId="70"/>
    <cellStyle name="no_of_proc" xfId="11677"/>
    <cellStyle name="nohs" xfId="11678"/>
    <cellStyle name="normal" xfId="4884"/>
    <cellStyle name="Normal - Style1" xfId="71"/>
    <cellStyle name="Normal - Style1 2" xfId="72"/>
    <cellStyle name="Normal - Style1 2 2" xfId="4885"/>
    <cellStyle name="Normal - Style1 3" xfId="11679"/>
    <cellStyle name="Normal - Style1 4" xfId="11680"/>
    <cellStyle name="Normal - Style1 5" xfId="11681"/>
    <cellStyle name="Normal - Style1_2009년 주민숙원사업 정비공사(설계내역서)" xfId="73"/>
    <cellStyle name="Normal - Style2" xfId="4886"/>
    <cellStyle name="Normal - Style3" xfId="4887"/>
    <cellStyle name="Normal - Style4" xfId="4888"/>
    <cellStyle name="Normal - Style5" xfId="4889"/>
    <cellStyle name="Normal - Style6" xfId="4890"/>
    <cellStyle name="Normal - Style7" xfId="4891"/>
    <cellStyle name="Normal - Style8" xfId="4892"/>
    <cellStyle name="Normal - 유형1" xfId="74"/>
    <cellStyle name="Normal 2" xfId="11682"/>
    <cellStyle name="Normal 3" xfId="11683"/>
    <cellStyle name="Normal_ SG&amp;A Bridge" xfId="4893"/>
    <cellStyle name="Noroal_ SG&amp;A Bridge " xfId="11684"/>
    <cellStyle name="Note" xfId="4894"/>
    <cellStyle name="Note 2" xfId="4895"/>
    <cellStyle name="Note 2 2" xfId="4896"/>
    <cellStyle name="Note 3" xfId="4897"/>
    <cellStyle name="Note 3 2" xfId="4898"/>
    <cellStyle name="Note 4" xfId="4899"/>
    <cellStyle name="Note 4 2" xfId="4900"/>
    <cellStyle name="Note 5" xfId="4901"/>
    <cellStyle name="Note 5 2" xfId="4902"/>
    <cellStyle name="Note 6" xfId="4903"/>
    <cellStyle name="Note 7" xfId="4904"/>
    <cellStyle name="Notes" xfId="12665"/>
    <cellStyle name="NUM_" xfId="11685"/>
    <cellStyle name="N䁯rmal_MCOE Summary (5)_98선급금" xfId="12666"/>
    <cellStyle name="O" xfId="11686"/>
    <cellStyle name="OD" xfId="11687"/>
    <cellStyle name="Œ…?æ맖?e [0.00]_guyan" xfId="11688"/>
    <cellStyle name="Œ…?æ맖?e_guyan" xfId="11689"/>
    <cellStyle name="Œ…‹æØ‚è [0.00]_laroux" xfId="4905"/>
    <cellStyle name="Œ…‹æØ‚è_laroux" xfId="4906"/>
    <cellStyle name="oft Excel]_x000d__x000a_Comment=The open=/f lines load custom functions into the Paste Function list._x000d__x000a_Maximized=1_x000d__x000a_AutoFormat=" xfId="4907"/>
    <cellStyle name="oft Excel]_x000d__x000a_Comment=The open=/f lines load custom functions into the Paste Function list._x000d__x000a_Maximized=3_x000d__x000a_AutoFormat=" xfId="4908"/>
    <cellStyle name="oh" xfId="4909"/>
    <cellStyle name="omma [0]_Mktg Prog" xfId="4910"/>
    <cellStyle name="ormal_Sheet1_1" xfId="4911"/>
    <cellStyle name="Output" xfId="4912"/>
    <cellStyle name="Output 2" xfId="4913"/>
    <cellStyle name="Output 2 2" xfId="4914"/>
    <cellStyle name="Output 3" xfId="4915"/>
    <cellStyle name="Output 3 2" xfId="4916"/>
    <cellStyle name="Output 4" xfId="4917"/>
    <cellStyle name="Output 4 2" xfId="4918"/>
    <cellStyle name="Output 5" xfId="4919"/>
    <cellStyle name="Output Single Cell" xfId="4920"/>
    <cellStyle name="Output Single Cell 2" xfId="4921"/>
    <cellStyle name="Output Single Cell 2 2" xfId="4922"/>
    <cellStyle name="Output Single Cell 3" xfId="4923"/>
    <cellStyle name="Output Single Cell 3 2" xfId="4924"/>
    <cellStyle name="Output Single Cell 4" xfId="4925"/>
    <cellStyle name="Output Single Cell 4 2" xfId="4926"/>
    <cellStyle name="Output Single Cell 5" xfId="4927"/>
    <cellStyle name="P" xfId="12667"/>
    <cellStyle name="p/n" xfId="12668"/>
    <cellStyle name="Package Size" xfId="4928"/>
    <cellStyle name="per.style" xfId="4929"/>
    <cellStyle name="Percent" xfId="75"/>
    <cellStyle name="Percent [0]" xfId="4930"/>
    <cellStyle name="Percent [00]" xfId="4931"/>
    <cellStyle name="Percent [2]" xfId="76"/>
    <cellStyle name="Percent 10" xfId="4932"/>
    <cellStyle name="Percent 11" xfId="4933"/>
    <cellStyle name="Percent 12" xfId="4934"/>
    <cellStyle name="Percent 13" xfId="4935"/>
    <cellStyle name="Percent 14" xfId="4936"/>
    <cellStyle name="Percent 15" xfId="4937"/>
    <cellStyle name="Percent 16" xfId="4938"/>
    <cellStyle name="Percent 17" xfId="4939"/>
    <cellStyle name="Percent 18" xfId="4940"/>
    <cellStyle name="Percent 19" xfId="4941"/>
    <cellStyle name="Percent 2" xfId="4942"/>
    <cellStyle name="Percent 20" xfId="4943"/>
    <cellStyle name="Percent 21" xfId="4944"/>
    <cellStyle name="Percent 22" xfId="4945"/>
    <cellStyle name="Percent 23" xfId="4946"/>
    <cellStyle name="Percent 24" xfId="4947"/>
    <cellStyle name="Percent 25" xfId="4948"/>
    <cellStyle name="Percent 26" xfId="4949"/>
    <cellStyle name="Percent 27" xfId="4950"/>
    <cellStyle name="Percent 28" xfId="4951"/>
    <cellStyle name="Percent 29" xfId="4952"/>
    <cellStyle name="Percent 3" xfId="4953"/>
    <cellStyle name="Percent 3 2" xfId="4954"/>
    <cellStyle name="Percent 30" xfId="4955"/>
    <cellStyle name="Percent 31" xfId="4956"/>
    <cellStyle name="Percent 32" xfId="4957"/>
    <cellStyle name="Percent 33" xfId="4958"/>
    <cellStyle name="Percent 34" xfId="4959"/>
    <cellStyle name="Percent 35" xfId="4960"/>
    <cellStyle name="Percent 36" xfId="4961"/>
    <cellStyle name="Percent 4" xfId="4962"/>
    <cellStyle name="Percent 4 2" xfId="4963"/>
    <cellStyle name="Percent 5" xfId="4964"/>
    <cellStyle name="Percent 5 2" xfId="4965"/>
    <cellStyle name="Percent 6" xfId="4966"/>
    <cellStyle name="Percent 7" xfId="4967"/>
    <cellStyle name="Percent 8" xfId="4968"/>
    <cellStyle name="Percent 9" xfId="4969"/>
    <cellStyle name="Percent_----" xfId="4970"/>
    <cellStyle name="PrePop Currency (0)" xfId="4971"/>
    <cellStyle name="PrePop Currency (2)" xfId="4972"/>
    <cellStyle name="PrePop Units (0)" xfId="4973"/>
    <cellStyle name="PrePop Units (1)" xfId="4974"/>
    <cellStyle name="PrePop Units (2)" xfId="4975"/>
    <cellStyle name="PrePop Units (2) 2" xfId="4976"/>
    <cellStyle name="Price" xfId="11690"/>
    <cellStyle name="PRICE2" xfId="11691"/>
    <cellStyle name="Prices" xfId="11692"/>
    <cellStyle name="Print Heading" xfId="4977"/>
    <cellStyle name="Procent_BINV" xfId="4978"/>
    <cellStyle name="Product" xfId="11693"/>
    <cellStyle name="protected" xfId="4979"/>
    <cellStyle name="Q1" xfId="11694"/>
    <cellStyle name="Q4" xfId="11695"/>
    <cellStyle name="Ʀ" xfId="4980"/>
    <cellStyle name="R_TITLE" xfId="11696"/>
    <cellStyle name="R_TITLE_남면 용수리 4반 웃말 교량-08년결산서기준(최종본)" xfId="11697"/>
    <cellStyle name="R_TITLE_옥포해안산책데크구매(제조구매)-제출(수정용)" xfId="11698"/>
    <cellStyle name="Recipe" xfId="4981"/>
    <cellStyle name="Recipe Heading" xfId="4982"/>
    <cellStyle name="regstoresfromspecstores" xfId="4983"/>
    <cellStyle name="Regular Type" xfId="12669"/>
    <cellStyle name="Released" xfId="11699"/>
    <cellStyle name="Revenue" xfId="4984"/>
    <cellStyle name="revised" xfId="11700"/>
    <cellStyle name="RevList" xfId="77"/>
    <cellStyle name="RevList 2" xfId="4985"/>
    <cellStyle name="RevList_총괄표" xfId="11701"/>
    <cellStyle name="roux_laroux" xfId="11702"/>
    <cellStyle name="Row Heading" xfId="11703"/>
    <cellStyle name="Row Subheading" xfId="11704"/>
    <cellStyle name="RptTitle" xfId="4986"/>
    <cellStyle name="s" xfId="11705"/>
    <cellStyle name="S " xfId="11706"/>
    <cellStyle name="s]_x000d__x000a_load=_x000d__x000a_run=_x000d__x000a_NullPort=None_x000d__x000a_SkipMouseRedetect=1_x000d__x000a_device=QLaser SF700/710,KHQLBP,LPT1:_x000d__x000a__x000d__x000a_[Desktop]_x000d__x000a_Wallpaper=C:\WI" xfId="11707"/>
    <cellStyle name="SAPBEXaggData" xfId="11708"/>
    <cellStyle name="SAPBEXstdData" xfId="11709"/>
    <cellStyle name="sbt2" xfId="11710"/>
    <cellStyle name="section" xfId="11711"/>
    <cellStyle name="sh" xfId="4987"/>
    <cellStyle name="SHADEDSTORES" xfId="4988"/>
    <cellStyle name="SHADEDSTORES 2" xfId="4989"/>
    <cellStyle name="SHADEDSTORES 2 2" xfId="4990"/>
    <cellStyle name="SHADEDSTORES 3" xfId="4991"/>
    <cellStyle name="SHADEDSTORES 3 2" xfId="4992"/>
    <cellStyle name="SHADEDSTORES 4" xfId="4993"/>
    <cellStyle name="SHADEDSTORES 4 2" xfId="4994"/>
    <cellStyle name="SHADEDSTORES 5" xfId="4995"/>
    <cellStyle name="Shadow" xfId="11712"/>
    <cellStyle name="SHIM" xfId="11713"/>
    <cellStyle name="Small Heading" xfId="12670"/>
    <cellStyle name="specstores" xfId="4996"/>
    <cellStyle name="ssh" xfId="4997"/>
    <cellStyle name="Standaard_BINV" xfId="4998"/>
    <cellStyle name="STANDARD" xfId="11714"/>
    <cellStyle name="STD" xfId="11715"/>
    <cellStyle name="Style 1" xfId="11716"/>
    <cellStyle name="Sub" xfId="11717"/>
    <cellStyle name="subhead" xfId="78"/>
    <cellStyle name="SubHeading" xfId="4999"/>
    <cellStyle name="subt1" xfId="11718"/>
    <cellStyle name="Subtotal" xfId="79"/>
    <cellStyle name="Subtotal 1" xfId="5000"/>
    <cellStyle name="Suggested Quantity" xfId="5001"/>
    <cellStyle name="t1" xfId="11719"/>
    <cellStyle name="testtitle" xfId="5002"/>
    <cellStyle name="Text Indent A" xfId="5003"/>
    <cellStyle name="Text Indent B" xfId="5004"/>
    <cellStyle name="Text Indent B 2" xfId="5005"/>
    <cellStyle name="Text Indent C" xfId="5006"/>
    <cellStyle name="þ?b?þ?b?þ?b?þ?b?þ?b?þ?b?þ?b灌þ?b?þ?&lt;?b?þ?b濬þ?b?þ?b?þ昰_x0018_?þ????_x0008_" xfId="11720"/>
    <cellStyle name="þ൚b⍼þ൪b⎨þൺb⏜þඊb␌þකb濰þඪb瀠þයb灌þ්b炈þ宐&lt;෢b濈þෲb濬þขb瀐þฒb瀰þ昰_x0018_⋸þ㤕䰀ጤܕ_x0008_" xfId="11721"/>
    <cellStyle name="þ_x001d_ð'&amp;Oy?Hy9_x0008__x000f__x0007_æ_x0007__x0007__x0001__x0001_" xfId="12671"/>
    <cellStyle name="þ_x001d_ð'&amp;Oy?Hy9_x0008__x000f__x0007_æ_x0007__x0007__x0001__x0001_ 2" xfId="12672"/>
    <cellStyle name="þ_x001d_ð'&amp;Oy?Hy9_x0008_E_x000c_￠_x000d__x0007__x0001__x0001_" xfId="12673"/>
    <cellStyle name="þ_x001d_ð'&amp;Oy?Hy9_x0008_E_x000c_￠_x000d__x0007__x0001__x0001_ 2" xfId="12674"/>
    <cellStyle name="Title" xfId="80"/>
    <cellStyle name="title [1]" xfId="81"/>
    <cellStyle name="title [2]" xfId="82"/>
    <cellStyle name="Title 10" xfId="5007"/>
    <cellStyle name="Title 11" xfId="5008"/>
    <cellStyle name="Title 12" xfId="5009"/>
    <cellStyle name="Title 13" xfId="5010"/>
    <cellStyle name="Title 14" xfId="5011"/>
    <cellStyle name="Title 15" xfId="5012"/>
    <cellStyle name="Title 2" xfId="5013"/>
    <cellStyle name="Title 3" xfId="5014"/>
    <cellStyle name="Title 4" xfId="5015"/>
    <cellStyle name="Title 5" xfId="5016"/>
    <cellStyle name="Title 6" xfId="5017"/>
    <cellStyle name="Title 7" xfId="5018"/>
    <cellStyle name="Title 8" xfId="5019"/>
    <cellStyle name="Title 9" xfId="5020"/>
    <cellStyle name="Title_02 김제1-1공구(설계가1203입수)" xfId="5021"/>
    <cellStyle name="Title2" xfId="11722"/>
    <cellStyle name="TON" xfId="5022"/>
    <cellStyle name="Total" xfId="83"/>
    <cellStyle name="Total 2" xfId="84"/>
    <cellStyle name="Total 2 2" xfId="5023"/>
    <cellStyle name="Total 2 2 2" xfId="5024"/>
    <cellStyle name="Total 2 3" xfId="5025"/>
    <cellStyle name="Total 2 3 2" xfId="5026"/>
    <cellStyle name="Total 2 4" xfId="5027"/>
    <cellStyle name="Total 2 4 2" xfId="5028"/>
    <cellStyle name="Total 2 5" xfId="5029"/>
    <cellStyle name="Total 2 6" xfId="5030"/>
    <cellStyle name="Total 3" xfId="5031"/>
    <cellStyle name="Total 4" xfId="5032"/>
    <cellStyle name="Total 4 2" xfId="5033"/>
    <cellStyle name="Total_2009년 주민숙원사업 정비공사(설계내역서)" xfId="85"/>
    <cellStyle name="TotalCurr" xfId="5034"/>
    <cellStyle name="TotalHdr" xfId="5035"/>
    <cellStyle name="UM" xfId="86"/>
    <cellStyle name="Unprot" xfId="11723"/>
    <cellStyle name="Unprot$" xfId="11724"/>
    <cellStyle name="Unprotect" xfId="11725"/>
    <cellStyle name="Valuta [0]_BINV" xfId="5036"/>
    <cellStyle name="Valuta_BINV" xfId="5037"/>
    <cellStyle name="W?rung [0]_Ausdruck RUND (D)" xfId="11726"/>
    <cellStyle name="W?rung_Ausdruck RUND (D)" xfId="11727"/>
    <cellStyle name="Währung [0]_TRAHOURS" xfId="12675"/>
    <cellStyle name="Währung_TRAHOURS" xfId="12676"/>
    <cellStyle name="Warning Text" xfId="5038"/>
    <cellStyle name="wrap" xfId="87"/>
    <cellStyle name="xht" xfId="5039"/>
    <cellStyle name="Yellow" xfId="11728"/>
    <cellStyle name="Ͱ" xfId="11729"/>
    <cellStyle name="μU¿¡ ¿A´A CIAIÆU¸μAⓒ" xfId="5040"/>
    <cellStyle name="パーセント_技計ｾﾝﾀ" xfId="12677"/>
    <cellStyle name="ハイパーリンク_NT見10" xfId="5041"/>
    <cellStyle name="|?ドE" xfId="5042"/>
    <cellStyle name="" xfId="5043"/>
    <cellStyle name="가운데" xfId="5044"/>
    <cellStyle name="가운데 2" xfId="5045"/>
    <cellStyle name="가운데 2 2" xfId="5046"/>
    <cellStyle name="가운데 3" xfId="5047"/>
    <cellStyle name="가운데 3 2" xfId="5048"/>
    <cellStyle name="가운데 4" xfId="5049"/>
    <cellStyle name="가운데 4 2" xfId="5050"/>
    <cellStyle name="가운데 5" xfId="5051"/>
    <cellStyle name="감춤" xfId="5052"/>
    <cellStyle name="강조색1 2" xfId="5053"/>
    <cellStyle name="강조색1 2 2" xfId="5054"/>
    <cellStyle name="강조색1 3" xfId="5055"/>
    <cellStyle name="강조색1 4" xfId="5056"/>
    <cellStyle name="강조색2 2" xfId="5057"/>
    <cellStyle name="강조색2 2 2" xfId="5058"/>
    <cellStyle name="강조색2 3" xfId="5059"/>
    <cellStyle name="강조색2 4" xfId="5060"/>
    <cellStyle name="강조색3 2" xfId="5061"/>
    <cellStyle name="강조색3 2 2" xfId="5062"/>
    <cellStyle name="강조색3 3" xfId="5063"/>
    <cellStyle name="강조색3 4" xfId="5064"/>
    <cellStyle name="강조색4 2" xfId="5065"/>
    <cellStyle name="강조색4 2 2" xfId="5066"/>
    <cellStyle name="강조색4 3" xfId="5067"/>
    <cellStyle name="강조색4 4" xfId="5068"/>
    <cellStyle name="강조색5 2" xfId="5069"/>
    <cellStyle name="강조색5 2 2" xfId="5070"/>
    <cellStyle name="강조색5 3" xfId="5071"/>
    <cellStyle name="강조색5 4" xfId="5072"/>
    <cellStyle name="강조색6 2" xfId="5073"/>
    <cellStyle name="강조색6 2 2" xfId="5074"/>
    <cellStyle name="강조색6 3" xfId="5075"/>
    <cellStyle name="강조색6 4" xfId="5076"/>
    <cellStyle name="개" xfId="5077"/>
    <cellStyle name="개 2" xfId="5078"/>
    <cellStyle name="개 2 2" xfId="5079"/>
    <cellStyle name="개 3" xfId="5080"/>
    <cellStyle name="개 3 2" xfId="5081"/>
    <cellStyle name="개 4" xfId="5082"/>
    <cellStyle name="개 4 2" xfId="5083"/>
    <cellStyle name="개 5" xfId="5084"/>
    <cellStyle name="개_02-포장-1" xfId="5085"/>
    <cellStyle name="개_02-포장-1 2" xfId="5086"/>
    <cellStyle name="개_02-포장-1 2 2" xfId="5087"/>
    <cellStyle name="개_02-포장-1 3" xfId="5088"/>
    <cellStyle name="개_02-포장-1 3 2" xfId="5089"/>
    <cellStyle name="개_02-포장-1 4" xfId="5090"/>
    <cellStyle name="개_02-포장-1 4 2" xfId="5091"/>
    <cellStyle name="개_02-포장-1 5" xfId="5092"/>
    <cellStyle name="개소" xfId="5093"/>
    <cellStyle name="개소 2" xfId="5094"/>
    <cellStyle name="개소 2 2" xfId="5095"/>
    <cellStyle name="개소 3" xfId="5096"/>
    <cellStyle name="개소 3 2" xfId="5097"/>
    <cellStyle name="개소 4" xfId="5098"/>
    <cellStyle name="개소 4 2" xfId="5099"/>
    <cellStyle name="개소 5" xfId="5100"/>
    <cellStyle name="견적" xfId="11730"/>
    <cellStyle name="경고문 2" xfId="5101"/>
    <cellStyle name="경고문 2 2" xfId="5102"/>
    <cellStyle name="경고문 3" xfId="5103"/>
    <cellStyle name="경고문 3 2" xfId="5104"/>
    <cellStyle name="경고문 3 2 2" xfId="5105"/>
    <cellStyle name="경고문 3 2 3" xfId="5106"/>
    <cellStyle name="경고문 4" xfId="5107"/>
    <cellStyle name="계산 2" xfId="5108"/>
    <cellStyle name="계산 2 2" xfId="5109"/>
    <cellStyle name="계산 2 2 2" xfId="5110"/>
    <cellStyle name="계산 2 2 2 2" xfId="5111"/>
    <cellStyle name="계산 2 2 3" xfId="5112"/>
    <cellStyle name="계산 2 2 3 2" xfId="5113"/>
    <cellStyle name="계산 2 2 4" xfId="5114"/>
    <cellStyle name="계산 2 2 4 2" xfId="5115"/>
    <cellStyle name="계산 2 2 5" xfId="5116"/>
    <cellStyle name="계산 2 3" xfId="5117"/>
    <cellStyle name="계산 2 3 2" xfId="5118"/>
    <cellStyle name="계산 2 3 3" xfId="5119"/>
    <cellStyle name="계산 2 4" xfId="5120"/>
    <cellStyle name="계산 2 4 2" xfId="5121"/>
    <cellStyle name="계산 2 5" xfId="5122"/>
    <cellStyle name="계산 2 5 2" xfId="5123"/>
    <cellStyle name="계산 2 6" xfId="5124"/>
    <cellStyle name="계산 3" xfId="5125"/>
    <cellStyle name="계산 3 2" xfId="5126"/>
    <cellStyle name="계산 3 2 2" xfId="5127"/>
    <cellStyle name="계산 3 3" xfId="5128"/>
    <cellStyle name="계산 3 3 2" xfId="5129"/>
    <cellStyle name="계산 3 4" xfId="5130"/>
    <cellStyle name="계산 3 4 2" xfId="5131"/>
    <cellStyle name="계산 3 5" xfId="5132"/>
    <cellStyle name="계산 4" xfId="5133"/>
    <cellStyle name="계산 4 2" xfId="5134"/>
    <cellStyle name="계산 4 2 2" xfId="5135"/>
    <cellStyle name="계산 4 3" xfId="5136"/>
    <cellStyle name="계산 4 3 2" xfId="5137"/>
    <cellStyle name="계산 4 4" xfId="5138"/>
    <cellStyle name="계산 4 4 2" xfId="5139"/>
    <cellStyle name="계산 4 5" xfId="5140"/>
    <cellStyle name="고정소숫점" xfId="88"/>
    <cellStyle name="고정소숫점 2" xfId="5141"/>
    <cellStyle name="고정출력1" xfId="89"/>
    <cellStyle name="고정출력1 2" xfId="12678"/>
    <cellStyle name="고정출력2" xfId="90"/>
    <cellStyle name="고정출력2 2" xfId="12679"/>
    <cellStyle name="공백" xfId="5142"/>
    <cellStyle name="공백1" xfId="5143"/>
    <cellStyle name="공백1수" xfId="5144"/>
    <cellStyle name="공사원가계산서(조경)" xfId="5145"/>
    <cellStyle name="공종" xfId="5146"/>
    <cellStyle name="공종-규격" xfId="11731"/>
    <cellStyle name="괘선" xfId="12680"/>
    <cellStyle name="괘선1" xfId="12681"/>
    <cellStyle name="咬訌裝?INCOM1" xfId="91"/>
    <cellStyle name="咬訌裝?INCOM1 2" xfId="5147"/>
    <cellStyle name="咬訌裝?INCOM10" xfId="92"/>
    <cellStyle name="咬訌裝?INCOM10 2" xfId="5148"/>
    <cellStyle name="咬訌裝?INCOM2" xfId="93"/>
    <cellStyle name="咬訌裝?INCOM2 2" xfId="5149"/>
    <cellStyle name="咬訌裝?INCOM3" xfId="94"/>
    <cellStyle name="咬訌裝?INCOM3 2" xfId="5150"/>
    <cellStyle name="咬訌裝?INCOM4" xfId="95"/>
    <cellStyle name="咬訌裝?INCOM4 2" xfId="5151"/>
    <cellStyle name="咬訌裝?INCOM5" xfId="96"/>
    <cellStyle name="咬訌裝?INCOM5 2" xfId="5152"/>
    <cellStyle name="咬訌裝?INCOM6" xfId="97"/>
    <cellStyle name="咬訌裝?INCOM6 2" xfId="5153"/>
    <cellStyle name="咬訌裝?INCOM7" xfId="98"/>
    <cellStyle name="咬訌裝?INCOM7 2" xfId="5154"/>
    <cellStyle name="咬訌裝?INCOM8" xfId="99"/>
    <cellStyle name="咬訌裝?INCOM8 2" xfId="5155"/>
    <cellStyle name="咬訌裝?INCOM9" xfId="100"/>
    <cellStyle name="咬訌裝?INCOM9 2" xfId="5156"/>
    <cellStyle name="咬訌裝?PRIB11" xfId="101"/>
    <cellStyle name="咬訌裝?PRIB11 2" xfId="5157"/>
    <cellStyle name="構成図作成用" xfId="11732"/>
    <cellStyle name="국종합건설" xfId="5158"/>
    <cellStyle name="그림" xfId="5159"/>
    <cellStyle name="글씨빵강" xfId="12682"/>
    <cellStyle name="금액" xfId="11733"/>
    <cellStyle name="금액 2" xfId="12683"/>
    <cellStyle name="기계" xfId="11734"/>
    <cellStyle name="기호 숫자" xfId="102"/>
    <cellStyle name="김해전기" xfId="11735"/>
    <cellStyle name="끼_x0001_?" xfId="5160"/>
    <cellStyle name="나쁨 2" xfId="5161"/>
    <cellStyle name="나쁨 2 2" xfId="5162"/>
    <cellStyle name="나쁨 3" xfId="5163"/>
    <cellStyle name="나쁨 4" xfId="5164"/>
    <cellStyle name="난제목" xfId="11736"/>
    <cellStyle name="날짜" xfId="103"/>
    <cellStyle name="날짜 2" xfId="12684"/>
    <cellStyle name="남기옥" xfId="104"/>
    <cellStyle name="내역" xfId="12685"/>
    <cellStyle name="내역서" xfId="105"/>
    <cellStyle name="네모제목" xfId="5165"/>
    <cellStyle name="노명용" xfId="5166"/>
    <cellStyle name="노명용 2" xfId="5167"/>
    <cellStyle name="노명용 2 2" xfId="5168"/>
    <cellStyle name="노명용 3" xfId="5169"/>
    <cellStyle name="노명용 3 2" xfId="5170"/>
    <cellStyle name="노명용 4" xfId="5171"/>
    <cellStyle name="노명용 4 2" xfId="5172"/>
    <cellStyle name="노명용 5" xfId="5173"/>
    <cellStyle name="단위" xfId="5174"/>
    <cellStyle name="단위-&quot;*&quot;" xfId="11737"/>
    <cellStyle name="단위-%" xfId="11738"/>
    <cellStyle name="단위(원)" xfId="11739"/>
    <cellStyle name="단위-kg" xfId="11740"/>
    <cellStyle name="단위-m" xfId="11741"/>
    <cellStyle name="단위-㎡" xfId="11742"/>
    <cellStyle name="단위-㎡/개소" xfId="11743"/>
    <cellStyle name="단위-㎡_07-부대공" xfId="11744"/>
    <cellStyle name="단위-㎥" xfId="11745"/>
    <cellStyle name="단위-t=" xfId="11746"/>
    <cellStyle name="달러" xfId="106"/>
    <cellStyle name="달러 2" xfId="12686"/>
    <cellStyle name="대공종" xfId="11747"/>
    <cellStyle name="뒤에 오는 하이퍼링크" xfId="5175"/>
    <cellStyle name="똿떓죶Ø괻 [0.00]_PRODUCT DETAIL Q1" xfId="5176"/>
    <cellStyle name="똿떓죶Ø괻_PRODUCT DETAIL Q1" xfId="5177"/>
    <cellStyle name="똿뗦먛귟 [0.00]_laroux" xfId="5178"/>
    <cellStyle name="똿뗦먛귟_laroux" xfId="5179"/>
    <cellStyle name="라인" xfId="11748"/>
    <cellStyle name="마감" xfId="11749"/>
    <cellStyle name="마이너스키" xfId="5180"/>
    <cellStyle name="마ㅊ춤" xfId="5181"/>
    <cellStyle name="매" xfId="5182"/>
    <cellStyle name="매_02-포장-1" xfId="5183"/>
    <cellStyle name="메모 2" xfId="5184"/>
    <cellStyle name="메모 2 2" xfId="5185"/>
    <cellStyle name="메모 2 2 2" xfId="5186"/>
    <cellStyle name="메모 2 2 3" xfId="5187"/>
    <cellStyle name="메모 2 3" xfId="5188"/>
    <cellStyle name="메모 2 3 2" xfId="5189"/>
    <cellStyle name="메모 2 4" xfId="5190"/>
    <cellStyle name="메모 2 4 2" xfId="5191"/>
    <cellStyle name="메모 2 5" xfId="5192"/>
    <cellStyle name="메모 3" xfId="5193"/>
    <cellStyle name="메모 3 2" xfId="5194"/>
    <cellStyle name="메모 3 2 2" xfId="5195"/>
    <cellStyle name="메모 3 2 3" xfId="5196"/>
    <cellStyle name="메모 3 3" xfId="5197"/>
    <cellStyle name="메모 4" xfId="5198"/>
    <cellStyle name="메모 4 2" xfId="5199"/>
    <cellStyle name="메모 4 2 2" xfId="5200"/>
    <cellStyle name="메모 4 3" xfId="5201"/>
    <cellStyle name="메모 4 3 2" xfId="5202"/>
    <cellStyle name="메모 4 4" xfId="5203"/>
    <cellStyle name="메모 4 4 2" xfId="5204"/>
    <cellStyle name="메모 4 5" xfId="5205"/>
    <cellStyle name="묮뎋 [0.00]_PRODUCT DETAIL Q1" xfId="5206"/>
    <cellStyle name="묮뎋_PRODUCT DETAIL Q1" xfId="5207"/>
    <cellStyle name="믅됞 [0.00]_laroux" xfId="5208"/>
    <cellStyle name="믅됞_laroux" xfId="5209"/>
    <cellStyle name="未定義" xfId="12687"/>
    <cellStyle name="배분" xfId="5210"/>
    <cellStyle name="배분 2" xfId="5211"/>
    <cellStyle name="배분 2 2" xfId="5212"/>
    <cellStyle name="배분 3" xfId="5213"/>
    <cellStyle name="배분 3 2" xfId="5214"/>
    <cellStyle name="배분 4" xfId="5215"/>
    <cellStyle name="배분 4 2" xfId="5216"/>
    <cellStyle name="배분 5" xfId="5217"/>
    <cellStyle name="백" xfId="5218"/>
    <cellStyle name="백 " xfId="5219"/>
    <cellStyle name="백_3. 신광R~숭의R(배수공)" xfId="11750"/>
    <cellStyle name="백_3. 신광R~숭의R(배수공)_노임단가(소프트웨어)" xfId="11751"/>
    <cellStyle name="백_깨기" xfId="11752"/>
    <cellStyle name="백_깨기_노임단가(소프트웨어)" xfId="11753"/>
    <cellStyle name="백_깨기_신광R~숭의R(폐기물)" xfId="11754"/>
    <cellStyle name="백_깨기_신광R~숭의R(폐기물)_노임단가(소프트웨어)" xfId="11755"/>
    <cellStyle name="백_노임단가(소프트웨어)" xfId="11756"/>
    <cellStyle name="백_노임단가(소프트웨어)_안성도시관리계획내역서(20100201)" xfId="11757"/>
    <cellStyle name="백_노임단가(소프트웨어)_안성도시관리계획내역서-작업용" xfId="11758"/>
    <cellStyle name="백_배수공" xfId="11759"/>
    <cellStyle name="백_배수공_노임단가(소프트웨어)" xfId="11760"/>
    <cellStyle name="백_솔빛마을연결도로(최종)" xfId="11761"/>
    <cellStyle name="백_솔빛마을연결도로(최종)_노임단가(소프트웨어)" xfId="11762"/>
    <cellStyle name="백_수량산출서(수정)" xfId="11763"/>
    <cellStyle name="백_수량산출서(수정)_3. 신광R~숭의R(배수공)" xfId="11764"/>
    <cellStyle name="백_수량산출서(수정)_3. 신광R~숭의R(배수공)_노임단가(소프트웨어)" xfId="11765"/>
    <cellStyle name="백_수량산출서(수정)_깨기" xfId="11766"/>
    <cellStyle name="백_수량산출서(수정)_깨기_노임단가(소프트웨어)" xfId="11767"/>
    <cellStyle name="백_수량산출서(수정)_깨기_신광R~숭의R(폐기물)" xfId="11768"/>
    <cellStyle name="백_수량산출서(수정)_깨기_신광R~숭의R(폐기물)_노임단가(소프트웨어)" xfId="11769"/>
    <cellStyle name="백_수량산출서(수정)_노임단가(소프트웨어)" xfId="11770"/>
    <cellStyle name="백_수량산출서(수정)_배수공" xfId="11771"/>
    <cellStyle name="백_수량산출서(수정)_배수공_노임단가(소프트웨어)" xfId="11772"/>
    <cellStyle name="백_수량산출서(수정)_솔빛마을연결도로(최종)" xfId="11773"/>
    <cellStyle name="백_수량산출서(수정)_솔빛마을연결도로(최종)_노임단가(소프트웨어)" xfId="11774"/>
    <cellStyle name="백_옹벽 수량(H=4.5m)" xfId="11775"/>
    <cellStyle name="백_옹벽 수량(H=4.5m)_노임단가(소프트웨어)" xfId="11776"/>
    <cellStyle name="백분율 [△1]" xfId="5220"/>
    <cellStyle name="백분율 [△2]" xfId="5221"/>
    <cellStyle name="백분율 [0]" xfId="107"/>
    <cellStyle name="백분율 [2]" xfId="108"/>
    <cellStyle name="백분율 10" xfId="5222"/>
    <cellStyle name="백분율 11" xfId="5223"/>
    <cellStyle name="백분율 12" xfId="11777"/>
    <cellStyle name="백분율 13" xfId="11778"/>
    <cellStyle name="백분율 14" xfId="11779"/>
    <cellStyle name="백분율 2" xfId="5224"/>
    <cellStyle name="백분율 2 2" xfId="5225"/>
    <cellStyle name="백분율 2 2 2" xfId="5226"/>
    <cellStyle name="백분율 2 3" xfId="5227"/>
    <cellStyle name="백분율 2 4" xfId="5228"/>
    <cellStyle name="백분율 3" xfId="5229"/>
    <cellStyle name="백분율 3 2" xfId="5230"/>
    <cellStyle name="백분율 3 2 2" xfId="5231"/>
    <cellStyle name="백분율 3 3" xfId="5232"/>
    <cellStyle name="백분율 3 3 2" xfId="5233"/>
    <cellStyle name="백분율 3 4" xfId="5234"/>
    <cellStyle name="백분율 4" xfId="5235"/>
    <cellStyle name="백분율 4 2" xfId="5236"/>
    <cellStyle name="백분율 4 3" xfId="5237"/>
    <cellStyle name="백분율 4 3 2" xfId="5238"/>
    <cellStyle name="백분율 4 3 3" xfId="5239"/>
    <cellStyle name="백분율 5" xfId="5240"/>
    <cellStyle name="백분율 5 2" xfId="5241"/>
    <cellStyle name="백분율 5 2 2" xfId="5242"/>
    <cellStyle name="백분율 5 2 3" xfId="5243"/>
    <cellStyle name="백분율 5 2 3 2" xfId="11780"/>
    <cellStyle name="백분율 5 2 3 3" xfId="11781"/>
    <cellStyle name="백분율 5 2 4" xfId="11782"/>
    <cellStyle name="백분율 5 2 5" xfId="11783"/>
    <cellStyle name="백분율 5 3" xfId="5244"/>
    <cellStyle name="백분율 5 3 2" xfId="5245"/>
    <cellStyle name="백분율 5 3 2 2" xfId="11784"/>
    <cellStyle name="백분율 5 3 2 3" xfId="11785"/>
    <cellStyle name="백분율 5 3 3" xfId="11786"/>
    <cellStyle name="백분율 5 3 4" xfId="11787"/>
    <cellStyle name="백분율 6" xfId="5246"/>
    <cellStyle name="백분율 6 2" xfId="5247"/>
    <cellStyle name="백분율 7" xfId="5248"/>
    <cellStyle name="백분율 8" xfId="5249"/>
    <cellStyle name="백분율 9" xfId="5250"/>
    <cellStyle name="백분율［△1］" xfId="5251"/>
    <cellStyle name="백분율［△2］" xfId="5252"/>
    <cellStyle name="백창콤마" xfId="11788"/>
    <cellStyle name="범위" xfId="5253"/>
    <cellStyle name="벭?_Q1 PRODUCT ACTUAL_4월 (2)" xfId="5254"/>
    <cellStyle name="보통 2" xfId="5255"/>
    <cellStyle name="보통 2 2" xfId="5256"/>
    <cellStyle name="보통 3" xfId="5257"/>
    <cellStyle name="보통 4" xfId="5258"/>
    <cellStyle name="凤준" xfId="109"/>
    <cellStyle name="부제목" xfId="11789"/>
    <cellStyle name="뷭?" xfId="5259"/>
    <cellStyle name="빨간색" xfId="5260"/>
    <cellStyle name="빨강" xfId="5261"/>
    <cellStyle name="산출식" xfId="11790"/>
    <cellStyle name="常规_China_Oct01_List(USD)" xfId="11791"/>
    <cellStyle name="서식" xfId="5262"/>
    <cellStyle name="서식 2" xfId="5263"/>
    <cellStyle name="서식 2 2" xfId="5264"/>
    <cellStyle name="서식 3" xfId="5265"/>
    <cellStyle name="서식 3 2" xfId="5266"/>
    <cellStyle name="서식 4" xfId="5267"/>
    <cellStyle name="서식 4 2" xfId="5268"/>
    <cellStyle name="서식 5" xfId="5269"/>
    <cellStyle name="선택영역" xfId="5270"/>
    <cellStyle name="선택영역 가운데" xfId="5271"/>
    <cellStyle name="선택영역_토공수량" xfId="11792"/>
    <cellStyle name="선택영역의 가운데" xfId="5272"/>
    <cellStyle name="선택영역의 가운데로" xfId="5273"/>
    <cellStyle name="선택영영" xfId="5274"/>
    <cellStyle name="설계변경" xfId="11793"/>
    <cellStyle name="설계서" xfId="110"/>
    <cellStyle name="설계서-내용" xfId="11794"/>
    <cellStyle name="설계서-내용-소수점" xfId="11795"/>
    <cellStyle name="설계서-내용-우" xfId="11796"/>
    <cellStyle name="설계서-내용-좌" xfId="11797"/>
    <cellStyle name="설계서-소제목" xfId="11798"/>
    <cellStyle name="설계서-타이틀" xfId="11799"/>
    <cellStyle name="설계서-항목" xfId="11800"/>
    <cellStyle name="설명 텍스트 2" xfId="5275"/>
    <cellStyle name="설명 텍스트 2 2" xfId="5276"/>
    <cellStyle name="설명 텍스트 3" xfId="5277"/>
    <cellStyle name="설명 텍스트 4" xfId="5278"/>
    <cellStyle name="셀 확인 2" xfId="5279"/>
    <cellStyle name="셀 확인 2 2" xfId="5280"/>
    <cellStyle name="셀 확인 2 3" xfId="5281"/>
    <cellStyle name="셀 확인 3" xfId="5282"/>
    <cellStyle name="셀 확인 4" xfId="5283"/>
    <cellStyle name="소공종" xfId="11801"/>
    <cellStyle name="소수" xfId="5284"/>
    <cellStyle name="소수3" xfId="5285"/>
    <cellStyle name="소수4" xfId="5286"/>
    <cellStyle name="소수점" xfId="5287"/>
    <cellStyle name="소숫점" xfId="11802"/>
    <cellStyle name="소숫점0" xfId="11803"/>
    <cellStyle name="소숫점3" xfId="11804"/>
    <cellStyle name="수당" xfId="5288"/>
    <cellStyle name="수당2" xfId="5289"/>
    <cellStyle name="수량" xfId="5290"/>
    <cellStyle name="수량1" xfId="5291"/>
    <cellStyle name="수량산출" xfId="11805"/>
    <cellStyle name="수목명" xfId="5292"/>
    <cellStyle name="수산" xfId="11806"/>
    <cellStyle name="숨김" xfId="5293"/>
    <cellStyle name="숫자" xfId="5294"/>
    <cellStyle name="숫자(R)" xfId="111"/>
    <cellStyle name="숫자(R) 2" xfId="5295"/>
    <cellStyle name="숫자_포천 시가화예정용지 제1종지구단위계획(총괄내역서)-보정" xfId="11807"/>
    <cellStyle name="숫자1" xfId="5296"/>
    <cellStyle name="숫자3" xfId="5297"/>
    <cellStyle name="숫자3R" xfId="11808"/>
    <cellStyle name="숫자3자리" xfId="11809"/>
    <cellStyle name="쉼표 [0]" xfId="2" builtinId="6"/>
    <cellStyle name="쉼표 [0] 10" xfId="5298"/>
    <cellStyle name="쉼표 [0] 11" xfId="5299"/>
    <cellStyle name="쉼표 [0] 12" xfId="5300"/>
    <cellStyle name="쉼표 [0] 13" xfId="5301"/>
    <cellStyle name="쉼표 [0] 14" xfId="5302"/>
    <cellStyle name="쉼표 [0] 15" xfId="5303"/>
    <cellStyle name="쉼표 [0] 16" xfId="5304"/>
    <cellStyle name="쉼표 [0] 17" xfId="5305"/>
    <cellStyle name="쉼표 [0] 18" xfId="5306"/>
    <cellStyle name="쉼표 [0] 19" xfId="5307"/>
    <cellStyle name="쉼표 [0] 2" xfId="3"/>
    <cellStyle name="쉼표 [0] 2 10" xfId="11810"/>
    <cellStyle name="쉼표 [0] 2 11" xfId="11811"/>
    <cellStyle name="쉼표 [0] 2 12" xfId="11812"/>
    <cellStyle name="쉼표 [0] 2 13" xfId="11813"/>
    <cellStyle name="쉼표 [0] 2 14" xfId="11814"/>
    <cellStyle name="쉼표 [0] 2 15" xfId="11815"/>
    <cellStyle name="쉼표 [0] 2 16" xfId="11816"/>
    <cellStyle name="쉼표 [0] 2 2" xfId="5308"/>
    <cellStyle name="쉼표 [0] 2 2 2" xfId="5309"/>
    <cellStyle name="쉼표 [0] 2 2 2 2" xfId="5310"/>
    <cellStyle name="쉼표 [0] 2 2 2 2 2" xfId="11817"/>
    <cellStyle name="쉼표 [0] 2 2 2 2 3" xfId="11818"/>
    <cellStyle name="쉼표 [0] 2 2 2 2 4" xfId="11819"/>
    <cellStyle name="쉼표 [0] 2 2 2 2 5" xfId="11820"/>
    <cellStyle name="쉼표 [0] 2 2 2 2 6" xfId="11821"/>
    <cellStyle name="쉼표 [0] 2 2 2 2 7" xfId="11822"/>
    <cellStyle name="쉼표 [0] 2 2 2 3" xfId="11823"/>
    <cellStyle name="쉼표 [0] 2 2 2 4" xfId="11824"/>
    <cellStyle name="쉼표 [0] 2 2 2 5" xfId="11825"/>
    <cellStyle name="쉼표 [0] 2 2 2 6" xfId="11826"/>
    <cellStyle name="쉼표 [0] 2 2 2 7" xfId="11827"/>
    <cellStyle name="쉼표 [0] 2 2 2 8" xfId="11828"/>
    <cellStyle name="쉼표 [0] 2 2 2 9" xfId="11829"/>
    <cellStyle name="쉼표 [0] 2 2 3" xfId="5311"/>
    <cellStyle name="쉼표 [0] 2 2 4" xfId="5312"/>
    <cellStyle name="쉼표 [0] 2 2 5" xfId="5313"/>
    <cellStyle name="쉼표 [0] 2 2 6" xfId="11830"/>
    <cellStyle name="쉼표 [0] 2 2 7" xfId="11831"/>
    <cellStyle name="쉼표 [0] 2 2 8" xfId="11832"/>
    <cellStyle name="쉼표 [0] 2 2 9" xfId="11833"/>
    <cellStyle name="쉼표 [0] 2 3" xfId="5314"/>
    <cellStyle name="쉼표 [0] 2 3 2" xfId="5315"/>
    <cellStyle name="쉼표 [0] 2 3 3" xfId="11834"/>
    <cellStyle name="쉼표 [0] 2 3 4" xfId="11835"/>
    <cellStyle name="쉼표 [0] 2 3 5" xfId="12461"/>
    <cellStyle name="쉼표 [0] 2 4" xfId="5316"/>
    <cellStyle name="쉼표 [0] 2 4 2" xfId="5317"/>
    <cellStyle name="쉼표 [0] 2 5" xfId="5318"/>
    <cellStyle name="쉼표 [0] 2 6" xfId="5319"/>
    <cellStyle name="쉼표 [0] 2 7" xfId="11836"/>
    <cellStyle name="쉼표 [0] 2 8" xfId="11837"/>
    <cellStyle name="쉼표 [0] 2 9" xfId="11838"/>
    <cellStyle name="쉼표 [0] 2_북삼오평_실시설계(원가심사반영)(1)" xfId="5320"/>
    <cellStyle name="쉼표 [0] 20" xfId="5321"/>
    <cellStyle name="쉼표 [0] 21" xfId="5322"/>
    <cellStyle name="쉼표 [0] 22" xfId="5323"/>
    <cellStyle name="쉼표 [0] 23" xfId="5324"/>
    <cellStyle name="쉼표 [0] 24" xfId="5325"/>
    <cellStyle name="쉼표 [0] 25" xfId="5326"/>
    <cellStyle name="쉼표 [0] 26" xfId="5327"/>
    <cellStyle name="쉼표 [0] 27" xfId="5328"/>
    <cellStyle name="쉼표 [0] 28" xfId="11839"/>
    <cellStyle name="쉼표 [0] 29" xfId="5329"/>
    <cellStyle name="쉼표 [0] 3" xfId="5330"/>
    <cellStyle name="쉼표 [0] 3 2" xfId="5331"/>
    <cellStyle name="쉼표 [0] 3 2 2" xfId="5332"/>
    <cellStyle name="쉼표 [0] 3 2 3" xfId="5333"/>
    <cellStyle name="쉼표 [0] 3 3" xfId="5334"/>
    <cellStyle name="쉼표 [0] 30" xfId="11840"/>
    <cellStyle name="쉼표 [0] 31" xfId="11841"/>
    <cellStyle name="쉼표 [0] 32" xfId="11842"/>
    <cellStyle name="쉼표 [0] 4" xfId="5335"/>
    <cellStyle name="쉼표 [0] 4 2" xfId="5336"/>
    <cellStyle name="쉼표 [0] 4 2 2" xfId="5337"/>
    <cellStyle name="쉼표 [0] 4 3" xfId="5338"/>
    <cellStyle name="쉼표 [0] 4 4" xfId="11843"/>
    <cellStyle name="쉼표 [0] 5" xfId="5339"/>
    <cellStyle name="쉼표 [0] 5 2" xfId="5340"/>
    <cellStyle name="쉼표 [0] 5 3" xfId="5341"/>
    <cellStyle name="쉼표 [0] 5 4" xfId="5342"/>
    <cellStyle name="쉼표 [0] 6" xfId="5343"/>
    <cellStyle name="쉼표 [0] 6 2" xfId="5344"/>
    <cellStyle name="쉼표 [0] 6 2 2" xfId="5345"/>
    <cellStyle name="쉼표 [0] 6 2 2 2" xfId="5346"/>
    <cellStyle name="쉼표 [0] 6 2 2 3" xfId="5347"/>
    <cellStyle name="쉼표 [0] 6 2 2 3 2" xfId="11844"/>
    <cellStyle name="쉼표 [0] 6 2 2 3 3" xfId="11845"/>
    <cellStyle name="쉼표 [0] 6 2 2 4" xfId="11846"/>
    <cellStyle name="쉼표 [0] 6 2 2 5" xfId="11847"/>
    <cellStyle name="쉼표 [0] 6 3" xfId="5348"/>
    <cellStyle name="쉼표 [0] 6 4" xfId="5349"/>
    <cellStyle name="쉼표 [0] 6 4 2" xfId="5350"/>
    <cellStyle name="쉼표 [0] 6 4 3" xfId="5351"/>
    <cellStyle name="쉼표 [0] 6 5" xfId="5352"/>
    <cellStyle name="쉼표 [0] 6 5 2" xfId="5353"/>
    <cellStyle name="쉼표 [0] 6 5 3" xfId="5354"/>
    <cellStyle name="쉼표 [0] 6 5 3 2" xfId="11848"/>
    <cellStyle name="쉼표 [0] 6 5 3 3" xfId="11849"/>
    <cellStyle name="쉼표 [0] 6 5 4" xfId="11850"/>
    <cellStyle name="쉼표 [0] 6 5 5" xfId="11851"/>
    <cellStyle name="쉼표 [0] 6 6" xfId="5355"/>
    <cellStyle name="쉼표 [0] 7" xfId="5356"/>
    <cellStyle name="쉼표 [0] 7 2" xfId="5357"/>
    <cellStyle name="쉼표 [0] 7 2 2" xfId="5358"/>
    <cellStyle name="쉼표 [0] 7 3" xfId="5359"/>
    <cellStyle name="쉼표 [0] 7 3 2" xfId="5360"/>
    <cellStyle name="쉼표 [0] 7 3 3" xfId="5361"/>
    <cellStyle name="쉼표 [0] 8" xfId="5362"/>
    <cellStyle name="쉼표 [0] 8 2" xfId="5363"/>
    <cellStyle name="쉼표 [0] 8 3" xfId="5364"/>
    <cellStyle name="쉼표 [0] 9" xfId="5365"/>
    <cellStyle name="쉼표 2" xfId="5366"/>
    <cellStyle name="쉼표 4" xfId="11852"/>
    <cellStyle name="쉼표 5" xfId="11853"/>
    <cellStyle name="쉼표 6" xfId="11854"/>
    <cellStyle name="쉼표 7" xfId="11855"/>
    <cellStyle name="쉼표[0]" xfId="5367"/>
    <cellStyle name="쉼표[0] 2" xfId="5368"/>
    <cellStyle name="쉼표[0] 2 2" xfId="5369"/>
    <cellStyle name="쉼표[0] 3" xfId="5370"/>
    <cellStyle name="쉼표[0] 3 2" xfId="5371"/>
    <cellStyle name="쉼표[0] 4" xfId="5372"/>
    <cellStyle name="쉼표[0] 4 2" xfId="5373"/>
    <cellStyle name="쉼표[0] 5" xfId="5374"/>
    <cellStyle name="스타일 1" xfId="112"/>
    <cellStyle name="스타일 1 2" xfId="5375"/>
    <cellStyle name="스타일 1 3" xfId="11856"/>
    <cellStyle name="스타일 1 4" xfId="11857"/>
    <cellStyle name="스타일 1_총괄표" xfId="11858"/>
    <cellStyle name="스타일 10" xfId="11859"/>
    <cellStyle name="스타일 100" xfId="11860"/>
    <cellStyle name="스타일 101" xfId="11861"/>
    <cellStyle name="스타일 102" xfId="11862"/>
    <cellStyle name="스타일 103" xfId="11863"/>
    <cellStyle name="스타일 104" xfId="11864"/>
    <cellStyle name="스타일 105" xfId="11865"/>
    <cellStyle name="스타일 106" xfId="11866"/>
    <cellStyle name="스타일 107" xfId="11867"/>
    <cellStyle name="스타일 108" xfId="11868"/>
    <cellStyle name="스타일 109" xfId="11869"/>
    <cellStyle name="스타일 11" xfId="11870"/>
    <cellStyle name="스타일 110" xfId="11871"/>
    <cellStyle name="스타일 111" xfId="11872"/>
    <cellStyle name="스타일 112" xfId="11873"/>
    <cellStyle name="스타일 113" xfId="11874"/>
    <cellStyle name="스타일 114" xfId="11875"/>
    <cellStyle name="스타일 115" xfId="11876"/>
    <cellStyle name="스타일 116" xfId="11877"/>
    <cellStyle name="스타일 117" xfId="11878"/>
    <cellStyle name="스타일 118" xfId="11879"/>
    <cellStyle name="스타일 119" xfId="11880"/>
    <cellStyle name="스타일 12" xfId="11881"/>
    <cellStyle name="스타일 120" xfId="11882"/>
    <cellStyle name="스타일 121" xfId="11883"/>
    <cellStyle name="스타일 122" xfId="11884"/>
    <cellStyle name="스타일 123" xfId="11885"/>
    <cellStyle name="스타일 124" xfId="11886"/>
    <cellStyle name="스타일 125" xfId="11887"/>
    <cellStyle name="스타일 126" xfId="11888"/>
    <cellStyle name="스타일 127" xfId="11889"/>
    <cellStyle name="스타일 128" xfId="11890"/>
    <cellStyle name="스타일 129" xfId="11891"/>
    <cellStyle name="스타일 13" xfId="11892"/>
    <cellStyle name="스타일 130" xfId="11893"/>
    <cellStyle name="스타일 131" xfId="11894"/>
    <cellStyle name="스타일 132" xfId="11895"/>
    <cellStyle name="스타일 133" xfId="11896"/>
    <cellStyle name="스타일 134" xfId="11897"/>
    <cellStyle name="스타일 135" xfId="11898"/>
    <cellStyle name="스타일 136" xfId="11899"/>
    <cellStyle name="스타일 137" xfId="11900"/>
    <cellStyle name="스타일 138" xfId="11901"/>
    <cellStyle name="스타일 139" xfId="11902"/>
    <cellStyle name="스타일 14" xfId="11903"/>
    <cellStyle name="스타일 140" xfId="11904"/>
    <cellStyle name="스타일 141" xfId="11905"/>
    <cellStyle name="스타일 142" xfId="11906"/>
    <cellStyle name="스타일 143" xfId="11907"/>
    <cellStyle name="스타일 144" xfId="11908"/>
    <cellStyle name="스타일 145" xfId="11909"/>
    <cellStyle name="스타일 146" xfId="11910"/>
    <cellStyle name="스타일 147" xfId="11911"/>
    <cellStyle name="스타일 148" xfId="11912"/>
    <cellStyle name="스타일 149" xfId="11913"/>
    <cellStyle name="스타일 15" xfId="11914"/>
    <cellStyle name="스타일 150" xfId="11915"/>
    <cellStyle name="스타일 151" xfId="11916"/>
    <cellStyle name="스타일 152" xfId="11917"/>
    <cellStyle name="스타일 153" xfId="11918"/>
    <cellStyle name="스타일 154" xfId="11919"/>
    <cellStyle name="스타일 155" xfId="11920"/>
    <cellStyle name="스타일 156" xfId="11921"/>
    <cellStyle name="스타일 157" xfId="11922"/>
    <cellStyle name="스타일 158" xfId="11923"/>
    <cellStyle name="스타일 159" xfId="11924"/>
    <cellStyle name="스타일 16" xfId="11925"/>
    <cellStyle name="스타일 160" xfId="11926"/>
    <cellStyle name="스타일 161" xfId="11927"/>
    <cellStyle name="스타일 162" xfId="11928"/>
    <cellStyle name="스타일 163" xfId="11929"/>
    <cellStyle name="스타일 164" xfId="11930"/>
    <cellStyle name="스타일 165" xfId="11931"/>
    <cellStyle name="스타일 166" xfId="11932"/>
    <cellStyle name="스타일 167" xfId="11933"/>
    <cellStyle name="스타일 168" xfId="11934"/>
    <cellStyle name="스타일 169" xfId="11935"/>
    <cellStyle name="스타일 17" xfId="11936"/>
    <cellStyle name="스타일 170" xfId="11937"/>
    <cellStyle name="스타일 171" xfId="11938"/>
    <cellStyle name="스타일 172" xfId="11939"/>
    <cellStyle name="스타일 173" xfId="11940"/>
    <cellStyle name="스타일 174" xfId="11941"/>
    <cellStyle name="스타일 175" xfId="11942"/>
    <cellStyle name="스타일 176" xfId="11943"/>
    <cellStyle name="스타일 177" xfId="11944"/>
    <cellStyle name="스타일 178" xfId="11945"/>
    <cellStyle name="스타일 179" xfId="11946"/>
    <cellStyle name="스타일 18" xfId="11947"/>
    <cellStyle name="스타일 180" xfId="11948"/>
    <cellStyle name="스타일 181" xfId="11949"/>
    <cellStyle name="스타일 182" xfId="11950"/>
    <cellStyle name="스타일 183" xfId="11951"/>
    <cellStyle name="스타일 184" xfId="11952"/>
    <cellStyle name="스타일 185" xfId="11953"/>
    <cellStyle name="스타일 186" xfId="11954"/>
    <cellStyle name="스타일 187" xfId="11955"/>
    <cellStyle name="스타일 188" xfId="11956"/>
    <cellStyle name="스타일 189" xfId="11957"/>
    <cellStyle name="스타일 19" xfId="11958"/>
    <cellStyle name="스타일 190" xfId="11959"/>
    <cellStyle name="스타일 191" xfId="11960"/>
    <cellStyle name="스타일 192" xfId="11961"/>
    <cellStyle name="스타일 193" xfId="11962"/>
    <cellStyle name="스타일 194" xfId="11963"/>
    <cellStyle name="스타일 195" xfId="11964"/>
    <cellStyle name="스타일 196" xfId="11965"/>
    <cellStyle name="스타일 197" xfId="11966"/>
    <cellStyle name="스타일 198" xfId="11967"/>
    <cellStyle name="스타일 199" xfId="11968"/>
    <cellStyle name="스타일 2" xfId="5376"/>
    <cellStyle name="스타일 2 2" xfId="12688"/>
    <cellStyle name="스타일 20" xfId="11969"/>
    <cellStyle name="스타일 200" xfId="11970"/>
    <cellStyle name="스타일 201" xfId="11971"/>
    <cellStyle name="스타일 202" xfId="11972"/>
    <cellStyle name="스타일 203" xfId="11973"/>
    <cellStyle name="스타일 204" xfId="11974"/>
    <cellStyle name="스타일 205" xfId="11975"/>
    <cellStyle name="스타일 206" xfId="11976"/>
    <cellStyle name="스타일 207" xfId="11977"/>
    <cellStyle name="스타일 208" xfId="11978"/>
    <cellStyle name="스타일 209" xfId="11979"/>
    <cellStyle name="스타일 21" xfId="11980"/>
    <cellStyle name="스타일 210" xfId="11981"/>
    <cellStyle name="스타일 211" xfId="11982"/>
    <cellStyle name="스타일 212" xfId="11983"/>
    <cellStyle name="스타일 213" xfId="11984"/>
    <cellStyle name="스타일 214" xfId="11985"/>
    <cellStyle name="스타일 215" xfId="11986"/>
    <cellStyle name="스타일 216" xfId="11987"/>
    <cellStyle name="스타일 217" xfId="11988"/>
    <cellStyle name="스타일 218" xfId="11989"/>
    <cellStyle name="스타일 219" xfId="11990"/>
    <cellStyle name="스타일 22" xfId="11991"/>
    <cellStyle name="스타일 220" xfId="11992"/>
    <cellStyle name="스타일 221" xfId="11993"/>
    <cellStyle name="스타일 222" xfId="11994"/>
    <cellStyle name="스타일 223" xfId="11995"/>
    <cellStyle name="스타일 224" xfId="11996"/>
    <cellStyle name="스타일 225" xfId="11997"/>
    <cellStyle name="스타일 226" xfId="11998"/>
    <cellStyle name="스타일 227" xfId="11999"/>
    <cellStyle name="스타일 228" xfId="12000"/>
    <cellStyle name="스타일 229" xfId="12001"/>
    <cellStyle name="스타일 23" xfId="12002"/>
    <cellStyle name="스타일 230" xfId="12003"/>
    <cellStyle name="스타일 231" xfId="12004"/>
    <cellStyle name="스타일 232" xfId="12005"/>
    <cellStyle name="스타일 233" xfId="12006"/>
    <cellStyle name="스타일 234" xfId="12007"/>
    <cellStyle name="스타일 235" xfId="12008"/>
    <cellStyle name="스타일 236" xfId="12009"/>
    <cellStyle name="스타일 237" xfId="12010"/>
    <cellStyle name="스타일 238" xfId="12011"/>
    <cellStyle name="스타일 239" xfId="12012"/>
    <cellStyle name="스타일 24" xfId="12013"/>
    <cellStyle name="스타일 240" xfId="12014"/>
    <cellStyle name="스타일 241" xfId="12015"/>
    <cellStyle name="스타일 242" xfId="12016"/>
    <cellStyle name="스타일 243" xfId="12017"/>
    <cellStyle name="스타일 244" xfId="12018"/>
    <cellStyle name="스타일 245" xfId="12019"/>
    <cellStyle name="스타일 246" xfId="12020"/>
    <cellStyle name="스타일 247" xfId="12021"/>
    <cellStyle name="스타일 248" xfId="12022"/>
    <cellStyle name="스타일 249" xfId="12023"/>
    <cellStyle name="스타일 25" xfId="12024"/>
    <cellStyle name="스타일 250" xfId="12025"/>
    <cellStyle name="스타일 251" xfId="12026"/>
    <cellStyle name="스타일 252" xfId="12027"/>
    <cellStyle name="스타일 253" xfId="12028"/>
    <cellStyle name="스타일 254" xfId="12029"/>
    <cellStyle name="스타일 255" xfId="12030"/>
    <cellStyle name="스타일 26" xfId="12031"/>
    <cellStyle name="스타일 27" xfId="12032"/>
    <cellStyle name="스타일 28" xfId="12033"/>
    <cellStyle name="스타일 29" xfId="12034"/>
    <cellStyle name="스타일 3" xfId="5377"/>
    <cellStyle name="스타일 30" xfId="12035"/>
    <cellStyle name="스타일 31" xfId="12036"/>
    <cellStyle name="스타일 32" xfId="12037"/>
    <cellStyle name="스타일 33" xfId="12038"/>
    <cellStyle name="스타일 34" xfId="12039"/>
    <cellStyle name="스타일 35" xfId="12040"/>
    <cellStyle name="스타일 36" xfId="12041"/>
    <cellStyle name="스타일 37" xfId="12042"/>
    <cellStyle name="스타일 38" xfId="12043"/>
    <cellStyle name="스타일 39" xfId="12044"/>
    <cellStyle name="스타일 4" xfId="5378"/>
    <cellStyle name="스타일 40" xfId="12045"/>
    <cellStyle name="스타일 41" xfId="12046"/>
    <cellStyle name="스타일 42" xfId="12047"/>
    <cellStyle name="스타일 43" xfId="12048"/>
    <cellStyle name="스타일 44" xfId="12049"/>
    <cellStyle name="스타일 45" xfId="12050"/>
    <cellStyle name="스타일 46" xfId="12051"/>
    <cellStyle name="스타일 47" xfId="12052"/>
    <cellStyle name="스타일 48" xfId="12053"/>
    <cellStyle name="스타일 49" xfId="12054"/>
    <cellStyle name="스타일 5" xfId="5379"/>
    <cellStyle name="스타일 50" xfId="12055"/>
    <cellStyle name="스타일 51" xfId="12056"/>
    <cellStyle name="스타일 52" xfId="12057"/>
    <cellStyle name="스타일 53" xfId="12058"/>
    <cellStyle name="스타일 54" xfId="12059"/>
    <cellStyle name="스타일 55" xfId="12060"/>
    <cellStyle name="스타일 56" xfId="12061"/>
    <cellStyle name="스타일 57" xfId="12062"/>
    <cellStyle name="스타일 58" xfId="12063"/>
    <cellStyle name="스타일 59" xfId="12064"/>
    <cellStyle name="스타일 6" xfId="12065"/>
    <cellStyle name="스타일 60" xfId="12066"/>
    <cellStyle name="스타일 61" xfId="12067"/>
    <cellStyle name="스타일 62" xfId="12068"/>
    <cellStyle name="스타일 63" xfId="12069"/>
    <cellStyle name="스타일 64" xfId="12070"/>
    <cellStyle name="스타일 65" xfId="12071"/>
    <cellStyle name="스타일 66" xfId="12072"/>
    <cellStyle name="스타일 67" xfId="12073"/>
    <cellStyle name="스타일 68" xfId="12074"/>
    <cellStyle name="스타일 69" xfId="12075"/>
    <cellStyle name="스타일 7" xfId="12076"/>
    <cellStyle name="스타일 70" xfId="12077"/>
    <cellStyle name="스타일 71" xfId="12078"/>
    <cellStyle name="스타일 72" xfId="12079"/>
    <cellStyle name="스타일 73" xfId="12080"/>
    <cellStyle name="스타일 74" xfId="12081"/>
    <cellStyle name="스타일 75" xfId="12082"/>
    <cellStyle name="스타일 76" xfId="12083"/>
    <cellStyle name="스타일 77" xfId="12084"/>
    <cellStyle name="스타일 78" xfId="12085"/>
    <cellStyle name="스타일 79" xfId="12086"/>
    <cellStyle name="스타일 8" xfId="12087"/>
    <cellStyle name="스타일 80" xfId="12088"/>
    <cellStyle name="스타일 81" xfId="12089"/>
    <cellStyle name="스타일 82" xfId="12090"/>
    <cellStyle name="스타일 83" xfId="12091"/>
    <cellStyle name="스타일 84" xfId="12092"/>
    <cellStyle name="스타일 85" xfId="12093"/>
    <cellStyle name="스타일 86" xfId="12094"/>
    <cellStyle name="스타일 87" xfId="12095"/>
    <cellStyle name="스타일 88" xfId="12096"/>
    <cellStyle name="스타일 89" xfId="12097"/>
    <cellStyle name="스타일 9" xfId="12098"/>
    <cellStyle name="스타일 90" xfId="12099"/>
    <cellStyle name="스타일 91" xfId="12100"/>
    <cellStyle name="스타일 92" xfId="12101"/>
    <cellStyle name="스타일 93" xfId="12102"/>
    <cellStyle name="스타일 94" xfId="12103"/>
    <cellStyle name="스타일 95" xfId="12104"/>
    <cellStyle name="스타일 96" xfId="12105"/>
    <cellStyle name="스타일 97" xfId="12106"/>
    <cellStyle name="스타일 98" xfId="12107"/>
    <cellStyle name="스타일 99" xfId="12108"/>
    <cellStyle name="실선" xfId="12109"/>
    <cellStyle name="안건회계법인" xfId="113"/>
    <cellStyle name="안건회계법인⁬⸵⼰⸷‰o" xfId="12110"/>
    <cellStyle name="양식-타이틀" xfId="12111"/>
    <cellStyle name="연결된 셀 2" xfId="5380"/>
    <cellStyle name="연결된 셀 2 2" xfId="5381"/>
    <cellStyle name="연결된 셀 3" xfId="5382"/>
    <cellStyle name="연결된 셀 4" xfId="5383"/>
    <cellStyle name="열어본 하이퍼링크" xfId="5384"/>
    <cellStyle name="왼" xfId="5385"/>
    <cellStyle name="왼쪽2" xfId="5386"/>
    <cellStyle name="왼쪽2 2" xfId="5387"/>
    <cellStyle name="왼쪽2 2 2" xfId="5388"/>
    <cellStyle name="왼쪽2 3" xfId="5389"/>
    <cellStyle name="왼쪽2 3 2" xfId="5390"/>
    <cellStyle name="왼쪽2 4" xfId="5391"/>
    <cellStyle name="왼쪽2 4 2" xfId="5392"/>
    <cellStyle name="왼쪽2 5" xfId="5393"/>
    <cellStyle name="왼쪽5" xfId="5394"/>
    <cellStyle name="요약 2" xfId="5395"/>
    <cellStyle name="요약 2 2" xfId="5396"/>
    <cellStyle name="요약 2 2 2" xfId="5397"/>
    <cellStyle name="요약 2 2 2 2" xfId="5398"/>
    <cellStyle name="요약 2 2 3" xfId="5399"/>
    <cellStyle name="요약 2 2 3 2" xfId="5400"/>
    <cellStyle name="요약 2 2 4" xfId="5401"/>
    <cellStyle name="요약 2 2 4 2" xfId="5402"/>
    <cellStyle name="요약 2 2 5" xfId="5403"/>
    <cellStyle name="요약 2 3" xfId="5404"/>
    <cellStyle name="요약 2 3 2" xfId="5405"/>
    <cellStyle name="요약 2 3 3" xfId="5406"/>
    <cellStyle name="요약 2 4" xfId="5407"/>
    <cellStyle name="요약 2 4 2" xfId="5408"/>
    <cellStyle name="요약 2 5" xfId="5409"/>
    <cellStyle name="요약 2 5 2" xfId="5410"/>
    <cellStyle name="요약 2 6" xfId="5411"/>
    <cellStyle name="요약 3" xfId="5412"/>
    <cellStyle name="요약 3 2" xfId="5413"/>
    <cellStyle name="요약 3 2 2" xfId="5414"/>
    <cellStyle name="요약 3 3" xfId="5415"/>
    <cellStyle name="요약 3 3 2" xfId="5416"/>
    <cellStyle name="요약 3 4" xfId="5417"/>
    <cellStyle name="요약 3 4 2" xfId="5418"/>
    <cellStyle name="요약 3 5" xfId="5419"/>
    <cellStyle name="요약 4" xfId="5420"/>
    <cellStyle name="요약 4 2" xfId="5421"/>
    <cellStyle name="요약 4 2 2" xfId="5422"/>
    <cellStyle name="요약 4 3" xfId="5423"/>
    <cellStyle name="요약 4 3 2" xfId="5424"/>
    <cellStyle name="요약 4 4" xfId="5425"/>
    <cellStyle name="요약 4 4 2" xfId="5426"/>
    <cellStyle name="요약 4 5" xfId="5427"/>
    <cellStyle name="우괄호_박심배수구조물공" xfId="5428"/>
    <cellStyle name="우측양괄호" xfId="5429"/>
    <cellStyle name="원" xfId="114"/>
    <cellStyle name="원 2" xfId="12689"/>
    <cellStyle name="원_0008금감원통합감독검사정보시스템" xfId="12112"/>
    <cellStyle name="원_0009김포공항LED교체공사(광일)" xfId="5430"/>
    <cellStyle name="원_0011KIST소각설비제작설치" xfId="12113"/>
    <cellStyle name="원_0011긴급전화기정산(99년형광일)" xfId="5431"/>
    <cellStyle name="원_0011부산종합경기장전광판" xfId="5432"/>
    <cellStyle name="원_0012문화유적지표석제작설치" xfId="12114"/>
    <cellStyle name="원_0102국제조명신공항분수조명" xfId="12115"/>
    <cellStyle name="원_0103회전식현수막게시대제작설치" xfId="12116"/>
    <cellStyle name="원_0104포항시침출수처리시스템" xfId="12117"/>
    <cellStyle name="원_0105담배자판기개조원가" xfId="12118"/>
    <cellStyle name="원_0106LG인버터냉난방기제작-1" xfId="12119"/>
    <cellStyle name="원_0107광전송장비구매설치" xfId="12120"/>
    <cellStyle name="원_0107도공IBS설비SW부문(참조)" xfId="12121"/>
    <cellStyle name="원_0107문화재복원용목재-8월6일" xfId="12122"/>
    <cellStyle name="원_0107포천영중수배전반(제조,설치)" xfId="12123"/>
    <cellStyle name="원_0108농기반미곡건조기제작설치" xfId="12124"/>
    <cellStyle name="원_0108담배인삼공사영업춘추복" xfId="12125"/>
    <cellStyle name="원_0108한국전기교통-LED교통신호등((원본))" xfId="12126"/>
    <cellStyle name="원_0111해양수산부등명기제작" xfId="12127"/>
    <cellStyle name="원_0111핸디소프트-전자표준문서시스템" xfId="12128"/>
    <cellStyle name="원_0112금감원사무자동화시스템" xfId="12129"/>
    <cellStyle name="원_0112수도권매립지SW원가" xfId="12130"/>
    <cellStyle name="원_0112중고원-HRD종합정보망구축(完)" xfId="12131"/>
    <cellStyle name="원_02 김제1-1공구(설계가1203입수)" xfId="5433"/>
    <cellStyle name="원_0201종합예술회관의자제작설치-1" xfId="12132"/>
    <cellStyle name="원_0202마사회근무복" xfId="12133"/>
    <cellStyle name="원_0202부경교재-승강칠판" xfId="12134"/>
    <cellStyle name="원_0204한국석묘납골함-1규격" xfId="12135"/>
    <cellStyle name="원_0206금감원금융정보교환망재구축" xfId="12136"/>
    <cellStyle name="원_0206정통부수납장표기기제작설치" xfId="12137"/>
    <cellStyle name="원_0207담배인삼공사-담요" xfId="12138"/>
    <cellStyle name="원_0208레비텍-다층여과기설계변경" xfId="12139"/>
    <cellStyle name="원_0209이산화염소발생기-설치(50K)" xfId="12140"/>
    <cellStyle name="원_0210현대정보기술-TD이중계" xfId="12141"/>
    <cellStyle name="원_0211조달청-#1대북지원사업정산(1월7일)" xfId="12142"/>
    <cellStyle name="원_0212금감원-법규정보시스템(完)" xfId="12143"/>
    <cellStyle name="원_0301교통방송-CCTV유지보수" xfId="12144"/>
    <cellStyle name="원_0302인천경찰청-무인단속기위탁관리" xfId="12145"/>
    <cellStyle name="원_0302조달청-대북지원2차(안성연)" xfId="12146"/>
    <cellStyle name="원_0302조달청-대북지원2차(최수현)" xfId="12147"/>
    <cellStyle name="원_0302표준문서-쌍용정보통신(신)" xfId="12148"/>
    <cellStyle name="원_0304소프트파워-정부표준전자문서시스템" xfId="12149"/>
    <cellStyle name="원_0304소프트파워-정부표준전자문서시스템(完)" xfId="12150"/>
    <cellStyle name="원_0304철도청-주변환장치-1" xfId="12151"/>
    <cellStyle name="원_0305금감원-금융통계정보시스템구축(完)" xfId="12152"/>
    <cellStyle name="원_0305제낭조합-면범포지" xfId="12153"/>
    <cellStyle name="원_0306제낭공업협동조합-면범포지원단(경비까지)" xfId="12154"/>
    <cellStyle name="원_0307경찰청-무인교통단속표준SW개발용역(完)" xfId="12155"/>
    <cellStyle name="원_0308조달청-#8대북지원사업정산" xfId="12156"/>
    <cellStyle name="원_0309두합크린텍-설치원가" xfId="12157"/>
    <cellStyle name="원_0309조달청-#9대북지원사업정산" xfId="12158"/>
    <cellStyle name="원_0310여주상수도-탈수기(유천ENG)" xfId="12159"/>
    <cellStyle name="원_0311대기해양작업시간" xfId="12160"/>
    <cellStyle name="원_0311대기해양중형등명기" xfId="12161"/>
    <cellStyle name="원_0312국민체육진흥공단-전기부문" xfId="12162"/>
    <cellStyle name="원_0312대기해양-중형등명기제작설치" xfId="12163"/>
    <cellStyle name="원_0312라이준-칼라아스콘4규격" xfId="12164"/>
    <cellStyle name="원_03기본및실시설계" xfId="5434"/>
    <cellStyle name="원_0401집진기프로그램SW개발비산정" xfId="12165"/>
    <cellStyle name="원_0404도로공사-전자지불(SW부문)" xfId="12166"/>
    <cellStyle name="원_1_알루미늄 사물함 1인용(최종)" xfId="12167"/>
    <cellStyle name="원_2.자재집계" xfId="5435"/>
    <cellStyle name="원_2001-06조달청신성-한냉지형" xfId="12168"/>
    <cellStyle name="원_2002-03경찰대학-졸업식" xfId="12169"/>
    <cellStyle name="원_2002-03경찰청-경찰표지장" xfId="12170"/>
    <cellStyle name="원_2002-03반디-가로등(열주형)" xfId="12171"/>
    <cellStyle name="원_2002-03신화전자-감지기" xfId="12172"/>
    <cellStyle name="원_2002-04강원랜드-슬러트머신" xfId="12173"/>
    <cellStyle name="원_2002-04메가컴-외주무대" xfId="12174"/>
    <cellStyle name="원_2002-04엘지애드-무대" xfId="12175"/>
    <cellStyle name="원_2002-05강원랜드-슬러트머신(넥스터)" xfId="12176"/>
    <cellStyle name="원_2002-05경기경찰청-냉온수기공사" xfId="12177"/>
    <cellStyle name="원_2002-05대통령비서실-카페트" xfId="12178"/>
    <cellStyle name="원_2002결과표" xfId="12179"/>
    <cellStyle name="원_2002결과표1" xfId="12180"/>
    <cellStyle name="원_2003-01정일사-표창5종" xfId="12181"/>
    <cellStyle name="원_2007 알고가 유지보수 견적(070124_1억삼천)" xfId="12690"/>
    <cellStyle name="원_99옥성양보완" xfId="12182"/>
    <cellStyle name="원_Book1" xfId="12691"/>
    <cellStyle name="원_Pilot플랜트-계변경" xfId="12183"/>
    <cellStyle name="원_Pilot플랜트이전설치-변경최종" xfId="12184"/>
    <cellStyle name="원_SW(케이비)" xfId="12185"/>
    <cellStyle name="원_간지,목차,페이지,표지" xfId="12186"/>
    <cellStyle name="원_감곡 건축(양수장 관리사)보완최종" xfId="5436"/>
    <cellStyle name="원_강정내역" xfId="12187"/>
    <cellStyle name="원_경찰청-근무,기동복" xfId="12188"/>
    <cellStyle name="원_공사일반관리비양식" xfId="12189"/>
    <cellStyle name="원_교통관리내역서-1008" xfId="12692"/>
    <cellStyle name="원_기초공사" xfId="12190"/>
    <cellStyle name="원_기초처리(북창제)" xfId="5437"/>
    <cellStyle name="원_기초처리(신성제)" xfId="5438"/>
    <cellStyle name="원_기초처리(용산제)" xfId="5439"/>
    <cellStyle name="원_네인텍정보기술-회로카드(수현)" xfId="12191"/>
    <cellStyle name="원_대기해양노무비" xfId="12192"/>
    <cellStyle name="원_대북자재8월분" xfId="12193"/>
    <cellStyle name="원_대북자재8월분-1" xfId="12194"/>
    <cellStyle name="원_대정수정내역" xfId="12195"/>
    <cellStyle name="원_도로공사MM" xfId="12196"/>
    <cellStyle name="원_도로공사tcssw" xfId="12197"/>
    <cellStyle name="원_도장면적환산" xfId="12198"/>
    <cellStyle name="원_동구초등학교스텐드캐노피외제작설치" xfId="12199"/>
    <cellStyle name="원_동산용사촌수현(원본)" xfId="12200"/>
    <cellStyle name="원_매내천" xfId="115"/>
    <cellStyle name="원_매내천 2" xfId="5440"/>
    <cellStyle name="원_매내천_측구공1_1지구포장수량산출 " xfId="5441"/>
    <cellStyle name="원_백석수지예산서" xfId="5442"/>
    <cellStyle name="원_백제군사전시1" xfId="12201"/>
    <cellStyle name="원_부대공(1공구)" xfId="12202"/>
    <cellStyle name="원_석재조합0224" xfId="12203"/>
    <cellStyle name="원_설계서" xfId="5443"/>
    <cellStyle name="원_설치위치별세부내역(VMS)-0323" xfId="12693"/>
    <cellStyle name="원_수양지구(원가계산서)" xfId="5444"/>
    <cellStyle name="원_수양지구(총괄표)" xfId="5445"/>
    <cellStyle name="원_수초제거기(대양기계)" xfId="12204"/>
    <cellStyle name="원_시설용역" xfId="12205"/>
    <cellStyle name="원_암전정밀실체현미경(수현)" xfId="12694"/>
    <cellStyle name="원_예산내역서_060913_5" xfId="12695"/>
    <cellStyle name="원_오리엔탈" xfId="12206"/>
    <cellStyle name="원_원가계산-교통1011" xfId="12696"/>
    <cellStyle name="원_원본 - 한국전기교통-개선형신호등 4종" xfId="12207"/>
    <cellStyle name="원_인흥공사비(수지예산서)" xfId="5446"/>
    <cellStyle name="원_점리내역" xfId="5447"/>
    <cellStyle name="원_제경비율모음" xfId="12208"/>
    <cellStyle name="원_제조원가" xfId="12209"/>
    <cellStyle name="원_조달청-B판사천강교제작(최종본)" xfId="12210"/>
    <cellStyle name="원_조달청-대북지원3차(최수현)" xfId="12211"/>
    <cellStyle name="원_조달청-대북지원4차(최수현)" xfId="12212"/>
    <cellStyle name="원_조달청-대북지원5차(최수현)" xfId="12213"/>
    <cellStyle name="원_조달청-대북지원6차(번호)" xfId="12214"/>
    <cellStyle name="원_조달청-대북지원6차(최수현)" xfId="12215"/>
    <cellStyle name="원_조달청-대북지원7차(최수현)" xfId="12216"/>
    <cellStyle name="원_조달청-대북지원8차(최수현)" xfId="12217"/>
    <cellStyle name="원_조달청-대북지원9차(최수현)" xfId="12218"/>
    <cellStyle name="원_중앙선관위(투표,개표)" xfId="12219"/>
    <cellStyle name="원_중앙선관위(투표,개표)-사본" xfId="12220"/>
    <cellStyle name="원_지부송부-포동내역-1" xfId="12221"/>
    <cellStyle name="원_창봉지급자재단가" xfId="5448"/>
    <cellStyle name="원_철공가공조립" xfId="12222"/>
    <cellStyle name="원_최종-한국전기교통-개선형신호등 4종(공수조정)" xfId="12223"/>
    <cellStyle name="원_칠원대산입찰내역서" xfId="5449"/>
    <cellStyle name="원_코솔라-제조원가" xfId="12224"/>
    <cellStyle name="원_탄천보도교 정비 및 개선공사 제작,설치(수정)1216" xfId="12225"/>
    <cellStyle name="원_토지공사-간접비" xfId="12226"/>
    <cellStyle name="원_포천 시가화예정용지 제1종지구단위계획(총괄내역서)-보정" xfId="12227"/>
    <cellStyle name="원_한국도로공사" xfId="12228"/>
    <cellStyle name="원_한양프레임도로명판외91종(제작설치원가)" xfId="12229"/>
    <cellStyle name="원_한전내역서-최종" xfId="12230"/>
    <cellStyle name="원_해양종합휴양지조성사업9.13" xfId="5450"/>
    <cellStyle name="유1" xfId="5451"/>
    <cellStyle name="유상진" xfId="12697"/>
    <cellStyle name="유영" xfId="5452"/>
    <cellStyle name="을지" xfId="5453"/>
    <cellStyle name="을지 2" xfId="5454"/>
    <cellStyle name="을지 2 2" xfId="5455"/>
    <cellStyle name="을지 3" xfId="5456"/>
    <cellStyle name="을지 3 2" xfId="5457"/>
    <cellStyle name="을지 4" xfId="5458"/>
    <cellStyle name="을지 4 2" xfId="5459"/>
    <cellStyle name="을지 5" xfId="5460"/>
    <cellStyle name="일반" xfId="5461"/>
    <cellStyle name="一般_FY04 Taiwan Enterprise Sales Forecast - 0304" xfId="12231"/>
    <cellStyle name="일위대가" xfId="12232"/>
    <cellStyle name="일정_K200창정비 (2)" xfId="12233"/>
    <cellStyle name="입력 2" xfId="5462"/>
    <cellStyle name="입력 2 2" xfId="5463"/>
    <cellStyle name="입력 2 2 2" xfId="5464"/>
    <cellStyle name="입력 2 2 3" xfId="5465"/>
    <cellStyle name="입력 2 3" xfId="5466"/>
    <cellStyle name="입력 2 3 2" xfId="5467"/>
    <cellStyle name="입력 2 4" xfId="5468"/>
    <cellStyle name="입력 2 4 2" xfId="5469"/>
    <cellStyle name="입력 2 5" xfId="5470"/>
    <cellStyle name="입력 3" xfId="5471"/>
    <cellStyle name="입력 3 2" xfId="5472"/>
    <cellStyle name="입력 3 2 2" xfId="5473"/>
    <cellStyle name="입력 3 3" xfId="5474"/>
    <cellStyle name="입력 3 3 2" xfId="5475"/>
    <cellStyle name="입력 3 4" xfId="5476"/>
    <cellStyle name="입력 3 4 2" xfId="5477"/>
    <cellStyle name="입력 3 5" xfId="5478"/>
    <cellStyle name="입력 4" xfId="5479"/>
    <cellStyle name="입력 4 2" xfId="5480"/>
    <cellStyle name="입력 4 2 2" xfId="5481"/>
    <cellStyle name="입력 4 3" xfId="5482"/>
    <cellStyle name="입력 4 3 2" xfId="5483"/>
    <cellStyle name="입력 4 4" xfId="5484"/>
    <cellStyle name="입력 4 4 2" xfId="5485"/>
    <cellStyle name="입력 4 5" xfId="5486"/>
    <cellStyle name="자리수" xfId="116"/>
    <cellStyle name="자리수 - 유형1" xfId="117"/>
    <cellStyle name="자리수 2" xfId="12698"/>
    <cellStyle name="자리수_00 개경포친수공간-03(조성계획)" xfId="5487"/>
    <cellStyle name="자리수0" xfId="118"/>
    <cellStyle name="자리수0 2" xfId="5488"/>
    <cellStyle name="帳票" xfId="5489"/>
    <cellStyle name="재  료  비" xfId="12699"/>
    <cellStyle name="쟟" xfId="12700"/>
    <cellStyle name="점선" xfId="12234"/>
    <cellStyle name="정렬" xfId="5490"/>
    <cellStyle name="정렬범위" xfId="5491"/>
    <cellStyle name="정비" xfId="5492"/>
    <cellStyle name="제곱" xfId="5493"/>
    <cellStyle name="제목 1 2" xfId="5494"/>
    <cellStyle name="제목 1 2 2" xfId="5495"/>
    <cellStyle name="제목 1 2 3" xfId="5496"/>
    <cellStyle name="제목 1 3" xfId="5497"/>
    <cellStyle name="제목 1 4" xfId="5498"/>
    <cellStyle name="제목 1(左)" xfId="12701"/>
    <cellStyle name="제목 1(中)" xfId="12702"/>
    <cellStyle name="제목 2 2" xfId="5499"/>
    <cellStyle name="제목 2 2 2" xfId="5500"/>
    <cellStyle name="제목 2 2 3" xfId="5501"/>
    <cellStyle name="제목 2 3" xfId="5502"/>
    <cellStyle name="제목 2 4" xfId="5503"/>
    <cellStyle name="제목 3 2" xfId="5504"/>
    <cellStyle name="제목 3 2 2" xfId="5505"/>
    <cellStyle name="제목 3 2 3" xfId="5506"/>
    <cellStyle name="제목 3 2 4" xfId="5507"/>
    <cellStyle name="제목 3 3" xfId="5508"/>
    <cellStyle name="제목 3 4" xfId="5509"/>
    <cellStyle name="제목 4 2" xfId="5510"/>
    <cellStyle name="제목 4 2 2" xfId="5511"/>
    <cellStyle name="제목 4 2 3" xfId="5512"/>
    <cellStyle name="제목 4 3" xfId="5513"/>
    <cellStyle name="제목 4 4" xfId="5514"/>
    <cellStyle name="제목 5" xfId="5515"/>
    <cellStyle name="제목 5 2" xfId="5516"/>
    <cellStyle name="제목 5 3" xfId="5517"/>
    <cellStyle name="제목 6" xfId="5518"/>
    <cellStyle name="제목 6 2" xfId="5519"/>
    <cellStyle name="제목 7" xfId="5520"/>
    <cellStyle name="제목[1 줄]" xfId="5521"/>
    <cellStyle name="제목[1 줄] 2" xfId="5522"/>
    <cellStyle name="제목[1 줄] 2 2" xfId="5523"/>
    <cellStyle name="제목[1 줄] 3" xfId="5524"/>
    <cellStyle name="제목[1 줄] 3 2" xfId="5525"/>
    <cellStyle name="제목[1 줄] 4" xfId="5526"/>
    <cellStyle name="제목[1 줄] 4 2" xfId="5527"/>
    <cellStyle name="제목[1 줄] 5" xfId="5528"/>
    <cellStyle name="제목[2줄 아래]" xfId="5529"/>
    <cellStyle name="제목[2줄 위]" xfId="5530"/>
    <cellStyle name="제목[2줄 위] 2" xfId="5531"/>
    <cellStyle name="제목[2줄 위] 2 2" xfId="5532"/>
    <cellStyle name="제목[2줄 위] 3" xfId="5533"/>
    <cellStyle name="제목[2줄 위] 3 2" xfId="5534"/>
    <cellStyle name="제목[2줄 위] 4" xfId="5535"/>
    <cellStyle name="제목[2줄 위] 4 2" xfId="5536"/>
    <cellStyle name="제목[2줄 위] 5" xfId="5537"/>
    <cellStyle name="제목1" xfId="5538"/>
    <cellStyle name="제목2" xfId="5539"/>
    <cellStyle name="좋음 2" xfId="5540"/>
    <cellStyle name="좋음 2 2" xfId="5541"/>
    <cellStyle name="좋음 3" xfId="5542"/>
    <cellStyle name="좋음 4" xfId="5543"/>
    <cellStyle name="좌괄호_박심배수구조물공" xfId="5544"/>
    <cellStyle name="좌측양괄호" xfId="5545"/>
    <cellStyle name="죃" xfId="12703"/>
    <cellStyle name="ܸ준" xfId="119"/>
    <cellStyle name="지정되지 않음" xfId="5546"/>
    <cellStyle name="지하철정렬" xfId="5547"/>
    <cellStyle name="千分位[0]_GARMENT STEP FORM HK" xfId="120"/>
    <cellStyle name="千分位_GARMENT STEP FORM HK" xfId="121"/>
    <cellStyle name="천원이하반올림" xfId="12704"/>
    <cellStyle name="출력 2" xfId="5548"/>
    <cellStyle name="출력 2 2" xfId="5549"/>
    <cellStyle name="출력 2 2 2" xfId="5550"/>
    <cellStyle name="출력 2 2 2 2" xfId="5551"/>
    <cellStyle name="출력 2 2 3" xfId="5552"/>
    <cellStyle name="출력 2 2 3 2" xfId="5553"/>
    <cellStyle name="출력 2 2 4" xfId="5554"/>
    <cellStyle name="출력 2 2 4 2" xfId="5555"/>
    <cellStyle name="출력 2 2 5" xfId="5556"/>
    <cellStyle name="출력 2 3" xfId="5557"/>
    <cellStyle name="출력 2 3 2" xfId="5558"/>
    <cellStyle name="출력 2 3 3" xfId="5559"/>
    <cellStyle name="출력 2 4" xfId="5560"/>
    <cellStyle name="출력 2 4 2" xfId="5561"/>
    <cellStyle name="출력 2 5" xfId="5562"/>
    <cellStyle name="출력 2 5 2" xfId="5563"/>
    <cellStyle name="출력 2 6" xfId="5564"/>
    <cellStyle name="출력 3" xfId="5565"/>
    <cellStyle name="출력 3 2" xfId="5566"/>
    <cellStyle name="출력 3 2 2" xfId="5567"/>
    <cellStyle name="출력 3 2 3" xfId="5568"/>
    <cellStyle name="출력 3 3" xfId="5569"/>
    <cellStyle name="출력 4" xfId="5570"/>
    <cellStyle name="출력 4 2" xfId="5571"/>
    <cellStyle name="출력 4 2 2" xfId="5572"/>
    <cellStyle name="출력 4 3" xfId="5573"/>
    <cellStyle name="출력 4 3 2" xfId="5574"/>
    <cellStyle name="출력 4 4" xfId="5575"/>
    <cellStyle name="출력 4 4 2" xfId="5576"/>
    <cellStyle name="출력 4 5" xfId="5577"/>
    <cellStyle name="측점" xfId="5578"/>
    <cellStyle name="코드" xfId="12705"/>
    <cellStyle name="콤" xfId="5579"/>
    <cellStyle name="콤_01-내역산출서(새재지구)" xfId="5580"/>
    <cellStyle name="콤_03기본및실시설계" xfId="5581"/>
    <cellStyle name="콤_05.교통성검토" xfId="5582"/>
    <cellStyle name="콤_14. 기본 및 실시설계(건축)" xfId="5583"/>
    <cellStyle name="콤_3. 신광R~숭의R(배수공)" xfId="12235"/>
    <cellStyle name="콤_3. 신광R~숭의R(배수공)_노임단가(소프트웨어)" xfId="12236"/>
    <cellStyle name="콤_3차1회-당초제출" xfId="5584"/>
    <cellStyle name="콤_3차1회-당초제출_내지농로(변경)" xfId="5585"/>
    <cellStyle name="콤_3차1회-당초제출_내지농로(변경)_돈지수량산출" xfId="5586"/>
    <cellStyle name="콤_3차1회-당초제출_능양수량산출" xfId="5587"/>
    <cellStyle name="콤_3차1회-당초제출_능양수량산출_돈지수량산출" xfId="5588"/>
    <cellStyle name="콤_3차1회-당초제출_돈지안길" xfId="5589"/>
    <cellStyle name="콤_3차1회-당초제출_돈지안길_배수로" xfId="5590"/>
    <cellStyle name="콤_3차1회-당초제출_돈지안길1000" xfId="5591"/>
    <cellStyle name="콤_3차1회-당초제출_돈지안길1000_배수로" xfId="5592"/>
    <cellStyle name="콤_3차1회-당초제출_배수로" xfId="5593"/>
    <cellStyle name="콤_3차1회-당초제출_배수로_배수로" xfId="5594"/>
    <cellStyle name="콤_3차공사 설계내역서(100억)" xfId="5595"/>
    <cellStyle name="콤_3차공사 설계내역서(100억)_내지농로(변경)" xfId="5596"/>
    <cellStyle name="콤_3차공사 설계내역서(100억)_내지농로(변경)_돈지수량산출" xfId="5597"/>
    <cellStyle name="콤_3차공사 설계내역서(100억)_능양수량산출" xfId="5598"/>
    <cellStyle name="콤_3차공사 설계내역서(100억)_능양수량산출_돈지수량산출" xfId="5599"/>
    <cellStyle name="콤_3차공사 설계내역서(100억)_돈지안길" xfId="5600"/>
    <cellStyle name="콤_3차공사 설계내역서(100억)_돈지안길_배수로" xfId="5601"/>
    <cellStyle name="콤_3차공사 설계내역서(100억)_돈지안길1000" xfId="5602"/>
    <cellStyle name="콤_3차공사 설계내역서(100억)_돈지안길1000_배수로" xfId="5603"/>
    <cellStyle name="콤_3차공사 설계내역서(100억)_배수로" xfId="5604"/>
    <cellStyle name="콤_3차공사 설계내역서(100억)_배수로_배수로" xfId="5605"/>
    <cellStyle name="콤_3차공사-1회" xfId="5606"/>
    <cellStyle name="콤_3차공사-1회_내지농로(변경)" xfId="5607"/>
    <cellStyle name="콤_3차공사-1회_내지농로(변경)_돈지수량산출" xfId="5608"/>
    <cellStyle name="콤_3차공사-1회_능양수량산출" xfId="5609"/>
    <cellStyle name="콤_3차공사-1회_능양수량산출_돈지수량산출" xfId="5610"/>
    <cellStyle name="콤_3차공사-1회_돈지안길" xfId="5611"/>
    <cellStyle name="콤_3차공사-1회_돈지안길_배수로" xfId="5612"/>
    <cellStyle name="콤_3차공사-1회_돈지안길1000" xfId="5613"/>
    <cellStyle name="콤_3차공사-1회_돈지안길1000_배수로" xfId="5614"/>
    <cellStyle name="콤_3차공사-1회_배수로" xfId="5615"/>
    <cellStyle name="콤_3차공사-1회_배수로_배수로" xfId="5616"/>
    <cellStyle name="콤_가야의 땅(실시설계)" xfId="5617"/>
    <cellStyle name="콤_가야의땅(환경 및 재해)" xfId="5618"/>
    <cellStyle name="콤_공유수면매립도시관리계획및실시설계용역" xfId="5619"/>
    <cellStyle name="콤_공유수면매립도시관리계획및실시설계용역_도시개발기본계획설계서(478,527)" xfId="5620"/>
    <cellStyle name="콤_공유수면매립도시관리계획및실시설계용역_은산2농공단지내역서(070910)" xfId="5621"/>
    <cellStyle name="콤_관창일반산업단지확대조성사업 개발계획내역서1(07.10)" xfId="5622"/>
    <cellStyle name="콤_교통검토서" xfId="12237"/>
    <cellStyle name="콤_기성청구내역(3차-1회)" xfId="5623"/>
    <cellStyle name="콤_기성청구내역(3차-1회)_내지농로(변경)" xfId="5624"/>
    <cellStyle name="콤_기성청구내역(3차-1회)_내지농로(변경)_돈지수량산출" xfId="5625"/>
    <cellStyle name="콤_기성청구내역(3차-1회)_능양수량산출" xfId="5626"/>
    <cellStyle name="콤_기성청구내역(3차-1회)_능양수량산출_돈지수량산출" xfId="5627"/>
    <cellStyle name="콤_기성청구내역(3차-1회)_돈지안길" xfId="5628"/>
    <cellStyle name="콤_기성청구내역(3차-1회)_돈지안길_배수로" xfId="5629"/>
    <cellStyle name="콤_기성청구내역(3차-1회)_돈지안길1000" xfId="5630"/>
    <cellStyle name="콤_기성청구내역(3차-1회)_돈지안길1000_배수로" xfId="5631"/>
    <cellStyle name="콤_기성청구내역(3차-1회)_배수로" xfId="5632"/>
    <cellStyle name="콤_기성청구내역(3차-1회)_배수로_배수로" xfId="5633"/>
    <cellStyle name="콤_기성청구내역(3차공사)" xfId="5634"/>
    <cellStyle name="콤_기성청구내역(3차공사)_내지농로(변경)" xfId="5635"/>
    <cellStyle name="콤_기성청구내역(3차공사)_내지농로(변경)_돈지수량산출" xfId="5636"/>
    <cellStyle name="콤_기성청구내역(3차공사)_능양수량산출" xfId="5637"/>
    <cellStyle name="콤_기성청구내역(3차공사)_능양수량산출_돈지수량산출" xfId="5638"/>
    <cellStyle name="콤_기성청구내역(3차공사)_돈지안길" xfId="5639"/>
    <cellStyle name="콤_기성청구내역(3차공사)_돈지안길_배수로" xfId="5640"/>
    <cellStyle name="콤_기성청구내역(3차공사)_돈지안길1000" xfId="5641"/>
    <cellStyle name="콤_기성청구내역(3차공사)_돈지안길1000_배수로" xfId="5642"/>
    <cellStyle name="콤_기성청구내역(3차공사)_배수로" xfId="5643"/>
    <cellStyle name="콤_기성청구내역(3차공사)_배수로_배수로" xfId="5644"/>
    <cellStyle name="콤_깨기" xfId="12238"/>
    <cellStyle name="콤_깨기_노임단가(소프트웨어)" xfId="12239"/>
    <cellStyle name="콤_깨기_신광R~숭의R(폐기물)" xfId="12240"/>
    <cellStyle name="콤_깨기_신광R~숭의R(폐기물)_노임단가(소프트웨어)" xfId="12241"/>
    <cellStyle name="콤_내지농로(변경)" xfId="5645"/>
    <cellStyle name="콤_내지농로(변경)_돈지수량산출" xfId="5646"/>
    <cellStyle name="콤_노임단가(소프트웨어)" xfId="12242"/>
    <cellStyle name="콤_노임단가(소프트웨어)_안성도시관리계획내역서(20100201)" xfId="12243"/>
    <cellStyle name="콤_노임단가(소프트웨어)_안성도시관리계획내역서-작업용" xfId="12244"/>
    <cellStyle name="콤_농촌테마공원_기본계획수립(09.2.24최종검토후)" xfId="5647"/>
    <cellStyle name="콤_능양수량산출" xfId="5648"/>
    <cellStyle name="콤_능양수량산출_돈지수량산출" xfId="5649"/>
    <cellStyle name="콤_도시개발기본계획설계서(478,527)" xfId="5650"/>
    <cellStyle name="콤_돈지안길" xfId="5651"/>
    <cellStyle name="콤_돈지안길_배수로" xfId="5652"/>
    <cellStyle name="콤_돈지안길1000" xfId="5653"/>
    <cellStyle name="콤_돈지안길1000_배수로" xfId="5654"/>
    <cellStyle name="콤_로하스변경내역서-5(06.6.7)" xfId="5655"/>
    <cellStyle name="콤_로하스변경내역서-5(06.6.7)_농촌테마공원_기본계획수립(09.2.24최종검토후)" xfId="5656"/>
    <cellStyle name="콤_로하스변경내역서-5(06.6.7)_로하스변경내역서-6(06(1).6.27 당초변경)" xfId="5657"/>
    <cellStyle name="콤_로하스변경내역서-5(06.6.7)_로하스변경내역서-6(06(1).6.27 당초변경)_농촌테마공원_기본계획수립(09.2.24최종검토후)" xfId="5658"/>
    <cellStyle name="콤_로하스변경내역서-5(06.6.7)_로하스변경내역서-6(06(1).6.27 당초변경)_체육관공원 용역 설계내역서(도급)" xfId="5659"/>
    <cellStyle name="콤_로하스변경내역서-5(06.6.7)_체육관공원 용역 설계내역서(도급)" xfId="5660"/>
    <cellStyle name="콤_로하스변경내역서-6(06.6.21)" xfId="5661"/>
    <cellStyle name="콤_로하스변경내역서-6(06.6.21)_농촌테마공원_기본계획수립(09.2.24최종검토후)" xfId="5662"/>
    <cellStyle name="콤_로하스변경내역서-6(06.6.21)_로하스변경내역서-6(06(1).6.27 당초변경)" xfId="5663"/>
    <cellStyle name="콤_로하스변경내역서-6(06.6.21)_로하스변경내역서-6(06(1).6.27 당초변경)_농촌테마공원_기본계획수립(09.2.24최종검토후)" xfId="5664"/>
    <cellStyle name="콤_로하스변경내역서-6(06.6.21)_로하스변경내역서-6(06(1).6.27 당초변경)_체육관공원 용역 설계내역서(도급)" xfId="5665"/>
    <cellStyle name="콤_로하스변경내역서-6(06.6.21)_체육관공원 용역 설계내역서(도급)" xfId="5666"/>
    <cellStyle name="콤_문경내역(1127)" xfId="5667"/>
    <cellStyle name="콤_문경내역(1127)_노임단가(소프트웨어)" xfId="12245"/>
    <cellStyle name="콤_문경내역(1127)_노임단가(소프트웨어)_안성도시관리계획내역서(20100201)" xfId="12246"/>
    <cellStyle name="콤_문경내역(1127)_노임단가(소프트웨어)_안성도시관리계획내역서-작업용" xfId="12247"/>
    <cellStyle name="콤_문경내역(1127)_농촌테마공원_기본계획수립(09.2.24최종검토후)" xfId="5668"/>
    <cellStyle name="콤_문경내역(1127)_체육관공원 용역 설계내역서(도급)" xfId="5669"/>
    <cellStyle name="콤_배수공" xfId="12248"/>
    <cellStyle name="콤_배수공_노임단가(소프트웨어)" xfId="12249"/>
    <cellStyle name="콤_배수로" xfId="5670"/>
    <cellStyle name="콤_배수로_배수로" xfId="5671"/>
    <cellStyle name="콤_백학세천1" xfId="5672"/>
    <cellStyle name="콤_백학세천1_내지농로(변경)" xfId="5673"/>
    <cellStyle name="콤_백학세천1_돈지수량산출" xfId="5674"/>
    <cellStyle name="콤_부대공" xfId="5675"/>
    <cellStyle name="콤_부대공사" xfId="5676"/>
    <cellStyle name="콤_부대공사단위수량" xfId="5677"/>
    <cellStyle name="콤_솔빛마을연결도로(최종)" xfId="12250"/>
    <cellStyle name="콤_솔빛마을연결도로(최종)_노임단가(소프트웨어)" xfId="12251"/>
    <cellStyle name="콤_수량산출서(수정)" xfId="12252"/>
    <cellStyle name="콤_수량산출서(수정)_3. 신광R~숭의R(배수공)" xfId="12253"/>
    <cellStyle name="콤_수량산출서(수정)_3. 신광R~숭의R(배수공)_노임단가(소프트웨어)" xfId="12254"/>
    <cellStyle name="콤_수량산출서(수정)_깨기" xfId="12255"/>
    <cellStyle name="콤_수량산출서(수정)_깨기_노임단가(소프트웨어)" xfId="12256"/>
    <cellStyle name="콤_수량산출서(수정)_깨기_신광R~숭의R(폐기물)" xfId="12257"/>
    <cellStyle name="콤_수량산출서(수정)_깨기_신광R~숭의R(폐기물)_노임단가(소프트웨어)" xfId="12258"/>
    <cellStyle name="콤_수량산출서(수정)_노임단가(소프트웨어)" xfId="12259"/>
    <cellStyle name="콤_수량산출서(수정)_배수공" xfId="12260"/>
    <cellStyle name="콤_수량산출서(수정)_배수공_노임단가(소프트웨어)" xfId="12261"/>
    <cellStyle name="콤_수량산출서(수정)_솔빛마을연결도로(최종)" xfId="12262"/>
    <cellStyle name="콤_수량산출서(수정)_솔빛마을연결도로(최종)_노임단가(소프트웨어)" xfId="12263"/>
    <cellStyle name="콤_옹벽 수량(H=4.5m)" xfId="12264"/>
    <cellStyle name="콤_옹벽 수량(H=4.5m)_노임단가(소프트웨어)" xfId="12265"/>
    <cellStyle name="콤_울산 도시개발사업(교평)" xfId="5678"/>
    <cellStyle name="콤_울산 도시개발사업(교평)_노임단가(소프트웨어)" xfId="12266"/>
    <cellStyle name="콤_울산 도시개발사업(교평)_노임단가(소프트웨어)_안성도시관리계획내역서(20100201)" xfId="12267"/>
    <cellStyle name="콤_울산 도시개발사업(교평)_노임단가(소프트웨어)_안성도시관리계획내역서-작업용" xfId="12268"/>
    <cellStyle name="콤_은산2농공단지내역서(070910)" xfId="5679"/>
    <cellStyle name="콤_청구내역" xfId="5680"/>
    <cellStyle name="콤_청구내역_내지농로(변경)" xfId="5681"/>
    <cellStyle name="콤_청구내역_내지농로(변경)_돈지수량산출" xfId="5682"/>
    <cellStyle name="콤_청구내역_능양수량산출" xfId="5683"/>
    <cellStyle name="콤_청구내역_능양수량산출_돈지수량산출" xfId="5684"/>
    <cellStyle name="콤_청구내역_돈지안길" xfId="5685"/>
    <cellStyle name="콤_청구내역_돈지안길_배수로" xfId="5686"/>
    <cellStyle name="콤_청구내역_돈지안길1000" xfId="5687"/>
    <cellStyle name="콤_청구내역_돈지안길1000_배수로" xfId="5688"/>
    <cellStyle name="콤_청구내역_배수로" xfId="5689"/>
    <cellStyle name="콤_청구내역_배수로_배수로" xfId="5690"/>
    <cellStyle name="콤_체육관공원 용역 설계내역서(도급)" xfId="5691"/>
    <cellStyle name="콤_추가) 문화재지표조사(김해OO산업단지)" xfId="5692"/>
    <cellStyle name="콤_태풍가드레일변경" xfId="5693"/>
    <cellStyle name="콤_통영생태숲 내역서(변경)" xfId="5694"/>
    <cellStyle name="콤_통영생태숲 사전재해내역서 - 081002 " xfId="5695"/>
    <cellStyle name="콤_포천 시가화예정용지 제1종지구단위계획(총괄내역서)-보정" xfId="12269"/>
    <cellStyle name="콤_포천 시가화예정용지 제1종지구단위계획(총괄내역서)-보정_노임단가(소프트웨어)" xfId="12270"/>
    <cellStyle name="콤냡?&lt;_x000f_$??: `1_1 " xfId="5696"/>
    <cellStyle name="콤마" xfId="5697"/>
    <cellStyle name="콤마 " xfId="12271"/>
    <cellStyle name="콤마 [" xfId="5698"/>
    <cellStyle name="콤마 [#]" xfId="5699"/>
    <cellStyle name="콤마 []" xfId="5700"/>
    <cellStyle name="콤마 [-]" xfId="12272"/>
    <cellStyle name="콤마 [_03기본및실시설계" xfId="5701"/>
    <cellStyle name="콤마 [0.00]" xfId="5702"/>
    <cellStyle name="콤마 [0.00] 2" xfId="5703"/>
    <cellStyle name="콤마 [0.00] 2 2" xfId="5704"/>
    <cellStyle name="콤마 [0.00] 3" xfId="5705"/>
    <cellStyle name="콤마 [0.00] 3 2" xfId="5706"/>
    <cellStyle name="콤마 [0.00] 4" xfId="5707"/>
    <cellStyle name="콤마 [0.00] 4 2" xfId="5708"/>
    <cellStyle name="콤마 [0.00] 5" xfId="5709"/>
    <cellStyle name="콤마 [0]" xfId="5710"/>
    <cellStyle name="'콤마 [0]'" xfId="12706"/>
    <cellStyle name="콤마 [0] 10" xfId="12707"/>
    <cellStyle name="콤마 [0] 11" xfId="12708"/>
    <cellStyle name="콤마 [0] 12" xfId="12709"/>
    <cellStyle name="콤마 [0] 13" xfId="12710"/>
    <cellStyle name="콤마 [0] 2" xfId="12711"/>
    <cellStyle name="콤마 [0] 3" xfId="12712"/>
    <cellStyle name="콤마 [0] 4" xfId="12713"/>
    <cellStyle name="콤마 [0] 5" xfId="12714"/>
    <cellStyle name="콤마 [0] 6" xfId="12715"/>
    <cellStyle name="콤마 [0] 7" xfId="12716"/>
    <cellStyle name="콤마 [0] 8" xfId="12717"/>
    <cellStyle name="콤마 [0] 9" xfId="12718"/>
    <cellStyle name="콤마 [0]_#2빔복공" xfId="12719"/>
    <cellStyle name="콤마 [0]기기자재비" xfId="5711"/>
    <cellStyle name="콤마 [000]" xfId="12273"/>
    <cellStyle name="콤마 [1]" xfId="5712"/>
    <cellStyle name="콤마 [1] 2" xfId="5713"/>
    <cellStyle name="콤마 [1] 2 2" xfId="5714"/>
    <cellStyle name="콤마 [1] 3" xfId="5715"/>
    <cellStyle name="콤마 [1] 3 2" xfId="5716"/>
    <cellStyle name="콤마 [1] 4" xfId="5717"/>
    <cellStyle name="콤마 [1] 4 2" xfId="5718"/>
    <cellStyle name="콤마 [1] 5" xfId="5719"/>
    <cellStyle name="콤마 [2]" xfId="122"/>
    <cellStyle name="콤마 [2] 2" xfId="5720"/>
    <cellStyle name="콤마 [3]" xfId="5721"/>
    <cellStyle name="콤마 [금액]" xfId="5722"/>
    <cellStyle name="콤마 [소수]" xfId="5723"/>
    <cellStyle name="콤마 [수량]" xfId="5724"/>
    <cellStyle name="콤마 1" xfId="5725"/>
    <cellStyle name="콤마(0)" xfId="12274"/>
    <cellStyle name="콤마(1)" xfId="123"/>
    <cellStyle name="콤마[ ]" xfId="5726"/>
    <cellStyle name="콤마[*]" xfId="5727"/>
    <cellStyle name="콤마[*] 2" xfId="12720"/>
    <cellStyle name="콤마[,]" xfId="5728"/>
    <cellStyle name="콤마[,] 2" xfId="5729"/>
    <cellStyle name="콤마[,] 2 2" xfId="5730"/>
    <cellStyle name="콤마[,] 3" xfId="5731"/>
    <cellStyle name="콤마[,] 3 2" xfId="5732"/>
    <cellStyle name="콤마[,] 4" xfId="5733"/>
    <cellStyle name="콤마[,] 4 2" xfId="5734"/>
    <cellStyle name="콤마[,] 5" xfId="5735"/>
    <cellStyle name="콤마[.]" xfId="5736"/>
    <cellStyle name="콤마[0]" xfId="5737"/>
    <cellStyle name="콤마_  종  합  " xfId="5738"/>
    <cellStyle name="쾌" xfId="5739"/>
    <cellStyle name="타이틀" xfId="5740"/>
    <cellStyle name="脱浦 [0.00]_・注資・(ITYA￢°OY，)" xfId="12275"/>
    <cellStyle name="脱浦_・注資・(ITYA￢°OY，)" xfId="12276"/>
    <cellStyle name="테두리" xfId="5741"/>
    <cellStyle name="테두리 2" xfId="5742"/>
    <cellStyle name="테두리 2 2" xfId="5743"/>
    <cellStyle name="테두리 3" xfId="5744"/>
    <cellStyle name="테두리 3 2" xfId="5745"/>
    <cellStyle name="테두리 4" xfId="5746"/>
    <cellStyle name="테두리 4 2" xfId="5747"/>
    <cellStyle name="테두리 5" xfId="5748"/>
    <cellStyle name="토공" xfId="12277"/>
    <cellStyle name="통" xfId="5749"/>
    <cellStyle name="통_01-내역산출서(새재지구)" xfId="5750"/>
    <cellStyle name="통_03기본및실시설계" xfId="5751"/>
    <cellStyle name="통_05.교통성검토" xfId="5752"/>
    <cellStyle name="통_14. 기본 및 실시설계(건축)" xfId="5753"/>
    <cellStyle name="통_3. 신광R~숭의R(배수공)" xfId="12278"/>
    <cellStyle name="통_3. 신광R~숭의R(배수공)_노임단가(소프트웨어)" xfId="12279"/>
    <cellStyle name="통_3차1회-당초제출" xfId="5754"/>
    <cellStyle name="통_3차1회-당초제출_내지농로(변경)" xfId="5755"/>
    <cellStyle name="통_3차1회-당초제출_내지농로(변경)_돈지수량산출" xfId="5756"/>
    <cellStyle name="통_3차1회-당초제출_능양수량산출" xfId="5757"/>
    <cellStyle name="통_3차1회-당초제출_능양수량산출_돈지수량산출" xfId="5758"/>
    <cellStyle name="통_3차1회-당초제출_돈지안길" xfId="5759"/>
    <cellStyle name="통_3차1회-당초제출_돈지안길_배수로" xfId="5760"/>
    <cellStyle name="통_3차1회-당초제출_돈지안길1000" xfId="5761"/>
    <cellStyle name="통_3차1회-당초제출_돈지안길1000_배수로" xfId="5762"/>
    <cellStyle name="통_3차1회-당초제출_배수로" xfId="5763"/>
    <cellStyle name="통_3차1회-당초제출_배수로_배수로" xfId="5764"/>
    <cellStyle name="통_3차공사 설계내역서(100억)" xfId="5765"/>
    <cellStyle name="통_3차공사 설계내역서(100억)_내지농로(변경)" xfId="5766"/>
    <cellStyle name="통_3차공사 설계내역서(100억)_내지농로(변경)_돈지수량산출" xfId="5767"/>
    <cellStyle name="통_3차공사 설계내역서(100억)_능양수량산출" xfId="5768"/>
    <cellStyle name="통_3차공사 설계내역서(100억)_능양수량산출_돈지수량산출" xfId="5769"/>
    <cellStyle name="통_3차공사 설계내역서(100억)_돈지안길" xfId="5770"/>
    <cellStyle name="통_3차공사 설계내역서(100억)_돈지안길_배수로" xfId="5771"/>
    <cellStyle name="통_3차공사 설계내역서(100억)_돈지안길1000" xfId="5772"/>
    <cellStyle name="통_3차공사 설계내역서(100억)_돈지안길1000_배수로" xfId="5773"/>
    <cellStyle name="통_3차공사 설계내역서(100억)_배수로" xfId="5774"/>
    <cellStyle name="통_3차공사 설계내역서(100억)_배수로_배수로" xfId="5775"/>
    <cellStyle name="통_3차공사-1회" xfId="5776"/>
    <cellStyle name="통_3차공사-1회_내지농로(변경)" xfId="5777"/>
    <cellStyle name="통_3차공사-1회_내지농로(변경)_돈지수량산출" xfId="5778"/>
    <cellStyle name="통_3차공사-1회_능양수량산출" xfId="5779"/>
    <cellStyle name="통_3차공사-1회_능양수량산출_돈지수량산출" xfId="5780"/>
    <cellStyle name="통_3차공사-1회_돈지안길" xfId="5781"/>
    <cellStyle name="통_3차공사-1회_돈지안길_배수로" xfId="5782"/>
    <cellStyle name="통_3차공사-1회_돈지안길1000" xfId="5783"/>
    <cellStyle name="통_3차공사-1회_돈지안길1000_배수로" xfId="5784"/>
    <cellStyle name="통_3차공사-1회_배수로" xfId="5785"/>
    <cellStyle name="통_3차공사-1회_배수로_배수로" xfId="5786"/>
    <cellStyle name="통_가야의 땅(실시설계)" xfId="5787"/>
    <cellStyle name="통_가야의땅(환경 및 재해)" xfId="5788"/>
    <cellStyle name="통_공유수면매립도시관리계획및실시설계용역" xfId="5789"/>
    <cellStyle name="통_공유수면매립도시관리계획및실시설계용역_도시개발기본계획설계서(478,527)" xfId="5790"/>
    <cellStyle name="통_공유수면매립도시관리계획및실시설계용역_은산2농공단지내역서(070910)" xfId="5791"/>
    <cellStyle name="통_관창일반산업단지확대조성사업 개발계획내역서1(07.10)" xfId="5792"/>
    <cellStyle name="통_교통검토서" xfId="12280"/>
    <cellStyle name="통_기성청구내역(3차-1회)" xfId="5793"/>
    <cellStyle name="통_기성청구내역(3차-1회)_내지농로(변경)" xfId="5794"/>
    <cellStyle name="통_기성청구내역(3차-1회)_내지농로(변경)_돈지수량산출" xfId="5795"/>
    <cellStyle name="통_기성청구내역(3차-1회)_능양수량산출" xfId="5796"/>
    <cellStyle name="통_기성청구내역(3차-1회)_능양수량산출_돈지수량산출" xfId="5797"/>
    <cellStyle name="통_기성청구내역(3차-1회)_돈지안길" xfId="5798"/>
    <cellStyle name="통_기성청구내역(3차-1회)_돈지안길_배수로" xfId="5799"/>
    <cellStyle name="통_기성청구내역(3차-1회)_돈지안길1000" xfId="5800"/>
    <cellStyle name="통_기성청구내역(3차-1회)_돈지안길1000_배수로" xfId="5801"/>
    <cellStyle name="통_기성청구내역(3차-1회)_배수로" xfId="5802"/>
    <cellStyle name="통_기성청구내역(3차-1회)_배수로_배수로" xfId="5803"/>
    <cellStyle name="통_기성청구내역(3차공사)" xfId="5804"/>
    <cellStyle name="통_기성청구내역(3차공사)_내지농로(변경)" xfId="5805"/>
    <cellStyle name="통_기성청구내역(3차공사)_내지농로(변경)_돈지수량산출" xfId="5806"/>
    <cellStyle name="통_기성청구내역(3차공사)_능양수량산출" xfId="5807"/>
    <cellStyle name="통_기성청구내역(3차공사)_능양수량산출_돈지수량산출" xfId="5808"/>
    <cellStyle name="통_기성청구내역(3차공사)_돈지안길" xfId="5809"/>
    <cellStyle name="통_기성청구내역(3차공사)_돈지안길_배수로" xfId="5810"/>
    <cellStyle name="통_기성청구내역(3차공사)_돈지안길1000" xfId="5811"/>
    <cellStyle name="통_기성청구내역(3차공사)_돈지안길1000_배수로" xfId="5812"/>
    <cellStyle name="통_기성청구내역(3차공사)_배수로" xfId="5813"/>
    <cellStyle name="통_기성청구내역(3차공사)_배수로_배수로" xfId="5814"/>
    <cellStyle name="통_깨기" xfId="12281"/>
    <cellStyle name="통_깨기_노임단가(소프트웨어)" xfId="12282"/>
    <cellStyle name="통_깨기_신광R~숭의R(폐기물)" xfId="12283"/>
    <cellStyle name="통_깨기_신광R~숭의R(폐기물)_노임단가(소프트웨어)" xfId="12284"/>
    <cellStyle name="통_내지농로(변경)" xfId="5815"/>
    <cellStyle name="통_내지농로(변경)_돈지수량산출" xfId="5816"/>
    <cellStyle name="통_노임단가(소프트웨어)" xfId="12285"/>
    <cellStyle name="통_노임단가(소프트웨어)_안성도시관리계획내역서(20100201)" xfId="12286"/>
    <cellStyle name="통_노임단가(소프트웨어)_안성도시관리계획내역서-작업용" xfId="12287"/>
    <cellStyle name="통_농촌테마공원_기본계획수립(09.2.24최종검토후)" xfId="5817"/>
    <cellStyle name="통_능양수량산출" xfId="5818"/>
    <cellStyle name="통_능양수량산출_돈지수량산출" xfId="5819"/>
    <cellStyle name="통_도시개발기본계획설계서(478,527)" xfId="5820"/>
    <cellStyle name="통_돈지안길" xfId="5821"/>
    <cellStyle name="통_돈지안길_배수로" xfId="5822"/>
    <cellStyle name="통_돈지안길1000" xfId="5823"/>
    <cellStyle name="통_돈지안길1000_배수로" xfId="5824"/>
    <cellStyle name="통_로하스변경내역서-5(06.6.7)" xfId="5825"/>
    <cellStyle name="통_로하스변경내역서-5(06.6.7)_농촌테마공원_기본계획수립(09.2.24최종검토후)" xfId="5826"/>
    <cellStyle name="통_로하스변경내역서-5(06.6.7)_로하스변경내역서-6(06(1).6.27 당초변경)" xfId="5827"/>
    <cellStyle name="통_로하스변경내역서-5(06.6.7)_로하스변경내역서-6(06(1).6.27 당초변경)_농촌테마공원_기본계획수립(09.2.24최종검토후)" xfId="5828"/>
    <cellStyle name="통_로하스변경내역서-5(06.6.7)_로하스변경내역서-6(06(1).6.27 당초변경)_체육관공원 용역 설계내역서(도급)" xfId="5829"/>
    <cellStyle name="통_로하스변경내역서-5(06.6.7)_체육관공원 용역 설계내역서(도급)" xfId="5830"/>
    <cellStyle name="통_로하스변경내역서-6(06.6.21)" xfId="5831"/>
    <cellStyle name="통_로하스변경내역서-6(06.6.21)_농촌테마공원_기본계획수립(09.2.24최종검토후)" xfId="5832"/>
    <cellStyle name="통_로하스변경내역서-6(06.6.21)_로하스변경내역서-6(06(1).6.27 당초변경)" xfId="5833"/>
    <cellStyle name="통_로하스변경내역서-6(06.6.21)_로하스변경내역서-6(06(1).6.27 당초변경)_농촌테마공원_기본계획수립(09.2.24최종검토후)" xfId="5834"/>
    <cellStyle name="통_로하스변경내역서-6(06.6.21)_로하스변경내역서-6(06(1).6.27 당초변경)_체육관공원 용역 설계내역서(도급)" xfId="5835"/>
    <cellStyle name="통_로하스변경내역서-6(06.6.21)_체육관공원 용역 설계내역서(도급)" xfId="5836"/>
    <cellStyle name="통_문경내역(1127)" xfId="5837"/>
    <cellStyle name="통_문경내역(1127)_노임단가(소프트웨어)" xfId="12288"/>
    <cellStyle name="통_문경내역(1127)_노임단가(소프트웨어)_안성도시관리계획내역서(20100201)" xfId="12289"/>
    <cellStyle name="통_문경내역(1127)_노임단가(소프트웨어)_안성도시관리계획내역서-작업용" xfId="12290"/>
    <cellStyle name="통_문경내역(1127)_농촌테마공원_기본계획수립(09.2.24최종검토후)" xfId="5838"/>
    <cellStyle name="통_문경내역(1127)_체육관공원 용역 설계내역서(도급)" xfId="5839"/>
    <cellStyle name="통_배수공" xfId="12291"/>
    <cellStyle name="통_배수공_노임단가(소프트웨어)" xfId="12292"/>
    <cellStyle name="통_배수로" xfId="5840"/>
    <cellStyle name="통_배수로_배수로" xfId="5841"/>
    <cellStyle name="통_백학세천1" xfId="5842"/>
    <cellStyle name="통_백학세천1_내지농로(변경)" xfId="5843"/>
    <cellStyle name="통_백학세천1_돈지수량산출" xfId="5844"/>
    <cellStyle name="통_부대공" xfId="5845"/>
    <cellStyle name="통_부대공사" xfId="5846"/>
    <cellStyle name="통_부대공사단위수량" xfId="5847"/>
    <cellStyle name="통_솔빛마을연결도로(최종)" xfId="12293"/>
    <cellStyle name="통_솔빛마을연결도로(최종)_노임단가(소프트웨어)" xfId="12294"/>
    <cellStyle name="통_수량산출서(수정)" xfId="12295"/>
    <cellStyle name="통_수량산출서(수정)_3. 신광R~숭의R(배수공)" xfId="12296"/>
    <cellStyle name="통_수량산출서(수정)_3. 신광R~숭의R(배수공)_노임단가(소프트웨어)" xfId="12297"/>
    <cellStyle name="통_수량산출서(수정)_깨기" xfId="12298"/>
    <cellStyle name="통_수량산출서(수정)_깨기_노임단가(소프트웨어)" xfId="12299"/>
    <cellStyle name="통_수량산출서(수정)_깨기_신광R~숭의R(폐기물)" xfId="12300"/>
    <cellStyle name="통_수량산출서(수정)_깨기_신광R~숭의R(폐기물)_노임단가(소프트웨어)" xfId="12301"/>
    <cellStyle name="통_수량산출서(수정)_노임단가(소프트웨어)" xfId="12302"/>
    <cellStyle name="통_수량산출서(수정)_배수공" xfId="12303"/>
    <cellStyle name="통_수량산출서(수정)_배수공_노임단가(소프트웨어)" xfId="12304"/>
    <cellStyle name="통_수량산출서(수정)_솔빛마을연결도로(최종)" xfId="12305"/>
    <cellStyle name="통_수량산출서(수정)_솔빛마을연결도로(최종)_노임단가(소프트웨어)" xfId="12306"/>
    <cellStyle name="통_옹벽 수량(H=4.5m)" xfId="12307"/>
    <cellStyle name="통_옹벽 수량(H=4.5m)_노임단가(소프트웨어)" xfId="12308"/>
    <cellStyle name="통_울산 도시개발사업(교평)" xfId="5848"/>
    <cellStyle name="통_울산 도시개발사업(교평)_노임단가(소프트웨어)" xfId="12309"/>
    <cellStyle name="통_울산 도시개발사업(교평)_노임단가(소프트웨어)_안성도시관리계획내역서(20100201)" xfId="12310"/>
    <cellStyle name="통_울산 도시개발사업(교평)_노임단가(소프트웨어)_안성도시관리계획내역서-작업용" xfId="12311"/>
    <cellStyle name="통_은산2농공단지내역서(070910)" xfId="5849"/>
    <cellStyle name="통_청구내역" xfId="5850"/>
    <cellStyle name="통_청구내역_내지농로(변경)" xfId="5851"/>
    <cellStyle name="통_청구내역_내지농로(변경)_돈지수량산출" xfId="5852"/>
    <cellStyle name="통_청구내역_능양수량산출" xfId="5853"/>
    <cellStyle name="통_청구내역_능양수량산출_돈지수량산출" xfId="5854"/>
    <cellStyle name="통_청구내역_돈지안길" xfId="5855"/>
    <cellStyle name="통_청구내역_돈지안길_배수로" xfId="5856"/>
    <cellStyle name="통_청구내역_돈지안길1000" xfId="5857"/>
    <cellStyle name="통_청구내역_돈지안길1000_배수로" xfId="5858"/>
    <cellStyle name="통_청구내역_배수로" xfId="5859"/>
    <cellStyle name="통_청구내역_배수로_배수로" xfId="5860"/>
    <cellStyle name="통_체육관공원 용역 설계내역서(도급)" xfId="5861"/>
    <cellStyle name="통_추가) 문화재지표조사(김해OO산업단지)" xfId="5862"/>
    <cellStyle name="통_태풍가드레일변경" xfId="5863"/>
    <cellStyle name="통_통영생태숲 내역서(변경)" xfId="5864"/>
    <cellStyle name="통_통영생태숲 사전재해내역서 - 081002 " xfId="5865"/>
    <cellStyle name="통_포천 시가화예정용지 제1종지구단위계획(총괄내역서)-보정" xfId="12312"/>
    <cellStyle name="통_포천 시가화예정용지 제1종지구단위계획(총괄내역서)-보정_노임단가(소프트웨어)" xfId="12313"/>
    <cellStyle name="통화 [" xfId="5866"/>
    <cellStyle name="通貨 [0.00" xfId="12314"/>
    <cellStyle name="通貨 [0.00]_　配車(by matue)" xfId="5867"/>
    <cellStyle name="통화 [0] 10" xfId="12315"/>
    <cellStyle name="통화 [0] 2" xfId="5"/>
    <cellStyle name="통화 [0] 2 2" xfId="133"/>
    <cellStyle name="통화 [0] 2 5" xfId="12316"/>
    <cellStyle name="통화 [0] 2_북삼오평_실시설계(원가심사반영)(1)" xfId="5868"/>
    <cellStyle name="통화 [0] 27" xfId="5869"/>
    <cellStyle name="통화 [0] 3" xfId="5870"/>
    <cellStyle name="통화 [0] 4" xfId="5871"/>
    <cellStyle name="통화 [0] 5" xfId="5872"/>
    <cellStyle name="통화 [0] 6" xfId="5873"/>
    <cellStyle name="통화 [0] 7" xfId="5874"/>
    <cellStyle name="통화 [0] 8" xfId="12317"/>
    <cellStyle name="통화 [0] 9" xfId="12318"/>
    <cellStyle name="통화 [0㉝〸" xfId="5875"/>
    <cellStyle name="통화 [0ဠ_Model mix1_원가 " xfId="12319"/>
    <cellStyle name="通貨_　配車(by matue)" xfId="5876"/>
    <cellStyle name="퍼센트" xfId="124"/>
    <cellStyle name="퍼센트 2" xfId="5877"/>
    <cellStyle name="표" xfId="5878"/>
    <cellStyle name="표(가는선,가운데,중앙)" xfId="5879"/>
    <cellStyle name="표(가는선,왼쪽,중앙)" xfId="5880"/>
    <cellStyle name="표(세로쓰기)" xfId="5881"/>
    <cellStyle name="표_01-내역산출서(새재지구)" xfId="5882"/>
    <cellStyle name="표_03기본및실시설계" xfId="5883"/>
    <cellStyle name="표_05.교통성검토" xfId="5884"/>
    <cellStyle name="표_14. 기본 및 실시설계(건축)" xfId="5885"/>
    <cellStyle name="표_3. 신광R~숭의R(배수공)" xfId="12320"/>
    <cellStyle name="표_3. 신광R~숭의R(배수공)_노임단가(소프트웨어)" xfId="12321"/>
    <cellStyle name="표_3차1회-당초제출" xfId="5886"/>
    <cellStyle name="표_3차1회-당초제출_내지농로(변경)" xfId="5887"/>
    <cellStyle name="표_3차1회-당초제출_내지농로(변경)_돈지수량산출" xfId="5888"/>
    <cellStyle name="표_3차1회-당초제출_능양수량산출" xfId="5889"/>
    <cellStyle name="표_3차1회-당초제출_능양수량산출_돈지수량산출" xfId="5890"/>
    <cellStyle name="표_3차1회-당초제출_돈지안길" xfId="5891"/>
    <cellStyle name="표_3차1회-당초제출_돈지안길_배수로" xfId="5892"/>
    <cellStyle name="표_3차1회-당초제출_돈지안길1000" xfId="5893"/>
    <cellStyle name="표_3차1회-당초제출_돈지안길1000_배수로" xfId="5894"/>
    <cellStyle name="표_3차1회-당초제출_배수로" xfId="5895"/>
    <cellStyle name="표_3차1회-당초제출_배수로_배수로" xfId="5896"/>
    <cellStyle name="표_3차공사 설계내역서(100억)" xfId="5897"/>
    <cellStyle name="표_3차공사 설계내역서(100억)_내지농로(변경)" xfId="5898"/>
    <cellStyle name="표_3차공사 설계내역서(100억)_내지농로(변경)_돈지수량산출" xfId="5899"/>
    <cellStyle name="표_3차공사 설계내역서(100억)_능양수량산출" xfId="5900"/>
    <cellStyle name="표_3차공사 설계내역서(100억)_능양수량산출_돈지수량산출" xfId="5901"/>
    <cellStyle name="표_3차공사 설계내역서(100억)_돈지안길" xfId="5902"/>
    <cellStyle name="표_3차공사 설계내역서(100억)_돈지안길_배수로" xfId="5903"/>
    <cellStyle name="표_3차공사 설계내역서(100억)_돈지안길1000" xfId="5904"/>
    <cellStyle name="표_3차공사 설계내역서(100억)_돈지안길1000_배수로" xfId="5905"/>
    <cellStyle name="표_3차공사 설계내역서(100억)_배수로" xfId="5906"/>
    <cellStyle name="표_3차공사 설계내역서(100억)_배수로_배수로" xfId="5907"/>
    <cellStyle name="표_3차공사-1회" xfId="5908"/>
    <cellStyle name="표_3차공사-1회_내지농로(변경)" xfId="5909"/>
    <cellStyle name="표_3차공사-1회_내지농로(변경)_돈지수량산출" xfId="5910"/>
    <cellStyle name="표_3차공사-1회_능양수량산출" xfId="5911"/>
    <cellStyle name="표_3차공사-1회_능양수량산출_돈지수량산출" xfId="5912"/>
    <cellStyle name="표_3차공사-1회_돈지안길" xfId="5913"/>
    <cellStyle name="표_3차공사-1회_돈지안길_배수로" xfId="5914"/>
    <cellStyle name="표_3차공사-1회_돈지안길1000" xfId="5915"/>
    <cellStyle name="표_3차공사-1회_돈지안길1000_배수로" xfId="5916"/>
    <cellStyle name="표_3차공사-1회_배수로" xfId="5917"/>
    <cellStyle name="표_3차공사-1회_배수로_배수로" xfId="5918"/>
    <cellStyle name="표_가야의 땅(실시설계)" xfId="5919"/>
    <cellStyle name="표_가야의땅(환경 및 재해)" xfId="5920"/>
    <cellStyle name="표_공유수면매립도시관리계획및실시설계용역" xfId="5921"/>
    <cellStyle name="표_공유수면매립도시관리계획및실시설계용역_도시개발기본계획설계서(478,527)" xfId="5922"/>
    <cellStyle name="표_공유수면매립도시관리계획및실시설계용역_은산2농공단지내역서(070910)" xfId="5923"/>
    <cellStyle name="표_관창일반산업단지확대조성사업 개발계획내역서1(07.10)" xfId="5924"/>
    <cellStyle name="표_교통검토서" xfId="12322"/>
    <cellStyle name="표_기성청구내역(3차-1회)" xfId="5925"/>
    <cellStyle name="표_기성청구내역(3차-1회)_내지농로(변경)" xfId="5926"/>
    <cellStyle name="표_기성청구내역(3차-1회)_내지농로(변경)_돈지수량산출" xfId="5927"/>
    <cellStyle name="표_기성청구내역(3차-1회)_능양수량산출" xfId="5928"/>
    <cellStyle name="표_기성청구내역(3차-1회)_능양수량산출_돈지수량산출" xfId="5929"/>
    <cellStyle name="표_기성청구내역(3차-1회)_돈지안길" xfId="5930"/>
    <cellStyle name="표_기성청구내역(3차-1회)_돈지안길_배수로" xfId="5931"/>
    <cellStyle name="표_기성청구내역(3차-1회)_돈지안길1000" xfId="5932"/>
    <cellStyle name="표_기성청구내역(3차-1회)_돈지안길1000_배수로" xfId="5933"/>
    <cellStyle name="표_기성청구내역(3차-1회)_배수로" xfId="5934"/>
    <cellStyle name="표_기성청구내역(3차-1회)_배수로_배수로" xfId="5935"/>
    <cellStyle name="표_기성청구내역(3차공사)" xfId="5936"/>
    <cellStyle name="표_기성청구내역(3차공사)_내지농로(변경)" xfId="5937"/>
    <cellStyle name="표_기성청구내역(3차공사)_내지농로(변경)_돈지수량산출" xfId="5938"/>
    <cellStyle name="표_기성청구내역(3차공사)_능양수량산출" xfId="5939"/>
    <cellStyle name="표_기성청구내역(3차공사)_능양수량산출_돈지수량산출" xfId="5940"/>
    <cellStyle name="표_기성청구내역(3차공사)_돈지안길" xfId="5941"/>
    <cellStyle name="표_기성청구내역(3차공사)_돈지안길_배수로" xfId="5942"/>
    <cellStyle name="표_기성청구내역(3차공사)_돈지안길1000" xfId="5943"/>
    <cellStyle name="표_기성청구내역(3차공사)_돈지안길1000_배수로" xfId="5944"/>
    <cellStyle name="표_기성청구내역(3차공사)_배수로" xfId="5945"/>
    <cellStyle name="표_기성청구내역(3차공사)_배수로_배수로" xfId="5946"/>
    <cellStyle name="표_깨기" xfId="12323"/>
    <cellStyle name="표_깨기_노임단가(소프트웨어)" xfId="12324"/>
    <cellStyle name="표_깨기_신광R~숭의R(폐기물)" xfId="12325"/>
    <cellStyle name="표_깨기_신광R~숭의R(폐기물)_노임단가(소프트웨어)" xfId="12326"/>
    <cellStyle name="표_내지농로(변경)" xfId="5947"/>
    <cellStyle name="표_내지농로(변경)_돈지수량산출" xfId="5948"/>
    <cellStyle name="표_노임단가(소프트웨어)" xfId="12327"/>
    <cellStyle name="표_농촌테마공원_기본계획수립(09.2.24최종검토후)" xfId="5949"/>
    <cellStyle name="표_능양수량산출" xfId="5950"/>
    <cellStyle name="표_능양수량산출_돈지수량산출" xfId="5951"/>
    <cellStyle name="표_도시개발기본계획설계서(478,527)" xfId="5952"/>
    <cellStyle name="표_돈지안길" xfId="5953"/>
    <cellStyle name="표_돈지안길_배수로" xfId="5954"/>
    <cellStyle name="표_돈지안길1000" xfId="5955"/>
    <cellStyle name="표_돈지안길1000_배수로" xfId="5956"/>
    <cellStyle name="표_로하스변경내역서-5(06.6.7)" xfId="5957"/>
    <cellStyle name="표_로하스변경내역서-5(06.6.7)_농촌테마공원_기본계획수립(09.2.24최종검토후)" xfId="5958"/>
    <cellStyle name="표_로하스변경내역서-5(06.6.7)_로하스변경내역서-6(06(1).6.27 당초변경)" xfId="5959"/>
    <cellStyle name="표_로하스변경내역서-5(06.6.7)_로하스변경내역서-6(06(1).6.27 당초변경)_농촌테마공원_기본계획수립(09.2.24최종검토후)" xfId="5960"/>
    <cellStyle name="표_로하스변경내역서-5(06.6.7)_로하스변경내역서-6(06(1).6.27 당초변경)_체육관공원 용역 설계내역서(도급)" xfId="5961"/>
    <cellStyle name="표_로하스변경내역서-5(06.6.7)_체육관공원 용역 설계내역서(도급)" xfId="5962"/>
    <cellStyle name="표_로하스변경내역서-6(06.6.21)" xfId="5963"/>
    <cellStyle name="표_로하스변경내역서-6(06.6.21)_농촌테마공원_기본계획수립(09.2.24최종검토후)" xfId="5964"/>
    <cellStyle name="표_로하스변경내역서-6(06.6.21)_로하스변경내역서-6(06(1).6.27 당초변경)" xfId="5965"/>
    <cellStyle name="표_로하스변경내역서-6(06.6.21)_로하스변경내역서-6(06(1).6.27 당초변경)_농촌테마공원_기본계획수립(09.2.24최종검토후)" xfId="5966"/>
    <cellStyle name="표_로하스변경내역서-6(06.6.21)_로하스변경내역서-6(06(1).6.27 당초변경)_체육관공원 용역 설계내역서(도급)" xfId="5967"/>
    <cellStyle name="표_로하스변경내역서-6(06.6.21)_체육관공원 용역 설계내역서(도급)" xfId="5968"/>
    <cellStyle name="표_문경내역(1127)" xfId="5969"/>
    <cellStyle name="표_문경내역(1127)_노임단가(소프트웨어)" xfId="12328"/>
    <cellStyle name="표_문경내역(1127)_노임단가(소프트웨어)_안성도시관리계획내역서(20100201)" xfId="12329"/>
    <cellStyle name="표_문경내역(1127)_노임단가(소프트웨어)_안성도시관리계획내역서-작업용" xfId="12330"/>
    <cellStyle name="표_문경내역(1127)_농촌테마공원_기본계획수립(09.2.24최종검토후)" xfId="5970"/>
    <cellStyle name="표_문경내역(1127)_체육관공원 용역 설계내역서(도급)" xfId="5971"/>
    <cellStyle name="표_배수공" xfId="12331"/>
    <cellStyle name="표_배수공_노임단가(소프트웨어)" xfId="12332"/>
    <cellStyle name="표_배수로" xfId="5972"/>
    <cellStyle name="표_배수로_배수로" xfId="5973"/>
    <cellStyle name="표_백학세천1" xfId="5974"/>
    <cellStyle name="표_백학세천1_내지농로(변경)" xfId="5975"/>
    <cellStyle name="표_백학세천1_돈지수량산출" xfId="5976"/>
    <cellStyle name="표_부대공" xfId="5977"/>
    <cellStyle name="표_부대공사" xfId="5978"/>
    <cellStyle name="표_부대공사단위수량" xfId="5979"/>
    <cellStyle name="표_솔빛마을연결도로(최종)" xfId="12333"/>
    <cellStyle name="표_솔빛마을연결도로(최종)_노임단가(소프트웨어)" xfId="12334"/>
    <cellStyle name="표_수량산출서(수정)" xfId="12335"/>
    <cellStyle name="표_수량산출서(수정)_3. 신광R~숭의R(배수공)" xfId="12336"/>
    <cellStyle name="표_수량산출서(수정)_3. 신광R~숭의R(배수공)_노임단가(소프트웨어)" xfId="12337"/>
    <cellStyle name="표_수량산출서(수정)_깨기" xfId="12338"/>
    <cellStyle name="표_수량산출서(수정)_깨기_노임단가(소프트웨어)" xfId="12339"/>
    <cellStyle name="표_수량산출서(수정)_깨기_신광R~숭의R(폐기물)" xfId="12340"/>
    <cellStyle name="표_수량산출서(수정)_깨기_신광R~숭의R(폐기물)_노임단가(소프트웨어)" xfId="12341"/>
    <cellStyle name="표_수량산출서(수정)_노임단가(소프트웨어)" xfId="12342"/>
    <cellStyle name="표_수량산출서(수정)_배수공" xfId="12343"/>
    <cellStyle name="표_수량산출서(수정)_배수공_노임단가(소프트웨어)" xfId="12344"/>
    <cellStyle name="표_수량산출서(수정)_솔빛마을연결도로(최종)" xfId="12345"/>
    <cellStyle name="표_수량산출서(수정)_솔빛마을연결도로(최종)_노임단가(소프트웨어)" xfId="12346"/>
    <cellStyle name="표_옹벽 수량(H=4.5m)" xfId="12347"/>
    <cellStyle name="표_옹벽 수량(H=4.5m)_노임단가(소프트웨어)" xfId="12348"/>
    <cellStyle name="표_울산 도시개발사업(교평)" xfId="5980"/>
    <cellStyle name="표_울산 도시개발사업(교평)_노임단가(소프트웨어)" xfId="12349"/>
    <cellStyle name="표_울산 도시개발사업(교평)_노임단가(소프트웨어)_안성도시관리계획내역서(20100201)" xfId="12350"/>
    <cellStyle name="표_울산 도시개발사업(교평)_노임단가(소프트웨어)_안성도시관리계획내역서-작업용" xfId="12351"/>
    <cellStyle name="표_은산2농공단지내역서(070910)" xfId="5981"/>
    <cellStyle name="표_청구내역" xfId="5982"/>
    <cellStyle name="표_청구내역_내지농로(변경)" xfId="5983"/>
    <cellStyle name="표_청구내역_내지농로(변경)_돈지수량산출" xfId="5984"/>
    <cellStyle name="표_청구내역_능양수량산출" xfId="5985"/>
    <cellStyle name="표_청구내역_능양수량산출_돈지수량산출" xfId="5986"/>
    <cellStyle name="표_청구내역_돈지안길" xfId="5987"/>
    <cellStyle name="표_청구내역_돈지안길_배수로" xfId="5988"/>
    <cellStyle name="표_청구내역_돈지안길1000" xfId="5989"/>
    <cellStyle name="표_청구내역_돈지안길1000_배수로" xfId="5990"/>
    <cellStyle name="표_청구내역_배수로" xfId="5991"/>
    <cellStyle name="표_청구내역_배수로_배수로" xfId="5992"/>
    <cellStyle name="표_체육관공원 용역 설계내역서(도급)" xfId="5993"/>
    <cellStyle name="표_추가) 문화재지표조사(김해OO산업단지)" xfId="5994"/>
    <cellStyle name="표_태풍가드레일변경" xfId="5995"/>
    <cellStyle name="표_통영생태숲 내역서(변경)" xfId="5996"/>
    <cellStyle name="표_통영생태숲 사전재해내역서 - 081002 " xfId="5997"/>
    <cellStyle name="표_포천 시가화예정용지 제1종지구단위계획(총괄내역서)-보정" xfId="12352"/>
    <cellStyle name="표_포천 시가화예정용지 제1종지구단위계획(총괄내역서)-보정_노임단가(소프트웨어)" xfId="12353"/>
    <cellStyle name="표머릿글(上)" xfId="12721"/>
    <cellStyle name="표머릿글(中)" xfId="12722"/>
    <cellStyle name="표머릿글(下)" xfId="12723"/>
    <cellStyle name="표서식" xfId="12354"/>
    <cellStyle name="표준" xfId="0" builtinId="0"/>
    <cellStyle name="표준 10" xfId="5998"/>
    <cellStyle name="표준 10 2" xfId="5999"/>
    <cellStyle name="표준 10 2 2" xfId="6000"/>
    <cellStyle name="표준 10 2 2 2" xfId="6001"/>
    <cellStyle name="표준 10 2 2 2 2" xfId="12355"/>
    <cellStyle name="표준 10 2 2 2 3" xfId="12356"/>
    <cellStyle name="표준 10 2 2 3" xfId="6002"/>
    <cellStyle name="표준 10 2 2 3 2" xfId="12357"/>
    <cellStyle name="표준 10 2 2 3 3" xfId="12358"/>
    <cellStyle name="표준 10 2 2 4" xfId="12359"/>
    <cellStyle name="표준 10 2 2 5" xfId="12360"/>
    <cellStyle name="표준 10 2 3" xfId="6003"/>
    <cellStyle name="표준 10 2 3 2" xfId="12361"/>
    <cellStyle name="표준 10 2 3 3" xfId="12362"/>
    <cellStyle name="표준 10 2 4" xfId="6004"/>
    <cellStyle name="표준 10 2 4 2" xfId="12363"/>
    <cellStyle name="표준 10 2 4 3" xfId="12364"/>
    <cellStyle name="표준 10 2 5" xfId="12365"/>
    <cellStyle name="표준 10 2 6" xfId="12366"/>
    <cellStyle name="표준 10 3" xfId="6005"/>
    <cellStyle name="표준 10 3 2" xfId="6006"/>
    <cellStyle name="표준 10 3 2 2" xfId="12367"/>
    <cellStyle name="표준 10 3 2 3" xfId="12368"/>
    <cellStyle name="표준 10 3 3" xfId="6007"/>
    <cellStyle name="표준 10 3 3 2" xfId="12369"/>
    <cellStyle name="표준 10 3 3 3" xfId="12370"/>
    <cellStyle name="표준 10 3 4" xfId="12371"/>
    <cellStyle name="표준 10 3 5" xfId="12372"/>
    <cellStyle name="표준 10 4" xfId="6008"/>
    <cellStyle name="표준 10 5" xfId="6009"/>
    <cellStyle name="표준 10 5 2" xfId="12373"/>
    <cellStyle name="표준 10 5 3" xfId="12374"/>
    <cellStyle name="표준 10 6" xfId="6010"/>
    <cellStyle name="표준 10 6 2" xfId="12375"/>
    <cellStyle name="표준 10 6 3" xfId="12376"/>
    <cellStyle name="표준 10 7" xfId="12377"/>
    <cellStyle name="표준 10 8" xfId="12378"/>
    <cellStyle name="표준 11" xfId="6011"/>
    <cellStyle name="표준 12" xfId="6012"/>
    <cellStyle name="표준 13" xfId="6013"/>
    <cellStyle name="표준 14" xfId="6014"/>
    <cellStyle name="표준 148" xfId="12732"/>
    <cellStyle name="표준 15" xfId="6015"/>
    <cellStyle name="표준 16" xfId="1"/>
    <cellStyle name="표준 17" xfId="12379"/>
    <cellStyle name="표준 18" xfId="12380"/>
    <cellStyle name="표준 19" xfId="12381"/>
    <cellStyle name="표준 2" xfId="125"/>
    <cellStyle name="표준 2 10" xfId="12382"/>
    <cellStyle name="표준 2 11" xfId="12383"/>
    <cellStyle name="표준 2 12" xfId="12384"/>
    <cellStyle name="표준 2 13" xfId="12385"/>
    <cellStyle name="표준 2 14" xfId="12386"/>
    <cellStyle name="표준 2 15" xfId="12387"/>
    <cellStyle name="표준 2 2" xfId="6016"/>
    <cellStyle name="표준 2 2 2" xfId="6017"/>
    <cellStyle name="표준 2 2 2 2" xfId="6018"/>
    <cellStyle name="표준 2 2 2 3" xfId="12388"/>
    <cellStyle name="표준 2 2 2 4" xfId="12389"/>
    <cellStyle name="표준 2 2 2 5" xfId="12390"/>
    <cellStyle name="표준 2 2 2 6" xfId="12391"/>
    <cellStyle name="표준 2 2 2 7" xfId="12392"/>
    <cellStyle name="표준 2 2 3" xfId="6019"/>
    <cellStyle name="표준 2 2 4" xfId="6020"/>
    <cellStyle name="표준 2 2 5" xfId="6021"/>
    <cellStyle name="표준 2 2 5 2" xfId="12733"/>
    <cellStyle name="표준 2 2 6" xfId="12393"/>
    <cellStyle name="표준 2 2 7" xfId="12394"/>
    <cellStyle name="표준 2 2 8" xfId="12395"/>
    <cellStyle name="표준 2 2 9" xfId="12396"/>
    <cellStyle name="표준 2 2_의령군 UPIS 유지관리 설계서_0816" xfId="12397"/>
    <cellStyle name="표준 2 3" xfId="6022"/>
    <cellStyle name="표준 2 3 2" xfId="6023"/>
    <cellStyle name="표준 2 3 2 2" xfId="6024"/>
    <cellStyle name="표준 2 3 2 3" xfId="6025"/>
    <cellStyle name="표준 2 3 3" xfId="12398"/>
    <cellStyle name="표준 2 3 4" xfId="12399"/>
    <cellStyle name="표준 2 3 5" xfId="12460"/>
    <cellStyle name="표준 2 4" xfId="6026"/>
    <cellStyle name="표준 2 4 2" xfId="6027"/>
    <cellStyle name="표준 2 5" xfId="6028"/>
    <cellStyle name="표준 2 5 2" xfId="6029"/>
    <cellStyle name="표준 2 6" xfId="6030"/>
    <cellStyle name="표준 2 7" xfId="6031"/>
    <cellStyle name="표준 2 8" xfId="6032"/>
    <cellStyle name="표준 2 9" xfId="12400"/>
    <cellStyle name="표준 2_090528_견적서_수보_FAX, VPN서버" xfId="12401"/>
    <cellStyle name="표준 20" xfId="12402"/>
    <cellStyle name="표준 21" xfId="12403"/>
    <cellStyle name="표준 22" xfId="12404"/>
    <cellStyle name="표준 3" xfId="6033"/>
    <cellStyle name="표준 3 10 5" xfId="12405"/>
    <cellStyle name="표준 3 2" xfId="6034"/>
    <cellStyle name="표준 3 2 2" xfId="6035"/>
    <cellStyle name="표준 3 2 2 2" xfId="6036"/>
    <cellStyle name="표준 3 2 2 3" xfId="6037"/>
    <cellStyle name="표준 3 3" xfId="6038"/>
    <cellStyle name="표준 3 3 2" xfId="6039"/>
    <cellStyle name="표준 3 3 3" xfId="6040"/>
    <cellStyle name="표준 3 4" xfId="6041"/>
    <cellStyle name="표준 3_고창" xfId="6042"/>
    <cellStyle name="표준 4" xfId="6043"/>
    <cellStyle name="표준 4 10" xfId="6044"/>
    <cellStyle name="표준 4 10 2" xfId="12406"/>
    <cellStyle name="표준 4 10 3" xfId="12407"/>
    <cellStyle name="표준 4 11" xfId="12408"/>
    <cellStyle name="표준 4 2" xfId="6045"/>
    <cellStyle name="표준 4 2 2" xfId="6046"/>
    <cellStyle name="표준 4 2 2 2" xfId="6047"/>
    <cellStyle name="표준 4 2 2 2 2" xfId="12409"/>
    <cellStyle name="표준 4 2 2 2 3" xfId="12410"/>
    <cellStyle name="표준 4 2 2 3" xfId="6048"/>
    <cellStyle name="표준 4 2 2 3 2" xfId="12411"/>
    <cellStyle name="표준 4 2 2 3 3" xfId="12412"/>
    <cellStyle name="표준 4 2 2 4" xfId="12413"/>
    <cellStyle name="표준 4 2 2 5" xfId="12414"/>
    <cellStyle name="표준 4 2 3" xfId="6049"/>
    <cellStyle name="표준 4 2 4" xfId="6050"/>
    <cellStyle name="표준 4 2 4 2" xfId="12415"/>
    <cellStyle name="표준 4 2 4 3" xfId="12416"/>
    <cellStyle name="표준 4 2 5" xfId="6051"/>
    <cellStyle name="표준 4 2 5 2" xfId="12417"/>
    <cellStyle name="표준 4 2 5 3" xfId="12418"/>
    <cellStyle name="표준 4 2 6" xfId="12419"/>
    <cellStyle name="표준 4 2 7" xfId="12420"/>
    <cellStyle name="표준 4 3" xfId="6052"/>
    <cellStyle name="표준 4 4" xfId="6053"/>
    <cellStyle name="표준 4 4 2" xfId="6054"/>
    <cellStyle name="표준 4 4 2 2" xfId="12421"/>
    <cellStyle name="표준 4 4 2 3" xfId="12422"/>
    <cellStyle name="표준 4 4 3" xfId="6055"/>
    <cellStyle name="표준 4 4 3 2" xfId="12423"/>
    <cellStyle name="표준 4 4 3 3" xfId="12424"/>
    <cellStyle name="표준 4 4 4" xfId="12425"/>
    <cellStyle name="표준 4 4 5" xfId="12426"/>
    <cellStyle name="표준 4 5" xfId="6056"/>
    <cellStyle name="표준 4 5 2" xfId="6057"/>
    <cellStyle name="표준 4 5 2 2" xfId="12427"/>
    <cellStyle name="표준 4 5 2 3" xfId="12428"/>
    <cellStyle name="표준 4 5 3" xfId="6058"/>
    <cellStyle name="표준 4 5 3 2" xfId="12429"/>
    <cellStyle name="표준 4 5 3 3" xfId="12430"/>
    <cellStyle name="표준 4 5 4" xfId="12431"/>
    <cellStyle name="표준 4 5 5" xfId="12432"/>
    <cellStyle name="표준 4 6" xfId="6059"/>
    <cellStyle name="표준 4 6 2" xfId="6060"/>
    <cellStyle name="표준 4 6 3" xfId="6061"/>
    <cellStyle name="표준 4 7" xfId="6062"/>
    <cellStyle name="표준 4 7 2" xfId="12433"/>
    <cellStyle name="표준 4 7 3" xfId="12434"/>
    <cellStyle name="표준 4 8" xfId="6063"/>
    <cellStyle name="표준 4 8 2" xfId="12435"/>
    <cellStyle name="표준 4 8 3" xfId="12436"/>
    <cellStyle name="표준 4 9" xfId="6064"/>
    <cellStyle name="표준 4 9 2" xfId="12437"/>
    <cellStyle name="표준 4 9 3" xfId="12438"/>
    <cellStyle name="표준 4_총괄표" xfId="12439"/>
    <cellStyle name="표준 5" xfId="6065"/>
    <cellStyle name="표준 5 2" xfId="6066"/>
    <cellStyle name="표준 5 2 2" xfId="6067"/>
    <cellStyle name="표준 5 2 3" xfId="6068"/>
    <cellStyle name="표준 5 2 3 2" xfId="6069"/>
    <cellStyle name="표준 5 2 3 3" xfId="6070"/>
    <cellStyle name="표준 5 3" xfId="6071"/>
    <cellStyle name="표준 5 4" xfId="6072"/>
    <cellStyle name="표준 5 5" xfId="6073"/>
    <cellStyle name="표준 5 5 2" xfId="6074"/>
    <cellStyle name="표준 5 5 3" xfId="6075"/>
    <cellStyle name="표준 5 6" xfId="6076"/>
    <cellStyle name="표준 5 7" xfId="6114"/>
    <cellStyle name="표준 5_총괄표" xfId="12440"/>
    <cellStyle name="표준 6" xfId="6077"/>
    <cellStyle name="표준 6 2" xfId="6078"/>
    <cellStyle name="표준 6 2 2" xfId="6079"/>
    <cellStyle name="표준 6 2 2 2" xfId="6080"/>
    <cellStyle name="표준 6 2 2 2 2" xfId="12441"/>
    <cellStyle name="표준 6 2 2 2 3" xfId="12442"/>
    <cellStyle name="표준 6 2 2 3" xfId="12443"/>
    <cellStyle name="표준 6 2 2 4" xfId="12444"/>
    <cellStyle name="표준 6 3" xfId="6081"/>
    <cellStyle name="표준 6 3 2" xfId="6082"/>
    <cellStyle name="표준 6 3 2 2" xfId="12445"/>
    <cellStyle name="표준 6 3 2 3" xfId="12446"/>
    <cellStyle name="표준 6 3 3" xfId="12447"/>
    <cellStyle name="표준 6 3 4" xfId="12448"/>
    <cellStyle name="표준 6 4" xfId="6083"/>
    <cellStyle name="표준 6 5 2" xfId="12731"/>
    <cellStyle name="표준 6_총괄표" xfId="12449"/>
    <cellStyle name="표준 7" xfId="6084"/>
    <cellStyle name="표준 7 2" xfId="6085"/>
    <cellStyle name="표준 7 2 2" xfId="6086"/>
    <cellStyle name="표준 7 3" xfId="6087"/>
    <cellStyle name="표준 7 4" xfId="6088"/>
    <cellStyle name="표준 7_총괄표" xfId="12450"/>
    <cellStyle name="표준 8" xfId="6089"/>
    <cellStyle name="표준 8 2" xfId="6090"/>
    <cellStyle name="표준 9" xfId="6091"/>
    <cellStyle name="표준 9 2" xfId="6092"/>
    <cellStyle name="표준 9 2 2" xfId="6093"/>
    <cellStyle name="표준 9 2 3" xfId="6094"/>
    <cellStyle name="표준(배분)" xfId="6095"/>
    <cellStyle name="標準_ ｹ-ﾌﾞﾙ物量(B)" xfId="12724"/>
    <cellStyle name="표준_명파오거리" xfId="12459"/>
    <cellStyle name="표준_쌍호1제 설계변경" xfId="4"/>
    <cellStyle name="표준1" xfId="126"/>
    <cellStyle name="標準１" xfId="12451"/>
    <cellStyle name="표준1 2" xfId="12725"/>
    <cellStyle name="표준123" xfId="6096"/>
    <cellStyle name="표준2" xfId="6097"/>
    <cellStyle name="표준℘Sheet8 (3)" xfId="6098"/>
    <cellStyle name="표준날짜" xfId="12452"/>
    <cellStyle name="표준숫자" xfId="12453"/>
    <cellStyle name="표쥰" xfId="6099"/>
    <cellStyle name="하이퍼링크 2" xfId="6100"/>
    <cellStyle name="하이퍼링크 2 2" xfId="12454"/>
    <cellStyle name="하이퍼링크 2 3" xfId="12455"/>
    <cellStyle name="하이퍼링크 2 4" xfId="12456"/>
    <cellStyle name="하이퍼링크 3" xfId="6101"/>
    <cellStyle name="합계" xfId="127"/>
    <cellStyle name="합계 2" xfId="6102"/>
    <cellStyle name="합산" xfId="128"/>
    <cellStyle name="합산 2" xfId="12726"/>
    <cellStyle name="桁区切り [0.00]_laroux" xfId="12727"/>
    <cellStyle name="桁区切り_laroux" xfId="12728"/>
    <cellStyle name="桁蟻唇Ｆ [0.00]_laroux" xfId="12457"/>
    <cellStyle name="桁蟻唇Ｆ_3346" xfId="12458"/>
    <cellStyle name="해동양식" xfId="12729"/>
    <cellStyle name="貨幣 [0]_GARMENT STEP FORM HK" xfId="129"/>
    <cellStyle name="貨幣_GARMENT STEP FORM HK" xfId="130"/>
    <cellStyle name="화폐기호" xfId="131"/>
    <cellStyle name="화폐기호 2" xfId="6103"/>
    <cellStyle name="화폐기호0" xfId="132"/>
    <cellStyle name="화폐기호0 2" xfId="6104"/>
    <cellStyle name="회계" xfId="6105"/>
    <cellStyle name="〰㜯〱" xfId="12730"/>
    <cellStyle name="ㅣ" xfId="6106"/>
    <cellStyle name="ㅣ 2" xfId="6107"/>
    <cellStyle name="ㅣ 2 2" xfId="6108"/>
    <cellStyle name="ㅣ 3" xfId="6109"/>
    <cellStyle name="ㅣ 3 2" xfId="6110"/>
    <cellStyle name="ㅣ 4" xfId="6111"/>
    <cellStyle name="ㅣ 4 2" xfId="6112"/>
    <cellStyle name="ㅣ 5" xfId="61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styles" Target="styles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142875</xdr:rowOff>
    </xdr:from>
    <xdr:to>
      <xdr:col>11</xdr:col>
      <xdr:colOff>0</xdr:colOff>
      <xdr:row>11</xdr:row>
      <xdr:rowOff>142875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8963025" y="4752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</xdr:row>
      <xdr:rowOff>161925</xdr:rowOff>
    </xdr:from>
    <xdr:to>
      <xdr:col>11</xdr:col>
      <xdr:colOff>0</xdr:colOff>
      <xdr:row>7</xdr:row>
      <xdr:rowOff>161925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896302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923924</xdr:colOff>
      <xdr:row>7</xdr:row>
      <xdr:rowOff>38100</xdr:rowOff>
    </xdr:from>
    <xdr:to>
      <xdr:col>9</xdr:col>
      <xdr:colOff>761999</xdr:colOff>
      <xdr:row>7</xdr:row>
      <xdr:rowOff>38100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 flipV="1">
          <a:off x="923924" y="2971800"/>
          <a:ext cx="75533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619125</xdr:colOff>
      <xdr:row>12</xdr:row>
      <xdr:rowOff>333375</xdr:rowOff>
    </xdr:from>
    <xdr:to>
      <xdr:col>4</xdr:col>
      <xdr:colOff>333375</xdr:colOff>
      <xdr:row>14</xdr:row>
      <xdr:rowOff>76200</xdr:rowOff>
    </xdr:to>
    <xdr:pic>
      <xdr:nvPicPr>
        <xdr:cNvPr id="5" name="_x65068968" descr="EMB00000e1c55a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5362575"/>
          <a:ext cx="6381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23</xdr:row>
      <xdr:rowOff>247650</xdr:rowOff>
    </xdr:from>
    <xdr:to>
      <xdr:col>11</xdr:col>
      <xdr:colOff>9525</xdr:colOff>
      <xdr:row>23</xdr:row>
      <xdr:rowOff>266700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2486025" y="8020050"/>
          <a:ext cx="3276600" cy="190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2</xdr:row>
      <xdr:rowOff>0</xdr:rowOff>
    </xdr:from>
    <xdr:to>
      <xdr:col>11</xdr:col>
      <xdr:colOff>152400</xdr:colOff>
      <xdr:row>2</xdr:row>
      <xdr:rowOff>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2914650" y="495300"/>
          <a:ext cx="2990850" cy="0"/>
        </a:xfrm>
        <a:prstGeom prst="line">
          <a:avLst/>
        </a:prstGeom>
        <a:noFill/>
        <a:ln w="5080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168088</xdr:colOff>
      <xdr:row>21</xdr:row>
      <xdr:rowOff>54324</xdr:rowOff>
    </xdr:from>
    <xdr:to>
      <xdr:col>5</xdr:col>
      <xdr:colOff>268942</xdr:colOff>
      <xdr:row>21</xdr:row>
      <xdr:rowOff>661146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382" y="6307206"/>
          <a:ext cx="773207" cy="6068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1189940</xdr:colOff>
      <xdr:row>60</xdr:row>
      <xdr:rowOff>89648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0" y="0"/>
          <a:ext cx="11791265" cy="14377148"/>
          <a:chOff x="113077" y="89646"/>
          <a:chExt cx="11791265" cy="14377148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185647" y="168088"/>
            <a:ext cx="5718695" cy="7227795"/>
          </a:xfrm>
          <a:prstGeom prst="rect">
            <a:avLst/>
          </a:prstGeom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3850" y="7770479"/>
            <a:ext cx="5397681" cy="6696315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035167" y="7640011"/>
            <a:ext cx="5683431" cy="6773156"/>
          </a:xfrm>
          <a:prstGeom prst="rect">
            <a:avLst/>
          </a:prstGeom>
        </xdr:spPr>
      </xdr:pic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6851386" y="9584583"/>
            <a:ext cx="4068399" cy="2723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3077" y="89646"/>
            <a:ext cx="5874294" cy="7339853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</xdr:row>
      <xdr:rowOff>155575</xdr:rowOff>
    </xdr:from>
    <xdr:to>
      <xdr:col>12</xdr:col>
      <xdr:colOff>160776</xdr:colOff>
      <xdr:row>53</xdr:row>
      <xdr:rowOff>164498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114300" y="497161"/>
          <a:ext cx="9190476" cy="8719371"/>
          <a:chOff x="333375" y="127000"/>
          <a:chExt cx="9190476" cy="8752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6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375" y="127000"/>
            <a:ext cx="9190476" cy="395554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33375" y="4146550"/>
            <a:ext cx="9180952" cy="4733323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50629;1&#48376;&#48512;(1)\C\&#50689;&#50629;1&#48376;&#48512;\4.&#44608;&#51116;&#49457;\&#44396;&#49328;\&#44396;&#49328;&#51333;&#54633;&#50868;&#46041;&#44204;&#51201;1,2\My%20Documents\sys_cabling_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4;&#54868;\&#44608;&#54788;&#51068;\DATA\&#49444;&#44228;&#48320;&#44221;\&#44053;&#44288;&#54028;&#51068;(&#51088;&#4730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5824;&#49457;\CDS\song\&#51652;&#46020;&#48372;&#44256;\7-3\7&#50900;\hi-excel\3&#54924;-&#49444;&#48320;\3&#54924;-&#53664;&#5120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JUNG\&#45824;&#54217;\&#51222;&#516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DataBackup\&#49688;&#47049;&#49328;&#52636;&#49436;\09&#54252;&#51109;\&#54869;&#54253;&#4851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2000&#44221;&#51452;EXPO\7&#50900;file\&#46020;&#47196;&#44277;&#49324;\&#49436;&#50872;&#49884;CCT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MSOffice\99file\&#49436;&#50872;&#49884;CCTV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49352;%20&#54260;&#45908;\&#54788;&#51109;&#51089;&#50629;\14-2\My%20Documents\&#45909;&#54413;&#44048;&#48513;&#46020;&#47196;\&#45909;&#54413;&#44048;&#48513;&#44221;&#4870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0689;&#50629;&#50629;&#47924;\2011&#45380;\&#51648;&#51088;&#52404;\&#51228;&#52380;&#49884;\UPIS\&#48156;&#51452;&#51088;&#47308;&#51228;&#44277;_20110211\&#51228;&#52380;_UPIS_&#49444;&#44228;&#49436;_20110216_&#52488;&#505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&#51204;&#51088;&#51648;&#48520;&#49884;&#49828;&#53596;\C&#50532;C&#50896;&#44032;&#44228;&#493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BAKUP\OLD-E\1760\1766\1766-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office-file\&#54861;&#51648;&#50689;\2002&#45380;\0207\&#50640;&#47532;&#53944;&#54140;&#45768;&#52376;\&#47785;&#51116;&#50668;&#45803;&#51060;&#47928;&#50808;18&#5133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540;&#49688;\MYDOCUMENTS\&#44204;&#51201;&#49436;\&#44204;&#51201;&#49436;(&#50641;&#49472;)\&#54532;&#47196;&#51229;&#53944;\&#54788;&#51228;&#51089;&#50629;&#49892;\&#46020;&#54868;,&#44221;&#54868;,&#44148;&#54868;\&#49457;&#45224;&#51008;&#54665;1&#44032;&#50517;&#5110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51452;&#44277;-&#49688;&#48176;&#51613;&#48729;&#51088;&#4730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54805;\MY%20DOCUMENTS\&#47928;&#49436;\&#44288;&#44277;&#49324;\&#44277;&#44592;&#49328;&#51221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51060;&#44592;&#49328;\Local%20Settings\Temporary%20Internet%20Files\Content.IE5\PFRZ91KE\lim\down\&#50676;&#47536;&#44368;&#51221;&#48143;&#55092;&#49885;&#44277;&#50896;&#51312;&#49457;&#44277;&#49324;(&#49688;&#47049;&#49328;&#52636;2003.3)20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ds\project\project\2002\&#51228;&#52380;&#46020;&#45812;&#49892;&#49884;&#49444;&#44228;\&#49688;&#47049;sample\2000\1-1%20(&#49345;&#47196;)&#51109;&#54217;&#52380;\&#44368;&#458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&#48512;\C\JUNG\&#45824;&#54217;\&#51222;&#5164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51076;&#49884;&#54028;&#51068;\KNK\2002&#45380;\&#50896;&#44032;&#44228;&#49328;\&#48372;&#46972;&#47588;&#48337;&#50896;\office%20&#50577;&#49885;\I&#19968;&#33324;&#2760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MSOffice\99file\&#49436;&#50872;&#49884;&#49888;&#54840;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00&#45380;&#49888;&#54805;1&#54840;&#52980;\C\BEAR-1\ESC\CC-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N&#36035;&#63963;-&#3288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OENTECH\nanoentech.co.Ltd\Documents%20and%20Settings\lsh\My%20Documents\&#48155;&#51008;%20&#54028;&#51068;\My%20Documents\&#44608;&#44221;&#53469;\&#50977;&#44400;&#51228;1266&#48512;&#45824;\&#51228;&#51312;\&#53356;&#47021;&#53356;&#50808;\EXCEL\&#51312;&#44221;&#452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44428;&#53468;&#49885;\My%20Documents\&#52572;&#51648;&#54984;\&#49444;&#44228;&#44288;&#47144;\3&#44592;&#5145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rl\d\My%20Documents\&#47928;&#49436;\&#49440;&#44553;&#4455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4616;&#49328;\&#54616;&#49328;\&#54616;&#44277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09;&#54788;\C\My%20Documents\&#45236;&#50669;&#49436;\KHDATA\&#44288;&#47532;&#52397;\&#50896;&#45224;-&#50872;&#51652;\&#50896;&#45224;&#50872;&#51652;&#45209;&#52272;&#45236;&#50669;(99.4.13%20&#48512;&#49328;&#52397;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&#48149;&#44592;&#49324;%20&#51089;&#50629;&#50857;\DATA\MR-BAB\&#50641;&#49472;DATA\3.&#48176;&#49688;&#44277;\BUDA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8149;&#51333;&#48124;\K&#46300;&#46972;&#51060;&#48652;\work\&#47928;&#49436;&#44288;&#47532;\&#49324;&#50629;&#48156;&#51452;\&#44340;&#49328;\&#52488;&#50504;\&#44340;&#49328;_UPIS&#49444;&#44228;&#45236;&#50669;&#49436;_09.04.2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44221;&#51452;\D\BEAR\XLS\FD9715-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CCT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견적을지"/>
      <sheetName val="설계산출표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관파일(자료)"/>
      <sheetName val="#REF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조명시설"/>
      <sheetName val="부안일위"/>
      <sheetName val="단위중량"/>
      <sheetName val="업무처리전"/>
      <sheetName val="6PILE  _돌출_"/>
      <sheetName val="소업1교"/>
      <sheetName val="3BL공동구 수량"/>
      <sheetName val="옹벽조금수정"/>
      <sheetName val="#REF"/>
      <sheetName val="가설건물"/>
      <sheetName val="본선 토공 분배표"/>
      <sheetName val="샘플표지"/>
      <sheetName val="갑지"/>
      <sheetName val="내역서"/>
      <sheetName val="공사비집계"/>
      <sheetName val="진주방향"/>
      <sheetName val="반응조"/>
      <sheetName val="토공 갑지"/>
      <sheetName val="입찰안"/>
      <sheetName val="내역표지"/>
      <sheetName val="빗물받이(910-510-410)"/>
      <sheetName val="가격조사서"/>
      <sheetName val="약품설비"/>
      <sheetName val="노임단가"/>
      <sheetName val="원형1호맨홀토공수량"/>
      <sheetName val="집계표(육상)"/>
      <sheetName val="지급자재"/>
      <sheetName val="포장공자재집계표"/>
      <sheetName val="DATE"/>
      <sheetName val="산출근거"/>
      <sheetName val="해전배수"/>
      <sheetName val="수문일1"/>
      <sheetName val="결과조달"/>
      <sheetName val="총괄내역서"/>
      <sheetName val="총 괄 표"/>
      <sheetName val="참조"/>
      <sheetName val="사통"/>
      <sheetName val="물가시세"/>
      <sheetName val="터파기및재료"/>
      <sheetName val="Sheet1"/>
      <sheetName val="수지표"/>
      <sheetName val="셀명"/>
      <sheetName val="총괄"/>
      <sheetName val="하도내역 (철콘)"/>
      <sheetName val="SLAB&quot;1&quot;"/>
      <sheetName val="BOX(1.5X1.5)"/>
      <sheetName val="6PILE+옹벽집계!$G$6+옹벽집계!$H$10  (돌출"/>
      <sheetName val="산출내역서"/>
      <sheetName val="실행철강하도"/>
      <sheetName val="내역"/>
      <sheetName val="2.단면가정 "/>
      <sheetName val="D200"/>
      <sheetName val="교각계산"/>
      <sheetName val="수량3"/>
      <sheetName val="우수받이재료집계표"/>
      <sheetName val="말뚝지지력산정"/>
      <sheetName val="가도공"/>
      <sheetName val="단면 (2)"/>
      <sheetName val="Sheet1 (2)"/>
      <sheetName val="안산기계장치"/>
      <sheetName val="4.2유효폭의 계산"/>
      <sheetName val="입찰"/>
      <sheetName val="현경"/>
      <sheetName val="U-TYPE(1)"/>
      <sheetName val="오동"/>
      <sheetName val="대조"/>
      <sheetName val="나한"/>
      <sheetName val="type-F"/>
      <sheetName val="격점수량"/>
      <sheetName val="간지(1)"/>
      <sheetName val="1,2,3,4,5단위수량"/>
      <sheetName val="ELECTRIC"/>
      <sheetName val="SCHEDULE"/>
      <sheetName val="Sheet2"/>
      <sheetName val="수량집계"/>
      <sheetName val="인사자료총집계"/>
      <sheetName val="슬래브"/>
      <sheetName val="A-4"/>
      <sheetName val="밸브설치"/>
      <sheetName val="일위대가목록"/>
      <sheetName val="2호맨홀공제수량"/>
      <sheetName val="배수관산출"/>
      <sheetName val="000000"/>
      <sheetName val="공사비증감"/>
      <sheetName val="수안보-MBR1"/>
      <sheetName val="3.공통공사대비"/>
      <sheetName val="목표세부명세"/>
      <sheetName val="견적서(토공)"/>
      <sheetName val="간선계산"/>
      <sheetName val="ABUT수량-A1"/>
      <sheetName val="예가표"/>
      <sheetName val="교각정보"/>
      <sheetName val="기기리스트"/>
      <sheetName val="BID"/>
      <sheetName val="1062-X방향 "/>
      <sheetName val="발주설계서(당초)"/>
      <sheetName val="포장물량집계"/>
      <sheetName val="원가"/>
      <sheetName val="실정보고"/>
      <sheetName val="갑지1"/>
      <sheetName val="DATA98"/>
      <sheetName val="고창방향"/>
      <sheetName val="SIL98"/>
      <sheetName val="연돌일위집계"/>
      <sheetName val="공사비증감(P4) "/>
      <sheetName val="1. 설계조건 2.단면가정 3. 하중계산"/>
      <sheetName val="DATA 입력란"/>
      <sheetName val="일위대가(계측기설치)"/>
      <sheetName val="기성내역"/>
      <sheetName val="경상비"/>
      <sheetName val="DATA2000"/>
      <sheetName val="수로집계"/>
      <sheetName val="실행예산"/>
      <sheetName val="식재"/>
      <sheetName val="시설물"/>
      <sheetName val="식재출력용"/>
      <sheetName val="유지관리"/>
      <sheetName val="단가"/>
      <sheetName val="주식"/>
      <sheetName val="집계표"/>
      <sheetName val="견적의뢰서"/>
      <sheetName val="2000년1차"/>
      <sheetName val="2000전체분"/>
      <sheetName val="200"/>
      <sheetName val="세대구분"/>
      <sheetName val="공문"/>
      <sheetName val="COVER"/>
      <sheetName val="Sheet4"/>
      <sheetName val="DATA입력"/>
      <sheetName val="자료"/>
      <sheetName val="2공구산출내역"/>
      <sheetName val="S.중기사용료"/>
      <sheetName val="97노임단가"/>
      <sheetName val="입력란"/>
      <sheetName val="간 지1"/>
      <sheetName val="TOTAL_BOQ"/>
      <sheetName val="BOX 본체"/>
      <sheetName val="날개벽(시점좌측)"/>
      <sheetName val="뚝토공"/>
      <sheetName val="4)유동표"/>
      <sheetName val="단면A-A(TR)"/>
      <sheetName val="단면B-B(EA)"/>
      <sheetName val="역T형"/>
      <sheetName val="6PILE 과속방지턱집계표!$K$12 (돌출)"/>
      <sheetName val="8.PILE  (돌출)"/>
      <sheetName val="산근터빈"/>
      <sheetName val="금액내역서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공사내역"/>
      <sheetName val="실행"/>
      <sheetName val="1호맨홀토공"/>
      <sheetName val="TOWER 10TON"/>
      <sheetName val="TOWER 12TON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공종단가"/>
      <sheetName val="6PILE  _돌_x001c__"/>
      <sheetName val="일위대가"/>
      <sheetName val="장비"/>
      <sheetName val="산근1"/>
      <sheetName val="노무"/>
      <sheetName val="자재"/>
      <sheetName val="코드표"/>
      <sheetName val="약품공급2"/>
      <sheetName val="신당동집계표"/>
      <sheetName val="산마루측구단위수량"/>
      <sheetName val="신표지1"/>
      <sheetName val="일위(PN)"/>
      <sheetName val="배수내역"/>
      <sheetName val="DAILY"/>
      <sheetName val="제출내역 (2)"/>
      <sheetName val="바닥판"/>
      <sheetName val="96보완계획7.12"/>
      <sheetName val="수량명세서"/>
      <sheetName val="교각1"/>
      <sheetName val="관로토공집계표"/>
      <sheetName val="01.견적내역서"/>
      <sheetName val="경영상태"/>
      <sheetName val="중기비"/>
      <sheetName val="지하"/>
      <sheetName val="메서,변+증"/>
      <sheetName val="식생블럭단위수량"/>
      <sheetName val="갑지(추정)"/>
      <sheetName val="노무비"/>
      <sheetName val="EQUIP"/>
      <sheetName val="공량산출서"/>
      <sheetName val="대비"/>
      <sheetName val="건축"/>
      <sheetName val="공사비예산서(토목분)"/>
      <sheetName val="기자재비"/>
      <sheetName val="Sheet3"/>
      <sheetName val="3.하중산정4.지지력"/>
      <sheetName val="대,유,램"/>
      <sheetName val="본부소개"/>
      <sheetName val="민자토목설변1차"/>
      <sheetName val="프랜트면허"/>
      <sheetName val="토목주소"/>
      <sheetName val="archi(본사)"/>
      <sheetName val="6PILE__(돌출)"/>
      <sheetName val="허용지지력"/>
      <sheetName val="Output"/>
      <sheetName val="배수통관(좌)"/>
      <sheetName val="단가일람"/>
      <sheetName val="조경일람"/>
      <sheetName val="2002상반기노임기준"/>
      <sheetName val="1NYS(당)"/>
      <sheetName val="본체"/>
      <sheetName val="대림경상68억"/>
      <sheetName val="화전내"/>
      <sheetName val="40총괄"/>
      <sheetName val="40집계"/>
      <sheetName val="입출재고현황 (2)"/>
      <sheetName val="SG"/>
      <sheetName val="설계조건"/>
      <sheetName val="내역(전체)"/>
      <sheetName val="수량산출내역1115"/>
      <sheetName val="부대공"/>
      <sheetName val="토공"/>
      <sheetName val="포장공"/>
      <sheetName val="CIVIL4"/>
      <sheetName val="수량집계표"/>
      <sheetName val="01.인원현황 (계획)"/>
      <sheetName val="배수내역(98년도분)"/>
      <sheetName val="보차도경계석"/>
      <sheetName val="합의경상"/>
      <sheetName val="일위대가목차"/>
      <sheetName val="Quantity"/>
      <sheetName val="Sheet15"/>
      <sheetName val="정보"/>
      <sheetName val="산출근거(S4)"/>
      <sheetName val="음봉방향"/>
      <sheetName val="교통표지판수량집계표"/>
      <sheetName val="자재집계표"/>
      <sheetName val="도배공사언고"/>
      <sheetName val="수량산출"/>
      <sheetName val="COPING"/>
      <sheetName val="시행후면적"/>
      <sheetName val="J형측구단위수량"/>
      <sheetName val="소산진입"/>
      <sheetName val="설비"/>
      <sheetName val="교대(A1-A2)"/>
      <sheetName val="도봉2지구"/>
      <sheetName val="견적서"/>
      <sheetName val="비목군분류일위"/>
      <sheetName val="사유서제출현황-2"/>
      <sheetName val="날개벽"/>
      <sheetName val="정부노임단가"/>
      <sheetName val="가설사무소수량집계"/>
      <sheetName val="간접비"/>
      <sheetName val="우각부보강"/>
      <sheetName val="토사(PE)"/>
      <sheetName val="가압장구체수량산출서"/>
      <sheetName val="입상내역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견적대비표"/>
      <sheetName val="96노임기준"/>
      <sheetName val="기본"/>
      <sheetName val="차액보증"/>
      <sheetName val="2000시행예상"/>
      <sheetName val="YES-T"/>
      <sheetName val="단가조사"/>
      <sheetName val="수로단위수량"/>
      <sheetName val="부하(성남)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단가산출서"/>
      <sheetName val="우수받이"/>
      <sheetName val="토목"/>
      <sheetName val="기계(집계표)"/>
      <sheetName val="1.설계조건"/>
      <sheetName val="옹벽"/>
      <sheetName val="유림골조"/>
      <sheetName val="단위단가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을 2"/>
      <sheetName val="을 1"/>
      <sheetName val="손익분석"/>
      <sheetName val="2.단면가정"/>
      <sheetName val="2.교량(신설)"/>
      <sheetName val="I.설계조건"/>
      <sheetName val="가옥철거"/>
      <sheetName val="건축내역서"/>
      <sheetName val="설비내역서"/>
      <sheetName val="전기내역서"/>
      <sheetName val="철근량"/>
      <sheetName val="의뢰서"/>
      <sheetName val="설계산출표지"/>
      <sheetName val="단위수량"/>
      <sheetName val="일위대가1"/>
      <sheetName val="국공유지및사유지"/>
      <sheetName val="골재및자재집계표"/>
      <sheetName val="수문보고"/>
      <sheetName val="할증 "/>
      <sheetName val="대운산출"/>
      <sheetName val="침하계"/>
      <sheetName val="대부예산서"/>
      <sheetName val="기초공"/>
      <sheetName val="기둥(원형)"/>
      <sheetName val="돌담교 상부수량"/>
      <sheetName val="수입"/>
      <sheetName val="최적단면"/>
      <sheetName val="변경집계표"/>
      <sheetName val="기초INPUT"/>
      <sheetName val="토공-내역"/>
      <sheetName val="제수변수량H2.15"/>
      <sheetName val="_공기변수량"/>
      <sheetName val="인건비"/>
      <sheetName val="9509"/>
      <sheetName val="3BL공동구_수량"/>
      <sheetName val="산출근거-S1"/>
      <sheetName val="배수관설치현황"/>
      <sheetName val="대로근거"/>
      <sheetName val="1.토공"/>
      <sheetName val="70%"/>
      <sheetName val="소비자가"/>
      <sheetName val="공통가설공사"/>
      <sheetName val="부하계산서"/>
      <sheetName val="품셈TABLE"/>
      <sheetName val="화재 탐지 설비"/>
      <sheetName val="★도급내역"/>
      <sheetName val="DATA"/>
      <sheetName val="중기사용료"/>
      <sheetName val="일위"/>
      <sheetName val="갑지(집행)"/>
      <sheetName val="교량전기"/>
      <sheetName val="지장물C"/>
      <sheetName val="6PILE___돌출_"/>
      <sheetName val="직재"/>
      <sheetName val="집수정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김여중"/>
      <sheetName val="방음벽기초"/>
      <sheetName val="무근깨기"/>
      <sheetName val="계약용량(서포)"/>
      <sheetName val="전기"/>
      <sheetName val="원형맨홀수량"/>
      <sheetName val="토적표(우안)"/>
      <sheetName val="토적표(좌안)"/>
      <sheetName val="2.대외공문"/>
      <sheetName val="좌측"/>
      <sheetName val="6PILE (돌출)"/>
      <sheetName val="맨홀수량산출"/>
      <sheetName val="BOX-1510"/>
      <sheetName val="비탈면보호공수량산출"/>
      <sheetName val="수지예산"/>
      <sheetName val="TYPE-1"/>
      <sheetName val="가공비"/>
      <sheetName val="실행내역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1.수인터널"/>
      <sheetName val="guard(mac)"/>
      <sheetName val="토공계산서(부체도로)"/>
      <sheetName val="AN-01"/>
      <sheetName val="PRICES"/>
      <sheetName val="골조시행"/>
      <sheetName val="예상"/>
      <sheetName val="전선 및 전선관"/>
      <sheetName val="구조물공"/>
      <sheetName val="토공 total"/>
      <sheetName val="상부공"/>
      <sheetName val="참고사항"/>
      <sheetName val="근로자자료입력"/>
      <sheetName val="설직재-1"/>
      <sheetName val="기계경비"/>
      <sheetName val="J01"/>
      <sheetName val="매립"/>
      <sheetName val="외주현황.wq1"/>
      <sheetName val="설계"/>
      <sheetName val="I一般比"/>
      <sheetName val="이름"/>
      <sheetName val="LOB"/>
      <sheetName val="C-직노1"/>
      <sheetName val="Supplement2"/>
      <sheetName val=""/>
      <sheetName val="전기혼잡제경비(45)"/>
      <sheetName val="Pier 3"/>
      <sheetName val="설계내역"/>
      <sheetName val="부대토목"/>
      <sheetName val="데리네이타현황"/>
      <sheetName val="기계공사"/>
      <sheetName val="공사비총"/>
      <sheetName val="당초"/>
      <sheetName val="여과지동"/>
      <sheetName val="기초자료"/>
      <sheetName val="에너지동"/>
      <sheetName val="중기목록표"/>
      <sheetName val="계화총괄"/>
      <sheetName val="계화배수(3대)"/>
      <sheetName val="자금신청서"/>
      <sheetName val="배수공"/>
      <sheetName val="간지"/>
      <sheetName val="연결관암거"/>
      <sheetName val="깨기"/>
      <sheetName val="건설기계_목록"/>
      <sheetName val="전체변경예정공정표_2012.07.30"/>
      <sheetName val="Sheet13"/>
      <sheetName val="Sheet14"/>
      <sheetName val="GEN"/>
      <sheetName val="인부노임"/>
      <sheetName val="설계예시"/>
      <sheetName val="평가데이터"/>
      <sheetName val="이토변실(A3-LINE)"/>
      <sheetName val="내역서(교량)전체"/>
      <sheetName val="기계경비일람"/>
      <sheetName val="ASP 일반구간_250A"/>
      <sheetName val="횡배날개"/>
      <sheetName val="제직재"/>
      <sheetName val="제-노임"/>
      <sheetName val="3련 BOX"/>
      <sheetName val="단가산출"/>
      <sheetName val="관급총괄"/>
      <sheetName val="칠산대교 중앙부"/>
      <sheetName val="칠산대교 시종점부"/>
      <sheetName val="일반수량"/>
      <sheetName val="금융비용"/>
      <sheetName val="수량산출서"/>
      <sheetName val="BOX"/>
      <sheetName val="전기일위대가"/>
      <sheetName val="당초내역서"/>
      <sheetName val="직공시공계획서"/>
      <sheetName val="N賃率-職"/>
      <sheetName val="P.M 별"/>
      <sheetName val="토적계산"/>
      <sheetName val="연습"/>
      <sheetName val="1을"/>
      <sheetName val="개요"/>
      <sheetName val="을"/>
      <sheetName val="낙찰표"/>
      <sheetName val="자재(설치)"/>
      <sheetName val="지장물조서"/>
      <sheetName val="찍기"/>
      <sheetName val="기계경비적용기준"/>
      <sheetName val="총수량 (기성)"/>
      <sheetName val="4-1.노무비(직영)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우수"/>
      <sheetName val="운반"/>
      <sheetName val="관급자재대"/>
      <sheetName val="내역-가"/>
      <sheetName val="1단계"/>
      <sheetName val="집계표(OPTION)"/>
      <sheetName val="T.T.P 단위수량"/>
      <sheetName val="L형집계"/>
      <sheetName val="IW-LIST"/>
      <sheetName val="전력구구조물산근"/>
      <sheetName val="DHEQSUPT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건축물터파기"/>
      <sheetName val="단가대비표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6공구(당초)"/>
      <sheetName val="직노"/>
      <sheetName val="조건표"/>
      <sheetName val="동원(3)"/>
      <sheetName val="9GNG운반"/>
      <sheetName val="주요자재집계"/>
      <sheetName val="외자배분"/>
      <sheetName val="외자내역"/>
      <sheetName val="STEEL BOX 단면설계(SEC.8)"/>
      <sheetName val="단위자갈수량1"/>
      <sheetName val="수량"/>
      <sheetName val="시멘트 및 골재량 (슬래브)"/>
      <sheetName val="시멘트 및 골재량 (거더)"/>
      <sheetName val="단위수량산출"/>
      <sheetName val="토공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본선 토공 분배표"/>
      <sheetName val="laroux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  <sheetName val="조명시설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단가"/>
      <sheetName val="발주내역"/>
      <sheetName val="결과조달"/>
      <sheetName val="9GNG운반"/>
      <sheetName val="설계개요"/>
      <sheetName val="계약일반사항"/>
      <sheetName val="사유서(출)"/>
      <sheetName val="내역"/>
      <sheetName val="도로구조공사비"/>
      <sheetName val="도로토공공사비"/>
      <sheetName val="여수토공사비"/>
      <sheetName val="한전납입금"/>
      <sheetName val="약품설비"/>
      <sheetName val="ABUT수량-A1"/>
      <sheetName val="예가표"/>
      <sheetName val="집계표"/>
      <sheetName val="1호맨홀토공"/>
      <sheetName val="다곡2교"/>
      <sheetName val="INPUT"/>
      <sheetName val="MODELING"/>
      <sheetName val="일위대가목차"/>
      <sheetName val="수량산출"/>
      <sheetName val="일위"/>
      <sheetName val="총괄표"/>
      <sheetName val="노무비"/>
      <sheetName val="제경비요율"/>
      <sheetName val="사리부설"/>
      <sheetName val="#REF"/>
      <sheetName val="내역서"/>
      <sheetName val="철집"/>
      <sheetName val="실행철강하도"/>
      <sheetName val="일위대가표"/>
      <sheetName val="설명"/>
      <sheetName val="시공여유율"/>
      <sheetName val="전차선로 물량표"/>
      <sheetName val="부안일위"/>
      <sheetName val="현장관리비 산출내역"/>
      <sheetName val="공사비집계"/>
      <sheetName val="수토공단위당"/>
      <sheetName val="조경일람"/>
      <sheetName val="내역표지"/>
      <sheetName val="자재견적 (대왕) (2)"/>
      <sheetName val="산출근거"/>
      <sheetName val="공사비"/>
      <sheetName val="전기"/>
      <sheetName val="품셈(기초)"/>
      <sheetName val="PAD TR보호대기초"/>
      <sheetName val="가로등기초"/>
      <sheetName val="HANDHOLE(2)"/>
      <sheetName val="일위대가(계측기설치)"/>
      <sheetName val="CCTV내역서"/>
      <sheetName val="unit"/>
      <sheetName val="재료값"/>
      <sheetName val="VXXXXX"/>
      <sheetName val="1.동력공사"/>
      <sheetName val="구조물철거타공정이월"/>
      <sheetName val="일위대가(가설)"/>
      <sheetName val="산수배수"/>
      <sheetName val="1,2공구원가계산서"/>
      <sheetName val="2공구산출내역"/>
      <sheetName val="1공구산출내역서"/>
      <sheetName val="투찰내역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단위가격 "/>
      <sheetName val="교각계산"/>
      <sheetName val="재료비"/>
      <sheetName val="일위대가"/>
      <sheetName val="DATE"/>
      <sheetName val="DATA"/>
      <sheetName val="A(Rev.3)"/>
      <sheetName val="Macro"/>
      <sheetName val="Taux"/>
      <sheetName val="BID"/>
      <sheetName val="금액내역서"/>
      <sheetName val="전기혼잡제경비(45)"/>
      <sheetName val="단면가정"/>
      <sheetName val="부대내역"/>
      <sheetName val="터파기및재료"/>
      <sheetName val="설계"/>
      <sheetName val="1단계"/>
      <sheetName val="단면 (2)"/>
      <sheetName val="A-4"/>
      <sheetName val="공문"/>
      <sheetName val="계수시트"/>
      <sheetName val="원가계산서"/>
      <sheetName val="공사비예산서(토목분)"/>
      <sheetName val="년도별"/>
      <sheetName val="왕십리방향"/>
      <sheetName val="투찰"/>
      <sheetName val="단가조사"/>
      <sheetName val="제출내역 (2)"/>
      <sheetName val="밸브설치"/>
      <sheetName val="98NS-N"/>
      <sheetName val="공종단가"/>
      <sheetName val="남양내역"/>
      <sheetName val="SG"/>
      <sheetName val="공사비총괄표"/>
      <sheetName val="참조"/>
      <sheetName val="날개벽(시점좌측)"/>
      <sheetName val="입찰안"/>
      <sheetName val="토적"/>
      <sheetName val="NYS"/>
      <sheetName val="공내역"/>
      <sheetName val="중기비"/>
      <sheetName val="일위집계표"/>
      <sheetName val="입상내역"/>
      <sheetName val="요율"/>
      <sheetName val="Sheet2"/>
      <sheetName val="횡배수관집현황(2공구)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1.토공"/>
      <sheetName val="전선 및 전선관"/>
      <sheetName val="찍기"/>
      <sheetName val="P-산#1-1(WOWA1)"/>
      <sheetName val="매립"/>
      <sheetName val="98수문일위"/>
      <sheetName val="고창방향"/>
      <sheetName val="일위대가(목록)"/>
      <sheetName val="자원리스트"/>
      <sheetName val="조건표"/>
      <sheetName val="유림골조"/>
      <sheetName val="가설공사비"/>
      <sheetName val="대비"/>
      <sheetName val="별첨1-임식"/>
      <sheetName val="기본자료"/>
      <sheetName val="총괄내역서"/>
      <sheetName val="Sheet1 (2)"/>
      <sheetName val="천방교접속"/>
      <sheetName val="일위_파일"/>
      <sheetName val="양수장내역"/>
      <sheetName val="양수장"/>
      <sheetName val="견적대비"/>
      <sheetName val="지급자재"/>
      <sheetName val="변경집계표"/>
      <sheetName val="건              축"/>
      <sheetName val="참조자료"/>
      <sheetName val="날개벽"/>
      <sheetName val="PIPE내역_FCN_"/>
      <sheetName val="원가계산서 "/>
      <sheetName val="고용보험료"/>
      <sheetName val="예산내역서"/>
      <sheetName val="9509"/>
      <sheetName val="배수내역"/>
      <sheetName val="96보완계획7.12"/>
      <sheetName val="업무처리전"/>
      <sheetName val="설계내역서"/>
      <sheetName val="Sheet1"/>
      <sheetName val="반중력식옹벽"/>
      <sheetName val="당초명세(평)"/>
      <sheetName val="작업일보"/>
      <sheetName val="표준계약서"/>
      <sheetName val="대치판정"/>
      <sheetName val="문학간접"/>
      <sheetName val="건축"/>
      <sheetName val="건축-물가변동"/>
      <sheetName val="일반문틀 설치"/>
      <sheetName val="샌딩 에폭시 도장"/>
      <sheetName val="스텐문틀설치"/>
      <sheetName val="주beam"/>
      <sheetName val="1.설계조건"/>
      <sheetName val="교각1"/>
      <sheetName val="CODE"/>
      <sheetName val="COPING"/>
      <sheetName val="기초공"/>
      <sheetName val="기둥(원형)"/>
      <sheetName val="상 부"/>
      <sheetName val="계화배수"/>
      <sheetName val="6PILE  (돌출)"/>
      <sheetName val="I一般比"/>
      <sheetName val="도근좌표"/>
      <sheetName val="지장물C"/>
      <sheetName val="갑지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8.PILE  (돌출)"/>
      <sheetName val="말뚝지지력산정"/>
      <sheetName val="날개벽수량표"/>
      <sheetName val="대로근거"/>
      <sheetName val="새공통"/>
      <sheetName val="화해(함평)"/>
      <sheetName val="화해(장성)"/>
      <sheetName val="총내"/>
      <sheetName val="연습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  <sheetName val="날개벽"/>
    </sheetNames>
    <sheetDataSet>
      <sheetData sheetId="0">
        <row r="59">
          <cell r="O59">
            <v>82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확폭부포장수량"/>
      <sheetName val="확폭부수량산출"/>
      <sheetName val="확폭부"/>
      <sheetName val="토공"/>
      <sheetName val="-치수표(곡선부)"/>
      <sheetName val="확폭부 (2)"/>
      <sheetName val="계산서(곡선부)"/>
      <sheetName val="-평면선형조서-"/>
      <sheetName val="확폭구간"/>
      <sheetName val="포장재료집계표"/>
      <sheetName val="관접합및부설"/>
      <sheetName val="단가"/>
      <sheetName val="data"/>
      <sheetName val="직접경비"/>
      <sheetName val="접속도로1"/>
      <sheetName val="총괄내역서"/>
      <sheetName val="DATE"/>
      <sheetName val="요율"/>
      <sheetName val="진주방향"/>
      <sheetName val="2.재료비"/>
      <sheetName val="1.인건비"/>
      <sheetName val="12.보오링"/>
      <sheetName val="18.공내수압탄성자연"/>
      <sheetName val="심사물량"/>
      <sheetName val="심사계산"/>
      <sheetName val="토사(PE)"/>
      <sheetName val="기초단가"/>
      <sheetName val="집계표"/>
      <sheetName val="대로근거"/>
      <sheetName val="중로근거"/>
      <sheetName val="2003상반기노임기준"/>
      <sheetName val="산근목록"/>
      <sheetName val="상호참고자료"/>
      <sheetName val="발주처자료입력"/>
      <sheetName val="회사기본자료"/>
      <sheetName val="하자보증자료"/>
      <sheetName val="기술자관련자료"/>
      <sheetName val="이름표지정"/>
      <sheetName val="자재단가비교표"/>
      <sheetName val="고시단가"/>
      <sheetName val="직접인건비"/>
      <sheetName val="구역화물"/>
      <sheetName val="내력서"/>
      <sheetName val="내역갑지"/>
      <sheetName val="장비집계"/>
      <sheetName val="각종단가"/>
      <sheetName val="데이타"/>
      <sheetName val="Y-WORK"/>
      <sheetName val="정보매체A동"/>
      <sheetName val="일위대가"/>
      <sheetName val="BOX"/>
      <sheetName val="전차선로 물량표"/>
      <sheetName val="한강운반비"/>
      <sheetName val="#REF"/>
      <sheetName val="자재"/>
      <sheetName val="설계예산서"/>
      <sheetName val="총괄서"/>
      <sheetName val="2000노임기준"/>
      <sheetName val="식재일위대가"/>
      <sheetName val="노임단가(2010"/>
      <sheetName val="단 가"/>
      <sheetName val="지구물리탐사"/>
      <sheetName val="값"/>
      <sheetName val="식재인부"/>
      <sheetName val="견적대비"/>
      <sheetName val="단가조사서"/>
      <sheetName val="목차"/>
      <sheetName val="기계경비"/>
      <sheetName val="인건비(환율)"/>
      <sheetName val="남한강 2단계 전체분"/>
      <sheetName val="공사개요"/>
      <sheetName val="공사비"/>
      <sheetName val="고부제"/>
      <sheetName val="원평천상류2차"/>
      <sheetName val="일반하천실시설계용역"/>
      <sheetName val="조촌제"/>
      <sheetName val="노임단가"/>
      <sheetName val="조명시설"/>
      <sheetName val="crude.SLAB RE-bar"/>
      <sheetName val="9509"/>
      <sheetName val="구간별"/>
      <sheetName val="Sheet1"/>
      <sheetName val="확폭부_(2)"/>
      <sheetName val="1.설계조건"/>
      <sheetName val="일위산출"/>
      <sheetName val="일위대가 "/>
      <sheetName val="제경비요율"/>
      <sheetName val="금액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말뚝지지력산정"/>
      <sheetName val="SLAB&quot;1&quot;"/>
      <sheetName val="COPING"/>
      <sheetName val="000000"/>
      <sheetName val="공사요율산출표"/>
      <sheetName val="횡날개수집"/>
      <sheetName val="96보완계획7.12"/>
      <sheetName val=" 견적서"/>
      <sheetName val="내역서"/>
      <sheetName val="단위수량"/>
      <sheetName val="danga"/>
      <sheetName val="ilch"/>
      <sheetName val="산출목록표"/>
      <sheetName val="각형맨홀"/>
      <sheetName val="공사"/>
      <sheetName val="노임"/>
      <sheetName val="공통(20-91)"/>
      <sheetName val="횡배수관단위수량"/>
      <sheetName val="배수장공사비명세서"/>
      <sheetName val="ABUT수량-A1"/>
      <sheetName val="정부노임단가"/>
      <sheetName val="횡단위수량"/>
      <sheetName val="총괄"/>
      <sheetName val="수량및단가산출서"/>
      <sheetName val="공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N賃率-職"/>
      <sheetName val="조명시설"/>
      <sheetName val="20관리비율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수량산출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공통공사"/>
      <sheetName val="기구조직"/>
      <sheetName val="기본입력"/>
      <sheetName val="경비2내역"/>
      <sheetName val="기준단가"/>
      <sheetName val="접대비"/>
      <sheetName val="선급금"/>
      <sheetName val="하자수수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설계서"/>
      <sheetName val="일위대가"/>
      <sheetName val="산출내역"/>
      <sheetName val="산출내역_장비"/>
      <sheetName val="참조_이력면적"/>
      <sheetName val="노임단가"/>
      <sheetName val="안내"/>
      <sheetName val="N賃率-職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수목데이타 "/>
      <sheetName val="변화치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간지 (3)"/>
      <sheetName val="기본목차"/>
      <sheetName val="결과"/>
      <sheetName val="업체집계"/>
      <sheetName val="원가집계"/>
      <sheetName val="총괄표"/>
      <sheetName val="재집계"/>
      <sheetName val="부품별집계"/>
      <sheetName val="회로MC"/>
      <sheetName val="기구MC"/>
      <sheetName val="직재비(기타)"/>
      <sheetName val="간재비"/>
      <sheetName val="금형비"/>
      <sheetName val="노무집계"/>
      <sheetName val="노무비"/>
      <sheetName val="소요공수"/>
      <sheetName val="노임단가명세"/>
      <sheetName val="간노율"/>
      <sheetName val="임금"/>
      <sheetName val="경비"/>
      <sheetName val="경비배부액"/>
      <sheetName val="경비조정"/>
      <sheetName val="개발비"/>
      <sheetName val="외주가공비"/>
      <sheetName val="일반관리비율"/>
      <sheetName val="IS"/>
      <sheetName val="MS"/>
      <sheetName val="총괄(차로)"/>
      <sheetName val="총괄(부스)"/>
      <sheetName val="설치재료"/>
      <sheetName val="집계표(차로)"/>
      <sheetName val="성남(차로)"/>
      <sheetName val="청계(차로)"/>
      <sheetName val="판교(차로)"/>
      <sheetName val="성남(부스)"/>
      <sheetName val="청계(부스)"/>
      <sheetName val="판교(부스)"/>
      <sheetName val="설노집계"/>
      <sheetName val="설치노무"/>
      <sheetName val="설치간노비"/>
      <sheetName val="02간노율"/>
      <sheetName val="일위집계"/>
      <sheetName val="일위대가"/>
      <sheetName val="설노임단가 (2)"/>
      <sheetName val="工경비"/>
      <sheetName val="02경비율"/>
      <sheetName val="운반비"/>
      <sheetName val="SW개발비"/>
      <sheetName val="개발인건"/>
      <sheetName val="1차인건"/>
      <sheetName val="step"/>
      <sheetName val="SW제경"/>
      <sheetName val="기술료"/>
      <sheetName val="직접경비"/>
      <sheetName val="SW목록"/>
      <sheetName val="시스템요약data"/>
      <sheetName val="정산서버상세data"/>
      <sheetName val="N賃率-職"/>
      <sheetName val="제-노임"/>
      <sheetName val="제직재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단가비교표"/>
      <sheetName val="1안"/>
      <sheetName val="샘플표지"/>
      <sheetName val="N賃率-職"/>
      <sheetName val="과천MAIN"/>
      <sheetName val="일위"/>
      <sheetName val="노임"/>
      <sheetName val="매립"/>
      <sheetName val="I一般比"/>
      <sheetName val="원가 (2)"/>
      <sheetName val="ABUT수량-A1"/>
      <sheetName val="품목납기"/>
      <sheetName val="Sheet2"/>
      <sheetName val="신우"/>
      <sheetName val="J直材4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옹벽현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목적"/>
      <sheetName val="전제"/>
      <sheetName val="계산기준"/>
      <sheetName val="간지"/>
      <sheetName val="간노비율(제조)"/>
      <sheetName val="노무명세"/>
      <sheetName val="적용경비"/>
      <sheetName val="경비1"/>
      <sheetName val="경비2"/>
      <sheetName val="적용일비"/>
      <sheetName val="일비1"/>
      <sheetName val="일비2"/>
      <sheetName val="손익"/>
      <sheetName val="제조"/>
      <sheetName val="기업경영"/>
      <sheetName val="적용율"/>
      <sheetName val="간노비율(설치)"/>
      <sheetName val="기타경비"/>
      <sheetName val="안전.산재"/>
      <sheetName val="일반.이윤"/>
      <sheetName val="수량산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종합경제"/>
      <sheetName val="종합경제 (상철)"/>
      <sheetName val="간지"/>
      <sheetName val="목차"/>
      <sheetName val="단가대비-1-25"/>
      <sheetName val="외함-원가산출-26"/>
      <sheetName val="외함-원가계산-27-42"/>
      <sheetName val="외함-노무비-43"/>
      <sheetName val="일위대가-45"/>
      <sheetName val="시간당임율산출표-46"/>
      <sheetName val="이면자재산출내역-47-50"/>
      <sheetName val="업체별실노무공수산출 -51"/>
      <sheetName val="현장실모무공수종합(평균)결과표 -52"/>
      <sheetName val="노무산출--54"/>
      <sheetName val="노무비-55"/>
      <sheetName val="운반비-124"/>
      <sheetName val="수량산출"/>
      <sheetName val="재정비직인"/>
      <sheetName val="재정비내역"/>
      <sheetName val="지적고시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0"/>
      <sheetName val="PIPE"/>
      <sheetName val="을-1"/>
      <sheetName val="수량산출"/>
      <sheetName val="각형맨홀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거수량총괄"/>
      <sheetName val="성남철거수량집계"/>
      <sheetName val="성남담장조적"/>
      <sheetName val="성남담장무근"/>
      <sheetName val="성남철문철거"/>
      <sheetName val="가양철거수량집계"/>
      <sheetName val="가양담장조적"/>
      <sheetName val="가양담장무근"/>
      <sheetName val="가양철문철거"/>
      <sheetName val="가양경계석및콘크리트포장"/>
      <sheetName val="용운체육공원"/>
      <sheetName val="단위수량"/>
      <sheetName val="문주"/>
      <sheetName val="침목계단(가양)"/>
      <sheetName val="침목계단(성남)"/>
      <sheetName val="입간판"/>
      <sheetName val="토공(성남)"/>
      <sheetName val="토공(가양)"/>
      <sheetName val="조명시설"/>
      <sheetName val="내역서1999.8최종"/>
      <sheetName val="열린교정및휴식공원조성공사(수량산출2003.3)2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주요자재"/>
      <sheetName val="A1"/>
      <sheetName val="A2"/>
      <sheetName val="교대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도근좌표"/>
      <sheetName val="산출근거"/>
      <sheetName val="직재"/>
      <sheetName val="Sheet1"/>
      <sheetName val="Sheet2"/>
      <sheetName val="Sheet3"/>
      <sheetName val="archi(본사)"/>
      <sheetName val="설직재-1"/>
      <sheetName val="제-노임"/>
      <sheetName val="제직재"/>
      <sheetName val="6PILE  (돌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N賃率-職"/>
    </sheetNames>
    <sheetDataSet>
      <sheetData sheetId="0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실행내역"/>
      <sheetName val="직노"/>
      <sheetName val="J直材4"/>
      <sheetName val="I一般比"/>
      <sheetName val="N賃率-職"/>
      <sheetName val="내역서2안"/>
      <sheetName val="설직재-1"/>
      <sheetName val="제직재"/>
      <sheetName val="패널"/>
      <sheetName val="목록"/>
      <sheetName val="기본일위"/>
      <sheetName val="집계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제-노임"/>
      <sheetName val="시행후면적"/>
      <sheetName val="갑지"/>
      <sheetName val="집계표"/>
      <sheetName val="1안"/>
      <sheetName val="조명시설"/>
      <sheetName val="2공구산출내역"/>
      <sheetName val="수량산출"/>
      <sheetName val="견적을지"/>
      <sheetName val="재정비직인"/>
      <sheetName val="재정비내역"/>
      <sheetName val="지적고시내역"/>
      <sheetName val="내역"/>
      <sheetName val="6호기"/>
      <sheetName val="조직"/>
      <sheetName val="데이타"/>
      <sheetName val="식재인부"/>
      <sheetName val="경율산정.XLS"/>
      <sheetName val="을"/>
      <sheetName val="총괄내역서"/>
      <sheetName val="수량산출(모형)"/>
      <sheetName val="수량산출(공수)"/>
      <sheetName val="모형단가"/>
      <sheetName val="금액내역서"/>
      <sheetName val="내역을"/>
      <sheetName val="명세서"/>
      <sheetName val="전기일위대가"/>
      <sheetName val="Sheet1 (2)"/>
      <sheetName val="빗물받이(910-510-410)"/>
      <sheetName val="4"/>
      <sheetName val="11"/>
      <sheetName val="8"/>
      <sheetName val="2"/>
      <sheetName val="7"/>
      <sheetName val="6"/>
      <sheetName val="5"/>
      <sheetName val="10"/>
      <sheetName val="9"/>
      <sheetName val="심사물량"/>
      <sheetName val="심사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물가변동조정개요"/>
      <sheetName val="공사비변경집계표"/>
      <sheetName val="K값산출"/>
      <sheetName val="기계경비"/>
      <sheetName val="지수조정"/>
      <sheetName val="지수적용공사비내역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Sheet1 (2)"/>
    </sheetNames>
    <sheetDataSet>
      <sheetData sheetId="0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내역"/>
      <sheetName val="일위대가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방음벽기초(H=4m)"/>
      <sheetName val="실행철강하도"/>
      <sheetName val="진주방향"/>
      <sheetName val="터파기및재료"/>
      <sheetName val="수량산출"/>
      <sheetName val="단위수량"/>
      <sheetName val="N賃率-職"/>
      <sheetName val="총괄내역서"/>
      <sheetName val="일반수량총괄집계"/>
      <sheetName val="코드표"/>
      <sheetName val="#REF"/>
      <sheetName val="6PILE  (돌출)"/>
      <sheetName val="대로근거"/>
      <sheetName val="중로근거"/>
      <sheetName val="Sheet1 (2)"/>
      <sheetName val="화설내"/>
      <sheetName val="기계경비(시간당)"/>
      <sheetName val="램머"/>
      <sheetName val="데리네이타현황"/>
      <sheetName val="마산방향"/>
      <sheetName val="내역서"/>
      <sheetName val="증감내역서"/>
      <sheetName val="자금청구"/>
      <sheetName val="투찰내역서"/>
      <sheetName val="내역"/>
      <sheetName val="sand토적"/>
      <sheetName val="TOTAL1"/>
      <sheetName val="일위대가(가설)"/>
      <sheetName val="단위단가"/>
      <sheetName val="말뚝지지력산정"/>
      <sheetName val="일위대가980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일위대가"/>
      <sheetName val="조명시설"/>
      <sheetName val="N賃率-職"/>
      <sheetName val="3기준"/>
      <sheetName val="TYPE-A"/>
      <sheetName val="2.어플리케이션보정계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차액보증"/>
      <sheetName val="조명시설"/>
      <sheetName val="장비단"/>
      <sheetName val="노임단"/>
      <sheetName val="대림경상68억"/>
    </sheetNames>
    <sheetDataSet>
      <sheetData sheetId="0"/>
      <sheetData sheetId="1"/>
      <sheetData sheetId="2">
        <row r="1">
          <cell r="A1" t="str">
            <v>선 급 금 신 청 서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공종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입찰안"/>
      <sheetName val="2000년1차"/>
      <sheetName val="#REF"/>
      <sheetName val="노임"/>
      <sheetName val="중기"/>
    </sheetNames>
    <sheetDataSet>
      <sheetData sheetId="0">
        <row r="1">
          <cell r="A1" t="str">
            <v>chekjum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조명시설"/>
      <sheetName val="지급자재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NKIJUN"/>
      <sheetName val="SANTOGO"/>
      <sheetName val="SANBAISU"/>
    </sheetNames>
    <sheetDataSet>
      <sheetData sheetId="0"/>
      <sheetData sheetId="1"/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수량산출"/>
      <sheetName val="각형맨홀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view="pageBreakPreview" zoomScaleNormal="100" zoomScaleSheetLayoutView="100" workbookViewId="0">
      <selection activeCell="A2" sqref="A2"/>
    </sheetView>
  </sheetViews>
  <sheetFormatPr defaultRowHeight="30.95" customHeight="1"/>
  <cols>
    <col min="1" max="1" width="10.77734375" style="85" customWidth="1"/>
    <col min="2" max="2" width="3.77734375" style="85" customWidth="1"/>
    <col min="3" max="10" width="10.77734375" style="85" customWidth="1"/>
    <col min="11" max="11" width="3.77734375" style="85" customWidth="1"/>
    <col min="12" max="256" width="8.88671875" style="85"/>
    <col min="257" max="257" width="10.77734375" style="85" customWidth="1"/>
    <col min="258" max="258" width="3.77734375" style="85" customWidth="1"/>
    <col min="259" max="266" width="10.77734375" style="85" customWidth="1"/>
    <col min="267" max="267" width="3.77734375" style="85" customWidth="1"/>
    <col min="268" max="512" width="8.88671875" style="85"/>
    <col min="513" max="513" width="10.77734375" style="85" customWidth="1"/>
    <col min="514" max="514" width="3.77734375" style="85" customWidth="1"/>
    <col min="515" max="522" width="10.77734375" style="85" customWidth="1"/>
    <col min="523" max="523" width="3.77734375" style="85" customWidth="1"/>
    <col min="524" max="768" width="8.88671875" style="85"/>
    <col min="769" max="769" width="10.77734375" style="85" customWidth="1"/>
    <col min="770" max="770" width="3.77734375" style="85" customWidth="1"/>
    <col min="771" max="778" width="10.77734375" style="85" customWidth="1"/>
    <col min="779" max="779" width="3.77734375" style="85" customWidth="1"/>
    <col min="780" max="1024" width="8.88671875" style="85"/>
    <col min="1025" max="1025" width="10.77734375" style="85" customWidth="1"/>
    <col min="1026" max="1026" width="3.77734375" style="85" customWidth="1"/>
    <col min="1027" max="1034" width="10.77734375" style="85" customWidth="1"/>
    <col min="1035" max="1035" width="3.77734375" style="85" customWidth="1"/>
    <col min="1036" max="1280" width="8.88671875" style="85"/>
    <col min="1281" max="1281" width="10.77734375" style="85" customWidth="1"/>
    <col min="1282" max="1282" width="3.77734375" style="85" customWidth="1"/>
    <col min="1283" max="1290" width="10.77734375" style="85" customWidth="1"/>
    <col min="1291" max="1291" width="3.77734375" style="85" customWidth="1"/>
    <col min="1292" max="1536" width="8.88671875" style="85"/>
    <col min="1537" max="1537" width="10.77734375" style="85" customWidth="1"/>
    <col min="1538" max="1538" width="3.77734375" style="85" customWidth="1"/>
    <col min="1539" max="1546" width="10.77734375" style="85" customWidth="1"/>
    <col min="1547" max="1547" width="3.77734375" style="85" customWidth="1"/>
    <col min="1548" max="1792" width="8.88671875" style="85"/>
    <col min="1793" max="1793" width="10.77734375" style="85" customWidth="1"/>
    <col min="1794" max="1794" width="3.77734375" style="85" customWidth="1"/>
    <col min="1795" max="1802" width="10.77734375" style="85" customWidth="1"/>
    <col min="1803" max="1803" width="3.77734375" style="85" customWidth="1"/>
    <col min="1804" max="2048" width="8.88671875" style="85"/>
    <col min="2049" max="2049" width="10.77734375" style="85" customWidth="1"/>
    <col min="2050" max="2050" width="3.77734375" style="85" customWidth="1"/>
    <col min="2051" max="2058" width="10.77734375" style="85" customWidth="1"/>
    <col min="2059" max="2059" width="3.77734375" style="85" customWidth="1"/>
    <col min="2060" max="2304" width="8.88671875" style="85"/>
    <col min="2305" max="2305" width="10.77734375" style="85" customWidth="1"/>
    <col min="2306" max="2306" width="3.77734375" style="85" customWidth="1"/>
    <col min="2307" max="2314" width="10.77734375" style="85" customWidth="1"/>
    <col min="2315" max="2315" width="3.77734375" style="85" customWidth="1"/>
    <col min="2316" max="2560" width="8.88671875" style="85"/>
    <col min="2561" max="2561" width="10.77734375" style="85" customWidth="1"/>
    <col min="2562" max="2562" width="3.77734375" style="85" customWidth="1"/>
    <col min="2563" max="2570" width="10.77734375" style="85" customWidth="1"/>
    <col min="2571" max="2571" width="3.77734375" style="85" customWidth="1"/>
    <col min="2572" max="2816" width="8.88671875" style="85"/>
    <col min="2817" max="2817" width="10.77734375" style="85" customWidth="1"/>
    <col min="2818" max="2818" width="3.77734375" style="85" customWidth="1"/>
    <col min="2819" max="2826" width="10.77734375" style="85" customWidth="1"/>
    <col min="2827" max="2827" width="3.77734375" style="85" customWidth="1"/>
    <col min="2828" max="3072" width="8.88671875" style="85"/>
    <col min="3073" max="3073" width="10.77734375" style="85" customWidth="1"/>
    <col min="3074" max="3074" width="3.77734375" style="85" customWidth="1"/>
    <col min="3075" max="3082" width="10.77734375" style="85" customWidth="1"/>
    <col min="3083" max="3083" width="3.77734375" style="85" customWidth="1"/>
    <col min="3084" max="3328" width="8.88671875" style="85"/>
    <col min="3329" max="3329" width="10.77734375" style="85" customWidth="1"/>
    <col min="3330" max="3330" width="3.77734375" style="85" customWidth="1"/>
    <col min="3331" max="3338" width="10.77734375" style="85" customWidth="1"/>
    <col min="3339" max="3339" width="3.77734375" style="85" customWidth="1"/>
    <col min="3340" max="3584" width="8.88671875" style="85"/>
    <col min="3585" max="3585" width="10.77734375" style="85" customWidth="1"/>
    <col min="3586" max="3586" width="3.77734375" style="85" customWidth="1"/>
    <col min="3587" max="3594" width="10.77734375" style="85" customWidth="1"/>
    <col min="3595" max="3595" width="3.77734375" style="85" customWidth="1"/>
    <col min="3596" max="3840" width="8.88671875" style="85"/>
    <col min="3841" max="3841" width="10.77734375" style="85" customWidth="1"/>
    <col min="3842" max="3842" width="3.77734375" style="85" customWidth="1"/>
    <col min="3843" max="3850" width="10.77734375" style="85" customWidth="1"/>
    <col min="3851" max="3851" width="3.77734375" style="85" customWidth="1"/>
    <col min="3852" max="4096" width="8.88671875" style="85"/>
    <col min="4097" max="4097" width="10.77734375" style="85" customWidth="1"/>
    <col min="4098" max="4098" width="3.77734375" style="85" customWidth="1"/>
    <col min="4099" max="4106" width="10.77734375" style="85" customWidth="1"/>
    <col min="4107" max="4107" width="3.77734375" style="85" customWidth="1"/>
    <col min="4108" max="4352" width="8.88671875" style="85"/>
    <col min="4353" max="4353" width="10.77734375" style="85" customWidth="1"/>
    <col min="4354" max="4354" width="3.77734375" style="85" customWidth="1"/>
    <col min="4355" max="4362" width="10.77734375" style="85" customWidth="1"/>
    <col min="4363" max="4363" width="3.77734375" style="85" customWidth="1"/>
    <col min="4364" max="4608" width="8.88671875" style="85"/>
    <col min="4609" max="4609" width="10.77734375" style="85" customWidth="1"/>
    <col min="4610" max="4610" width="3.77734375" style="85" customWidth="1"/>
    <col min="4611" max="4618" width="10.77734375" style="85" customWidth="1"/>
    <col min="4619" max="4619" width="3.77734375" style="85" customWidth="1"/>
    <col min="4620" max="4864" width="8.88671875" style="85"/>
    <col min="4865" max="4865" width="10.77734375" style="85" customWidth="1"/>
    <col min="4866" max="4866" width="3.77734375" style="85" customWidth="1"/>
    <col min="4867" max="4874" width="10.77734375" style="85" customWidth="1"/>
    <col min="4875" max="4875" width="3.77734375" style="85" customWidth="1"/>
    <col min="4876" max="5120" width="8.88671875" style="85"/>
    <col min="5121" max="5121" width="10.77734375" style="85" customWidth="1"/>
    <col min="5122" max="5122" width="3.77734375" style="85" customWidth="1"/>
    <col min="5123" max="5130" width="10.77734375" style="85" customWidth="1"/>
    <col min="5131" max="5131" width="3.77734375" style="85" customWidth="1"/>
    <col min="5132" max="5376" width="8.88671875" style="85"/>
    <col min="5377" max="5377" width="10.77734375" style="85" customWidth="1"/>
    <col min="5378" max="5378" width="3.77734375" style="85" customWidth="1"/>
    <col min="5379" max="5386" width="10.77734375" style="85" customWidth="1"/>
    <col min="5387" max="5387" width="3.77734375" style="85" customWidth="1"/>
    <col min="5388" max="5632" width="8.88671875" style="85"/>
    <col min="5633" max="5633" width="10.77734375" style="85" customWidth="1"/>
    <col min="5634" max="5634" width="3.77734375" style="85" customWidth="1"/>
    <col min="5635" max="5642" width="10.77734375" style="85" customWidth="1"/>
    <col min="5643" max="5643" width="3.77734375" style="85" customWidth="1"/>
    <col min="5644" max="5888" width="8.88671875" style="85"/>
    <col min="5889" max="5889" width="10.77734375" style="85" customWidth="1"/>
    <col min="5890" max="5890" width="3.77734375" style="85" customWidth="1"/>
    <col min="5891" max="5898" width="10.77734375" style="85" customWidth="1"/>
    <col min="5899" max="5899" width="3.77734375" style="85" customWidth="1"/>
    <col min="5900" max="6144" width="8.88671875" style="85"/>
    <col min="6145" max="6145" width="10.77734375" style="85" customWidth="1"/>
    <col min="6146" max="6146" width="3.77734375" style="85" customWidth="1"/>
    <col min="6147" max="6154" width="10.77734375" style="85" customWidth="1"/>
    <col min="6155" max="6155" width="3.77734375" style="85" customWidth="1"/>
    <col min="6156" max="6400" width="8.88671875" style="85"/>
    <col min="6401" max="6401" width="10.77734375" style="85" customWidth="1"/>
    <col min="6402" max="6402" width="3.77734375" style="85" customWidth="1"/>
    <col min="6403" max="6410" width="10.77734375" style="85" customWidth="1"/>
    <col min="6411" max="6411" width="3.77734375" style="85" customWidth="1"/>
    <col min="6412" max="6656" width="8.88671875" style="85"/>
    <col min="6657" max="6657" width="10.77734375" style="85" customWidth="1"/>
    <col min="6658" max="6658" width="3.77734375" style="85" customWidth="1"/>
    <col min="6659" max="6666" width="10.77734375" style="85" customWidth="1"/>
    <col min="6667" max="6667" width="3.77734375" style="85" customWidth="1"/>
    <col min="6668" max="6912" width="8.88671875" style="85"/>
    <col min="6913" max="6913" width="10.77734375" style="85" customWidth="1"/>
    <col min="6914" max="6914" width="3.77734375" style="85" customWidth="1"/>
    <col min="6915" max="6922" width="10.77734375" style="85" customWidth="1"/>
    <col min="6923" max="6923" width="3.77734375" style="85" customWidth="1"/>
    <col min="6924" max="7168" width="8.88671875" style="85"/>
    <col min="7169" max="7169" width="10.77734375" style="85" customWidth="1"/>
    <col min="7170" max="7170" width="3.77734375" style="85" customWidth="1"/>
    <col min="7171" max="7178" width="10.77734375" style="85" customWidth="1"/>
    <col min="7179" max="7179" width="3.77734375" style="85" customWidth="1"/>
    <col min="7180" max="7424" width="8.88671875" style="85"/>
    <col min="7425" max="7425" width="10.77734375" style="85" customWidth="1"/>
    <col min="7426" max="7426" width="3.77734375" style="85" customWidth="1"/>
    <col min="7427" max="7434" width="10.77734375" style="85" customWidth="1"/>
    <col min="7435" max="7435" width="3.77734375" style="85" customWidth="1"/>
    <col min="7436" max="7680" width="8.88671875" style="85"/>
    <col min="7681" max="7681" width="10.77734375" style="85" customWidth="1"/>
    <col min="7682" max="7682" width="3.77734375" style="85" customWidth="1"/>
    <col min="7683" max="7690" width="10.77734375" style="85" customWidth="1"/>
    <col min="7691" max="7691" width="3.77734375" style="85" customWidth="1"/>
    <col min="7692" max="7936" width="8.88671875" style="85"/>
    <col min="7937" max="7937" width="10.77734375" style="85" customWidth="1"/>
    <col min="7938" max="7938" width="3.77734375" style="85" customWidth="1"/>
    <col min="7939" max="7946" width="10.77734375" style="85" customWidth="1"/>
    <col min="7947" max="7947" width="3.77734375" style="85" customWidth="1"/>
    <col min="7948" max="8192" width="8.88671875" style="85"/>
    <col min="8193" max="8193" width="10.77734375" style="85" customWidth="1"/>
    <col min="8194" max="8194" width="3.77734375" style="85" customWidth="1"/>
    <col min="8195" max="8202" width="10.77734375" style="85" customWidth="1"/>
    <col min="8203" max="8203" width="3.77734375" style="85" customWidth="1"/>
    <col min="8204" max="8448" width="8.88671875" style="85"/>
    <col min="8449" max="8449" width="10.77734375" style="85" customWidth="1"/>
    <col min="8450" max="8450" width="3.77734375" style="85" customWidth="1"/>
    <col min="8451" max="8458" width="10.77734375" style="85" customWidth="1"/>
    <col min="8459" max="8459" width="3.77734375" style="85" customWidth="1"/>
    <col min="8460" max="8704" width="8.88671875" style="85"/>
    <col min="8705" max="8705" width="10.77734375" style="85" customWidth="1"/>
    <col min="8706" max="8706" width="3.77734375" style="85" customWidth="1"/>
    <col min="8707" max="8714" width="10.77734375" style="85" customWidth="1"/>
    <col min="8715" max="8715" width="3.77734375" style="85" customWidth="1"/>
    <col min="8716" max="8960" width="8.88671875" style="85"/>
    <col min="8961" max="8961" width="10.77734375" style="85" customWidth="1"/>
    <col min="8962" max="8962" width="3.77734375" style="85" customWidth="1"/>
    <col min="8963" max="8970" width="10.77734375" style="85" customWidth="1"/>
    <col min="8971" max="8971" width="3.77734375" style="85" customWidth="1"/>
    <col min="8972" max="9216" width="8.88671875" style="85"/>
    <col min="9217" max="9217" width="10.77734375" style="85" customWidth="1"/>
    <col min="9218" max="9218" width="3.77734375" style="85" customWidth="1"/>
    <col min="9219" max="9226" width="10.77734375" style="85" customWidth="1"/>
    <col min="9227" max="9227" width="3.77734375" style="85" customWidth="1"/>
    <col min="9228" max="9472" width="8.88671875" style="85"/>
    <col min="9473" max="9473" width="10.77734375" style="85" customWidth="1"/>
    <col min="9474" max="9474" width="3.77734375" style="85" customWidth="1"/>
    <col min="9475" max="9482" width="10.77734375" style="85" customWidth="1"/>
    <col min="9483" max="9483" width="3.77734375" style="85" customWidth="1"/>
    <col min="9484" max="9728" width="8.88671875" style="85"/>
    <col min="9729" max="9729" width="10.77734375" style="85" customWidth="1"/>
    <col min="9730" max="9730" width="3.77734375" style="85" customWidth="1"/>
    <col min="9731" max="9738" width="10.77734375" style="85" customWidth="1"/>
    <col min="9739" max="9739" width="3.77734375" style="85" customWidth="1"/>
    <col min="9740" max="9984" width="8.88671875" style="85"/>
    <col min="9985" max="9985" width="10.77734375" style="85" customWidth="1"/>
    <col min="9986" max="9986" width="3.77734375" style="85" customWidth="1"/>
    <col min="9987" max="9994" width="10.77734375" style="85" customWidth="1"/>
    <col min="9995" max="9995" width="3.77734375" style="85" customWidth="1"/>
    <col min="9996" max="10240" width="8.88671875" style="85"/>
    <col min="10241" max="10241" width="10.77734375" style="85" customWidth="1"/>
    <col min="10242" max="10242" width="3.77734375" style="85" customWidth="1"/>
    <col min="10243" max="10250" width="10.77734375" style="85" customWidth="1"/>
    <col min="10251" max="10251" width="3.77734375" style="85" customWidth="1"/>
    <col min="10252" max="10496" width="8.88671875" style="85"/>
    <col min="10497" max="10497" width="10.77734375" style="85" customWidth="1"/>
    <col min="10498" max="10498" width="3.77734375" style="85" customWidth="1"/>
    <col min="10499" max="10506" width="10.77734375" style="85" customWidth="1"/>
    <col min="10507" max="10507" width="3.77734375" style="85" customWidth="1"/>
    <col min="10508" max="10752" width="8.88671875" style="85"/>
    <col min="10753" max="10753" width="10.77734375" style="85" customWidth="1"/>
    <col min="10754" max="10754" width="3.77734375" style="85" customWidth="1"/>
    <col min="10755" max="10762" width="10.77734375" style="85" customWidth="1"/>
    <col min="10763" max="10763" width="3.77734375" style="85" customWidth="1"/>
    <col min="10764" max="11008" width="8.88671875" style="85"/>
    <col min="11009" max="11009" width="10.77734375" style="85" customWidth="1"/>
    <col min="11010" max="11010" width="3.77734375" style="85" customWidth="1"/>
    <col min="11011" max="11018" width="10.77734375" style="85" customWidth="1"/>
    <col min="11019" max="11019" width="3.77734375" style="85" customWidth="1"/>
    <col min="11020" max="11264" width="8.88671875" style="85"/>
    <col min="11265" max="11265" width="10.77734375" style="85" customWidth="1"/>
    <col min="11266" max="11266" width="3.77734375" style="85" customWidth="1"/>
    <col min="11267" max="11274" width="10.77734375" style="85" customWidth="1"/>
    <col min="11275" max="11275" width="3.77734375" style="85" customWidth="1"/>
    <col min="11276" max="11520" width="8.88671875" style="85"/>
    <col min="11521" max="11521" width="10.77734375" style="85" customWidth="1"/>
    <col min="11522" max="11522" width="3.77734375" style="85" customWidth="1"/>
    <col min="11523" max="11530" width="10.77734375" style="85" customWidth="1"/>
    <col min="11531" max="11531" width="3.77734375" style="85" customWidth="1"/>
    <col min="11532" max="11776" width="8.88671875" style="85"/>
    <col min="11777" max="11777" width="10.77734375" style="85" customWidth="1"/>
    <col min="11778" max="11778" width="3.77734375" style="85" customWidth="1"/>
    <col min="11779" max="11786" width="10.77734375" style="85" customWidth="1"/>
    <col min="11787" max="11787" width="3.77734375" style="85" customWidth="1"/>
    <col min="11788" max="12032" width="8.88671875" style="85"/>
    <col min="12033" max="12033" width="10.77734375" style="85" customWidth="1"/>
    <col min="12034" max="12034" width="3.77734375" style="85" customWidth="1"/>
    <col min="12035" max="12042" width="10.77734375" style="85" customWidth="1"/>
    <col min="12043" max="12043" width="3.77734375" style="85" customWidth="1"/>
    <col min="12044" max="12288" width="8.88671875" style="85"/>
    <col min="12289" max="12289" width="10.77734375" style="85" customWidth="1"/>
    <col min="12290" max="12290" width="3.77734375" style="85" customWidth="1"/>
    <col min="12291" max="12298" width="10.77734375" style="85" customWidth="1"/>
    <col min="12299" max="12299" width="3.77734375" style="85" customWidth="1"/>
    <col min="12300" max="12544" width="8.88671875" style="85"/>
    <col min="12545" max="12545" width="10.77734375" style="85" customWidth="1"/>
    <col min="12546" max="12546" width="3.77734375" style="85" customWidth="1"/>
    <col min="12547" max="12554" width="10.77734375" style="85" customWidth="1"/>
    <col min="12555" max="12555" width="3.77734375" style="85" customWidth="1"/>
    <col min="12556" max="12800" width="8.88671875" style="85"/>
    <col min="12801" max="12801" width="10.77734375" style="85" customWidth="1"/>
    <col min="12802" max="12802" width="3.77734375" style="85" customWidth="1"/>
    <col min="12803" max="12810" width="10.77734375" style="85" customWidth="1"/>
    <col min="12811" max="12811" width="3.77734375" style="85" customWidth="1"/>
    <col min="12812" max="13056" width="8.88671875" style="85"/>
    <col min="13057" max="13057" width="10.77734375" style="85" customWidth="1"/>
    <col min="13058" max="13058" width="3.77734375" style="85" customWidth="1"/>
    <col min="13059" max="13066" width="10.77734375" style="85" customWidth="1"/>
    <col min="13067" max="13067" width="3.77734375" style="85" customWidth="1"/>
    <col min="13068" max="13312" width="8.88671875" style="85"/>
    <col min="13313" max="13313" width="10.77734375" style="85" customWidth="1"/>
    <col min="13314" max="13314" width="3.77734375" style="85" customWidth="1"/>
    <col min="13315" max="13322" width="10.77734375" style="85" customWidth="1"/>
    <col min="13323" max="13323" width="3.77734375" style="85" customWidth="1"/>
    <col min="13324" max="13568" width="8.88671875" style="85"/>
    <col min="13569" max="13569" width="10.77734375" style="85" customWidth="1"/>
    <col min="13570" max="13570" width="3.77734375" style="85" customWidth="1"/>
    <col min="13571" max="13578" width="10.77734375" style="85" customWidth="1"/>
    <col min="13579" max="13579" width="3.77734375" style="85" customWidth="1"/>
    <col min="13580" max="13824" width="8.88671875" style="85"/>
    <col min="13825" max="13825" width="10.77734375" style="85" customWidth="1"/>
    <col min="13826" max="13826" width="3.77734375" style="85" customWidth="1"/>
    <col min="13827" max="13834" width="10.77734375" style="85" customWidth="1"/>
    <col min="13835" max="13835" width="3.77734375" style="85" customWidth="1"/>
    <col min="13836" max="14080" width="8.88671875" style="85"/>
    <col min="14081" max="14081" width="10.77734375" style="85" customWidth="1"/>
    <col min="14082" max="14082" width="3.77734375" style="85" customWidth="1"/>
    <col min="14083" max="14090" width="10.77734375" style="85" customWidth="1"/>
    <col min="14091" max="14091" width="3.77734375" style="85" customWidth="1"/>
    <col min="14092" max="14336" width="8.88671875" style="85"/>
    <col min="14337" max="14337" width="10.77734375" style="85" customWidth="1"/>
    <col min="14338" max="14338" width="3.77734375" style="85" customWidth="1"/>
    <col min="14339" max="14346" width="10.77734375" style="85" customWidth="1"/>
    <col min="14347" max="14347" width="3.77734375" style="85" customWidth="1"/>
    <col min="14348" max="14592" width="8.88671875" style="85"/>
    <col min="14593" max="14593" width="10.77734375" style="85" customWidth="1"/>
    <col min="14594" max="14594" width="3.77734375" style="85" customWidth="1"/>
    <col min="14595" max="14602" width="10.77734375" style="85" customWidth="1"/>
    <col min="14603" max="14603" width="3.77734375" style="85" customWidth="1"/>
    <col min="14604" max="14848" width="8.88671875" style="85"/>
    <col min="14849" max="14849" width="10.77734375" style="85" customWidth="1"/>
    <col min="14850" max="14850" width="3.77734375" style="85" customWidth="1"/>
    <col min="14851" max="14858" width="10.77734375" style="85" customWidth="1"/>
    <col min="14859" max="14859" width="3.77734375" style="85" customWidth="1"/>
    <col min="14860" max="15104" width="8.88671875" style="85"/>
    <col min="15105" max="15105" width="10.77734375" style="85" customWidth="1"/>
    <col min="15106" max="15106" width="3.77734375" style="85" customWidth="1"/>
    <col min="15107" max="15114" width="10.77734375" style="85" customWidth="1"/>
    <col min="15115" max="15115" width="3.77734375" style="85" customWidth="1"/>
    <col min="15116" max="15360" width="8.88671875" style="85"/>
    <col min="15361" max="15361" width="10.77734375" style="85" customWidth="1"/>
    <col min="15362" max="15362" width="3.77734375" style="85" customWidth="1"/>
    <col min="15363" max="15370" width="10.77734375" style="85" customWidth="1"/>
    <col min="15371" max="15371" width="3.77734375" style="85" customWidth="1"/>
    <col min="15372" max="15616" width="8.88671875" style="85"/>
    <col min="15617" max="15617" width="10.77734375" style="85" customWidth="1"/>
    <col min="15618" max="15618" width="3.77734375" style="85" customWidth="1"/>
    <col min="15619" max="15626" width="10.77734375" style="85" customWidth="1"/>
    <col min="15627" max="15627" width="3.77734375" style="85" customWidth="1"/>
    <col min="15628" max="15872" width="8.88671875" style="85"/>
    <col min="15873" max="15873" width="10.77734375" style="85" customWidth="1"/>
    <col min="15874" max="15874" width="3.77734375" style="85" customWidth="1"/>
    <col min="15875" max="15882" width="10.77734375" style="85" customWidth="1"/>
    <col min="15883" max="15883" width="3.77734375" style="85" customWidth="1"/>
    <col min="15884" max="16128" width="8.88671875" style="85"/>
    <col min="16129" max="16129" width="10.77734375" style="85" customWidth="1"/>
    <col min="16130" max="16130" width="3.77734375" style="85" customWidth="1"/>
    <col min="16131" max="16138" width="10.77734375" style="85" customWidth="1"/>
    <col min="16139" max="16139" width="3.77734375" style="85" customWidth="1"/>
    <col min="16140" max="16384" width="8.88671875" style="85"/>
  </cols>
  <sheetData>
    <row r="1" spans="1:11" ht="33" customHeight="1">
      <c r="A1" s="82"/>
      <c r="B1" s="83"/>
      <c r="C1" s="83"/>
      <c r="D1" s="83"/>
      <c r="E1" s="83"/>
      <c r="F1" s="83"/>
      <c r="G1" s="83"/>
      <c r="H1" s="83"/>
      <c r="I1" s="83"/>
      <c r="J1" s="83"/>
      <c r="K1" s="84"/>
    </row>
    <row r="2" spans="1:11" ht="33" customHeight="1">
      <c r="A2" s="86" t="s">
        <v>82</v>
      </c>
      <c r="K2" s="87"/>
    </row>
    <row r="3" spans="1:11" ht="33" customHeight="1">
      <c r="A3" s="88" t="s">
        <v>27</v>
      </c>
      <c r="B3" s="89" t="str">
        <f>설계설명!D5</f>
        <v>충북 단양군 일원</v>
      </c>
      <c r="C3" s="90"/>
      <c r="K3" s="87"/>
    </row>
    <row r="4" spans="1:11" ht="33" customHeight="1">
      <c r="A4" s="91"/>
      <c r="K4" s="87"/>
    </row>
    <row r="5" spans="1:11" ht="33" customHeight="1">
      <c r="A5" s="91"/>
      <c r="K5" s="87"/>
    </row>
    <row r="6" spans="1:11" ht="33" customHeight="1">
      <c r="A6" s="91"/>
      <c r="K6" s="87"/>
    </row>
    <row r="7" spans="1:11" ht="33" customHeight="1">
      <c r="A7" s="92" t="s">
        <v>28</v>
      </c>
      <c r="B7" s="93" t="s">
        <v>69</v>
      </c>
      <c r="C7" s="93"/>
      <c r="D7" s="93"/>
      <c r="E7" s="93"/>
      <c r="F7" s="93"/>
      <c r="G7" s="93"/>
      <c r="H7" s="93"/>
      <c r="I7" s="93"/>
      <c r="J7" s="93"/>
      <c r="K7" s="94"/>
    </row>
    <row r="8" spans="1:11" ht="33" customHeight="1">
      <c r="A8" s="91"/>
      <c r="K8" s="87"/>
    </row>
    <row r="9" spans="1:11" ht="33" customHeight="1">
      <c r="A9" s="91"/>
      <c r="K9" s="87"/>
    </row>
    <row r="10" spans="1:11" ht="33" customHeight="1">
      <c r="A10" s="91"/>
      <c r="K10" s="87"/>
    </row>
    <row r="11" spans="1:11" ht="33" customHeight="1">
      <c r="A11" s="91"/>
      <c r="K11" s="87"/>
    </row>
    <row r="12" spans="1:11" ht="33" customHeight="1">
      <c r="A12" s="91"/>
      <c r="K12" s="87"/>
    </row>
    <row r="13" spans="1:11" ht="33" customHeight="1">
      <c r="A13" s="91"/>
      <c r="K13" s="87"/>
    </row>
    <row r="14" spans="1:11" ht="33" customHeight="1">
      <c r="A14" s="159" t="s">
        <v>29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1"/>
    </row>
    <row r="15" spans="1:11" ht="33" customHeight="1" thickBot="1">
      <c r="A15" s="95"/>
      <c r="B15" s="96"/>
      <c r="C15" s="96"/>
      <c r="D15" s="96"/>
      <c r="E15" s="96"/>
      <c r="F15" s="96"/>
      <c r="G15" s="96"/>
      <c r="H15" s="96"/>
      <c r="I15" s="96"/>
      <c r="J15" s="96"/>
      <c r="K15" s="97"/>
    </row>
    <row r="21" spans="1:9" ht="30.95" customHeight="1">
      <c r="A21" s="98"/>
      <c r="B21" s="98"/>
      <c r="C21" s="98"/>
      <c r="D21" s="98"/>
      <c r="E21" s="98"/>
      <c r="F21" s="98"/>
      <c r="G21" s="98"/>
      <c r="H21" s="98"/>
      <c r="I21" s="98"/>
    </row>
    <row r="22" spans="1:9" ht="30.95" customHeight="1">
      <c r="A22" s="98"/>
      <c r="B22" s="98"/>
      <c r="C22" s="98"/>
      <c r="D22" s="98"/>
      <c r="E22" s="98"/>
      <c r="F22" s="98"/>
      <c r="G22" s="98"/>
      <c r="H22" s="98"/>
      <c r="I22" s="98"/>
    </row>
    <row r="27" spans="1:9" ht="30.95" customHeight="1">
      <c r="B27" s="99"/>
      <c r="C27" s="99"/>
      <c r="E27" s="99"/>
      <c r="F27" s="99"/>
      <c r="G27" s="99"/>
      <c r="H27" s="99"/>
      <c r="I27" s="99"/>
    </row>
    <row r="28" spans="1:9" ht="30.95" customHeight="1">
      <c r="B28" s="99"/>
      <c r="C28" s="99"/>
      <c r="E28" s="99"/>
      <c r="F28" s="99"/>
      <c r="G28" s="99"/>
      <c r="H28" s="99"/>
      <c r="I28" s="99"/>
    </row>
  </sheetData>
  <mergeCells count="1">
    <mergeCell ref="A14:K14"/>
  </mergeCells>
  <phoneticPr fontId="4" type="noConversion"/>
  <printOptions horizontalCentered="1" verticalCentered="1"/>
  <pageMargins left="0.59055118110236227" right="0.39370078740157483" top="0.59055118110236227" bottom="0.59055118110236227" header="0.51181102362204722" footer="0.5118110236220472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showGridLines="0" view="pageBreakPreview" topLeftCell="A4" zoomScale="70" zoomScaleNormal="98" zoomScaleSheetLayoutView="70" workbookViewId="0">
      <selection activeCell="M8" sqref="M8"/>
    </sheetView>
  </sheetViews>
  <sheetFormatPr defaultColWidth="5.77734375" defaultRowHeight="25.5" customHeight="1"/>
  <cols>
    <col min="1" max="4" width="5.77734375" style="100"/>
    <col min="5" max="5" width="5.88671875" style="100" customWidth="1"/>
    <col min="6" max="6" width="7.5546875" style="100" customWidth="1"/>
    <col min="7" max="14" width="6.109375" style="100" customWidth="1"/>
    <col min="15" max="260" width="5.77734375" style="100"/>
    <col min="261" max="261" width="5.88671875" style="100" customWidth="1"/>
    <col min="262" max="262" width="7.5546875" style="100" customWidth="1"/>
    <col min="263" max="270" width="6.109375" style="100" customWidth="1"/>
    <col min="271" max="516" width="5.77734375" style="100"/>
    <col min="517" max="517" width="5.88671875" style="100" customWidth="1"/>
    <col min="518" max="518" width="7.5546875" style="100" customWidth="1"/>
    <col min="519" max="526" width="6.109375" style="100" customWidth="1"/>
    <col min="527" max="772" width="5.77734375" style="100"/>
    <col min="773" max="773" width="5.88671875" style="100" customWidth="1"/>
    <col min="774" max="774" width="7.5546875" style="100" customWidth="1"/>
    <col min="775" max="782" width="6.109375" style="100" customWidth="1"/>
    <col min="783" max="1028" width="5.77734375" style="100"/>
    <col min="1029" max="1029" width="5.88671875" style="100" customWidth="1"/>
    <col min="1030" max="1030" width="7.5546875" style="100" customWidth="1"/>
    <col min="1031" max="1038" width="6.109375" style="100" customWidth="1"/>
    <col min="1039" max="1284" width="5.77734375" style="100"/>
    <col min="1285" max="1285" width="5.88671875" style="100" customWidth="1"/>
    <col min="1286" max="1286" width="7.5546875" style="100" customWidth="1"/>
    <col min="1287" max="1294" width="6.109375" style="100" customWidth="1"/>
    <col min="1295" max="1540" width="5.77734375" style="100"/>
    <col min="1541" max="1541" width="5.88671875" style="100" customWidth="1"/>
    <col min="1542" max="1542" width="7.5546875" style="100" customWidth="1"/>
    <col min="1543" max="1550" width="6.109375" style="100" customWidth="1"/>
    <col min="1551" max="1796" width="5.77734375" style="100"/>
    <col min="1797" max="1797" width="5.88671875" style="100" customWidth="1"/>
    <col min="1798" max="1798" width="7.5546875" style="100" customWidth="1"/>
    <col min="1799" max="1806" width="6.109375" style="100" customWidth="1"/>
    <col min="1807" max="2052" width="5.77734375" style="100"/>
    <col min="2053" max="2053" width="5.88671875" style="100" customWidth="1"/>
    <col min="2054" max="2054" width="7.5546875" style="100" customWidth="1"/>
    <col min="2055" max="2062" width="6.109375" style="100" customWidth="1"/>
    <col min="2063" max="2308" width="5.77734375" style="100"/>
    <col min="2309" max="2309" width="5.88671875" style="100" customWidth="1"/>
    <col min="2310" max="2310" width="7.5546875" style="100" customWidth="1"/>
    <col min="2311" max="2318" width="6.109375" style="100" customWidth="1"/>
    <col min="2319" max="2564" width="5.77734375" style="100"/>
    <col min="2565" max="2565" width="5.88671875" style="100" customWidth="1"/>
    <col min="2566" max="2566" width="7.5546875" style="100" customWidth="1"/>
    <col min="2567" max="2574" width="6.109375" style="100" customWidth="1"/>
    <col min="2575" max="2820" width="5.77734375" style="100"/>
    <col min="2821" max="2821" width="5.88671875" style="100" customWidth="1"/>
    <col min="2822" max="2822" width="7.5546875" style="100" customWidth="1"/>
    <col min="2823" max="2830" width="6.109375" style="100" customWidth="1"/>
    <col min="2831" max="3076" width="5.77734375" style="100"/>
    <col min="3077" max="3077" width="5.88671875" style="100" customWidth="1"/>
    <col min="3078" max="3078" width="7.5546875" style="100" customWidth="1"/>
    <col min="3079" max="3086" width="6.109375" style="100" customWidth="1"/>
    <col min="3087" max="3332" width="5.77734375" style="100"/>
    <col min="3333" max="3333" width="5.88671875" style="100" customWidth="1"/>
    <col min="3334" max="3334" width="7.5546875" style="100" customWidth="1"/>
    <col min="3335" max="3342" width="6.109375" style="100" customWidth="1"/>
    <col min="3343" max="3588" width="5.77734375" style="100"/>
    <col min="3589" max="3589" width="5.88671875" style="100" customWidth="1"/>
    <col min="3590" max="3590" width="7.5546875" style="100" customWidth="1"/>
    <col min="3591" max="3598" width="6.109375" style="100" customWidth="1"/>
    <col min="3599" max="3844" width="5.77734375" style="100"/>
    <col min="3845" max="3845" width="5.88671875" style="100" customWidth="1"/>
    <col min="3846" max="3846" width="7.5546875" style="100" customWidth="1"/>
    <col min="3847" max="3854" width="6.109375" style="100" customWidth="1"/>
    <col min="3855" max="4100" width="5.77734375" style="100"/>
    <col min="4101" max="4101" width="5.88671875" style="100" customWidth="1"/>
    <col min="4102" max="4102" width="7.5546875" style="100" customWidth="1"/>
    <col min="4103" max="4110" width="6.109375" style="100" customWidth="1"/>
    <col min="4111" max="4356" width="5.77734375" style="100"/>
    <col min="4357" max="4357" width="5.88671875" style="100" customWidth="1"/>
    <col min="4358" max="4358" width="7.5546875" style="100" customWidth="1"/>
    <col min="4359" max="4366" width="6.109375" style="100" customWidth="1"/>
    <col min="4367" max="4612" width="5.77734375" style="100"/>
    <col min="4613" max="4613" width="5.88671875" style="100" customWidth="1"/>
    <col min="4614" max="4614" width="7.5546875" style="100" customWidth="1"/>
    <col min="4615" max="4622" width="6.109375" style="100" customWidth="1"/>
    <col min="4623" max="4868" width="5.77734375" style="100"/>
    <col min="4869" max="4869" width="5.88671875" style="100" customWidth="1"/>
    <col min="4870" max="4870" width="7.5546875" style="100" customWidth="1"/>
    <col min="4871" max="4878" width="6.109375" style="100" customWidth="1"/>
    <col min="4879" max="5124" width="5.77734375" style="100"/>
    <col min="5125" max="5125" width="5.88671875" style="100" customWidth="1"/>
    <col min="5126" max="5126" width="7.5546875" style="100" customWidth="1"/>
    <col min="5127" max="5134" width="6.109375" style="100" customWidth="1"/>
    <col min="5135" max="5380" width="5.77734375" style="100"/>
    <col min="5381" max="5381" width="5.88671875" style="100" customWidth="1"/>
    <col min="5382" max="5382" width="7.5546875" style="100" customWidth="1"/>
    <col min="5383" max="5390" width="6.109375" style="100" customWidth="1"/>
    <col min="5391" max="5636" width="5.77734375" style="100"/>
    <col min="5637" max="5637" width="5.88671875" style="100" customWidth="1"/>
    <col min="5638" max="5638" width="7.5546875" style="100" customWidth="1"/>
    <col min="5639" max="5646" width="6.109375" style="100" customWidth="1"/>
    <col min="5647" max="5892" width="5.77734375" style="100"/>
    <col min="5893" max="5893" width="5.88671875" style="100" customWidth="1"/>
    <col min="5894" max="5894" width="7.5546875" style="100" customWidth="1"/>
    <col min="5895" max="5902" width="6.109375" style="100" customWidth="1"/>
    <col min="5903" max="6148" width="5.77734375" style="100"/>
    <col min="6149" max="6149" width="5.88671875" style="100" customWidth="1"/>
    <col min="6150" max="6150" width="7.5546875" style="100" customWidth="1"/>
    <col min="6151" max="6158" width="6.109375" style="100" customWidth="1"/>
    <col min="6159" max="6404" width="5.77734375" style="100"/>
    <col min="6405" max="6405" width="5.88671875" style="100" customWidth="1"/>
    <col min="6406" max="6406" width="7.5546875" style="100" customWidth="1"/>
    <col min="6407" max="6414" width="6.109375" style="100" customWidth="1"/>
    <col min="6415" max="6660" width="5.77734375" style="100"/>
    <col min="6661" max="6661" width="5.88671875" style="100" customWidth="1"/>
    <col min="6662" max="6662" width="7.5546875" style="100" customWidth="1"/>
    <col min="6663" max="6670" width="6.109375" style="100" customWidth="1"/>
    <col min="6671" max="6916" width="5.77734375" style="100"/>
    <col min="6917" max="6917" width="5.88671875" style="100" customWidth="1"/>
    <col min="6918" max="6918" width="7.5546875" style="100" customWidth="1"/>
    <col min="6919" max="6926" width="6.109375" style="100" customWidth="1"/>
    <col min="6927" max="7172" width="5.77734375" style="100"/>
    <col min="7173" max="7173" width="5.88671875" style="100" customWidth="1"/>
    <col min="7174" max="7174" width="7.5546875" style="100" customWidth="1"/>
    <col min="7175" max="7182" width="6.109375" style="100" customWidth="1"/>
    <col min="7183" max="7428" width="5.77734375" style="100"/>
    <col min="7429" max="7429" width="5.88671875" style="100" customWidth="1"/>
    <col min="7430" max="7430" width="7.5546875" style="100" customWidth="1"/>
    <col min="7431" max="7438" width="6.109375" style="100" customWidth="1"/>
    <col min="7439" max="7684" width="5.77734375" style="100"/>
    <col min="7685" max="7685" width="5.88671875" style="100" customWidth="1"/>
    <col min="7686" max="7686" width="7.5546875" style="100" customWidth="1"/>
    <col min="7687" max="7694" width="6.109375" style="100" customWidth="1"/>
    <col min="7695" max="7940" width="5.77734375" style="100"/>
    <col min="7941" max="7941" width="5.88671875" style="100" customWidth="1"/>
    <col min="7942" max="7942" width="7.5546875" style="100" customWidth="1"/>
    <col min="7943" max="7950" width="6.109375" style="100" customWidth="1"/>
    <col min="7951" max="8196" width="5.77734375" style="100"/>
    <col min="8197" max="8197" width="5.88671875" style="100" customWidth="1"/>
    <col min="8198" max="8198" width="7.5546875" style="100" customWidth="1"/>
    <col min="8199" max="8206" width="6.109375" style="100" customWidth="1"/>
    <col min="8207" max="8452" width="5.77734375" style="100"/>
    <col min="8453" max="8453" width="5.88671875" style="100" customWidth="1"/>
    <col min="8454" max="8454" width="7.5546875" style="100" customWidth="1"/>
    <col min="8455" max="8462" width="6.109375" style="100" customWidth="1"/>
    <col min="8463" max="8708" width="5.77734375" style="100"/>
    <col min="8709" max="8709" width="5.88671875" style="100" customWidth="1"/>
    <col min="8710" max="8710" width="7.5546875" style="100" customWidth="1"/>
    <col min="8711" max="8718" width="6.109375" style="100" customWidth="1"/>
    <col min="8719" max="8964" width="5.77734375" style="100"/>
    <col min="8965" max="8965" width="5.88671875" style="100" customWidth="1"/>
    <col min="8966" max="8966" width="7.5546875" style="100" customWidth="1"/>
    <col min="8967" max="8974" width="6.109375" style="100" customWidth="1"/>
    <col min="8975" max="9220" width="5.77734375" style="100"/>
    <col min="9221" max="9221" width="5.88671875" style="100" customWidth="1"/>
    <col min="9222" max="9222" width="7.5546875" style="100" customWidth="1"/>
    <col min="9223" max="9230" width="6.109375" style="100" customWidth="1"/>
    <col min="9231" max="9476" width="5.77734375" style="100"/>
    <col min="9477" max="9477" width="5.88671875" style="100" customWidth="1"/>
    <col min="9478" max="9478" width="7.5546875" style="100" customWidth="1"/>
    <col min="9479" max="9486" width="6.109375" style="100" customWidth="1"/>
    <col min="9487" max="9732" width="5.77734375" style="100"/>
    <col min="9733" max="9733" width="5.88671875" style="100" customWidth="1"/>
    <col min="9734" max="9734" width="7.5546875" style="100" customWidth="1"/>
    <col min="9735" max="9742" width="6.109375" style="100" customWidth="1"/>
    <col min="9743" max="9988" width="5.77734375" style="100"/>
    <col min="9989" max="9989" width="5.88671875" style="100" customWidth="1"/>
    <col min="9990" max="9990" width="7.5546875" style="100" customWidth="1"/>
    <col min="9991" max="9998" width="6.109375" style="100" customWidth="1"/>
    <col min="9999" max="10244" width="5.77734375" style="100"/>
    <col min="10245" max="10245" width="5.88671875" style="100" customWidth="1"/>
    <col min="10246" max="10246" width="7.5546875" style="100" customWidth="1"/>
    <col min="10247" max="10254" width="6.109375" style="100" customWidth="1"/>
    <col min="10255" max="10500" width="5.77734375" style="100"/>
    <col min="10501" max="10501" width="5.88671875" style="100" customWidth="1"/>
    <col min="10502" max="10502" width="7.5546875" style="100" customWidth="1"/>
    <col min="10503" max="10510" width="6.109375" style="100" customWidth="1"/>
    <col min="10511" max="10756" width="5.77734375" style="100"/>
    <col min="10757" max="10757" width="5.88671875" style="100" customWidth="1"/>
    <col min="10758" max="10758" width="7.5546875" style="100" customWidth="1"/>
    <col min="10759" max="10766" width="6.109375" style="100" customWidth="1"/>
    <col min="10767" max="11012" width="5.77734375" style="100"/>
    <col min="11013" max="11013" width="5.88671875" style="100" customWidth="1"/>
    <col min="11014" max="11014" width="7.5546875" style="100" customWidth="1"/>
    <col min="11015" max="11022" width="6.109375" style="100" customWidth="1"/>
    <col min="11023" max="11268" width="5.77734375" style="100"/>
    <col min="11269" max="11269" width="5.88671875" style="100" customWidth="1"/>
    <col min="11270" max="11270" width="7.5546875" style="100" customWidth="1"/>
    <col min="11271" max="11278" width="6.109375" style="100" customWidth="1"/>
    <col min="11279" max="11524" width="5.77734375" style="100"/>
    <col min="11525" max="11525" width="5.88671875" style="100" customWidth="1"/>
    <col min="11526" max="11526" width="7.5546875" style="100" customWidth="1"/>
    <col min="11527" max="11534" width="6.109375" style="100" customWidth="1"/>
    <col min="11535" max="11780" width="5.77734375" style="100"/>
    <col min="11781" max="11781" width="5.88671875" style="100" customWidth="1"/>
    <col min="11782" max="11782" width="7.5546875" style="100" customWidth="1"/>
    <col min="11783" max="11790" width="6.109375" style="100" customWidth="1"/>
    <col min="11791" max="12036" width="5.77734375" style="100"/>
    <col min="12037" max="12037" width="5.88671875" style="100" customWidth="1"/>
    <col min="12038" max="12038" width="7.5546875" style="100" customWidth="1"/>
    <col min="12039" max="12046" width="6.109375" style="100" customWidth="1"/>
    <col min="12047" max="12292" width="5.77734375" style="100"/>
    <col min="12293" max="12293" width="5.88671875" style="100" customWidth="1"/>
    <col min="12294" max="12294" width="7.5546875" style="100" customWidth="1"/>
    <col min="12295" max="12302" width="6.109375" style="100" customWidth="1"/>
    <col min="12303" max="12548" width="5.77734375" style="100"/>
    <col min="12549" max="12549" width="5.88671875" style="100" customWidth="1"/>
    <col min="12550" max="12550" width="7.5546875" style="100" customWidth="1"/>
    <col min="12551" max="12558" width="6.109375" style="100" customWidth="1"/>
    <col min="12559" max="12804" width="5.77734375" style="100"/>
    <col min="12805" max="12805" width="5.88671875" style="100" customWidth="1"/>
    <col min="12806" max="12806" width="7.5546875" style="100" customWidth="1"/>
    <col min="12807" max="12814" width="6.109375" style="100" customWidth="1"/>
    <col min="12815" max="13060" width="5.77734375" style="100"/>
    <col min="13061" max="13061" width="5.88671875" style="100" customWidth="1"/>
    <col min="13062" max="13062" width="7.5546875" style="100" customWidth="1"/>
    <col min="13063" max="13070" width="6.109375" style="100" customWidth="1"/>
    <col min="13071" max="13316" width="5.77734375" style="100"/>
    <col min="13317" max="13317" width="5.88671875" style="100" customWidth="1"/>
    <col min="13318" max="13318" width="7.5546875" style="100" customWidth="1"/>
    <col min="13319" max="13326" width="6.109375" style="100" customWidth="1"/>
    <col min="13327" max="13572" width="5.77734375" style="100"/>
    <col min="13573" max="13573" width="5.88671875" style="100" customWidth="1"/>
    <col min="13574" max="13574" width="7.5546875" style="100" customWidth="1"/>
    <col min="13575" max="13582" width="6.109375" style="100" customWidth="1"/>
    <col min="13583" max="13828" width="5.77734375" style="100"/>
    <col min="13829" max="13829" width="5.88671875" style="100" customWidth="1"/>
    <col min="13830" max="13830" width="7.5546875" style="100" customWidth="1"/>
    <col min="13831" max="13838" width="6.109375" style="100" customWidth="1"/>
    <col min="13839" max="14084" width="5.77734375" style="100"/>
    <col min="14085" max="14085" width="5.88671875" style="100" customWidth="1"/>
    <col min="14086" max="14086" width="7.5546875" style="100" customWidth="1"/>
    <col min="14087" max="14094" width="6.109375" style="100" customWidth="1"/>
    <col min="14095" max="14340" width="5.77734375" style="100"/>
    <col min="14341" max="14341" width="5.88671875" style="100" customWidth="1"/>
    <col min="14342" max="14342" width="7.5546875" style="100" customWidth="1"/>
    <col min="14343" max="14350" width="6.109375" style="100" customWidth="1"/>
    <col min="14351" max="14596" width="5.77734375" style="100"/>
    <col min="14597" max="14597" width="5.88671875" style="100" customWidth="1"/>
    <col min="14598" max="14598" width="7.5546875" style="100" customWidth="1"/>
    <col min="14599" max="14606" width="6.109375" style="100" customWidth="1"/>
    <col min="14607" max="14852" width="5.77734375" style="100"/>
    <col min="14853" max="14853" width="5.88671875" style="100" customWidth="1"/>
    <col min="14854" max="14854" width="7.5546875" style="100" customWidth="1"/>
    <col min="14855" max="14862" width="6.109375" style="100" customWidth="1"/>
    <col min="14863" max="15108" width="5.77734375" style="100"/>
    <col min="15109" max="15109" width="5.88671875" style="100" customWidth="1"/>
    <col min="15110" max="15110" width="7.5546875" style="100" customWidth="1"/>
    <col min="15111" max="15118" width="6.109375" style="100" customWidth="1"/>
    <col min="15119" max="15364" width="5.77734375" style="100"/>
    <col min="15365" max="15365" width="5.88671875" style="100" customWidth="1"/>
    <col min="15366" max="15366" width="7.5546875" style="100" customWidth="1"/>
    <col min="15367" max="15374" width="6.109375" style="100" customWidth="1"/>
    <col min="15375" max="15620" width="5.77734375" style="100"/>
    <col min="15621" max="15621" width="5.88671875" style="100" customWidth="1"/>
    <col min="15622" max="15622" width="7.5546875" style="100" customWidth="1"/>
    <col min="15623" max="15630" width="6.109375" style="100" customWidth="1"/>
    <col min="15631" max="15876" width="5.77734375" style="100"/>
    <col min="15877" max="15877" width="5.88671875" style="100" customWidth="1"/>
    <col min="15878" max="15878" width="7.5546875" style="100" customWidth="1"/>
    <col min="15879" max="15886" width="6.109375" style="100" customWidth="1"/>
    <col min="15887" max="16132" width="5.77734375" style="100"/>
    <col min="16133" max="16133" width="5.88671875" style="100" customWidth="1"/>
    <col min="16134" max="16134" width="7.5546875" style="100" customWidth="1"/>
    <col min="16135" max="16142" width="6.109375" style="100" customWidth="1"/>
    <col min="16143" max="16384" width="5.77734375" style="100"/>
  </cols>
  <sheetData>
    <row r="1" spans="1:17" ht="20.100000000000001" customHeight="1">
      <c r="A1" s="162" t="s">
        <v>30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</row>
    <row r="2" spans="1:17" ht="20.100000000000001" customHeight="1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</row>
    <row r="3" spans="1:17" s="102" customFormat="1" ht="41.2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s="102" customFormat="1" ht="43.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s="106" customFormat="1" ht="24.95" customHeight="1">
      <c r="A5" s="103" t="s">
        <v>31</v>
      </c>
      <c r="B5" s="104" t="s">
        <v>32</v>
      </c>
      <c r="C5" s="105"/>
      <c r="D5" s="105" t="s">
        <v>33</v>
      </c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s="106" customFormat="1" ht="24.95" customHeight="1">
      <c r="A6" s="103"/>
      <c r="B6" s="104"/>
      <c r="C6" s="103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s="106" customFormat="1" ht="24.95" customHeight="1">
      <c r="A7" s="103" t="s">
        <v>34</v>
      </c>
      <c r="B7" s="104" t="s">
        <v>35</v>
      </c>
      <c r="C7" s="105"/>
      <c r="D7" s="163" t="str">
        <f>'표지 (2)'!B7</f>
        <v>도시계획정보체계(UPIS) 운영장비 유지관리 용역</v>
      </c>
      <c r="E7" s="163"/>
      <c r="F7" s="163"/>
      <c r="G7" s="163"/>
      <c r="H7" s="163"/>
      <c r="I7" s="163"/>
      <c r="J7" s="163"/>
      <c r="K7" s="163"/>
      <c r="L7" s="163"/>
      <c r="M7" s="105"/>
      <c r="N7" s="105"/>
      <c r="O7" s="105"/>
      <c r="P7" s="105"/>
      <c r="Q7" s="105"/>
    </row>
    <row r="8" spans="1:17" s="106" customFormat="1" ht="24.95" customHeight="1">
      <c r="A8" s="103"/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s="106" customFormat="1" ht="24.95" customHeight="1">
      <c r="A9" s="103" t="s">
        <v>36</v>
      </c>
      <c r="B9" s="104" t="s">
        <v>37</v>
      </c>
      <c r="C9" s="105"/>
      <c r="D9" s="164" t="s">
        <v>70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</row>
    <row r="10" spans="1:17" s="106" customFormat="1" ht="24.95" customHeight="1">
      <c r="A10" s="107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s="106" customFormat="1" ht="25.5" customHeight="1" thickBot="1">
      <c r="A11" s="103" t="s">
        <v>38</v>
      </c>
      <c r="B11" s="104" t="s">
        <v>39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2" spans="1:17" s="106" customFormat="1" ht="15.75" customHeight="1">
      <c r="A12" s="105"/>
      <c r="B12" s="165" t="s">
        <v>40</v>
      </c>
      <c r="C12" s="166"/>
      <c r="D12" s="166"/>
      <c r="E12" s="166"/>
      <c r="F12" s="169" t="s">
        <v>41</v>
      </c>
      <c r="G12" s="170"/>
      <c r="H12" s="170"/>
      <c r="I12" s="170"/>
      <c r="J12" s="170"/>
      <c r="K12" s="170"/>
      <c r="L12" s="170"/>
      <c r="M12" s="170"/>
      <c r="N12" s="166" t="s">
        <v>42</v>
      </c>
      <c r="O12" s="166"/>
      <c r="P12" s="173"/>
      <c r="Q12" s="105"/>
    </row>
    <row r="13" spans="1:17" s="106" customFormat="1" ht="18" customHeight="1">
      <c r="A13" s="105"/>
      <c r="B13" s="167"/>
      <c r="C13" s="168"/>
      <c r="D13" s="168"/>
      <c r="E13" s="168"/>
      <c r="F13" s="171"/>
      <c r="G13" s="172"/>
      <c r="H13" s="172"/>
      <c r="I13" s="172"/>
      <c r="J13" s="172"/>
      <c r="K13" s="172"/>
      <c r="L13" s="172"/>
      <c r="M13" s="172"/>
      <c r="N13" s="168"/>
      <c r="O13" s="168"/>
      <c r="P13" s="174"/>
      <c r="Q13" s="105"/>
    </row>
    <row r="14" spans="1:17" s="106" customFormat="1" ht="30" customHeight="1" thickBot="1">
      <c r="A14" s="105"/>
      <c r="B14" s="222" t="s">
        <v>71</v>
      </c>
      <c r="C14" s="223"/>
      <c r="D14" s="223"/>
      <c r="E14" s="224"/>
      <c r="F14" s="184" t="s">
        <v>72</v>
      </c>
      <c r="G14" s="185"/>
      <c r="H14" s="185"/>
      <c r="I14" s="185"/>
      <c r="J14" s="185"/>
      <c r="K14" s="185"/>
      <c r="L14" s="185"/>
      <c r="M14" s="186"/>
      <c r="N14" s="175"/>
      <c r="O14" s="175"/>
      <c r="P14" s="176"/>
      <c r="Q14" s="105"/>
    </row>
    <row r="15" spans="1:17" s="106" customFormat="1" ht="21.75" customHeight="1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</row>
    <row r="16" spans="1:17" s="108" customFormat="1" ht="27.95" customHeight="1">
      <c r="A16" s="103" t="s">
        <v>43</v>
      </c>
      <c r="B16" s="105" t="s">
        <v>44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</row>
    <row r="17" spans="1:17" s="108" customFormat="1" ht="27.95" customHeight="1">
      <c r="A17" s="10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</row>
    <row r="18" spans="1:17" s="108" customFormat="1" ht="27.95" customHeight="1">
      <c r="A18" s="103" t="s">
        <v>45</v>
      </c>
      <c r="B18" s="105" t="s">
        <v>46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</row>
    <row r="19" spans="1:17" s="108" customFormat="1" ht="27.95" customHeight="1">
      <c r="A19" s="105"/>
      <c r="B19" s="105"/>
      <c r="C19" s="105"/>
      <c r="D19" s="105" t="s">
        <v>47</v>
      </c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</row>
    <row r="20" spans="1:17" s="108" customFormat="1" ht="27.95" customHeight="1">
      <c r="A20" s="105"/>
      <c r="B20" s="105"/>
      <c r="C20" s="109" t="s">
        <v>48</v>
      </c>
      <c r="D20" s="105" t="s">
        <v>49</v>
      </c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</row>
    <row r="21" spans="1:17" s="108" customFormat="1" ht="27.95" customHeight="1">
      <c r="A21" s="105"/>
      <c r="B21" s="105"/>
      <c r="C21" s="109" t="s">
        <v>50</v>
      </c>
      <c r="D21" s="105" t="s">
        <v>51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</row>
    <row r="22" spans="1:17" s="108" customFormat="1" ht="27.95" customHeight="1" thickBot="1">
      <c r="A22" s="105"/>
      <c r="B22" s="105"/>
      <c r="C22" s="109" t="s">
        <v>52</v>
      </c>
      <c r="D22" s="105" t="s">
        <v>53</v>
      </c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</row>
    <row r="23" spans="1:17" s="108" customFormat="1" ht="35.1" customHeight="1">
      <c r="A23" s="105"/>
      <c r="B23" s="177" t="s">
        <v>54</v>
      </c>
      <c r="C23" s="178"/>
      <c r="D23" s="178"/>
      <c r="E23" s="178"/>
      <c r="F23" s="110" t="s">
        <v>55</v>
      </c>
      <c r="G23" s="110" t="s">
        <v>56</v>
      </c>
      <c r="H23" s="110" t="s">
        <v>57</v>
      </c>
      <c r="I23" s="110" t="s">
        <v>58</v>
      </c>
      <c r="J23" s="110" t="s">
        <v>59</v>
      </c>
      <c r="K23" s="110" t="s">
        <v>60</v>
      </c>
      <c r="L23" s="110"/>
      <c r="M23" s="110"/>
      <c r="N23" s="110"/>
      <c r="O23" s="179" t="s">
        <v>61</v>
      </c>
      <c r="P23" s="180"/>
      <c r="Q23" s="105"/>
    </row>
    <row r="24" spans="1:17" s="108" customFormat="1" ht="39.75" customHeight="1" thickBot="1">
      <c r="A24" s="105"/>
      <c r="B24" s="181" t="str">
        <f>B14</f>
        <v>UPIS표준시스템</v>
      </c>
      <c r="C24" s="182"/>
      <c r="D24" s="182"/>
      <c r="E24" s="182"/>
      <c r="F24" s="111"/>
      <c r="G24" s="111"/>
      <c r="H24" s="111"/>
      <c r="I24" s="111"/>
      <c r="J24" s="111"/>
      <c r="K24" s="111"/>
      <c r="L24" s="111"/>
      <c r="M24" s="111"/>
      <c r="N24" s="112"/>
      <c r="O24" s="183"/>
      <c r="P24" s="176"/>
      <c r="Q24" s="105"/>
    </row>
    <row r="25" spans="1:17" s="108" customFormat="1" ht="27.9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7" s="108" customFormat="1" ht="27.95" customHeight="1">
      <c r="A26" s="103" t="s">
        <v>62</v>
      </c>
      <c r="B26" s="105" t="s">
        <v>63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7" s="108" customFormat="1" ht="27.95" customHeight="1">
      <c r="A27" s="105"/>
      <c r="B27" s="105"/>
      <c r="C27" s="103" t="s">
        <v>64</v>
      </c>
      <c r="D27" s="105" t="s">
        <v>65</v>
      </c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</row>
    <row r="28" spans="1:17" s="108" customFormat="1" ht="27.95" customHeight="1">
      <c r="A28" s="105"/>
      <c r="B28" s="105"/>
      <c r="C28" s="105"/>
      <c r="D28" s="105" t="s">
        <v>66</v>
      </c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1:17" s="108" customFormat="1" ht="27.95" customHeight="1">
      <c r="A29" s="105"/>
      <c r="B29" s="105"/>
      <c r="C29" s="103" t="s">
        <v>67</v>
      </c>
      <c r="D29" s="105" t="s">
        <v>68</v>
      </c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</row>
    <row r="30" spans="1:17" s="108" customFormat="1" ht="25.5" customHeight="1">
      <c r="A30" s="113"/>
    </row>
    <row r="31" spans="1:17" s="108" customFormat="1" ht="25.5" customHeight="1"/>
    <row r="32" spans="1:17" s="108" customFormat="1" ht="25.5" customHeight="1"/>
  </sheetData>
  <mergeCells count="13">
    <mergeCell ref="B14:E14"/>
    <mergeCell ref="N14:P14"/>
    <mergeCell ref="B23:E23"/>
    <mergeCell ref="O23:P23"/>
    <mergeCell ref="B24:E24"/>
    <mergeCell ref="O24:P24"/>
    <mergeCell ref="F14:M14"/>
    <mergeCell ref="A1:Q2"/>
    <mergeCell ref="D7:L7"/>
    <mergeCell ref="D9:Q9"/>
    <mergeCell ref="B12:E13"/>
    <mergeCell ref="F12:M13"/>
    <mergeCell ref="N12:P13"/>
  </mergeCells>
  <phoneticPr fontId="4" type="noConversion"/>
  <printOptions horizontalCentered="1"/>
  <pageMargins left="0.78740157480314965" right="0.59055118110236227" top="0.78740157480314965" bottom="0.78740157480314965" header="0.51181102362204722" footer="0.51181102362204722"/>
  <pageSetup paperSize="9" orientation="landscape" r:id="rId1"/>
  <headerFooter alignWithMargins="0"/>
  <rowBreaks count="1" manualBreakCount="1">
    <brk id="1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view="pageBreakPreview" zoomScale="85" zoomScaleNormal="75" zoomScaleSheetLayoutView="85" workbookViewId="0">
      <selection activeCell="A6" sqref="A6:L6"/>
    </sheetView>
  </sheetViews>
  <sheetFormatPr defaultRowHeight="20.25"/>
  <cols>
    <col min="1" max="1" width="7.77734375" style="8" customWidth="1"/>
    <col min="2" max="2" width="20" style="8" customWidth="1"/>
    <col min="3" max="3" width="7.77734375" style="8" customWidth="1"/>
    <col min="4" max="4" width="19.77734375" style="8" customWidth="1"/>
    <col min="5" max="5" width="7.77734375" style="8" customWidth="1"/>
    <col min="6" max="6" width="19.77734375" style="8" customWidth="1"/>
    <col min="7" max="7" width="7.77734375" style="8" customWidth="1"/>
    <col min="8" max="8" width="19.77734375" style="8" customWidth="1"/>
    <col min="9" max="9" width="7.77734375" style="8" customWidth="1"/>
    <col min="10" max="10" width="19.77734375" style="8" customWidth="1"/>
    <col min="11" max="16384" width="8.88671875" style="8"/>
  </cols>
  <sheetData>
    <row r="1" spans="1:16" ht="24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6" ht="24.7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6" ht="24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6" ht="24.7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6" ht="70.5" customHeight="1">
      <c r="A5" s="187" t="s">
        <v>20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9"/>
    </row>
    <row r="6" spans="1:16" ht="40.5" customHeight="1">
      <c r="A6" s="190" t="s">
        <v>9</v>
      </c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2"/>
    </row>
    <row r="7" spans="1:16" ht="13.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6" ht="13.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6" ht="13.5" customHeight="1">
      <c r="A9" s="9"/>
      <c r="B9" s="10"/>
      <c r="C9" s="10"/>
      <c r="D9" s="10"/>
      <c r="E9" s="10"/>
      <c r="F9" s="10"/>
      <c r="G9" s="10"/>
      <c r="H9" s="10"/>
      <c r="I9" s="23"/>
      <c r="J9" s="10"/>
      <c r="K9" s="10"/>
      <c r="L9" s="11"/>
    </row>
    <row r="10" spans="1:16" ht="13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6" ht="13.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</row>
    <row r="12" spans="1:16" ht="13.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spans="1:16" ht="13.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</row>
    <row r="14" spans="1:16" ht="13.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6" ht="32.1" customHeight="1">
      <c r="A15" s="193" t="s">
        <v>83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5"/>
      <c r="P15" s="12"/>
    </row>
    <row r="16" spans="1:16" ht="43.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1:12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2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1:12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</row>
    <row r="20" spans="1:12">
      <c r="A20" s="9"/>
      <c r="B20" s="10"/>
      <c r="C20" s="10"/>
      <c r="D20" s="10"/>
      <c r="E20"/>
      <c r="F20" s="10"/>
      <c r="G20" s="10"/>
      <c r="H20" s="10"/>
      <c r="I20" s="10"/>
      <c r="J20" s="10"/>
      <c r="K20" s="10"/>
      <c r="L20" s="11"/>
    </row>
    <row r="21" spans="1:12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</row>
    <row r="22" spans="1:12" ht="57" customHeight="1">
      <c r="A22" s="196" t="s">
        <v>10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8"/>
    </row>
    <row r="23" spans="1:12">
      <c r="A23" s="2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</row>
    <row r="24" spans="1:12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4">
    <mergeCell ref="A5:L5"/>
    <mergeCell ref="A6:L6"/>
    <mergeCell ref="A15:L15"/>
    <mergeCell ref="A22:L22"/>
  </mergeCells>
  <phoneticPr fontId="4" type="noConversion"/>
  <printOptions horizontalCentered="1" verticalCentered="1"/>
  <pageMargins left="0.6692913385826772" right="0.6692913385826772" top="0.78740157480314965" bottom="0.78740157480314965" header="0.51181102362204722" footer="0.51181102362204722"/>
  <pageSetup paperSize="9" scale="73" fitToHeight="2" orientation="landscape" horizont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view="pageBreakPreview" zoomScale="85" zoomScaleNormal="90" zoomScaleSheetLayoutView="85" workbookViewId="0">
      <selection activeCell="A4" sqref="A4"/>
    </sheetView>
  </sheetViews>
  <sheetFormatPr defaultRowHeight="13.5"/>
  <cols>
    <col min="1" max="1" width="9.21875" style="36" customWidth="1"/>
    <col min="2" max="2" width="11.33203125" style="36" customWidth="1"/>
    <col min="3" max="3" width="10.5546875" style="36" customWidth="1"/>
    <col min="4" max="4" width="11.33203125" style="36" customWidth="1"/>
    <col min="5" max="5" width="9.21875" style="36" customWidth="1"/>
    <col min="6" max="6" width="11.33203125" style="36" customWidth="1"/>
    <col min="7" max="7" width="9.21875" style="36" customWidth="1"/>
    <col min="8" max="8" width="11.33203125" style="36" customWidth="1"/>
    <col min="9" max="11" width="10.21875" style="36" customWidth="1"/>
    <col min="12" max="254" width="8.88671875" style="36"/>
    <col min="255" max="255" width="9.21875" style="36" customWidth="1"/>
    <col min="256" max="256" width="11.33203125" style="36" customWidth="1"/>
    <col min="257" max="257" width="10.5546875" style="36" customWidth="1"/>
    <col min="258" max="258" width="11.33203125" style="36" customWidth="1"/>
    <col min="259" max="259" width="9.21875" style="36" customWidth="1"/>
    <col min="260" max="260" width="11.33203125" style="36" customWidth="1"/>
    <col min="261" max="261" width="9.21875" style="36" customWidth="1"/>
    <col min="262" max="262" width="11.33203125" style="36" customWidth="1"/>
    <col min="263" max="265" width="10.21875" style="36" customWidth="1"/>
    <col min="266" max="510" width="8.88671875" style="36"/>
    <col min="511" max="511" width="9.21875" style="36" customWidth="1"/>
    <col min="512" max="512" width="11.33203125" style="36" customWidth="1"/>
    <col min="513" max="513" width="10.5546875" style="36" customWidth="1"/>
    <col min="514" max="514" width="11.33203125" style="36" customWidth="1"/>
    <col min="515" max="515" width="9.21875" style="36" customWidth="1"/>
    <col min="516" max="516" width="11.33203125" style="36" customWidth="1"/>
    <col min="517" max="517" width="9.21875" style="36" customWidth="1"/>
    <col min="518" max="518" width="11.33203125" style="36" customWidth="1"/>
    <col min="519" max="521" width="10.21875" style="36" customWidth="1"/>
    <col min="522" max="766" width="8.88671875" style="36"/>
    <col min="767" max="767" width="9.21875" style="36" customWidth="1"/>
    <col min="768" max="768" width="11.33203125" style="36" customWidth="1"/>
    <col min="769" max="769" width="10.5546875" style="36" customWidth="1"/>
    <col min="770" max="770" width="11.33203125" style="36" customWidth="1"/>
    <col min="771" max="771" width="9.21875" style="36" customWidth="1"/>
    <col min="772" max="772" width="11.33203125" style="36" customWidth="1"/>
    <col min="773" max="773" width="9.21875" style="36" customWidth="1"/>
    <col min="774" max="774" width="11.33203125" style="36" customWidth="1"/>
    <col min="775" max="777" width="10.21875" style="36" customWidth="1"/>
    <col min="778" max="1022" width="8.88671875" style="36"/>
    <col min="1023" max="1023" width="9.21875" style="36" customWidth="1"/>
    <col min="1024" max="1024" width="11.33203125" style="36" customWidth="1"/>
    <col min="1025" max="1025" width="10.5546875" style="36" customWidth="1"/>
    <col min="1026" max="1026" width="11.33203125" style="36" customWidth="1"/>
    <col min="1027" max="1027" width="9.21875" style="36" customWidth="1"/>
    <col min="1028" max="1028" width="11.33203125" style="36" customWidth="1"/>
    <col min="1029" max="1029" width="9.21875" style="36" customWidth="1"/>
    <col min="1030" max="1030" width="11.33203125" style="36" customWidth="1"/>
    <col min="1031" max="1033" width="10.21875" style="36" customWidth="1"/>
    <col min="1034" max="1278" width="8.88671875" style="36"/>
    <col min="1279" max="1279" width="9.21875" style="36" customWidth="1"/>
    <col min="1280" max="1280" width="11.33203125" style="36" customWidth="1"/>
    <col min="1281" max="1281" width="10.5546875" style="36" customWidth="1"/>
    <col min="1282" max="1282" width="11.33203125" style="36" customWidth="1"/>
    <col min="1283" max="1283" width="9.21875" style="36" customWidth="1"/>
    <col min="1284" max="1284" width="11.33203125" style="36" customWidth="1"/>
    <col min="1285" max="1285" width="9.21875" style="36" customWidth="1"/>
    <col min="1286" max="1286" width="11.33203125" style="36" customWidth="1"/>
    <col min="1287" max="1289" width="10.21875" style="36" customWidth="1"/>
    <col min="1290" max="1534" width="8.88671875" style="36"/>
    <col min="1535" max="1535" width="9.21875" style="36" customWidth="1"/>
    <col min="1536" max="1536" width="11.33203125" style="36" customWidth="1"/>
    <col min="1537" max="1537" width="10.5546875" style="36" customWidth="1"/>
    <col min="1538" max="1538" width="11.33203125" style="36" customWidth="1"/>
    <col min="1539" max="1539" width="9.21875" style="36" customWidth="1"/>
    <col min="1540" max="1540" width="11.33203125" style="36" customWidth="1"/>
    <col min="1541" max="1541" width="9.21875" style="36" customWidth="1"/>
    <col min="1542" max="1542" width="11.33203125" style="36" customWidth="1"/>
    <col min="1543" max="1545" width="10.21875" style="36" customWidth="1"/>
    <col min="1546" max="1790" width="8.88671875" style="36"/>
    <col min="1791" max="1791" width="9.21875" style="36" customWidth="1"/>
    <col min="1792" max="1792" width="11.33203125" style="36" customWidth="1"/>
    <col min="1793" max="1793" width="10.5546875" style="36" customWidth="1"/>
    <col min="1794" max="1794" width="11.33203125" style="36" customWidth="1"/>
    <col min="1795" max="1795" width="9.21875" style="36" customWidth="1"/>
    <col min="1796" max="1796" width="11.33203125" style="36" customWidth="1"/>
    <col min="1797" max="1797" width="9.21875" style="36" customWidth="1"/>
    <col min="1798" max="1798" width="11.33203125" style="36" customWidth="1"/>
    <col min="1799" max="1801" width="10.21875" style="36" customWidth="1"/>
    <col min="1802" max="2046" width="8.88671875" style="36"/>
    <col min="2047" max="2047" width="9.21875" style="36" customWidth="1"/>
    <col min="2048" max="2048" width="11.33203125" style="36" customWidth="1"/>
    <col min="2049" max="2049" width="10.5546875" style="36" customWidth="1"/>
    <col min="2050" max="2050" width="11.33203125" style="36" customWidth="1"/>
    <col min="2051" max="2051" width="9.21875" style="36" customWidth="1"/>
    <col min="2052" max="2052" width="11.33203125" style="36" customWidth="1"/>
    <col min="2053" max="2053" width="9.21875" style="36" customWidth="1"/>
    <col min="2054" max="2054" width="11.33203125" style="36" customWidth="1"/>
    <col min="2055" max="2057" width="10.21875" style="36" customWidth="1"/>
    <col min="2058" max="2302" width="8.88671875" style="36"/>
    <col min="2303" max="2303" width="9.21875" style="36" customWidth="1"/>
    <col min="2304" max="2304" width="11.33203125" style="36" customWidth="1"/>
    <col min="2305" max="2305" width="10.5546875" style="36" customWidth="1"/>
    <col min="2306" max="2306" width="11.33203125" style="36" customWidth="1"/>
    <col min="2307" max="2307" width="9.21875" style="36" customWidth="1"/>
    <col min="2308" max="2308" width="11.33203125" style="36" customWidth="1"/>
    <col min="2309" max="2309" width="9.21875" style="36" customWidth="1"/>
    <col min="2310" max="2310" width="11.33203125" style="36" customWidth="1"/>
    <col min="2311" max="2313" width="10.21875" style="36" customWidth="1"/>
    <col min="2314" max="2558" width="8.88671875" style="36"/>
    <col min="2559" max="2559" width="9.21875" style="36" customWidth="1"/>
    <col min="2560" max="2560" width="11.33203125" style="36" customWidth="1"/>
    <col min="2561" max="2561" width="10.5546875" style="36" customWidth="1"/>
    <col min="2562" max="2562" width="11.33203125" style="36" customWidth="1"/>
    <col min="2563" max="2563" width="9.21875" style="36" customWidth="1"/>
    <col min="2564" max="2564" width="11.33203125" style="36" customWidth="1"/>
    <col min="2565" max="2565" width="9.21875" style="36" customWidth="1"/>
    <col min="2566" max="2566" width="11.33203125" style="36" customWidth="1"/>
    <col min="2567" max="2569" width="10.21875" style="36" customWidth="1"/>
    <col min="2570" max="2814" width="8.88671875" style="36"/>
    <col min="2815" max="2815" width="9.21875" style="36" customWidth="1"/>
    <col min="2816" max="2816" width="11.33203125" style="36" customWidth="1"/>
    <col min="2817" max="2817" width="10.5546875" style="36" customWidth="1"/>
    <col min="2818" max="2818" width="11.33203125" style="36" customWidth="1"/>
    <col min="2819" max="2819" width="9.21875" style="36" customWidth="1"/>
    <col min="2820" max="2820" width="11.33203125" style="36" customWidth="1"/>
    <col min="2821" max="2821" width="9.21875" style="36" customWidth="1"/>
    <col min="2822" max="2822" width="11.33203125" style="36" customWidth="1"/>
    <col min="2823" max="2825" width="10.21875" style="36" customWidth="1"/>
    <col min="2826" max="3070" width="8.88671875" style="36"/>
    <col min="3071" max="3071" width="9.21875" style="36" customWidth="1"/>
    <col min="3072" max="3072" width="11.33203125" style="36" customWidth="1"/>
    <col min="3073" max="3073" width="10.5546875" style="36" customWidth="1"/>
    <col min="3074" max="3074" width="11.33203125" style="36" customWidth="1"/>
    <col min="3075" max="3075" width="9.21875" style="36" customWidth="1"/>
    <col min="3076" max="3076" width="11.33203125" style="36" customWidth="1"/>
    <col min="3077" max="3077" width="9.21875" style="36" customWidth="1"/>
    <col min="3078" max="3078" width="11.33203125" style="36" customWidth="1"/>
    <col min="3079" max="3081" width="10.21875" style="36" customWidth="1"/>
    <col min="3082" max="3326" width="8.88671875" style="36"/>
    <col min="3327" max="3327" width="9.21875" style="36" customWidth="1"/>
    <col min="3328" max="3328" width="11.33203125" style="36" customWidth="1"/>
    <col min="3329" max="3329" width="10.5546875" style="36" customWidth="1"/>
    <col min="3330" max="3330" width="11.33203125" style="36" customWidth="1"/>
    <col min="3331" max="3331" width="9.21875" style="36" customWidth="1"/>
    <col min="3332" max="3332" width="11.33203125" style="36" customWidth="1"/>
    <col min="3333" max="3333" width="9.21875" style="36" customWidth="1"/>
    <col min="3334" max="3334" width="11.33203125" style="36" customWidth="1"/>
    <col min="3335" max="3337" width="10.21875" style="36" customWidth="1"/>
    <col min="3338" max="3582" width="8.88671875" style="36"/>
    <col min="3583" max="3583" width="9.21875" style="36" customWidth="1"/>
    <col min="3584" max="3584" width="11.33203125" style="36" customWidth="1"/>
    <col min="3585" max="3585" width="10.5546875" style="36" customWidth="1"/>
    <col min="3586" max="3586" width="11.33203125" style="36" customWidth="1"/>
    <col min="3587" max="3587" width="9.21875" style="36" customWidth="1"/>
    <col min="3588" max="3588" width="11.33203125" style="36" customWidth="1"/>
    <col min="3589" max="3589" width="9.21875" style="36" customWidth="1"/>
    <col min="3590" max="3590" width="11.33203125" style="36" customWidth="1"/>
    <col min="3591" max="3593" width="10.21875" style="36" customWidth="1"/>
    <col min="3594" max="3838" width="8.88671875" style="36"/>
    <col min="3839" max="3839" width="9.21875" style="36" customWidth="1"/>
    <col min="3840" max="3840" width="11.33203125" style="36" customWidth="1"/>
    <col min="3841" max="3841" width="10.5546875" style="36" customWidth="1"/>
    <col min="3842" max="3842" width="11.33203125" style="36" customWidth="1"/>
    <col min="3843" max="3843" width="9.21875" style="36" customWidth="1"/>
    <col min="3844" max="3844" width="11.33203125" style="36" customWidth="1"/>
    <col min="3845" max="3845" width="9.21875" style="36" customWidth="1"/>
    <col min="3846" max="3846" width="11.33203125" style="36" customWidth="1"/>
    <col min="3847" max="3849" width="10.21875" style="36" customWidth="1"/>
    <col min="3850" max="4094" width="8.88671875" style="36"/>
    <col min="4095" max="4095" width="9.21875" style="36" customWidth="1"/>
    <col min="4096" max="4096" width="11.33203125" style="36" customWidth="1"/>
    <col min="4097" max="4097" width="10.5546875" style="36" customWidth="1"/>
    <col min="4098" max="4098" width="11.33203125" style="36" customWidth="1"/>
    <col min="4099" max="4099" width="9.21875" style="36" customWidth="1"/>
    <col min="4100" max="4100" width="11.33203125" style="36" customWidth="1"/>
    <col min="4101" max="4101" width="9.21875" style="36" customWidth="1"/>
    <col min="4102" max="4102" width="11.33203125" style="36" customWidth="1"/>
    <col min="4103" max="4105" width="10.21875" style="36" customWidth="1"/>
    <col min="4106" max="4350" width="8.88671875" style="36"/>
    <col min="4351" max="4351" width="9.21875" style="36" customWidth="1"/>
    <col min="4352" max="4352" width="11.33203125" style="36" customWidth="1"/>
    <col min="4353" max="4353" width="10.5546875" style="36" customWidth="1"/>
    <col min="4354" max="4354" width="11.33203125" style="36" customWidth="1"/>
    <col min="4355" max="4355" width="9.21875" style="36" customWidth="1"/>
    <col min="4356" max="4356" width="11.33203125" style="36" customWidth="1"/>
    <col min="4357" max="4357" width="9.21875" style="36" customWidth="1"/>
    <col min="4358" max="4358" width="11.33203125" style="36" customWidth="1"/>
    <col min="4359" max="4361" width="10.21875" style="36" customWidth="1"/>
    <col min="4362" max="4606" width="8.88671875" style="36"/>
    <col min="4607" max="4607" width="9.21875" style="36" customWidth="1"/>
    <col min="4608" max="4608" width="11.33203125" style="36" customWidth="1"/>
    <col min="4609" max="4609" width="10.5546875" style="36" customWidth="1"/>
    <col min="4610" max="4610" width="11.33203125" style="36" customWidth="1"/>
    <col min="4611" max="4611" width="9.21875" style="36" customWidth="1"/>
    <col min="4612" max="4612" width="11.33203125" style="36" customWidth="1"/>
    <col min="4613" max="4613" width="9.21875" style="36" customWidth="1"/>
    <col min="4614" max="4614" width="11.33203125" style="36" customWidth="1"/>
    <col min="4615" max="4617" width="10.21875" style="36" customWidth="1"/>
    <col min="4618" max="4862" width="8.88671875" style="36"/>
    <col min="4863" max="4863" width="9.21875" style="36" customWidth="1"/>
    <col min="4864" max="4864" width="11.33203125" style="36" customWidth="1"/>
    <col min="4865" max="4865" width="10.5546875" style="36" customWidth="1"/>
    <col min="4866" max="4866" width="11.33203125" style="36" customWidth="1"/>
    <col min="4867" max="4867" width="9.21875" style="36" customWidth="1"/>
    <col min="4868" max="4868" width="11.33203125" style="36" customWidth="1"/>
    <col min="4869" max="4869" width="9.21875" style="36" customWidth="1"/>
    <col min="4870" max="4870" width="11.33203125" style="36" customWidth="1"/>
    <col min="4871" max="4873" width="10.21875" style="36" customWidth="1"/>
    <col min="4874" max="5118" width="8.88671875" style="36"/>
    <col min="5119" max="5119" width="9.21875" style="36" customWidth="1"/>
    <col min="5120" max="5120" width="11.33203125" style="36" customWidth="1"/>
    <col min="5121" max="5121" width="10.5546875" style="36" customWidth="1"/>
    <col min="5122" max="5122" width="11.33203125" style="36" customWidth="1"/>
    <col min="5123" max="5123" width="9.21875" style="36" customWidth="1"/>
    <col min="5124" max="5124" width="11.33203125" style="36" customWidth="1"/>
    <col min="5125" max="5125" width="9.21875" style="36" customWidth="1"/>
    <col min="5126" max="5126" width="11.33203125" style="36" customWidth="1"/>
    <col min="5127" max="5129" width="10.21875" style="36" customWidth="1"/>
    <col min="5130" max="5374" width="8.88671875" style="36"/>
    <col min="5375" max="5375" width="9.21875" style="36" customWidth="1"/>
    <col min="5376" max="5376" width="11.33203125" style="36" customWidth="1"/>
    <col min="5377" max="5377" width="10.5546875" style="36" customWidth="1"/>
    <col min="5378" max="5378" width="11.33203125" style="36" customWidth="1"/>
    <col min="5379" max="5379" width="9.21875" style="36" customWidth="1"/>
    <col min="5380" max="5380" width="11.33203125" style="36" customWidth="1"/>
    <col min="5381" max="5381" width="9.21875" style="36" customWidth="1"/>
    <col min="5382" max="5382" width="11.33203125" style="36" customWidth="1"/>
    <col min="5383" max="5385" width="10.21875" style="36" customWidth="1"/>
    <col min="5386" max="5630" width="8.88671875" style="36"/>
    <col min="5631" max="5631" width="9.21875" style="36" customWidth="1"/>
    <col min="5632" max="5632" width="11.33203125" style="36" customWidth="1"/>
    <col min="5633" max="5633" width="10.5546875" style="36" customWidth="1"/>
    <col min="5634" max="5634" width="11.33203125" style="36" customWidth="1"/>
    <col min="5635" max="5635" width="9.21875" style="36" customWidth="1"/>
    <col min="5636" max="5636" width="11.33203125" style="36" customWidth="1"/>
    <col min="5637" max="5637" width="9.21875" style="36" customWidth="1"/>
    <col min="5638" max="5638" width="11.33203125" style="36" customWidth="1"/>
    <col min="5639" max="5641" width="10.21875" style="36" customWidth="1"/>
    <col min="5642" max="5886" width="8.88671875" style="36"/>
    <col min="5887" max="5887" width="9.21875" style="36" customWidth="1"/>
    <col min="5888" max="5888" width="11.33203125" style="36" customWidth="1"/>
    <col min="5889" max="5889" width="10.5546875" style="36" customWidth="1"/>
    <col min="5890" max="5890" width="11.33203125" style="36" customWidth="1"/>
    <col min="5891" max="5891" width="9.21875" style="36" customWidth="1"/>
    <col min="5892" max="5892" width="11.33203125" style="36" customWidth="1"/>
    <col min="5893" max="5893" width="9.21875" style="36" customWidth="1"/>
    <col min="5894" max="5894" width="11.33203125" style="36" customWidth="1"/>
    <col min="5895" max="5897" width="10.21875" style="36" customWidth="1"/>
    <col min="5898" max="6142" width="8.88671875" style="36"/>
    <col min="6143" max="6143" width="9.21875" style="36" customWidth="1"/>
    <col min="6144" max="6144" width="11.33203125" style="36" customWidth="1"/>
    <col min="6145" max="6145" width="10.5546875" style="36" customWidth="1"/>
    <col min="6146" max="6146" width="11.33203125" style="36" customWidth="1"/>
    <col min="6147" max="6147" width="9.21875" style="36" customWidth="1"/>
    <col min="6148" max="6148" width="11.33203125" style="36" customWidth="1"/>
    <col min="6149" max="6149" width="9.21875" style="36" customWidth="1"/>
    <col min="6150" max="6150" width="11.33203125" style="36" customWidth="1"/>
    <col min="6151" max="6153" width="10.21875" style="36" customWidth="1"/>
    <col min="6154" max="6398" width="8.88671875" style="36"/>
    <col min="6399" max="6399" width="9.21875" style="36" customWidth="1"/>
    <col min="6400" max="6400" width="11.33203125" style="36" customWidth="1"/>
    <col min="6401" max="6401" width="10.5546875" style="36" customWidth="1"/>
    <col min="6402" max="6402" width="11.33203125" style="36" customWidth="1"/>
    <col min="6403" max="6403" width="9.21875" style="36" customWidth="1"/>
    <col min="6404" max="6404" width="11.33203125" style="36" customWidth="1"/>
    <col min="6405" max="6405" width="9.21875" style="36" customWidth="1"/>
    <col min="6406" max="6406" width="11.33203125" style="36" customWidth="1"/>
    <col min="6407" max="6409" width="10.21875" style="36" customWidth="1"/>
    <col min="6410" max="6654" width="8.88671875" style="36"/>
    <col min="6655" max="6655" width="9.21875" style="36" customWidth="1"/>
    <col min="6656" max="6656" width="11.33203125" style="36" customWidth="1"/>
    <col min="6657" max="6657" width="10.5546875" style="36" customWidth="1"/>
    <col min="6658" max="6658" width="11.33203125" style="36" customWidth="1"/>
    <col min="6659" max="6659" width="9.21875" style="36" customWidth="1"/>
    <col min="6660" max="6660" width="11.33203125" style="36" customWidth="1"/>
    <col min="6661" max="6661" width="9.21875" style="36" customWidth="1"/>
    <col min="6662" max="6662" width="11.33203125" style="36" customWidth="1"/>
    <col min="6663" max="6665" width="10.21875" style="36" customWidth="1"/>
    <col min="6666" max="6910" width="8.88671875" style="36"/>
    <col min="6911" max="6911" width="9.21875" style="36" customWidth="1"/>
    <col min="6912" max="6912" width="11.33203125" style="36" customWidth="1"/>
    <col min="6913" max="6913" width="10.5546875" style="36" customWidth="1"/>
    <col min="6914" max="6914" width="11.33203125" style="36" customWidth="1"/>
    <col min="6915" max="6915" width="9.21875" style="36" customWidth="1"/>
    <col min="6916" max="6916" width="11.33203125" style="36" customWidth="1"/>
    <col min="6917" max="6917" width="9.21875" style="36" customWidth="1"/>
    <col min="6918" max="6918" width="11.33203125" style="36" customWidth="1"/>
    <col min="6919" max="6921" width="10.21875" style="36" customWidth="1"/>
    <col min="6922" max="7166" width="8.88671875" style="36"/>
    <col min="7167" max="7167" width="9.21875" style="36" customWidth="1"/>
    <col min="7168" max="7168" width="11.33203125" style="36" customWidth="1"/>
    <col min="7169" max="7169" width="10.5546875" style="36" customWidth="1"/>
    <col min="7170" max="7170" width="11.33203125" style="36" customWidth="1"/>
    <col min="7171" max="7171" width="9.21875" style="36" customWidth="1"/>
    <col min="7172" max="7172" width="11.33203125" style="36" customWidth="1"/>
    <col min="7173" max="7173" width="9.21875" style="36" customWidth="1"/>
    <col min="7174" max="7174" width="11.33203125" style="36" customWidth="1"/>
    <col min="7175" max="7177" width="10.21875" style="36" customWidth="1"/>
    <col min="7178" max="7422" width="8.88671875" style="36"/>
    <col min="7423" max="7423" width="9.21875" style="36" customWidth="1"/>
    <col min="7424" max="7424" width="11.33203125" style="36" customWidth="1"/>
    <col min="7425" max="7425" width="10.5546875" style="36" customWidth="1"/>
    <col min="7426" max="7426" width="11.33203125" style="36" customWidth="1"/>
    <col min="7427" max="7427" width="9.21875" style="36" customWidth="1"/>
    <col min="7428" max="7428" width="11.33203125" style="36" customWidth="1"/>
    <col min="7429" max="7429" width="9.21875" style="36" customWidth="1"/>
    <col min="7430" max="7430" width="11.33203125" style="36" customWidth="1"/>
    <col min="7431" max="7433" width="10.21875" style="36" customWidth="1"/>
    <col min="7434" max="7678" width="8.88671875" style="36"/>
    <col min="7679" max="7679" width="9.21875" style="36" customWidth="1"/>
    <col min="7680" max="7680" width="11.33203125" style="36" customWidth="1"/>
    <col min="7681" max="7681" width="10.5546875" style="36" customWidth="1"/>
    <col min="7682" max="7682" width="11.33203125" style="36" customWidth="1"/>
    <col min="7683" max="7683" width="9.21875" style="36" customWidth="1"/>
    <col min="7684" max="7684" width="11.33203125" style="36" customWidth="1"/>
    <col min="7685" max="7685" width="9.21875" style="36" customWidth="1"/>
    <col min="7686" max="7686" width="11.33203125" style="36" customWidth="1"/>
    <col min="7687" max="7689" width="10.21875" style="36" customWidth="1"/>
    <col min="7690" max="7934" width="8.88671875" style="36"/>
    <col min="7935" max="7935" width="9.21875" style="36" customWidth="1"/>
    <col min="7936" max="7936" width="11.33203125" style="36" customWidth="1"/>
    <col min="7937" max="7937" width="10.5546875" style="36" customWidth="1"/>
    <col min="7938" max="7938" width="11.33203125" style="36" customWidth="1"/>
    <col min="7939" max="7939" width="9.21875" style="36" customWidth="1"/>
    <col min="7940" max="7940" width="11.33203125" style="36" customWidth="1"/>
    <col min="7941" max="7941" width="9.21875" style="36" customWidth="1"/>
    <col min="7942" max="7942" width="11.33203125" style="36" customWidth="1"/>
    <col min="7943" max="7945" width="10.21875" style="36" customWidth="1"/>
    <col min="7946" max="8190" width="8.88671875" style="36"/>
    <col min="8191" max="8191" width="9.21875" style="36" customWidth="1"/>
    <col min="8192" max="8192" width="11.33203125" style="36" customWidth="1"/>
    <col min="8193" max="8193" width="10.5546875" style="36" customWidth="1"/>
    <col min="8194" max="8194" width="11.33203125" style="36" customWidth="1"/>
    <col min="8195" max="8195" width="9.21875" style="36" customWidth="1"/>
    <col min="8196" max="8196" width="11.33203125" style="36" customWidth="1"/>
    <col min="8197" max="8197" width="9.21875" style="36" customWidth="1"/>
    <col min="8198" max="8198" width="11.33203125" style="36" customWidth="1"/>
    <col min="8199" max="8201" width="10.21875" style="36" customWidth="1"/>
    <col min="8202" max="8446" width="8.88671875" style="36"/>
    <col min="8447" max="8447" width="9.21875" style="36" customWidth="1"/>
    <col min="8448" max="8448" width="11.33203125" style="36" customWidth="1"/>
    <col min="8449" max="8449" width="10.5546875" style="36" customWidth="1"/>
    <col min="8450" max="8450" width="11.33203125" style="36" customWidth="1"/>
    <col min="8451" max="8451" width="9.21875" style="36" customWidth="1"/>
    <col min="8452" max="8452" width="11.33203125" style="36" customWidth="1"/>
    <col min="8453" max="8453" width="9.21875" style="36" customWidth="1"/>
    <col min="8454" max="8454" width="11.33203125" style="36" customWidth="1"/>
    <col min="8455" max="8457" width="10.21875" style="36" customWidth="1"/>
    <col min="8458" max="8702" width="8.88671875" style="36"/>
    <col min="8703" max="8703" width="9.21875" style="36" customWidth="1"/>
    <col min="8704" max="8704" width="11.33203125" style="36" customWidth="1"/>
    <col min="8705" max="8705" width="10.5546875" style="36" customWidth="1"/>
    <col min="8706" max="8706" width="11.33203125" style="36" customWidth="1"/>
    <col min="8707" max="8707" width="9.21875" style="36" customWidth="1"/>
    <col min="8708" max="8708" width="11.33203125" style="36" customWidth="1"/>
    <col min="8709" max="8709" width="9.21875" style="36" customWidth="1"/>
    <col min="8710" max="8710" width="11.33203125" style="36" customWidth="1"/>
    <col min="8711" max="8713" width="10.21875" style="36" customWidth="1"/>
    <col min="8714" max="8958" width="8.88671875" style="36"/>
    <col min="8959" max="8959" width="9.21875" style="36" customWidth="1"/>
    <col min="8960" max="8960" width="11.33203125" style="36" customWidth="1"/>
    <col min="8961" max="8961" width="10.5546875" style="36" customWidth="1"/>
    <col min="8962" max="8962" width="11.33203125" style="36" customWidth="1"/>
    <col min="8963" max="8963" width="9.21875" style="36" customWidth="1"/>
    <col min="8964" max="8964" width="11.33203125" style="36" customWidth="1"/>
    <col min="8965" max="8965" width="9.21875" style="36" customWidth="1"/>
    <col min="8966" max="8966" width="11.33203125" style="36" customWidth="1"/>
    <col min="8967" max="8969" width="10.21875" style="36" customWidth="1"/>
    <col min="8970" max="9214" width="8.88671875" style="36"/>
    <col min="9215" max="9215" width="9.21875" style="36" customWidth="1"/>
    <col min="9216" max="9216" width="11.33203125" style="36" customWidth="1"/>
    <col min="9217" max="9217" width="10.5546875" style="36" customWidth="1"/>
    <col min="9218" max="9218" width="11.33203125" style="36" customWidth="1"/>
    <col min="9219" max="9219" width="9.21875" style="36" customWidth="1"/>
    <col min="9220" max="9220" width="11.33203125" style="36" customWidth="1"/>
    <col min="9221" max="9221" width="9.21875" style="36" customWidth="1"/>
    <col min="9222" max="9222" width="11.33203125" style="36" customWidth="1"/>
    <col min="9223" max="9225" width="10.21875" style="36" customWidth="1"/>
    <col min="9226" max="9470" width="8.88671875" style="36"/>
    <col min="9471" max="9471" width="9.21875" style="36" customWidth="1"/>
    <col min="9472" max="9472" width="11.33203125" style="36" customWidth="1"/>
    <col min="9473" max="9473" width="10.5546875" style="36" customWidth="1"/>
    <col min="9474" max="9474" width="11.33203125" style="36" customWidth="1"/>
    <col min="9475" max="9475" width="9.21875" style="36" customWidth="1"/>
    <col min="9476" max="9476" width="11.33203125" style="36" customWidth="1"/>
    <col min="9477" max="9477" width="9.21875" style="36" customWidth="1"/>
    <col min="9478" max="9478" width="11.33203125" style="36" customWidth="1"/>
    <col min="9479" max="9481" width="10.21875" style="36" customWidth="1"/>
    <col min="9482" max="9726" width="8.88671875" style="36"/>
    <col min="9727" max="9727" width="9.21875" style="36" customWidth="1"/>
    <col min="9728" max="9728" width="11.33203125" style="36" customWidth="1"/>
    <col min="9729" max="9729" width="10.5546875" style="36" customWidth="1"/>
    <col min="9730" max="9730" width="11.33203125" style="36" customWidth="1"/>
    <col min="9731" max="9731" width="9.21875" style="36" customWidth="1"/>
    <col min="9732" max="9732" width="11.33203125" style="36" customWidth="1"/>
    <col min="9733" max="9733" width="9.21875" style="36" customWidth="1"/>
    <col min="9734" max="9734" width="11.33203125" style="36" customWidth="1"/>
    <col min="9735" max="9737" width="10.21875" style="36" customWidth="1"/>
    <col min="9738" max="9982" width="8.88671875" style="36"/>
    <col min="9983" max="9983" width="9.21875" style="36" customWidth="1"/>
    <col min="9984" max="9984" width="11.33203125" style="36" customWidth="1"/>
    <col min="9985" max="9985" width="10.5546875" style="36" customWidth="1"/>
    <col min="9986" max="9986" width="11.33203125" style="36" customWidth="1"/>
    <col min="9987" max="9987" width="9.21875" style="36" customWidth="1"/>
    <col min="9988" max="9988" width="11.33203125" style="36" customWidth="1"/>
    <col min="9989" max="9989" width="9.21875" style="36" customWidth="1"/>
    <col min="9990" max="9990" width="11.33203125" style="36" customWidth="1"/>
    <col min="9991" max="9993" width="10.21875" style="36" customWidth="1"/>
    <col min="9994" max="10238" width="8.88671875" style="36"/>
    <col min="10239" max="10239" width="9.21875" style="36" customWidth="1"/>
    <col min="10240" max="10240" width="11.33203125" style="36" customWidth="1"/>
    <col min="10241" max="10241" width="10.5546875" style="36" customWidth="1"/>
    <col min="10242" max="10242" width="11.33203125" style="36" customWidth="1"/>
    <col min="10243" max="10243" width="9.21875" style="36" customWidth="1"/>
    <col min="10244" max="10244" width="11.33203125" style="36" customWidth="1"/>
    <col min="10245" max="10245" width="9.21875" style="36" customWidth="1"/>
    <col min="10246" max="10246" width="11.33203125" style="36" customWidth="1"/>
    <col min="10247" max="10249" width="10.21875" style="36" customWidth="1"/>
    <col min="10250" max="10494" width="8.88671875" style="36"/>
    <col min="10495" max="10495" width="9.21875" style="36" customWidth="1"/>
    <col min="10496" max="10496" width="11.33203125" style="36" customWidth="1"/>
    <col min="10497" max="10497" width="10.5546875" style="36" customWidth="1"/>
    <col min="10498" max="10498" width="11.33203125" style="36" customWidth="1"/>
    <col min="10499" max="10499" width="9.21875" style="36" customWidth="1"/>
    <col min="10500" max="10500" width="11.33203125" style="36" customWidth="1"/>
    <col min="10501" max="10501" width="9.21875" style="36" customWidth="1"/>
    <col min="10502" max="10502" width="11.33203125" style="36" customWidth="1"/>
    <col min="10503" max="10505" width="10.21875" style="36" customWidth="1"/>
    <col min="10506" max="10750" width="8.88671875" style="36"/>
    <col min="10751" max="10751" width="9.21875" style="36" customWidth="1"/>
    <col min="10752" max="10752" width="11.33203125" style="36" customWidth="1"/>
    <col min="10753" max="10753" width="10.5546875" style="36" customWidth="1"/>
    <col min="10754" max="10754" width="11.33203125" style="36" customWidth="1"/>
    <col min="10755" max="10755" width="9.21875" style="36" customWidth="1"/>
    <col min="10756" max="10756" width="11.33203125" style="36" customWidth="1"/>
    <col min="10757" max="10757" width="9.21875" style="36" customWidth="1"/>
    <col min="10758" max="10758" width="11.33203125" style="36" customWidth="1"/>
    <col min="10759" max="10761" width="10.21875" style="36" customWidth="1"/>
    <col min="10762" max="11006" width="8.88671875" style="36"/>
    <col min="11007" max="11007" width="9.21875" style="36" customWidth="1"/>
    <col min="11008" max="11008" width="11.33203125" style="36" customWidth="1"/>
    <col min="11009" max="11009" width="10.5546875" style="36" customWidth="1"/>
    <col min="11010" max="11010" width="11.33203125" style="36" customWidth="1"/>
    <col min="11011" max="11011" width="9.21875" style="36" customWidth="1"/>
    <col min="11012" max="11012" width="11.33203125" style="36" customWidth="1"/>
    <col min="11013" max="11013" width="9.21875" style="36" customWidth="1"/>
    <col min="11014" max="11014" width="11.33203125" style="36" customWidth="1"/>
    <col min="11015" max="11017" width="10.21875" style="36" customWidth="1"/>
    <col min="11018" max="11262" width="8.88671875" style="36"/>
    <col min="11263" max="11263" width="9.21875" style="36" customWidth="1"/>
    <col min="11264" max="11264" width="11.33203125" style="36" customWidth="1"/>
    <col min="11265" max="11265" width="10.5546875" style="36" customWidth="1"/>
    <col min="11266" max="11266" width="11.33203125" style="36" customWidth="1"/>
    <col min="11267" max="11267" width="9.21875" style="36" customWidth="1"/>
    <col min="11268" max="11268" width="11.33203125" style="36" customWidth="1"/>
    <col min="11269" max="11269" width="9.21875" style="36" customWidth="1"/>
    <col min="11270" max="11270" width="11.33203125" style="36" customWidth="1"/>
    <col min="11271" max="11273" width="10.21875" style="36" customWidth="1"/>
    <col min="11274" max="11518" width="8.88671875" style="36"/>
    <col min="11519" max="11519" width="9.21875" style="36" customWidth="1"/>
    <col min="11520" max="11520" width="11.33203125" style="36" customWidth="1"/>
    <col min="11521" max="11521" width="10.5546875" style="36" customWidth="1"/>
    <col min="11522" max="11522" width="11.33203125" style="36" customWidth="1"/>
    <col min="11523" max="11523" width="9.21875" style="36" customWidth="1"/>
    <col min="11524" max="11524" width="11.33203125" style="36" customWidth="1"/>
    <col min="11525" max="11525" width="9.21875" style="36" customWidth="1"/>
    <col min="11526" max="11526" width="11.33203125" style="36" customWidth="1"/>
    <col min="11527" max="11529" width="10.21875" style="36" customWidth="1"/>
    <col min="11530" max="11774" width="8.88671875" style="36"/>
    <col min="11775" max="11775" width="9.21875" style="36" customWidth="1"/>
    <col min="11776" max="11776" width="11.33203125" style="36" customWidth="1"/>
    <col min="11777" max="11777" width="10.5546875" style="36" customWidth="1"/>
    <col min="11778" max="11778" width="11.33203125" style="36" customWidth="1"/>
    <col min="11779" max="11779" width="9.21875" style="36" customWidth="1"/>
    <col min="11780" max="11780" width="11.33203125" style="36" customWidth="1"/>
    <col min="11781" max="11781" width="9.21875" style="36" customWidth="1"/>
    <col min="11782" max="11782" width="11.33203125" style="36" customWidth="1"/>
    <col min="11783" max="11785" width="10.21875" style="36" customWidth="1"/>
    <col min="11786" max="12030" width="8.88671875" style="36"/>
    <col min="12031" max="12031" width="9.21875" style="36" customWidth="1"/>
    <col min="12032" max="12032" width="11.33203125" style="36" customWidth="1"/>
    <col min="12033" max="12033" width="10.5546875" style="36" customWidth="1"/>
    <col min="12034" max="12034" width="11.33203125" style="36" customWidth="1"/>
    <col min="12035" max="12035" width="9.21875" style="36" customWidth="1"/>
    <col min="12036" max="12036" width="11.33203125" style="36" customWidth="1"/>
    <col min="12037" max="12037" width="9.21875" style="36" customWidth="1"/>
    <col min="12038" max="12038" width="11.33203125" style="36" customWidth="1"/>
    <col min="12039" max="12041" width="10.21875" style="36" customWidth="1"/>
    <col min="12042" max="12286" width="8.88671875" style="36"/>
    <col min="12287" max="12287" width="9.21875" style="36" customWidth="1"/>
    <col min="12288" max="12288" width="11.33203125" style="36" customWidth="1"/>
    <col min="12289" max="12289" width="10.5546875" style="36" customWidth="1"/>
    <col min="12290" max="12290" width="11.33203125" style="36" customWidth="1"/>
    <col min="12291" max="12291" width="9.21875" style="36" customWidth="1"/>
    <col min="12292" max="12292" width="11.33203125" style="36" customWidth="1"/>
    <col min="12293" max="12293" width="9.21875" style="36" customWidth="1"/>
    <col min="12294" max="12294" width="11.33203125" style="36" customWidth="1"/>
    <col min="12295" max="12297" width="10.21875" style="36" customWidth="1"/>
    <col min="12298" max="12542" width="8.88671875" style="36"/>
    <col min="12543" max="12543" width="9.21875" style="36" customWidth="1"/>
    <col min="12544" max="12544" width="11.33203125" style="36" customWidth="1"/>
    <col min="12545" max="12545" width="10.5546875" style="36" customWidth="1"/>
    <col min="12546" max="12546" width="11.33203125" style="36" customWidth="1"/>
    <col min="12547" max="12547" width="9.21875" style="36" customWidth="1"/>
    <col min="12548" max="12548" width="11.33203125" style="36" customWidth="1"/>
    <col min="12549" max="12549" width="9.21875" style="36" customWidth="1"/>
    <col min="12550" max="12550" width="11.33203125" style="36" customWidth="1"/>
    <col min="12551" max="12553" width="10.21875" style="36" customWidth="1"/>
    <col min="12554" max="12798" width="8.88671875" style="36"/>
    <col min="12799" max="12799" width="9.21875" style="36" customWidth="1"/>
    <col min="12800" max="12800" width="11.33203125" style="36" customWidth="1"/>
    <col min="12801" max="12801" width="10.5546875" style="36" customWidth="1"/>
    <col min="12802" max="12802" width="11.33203125" style="36" customWidth="1"/>
    <col min="12803" max="12803" width="9.21875" style="36" customWidth="1"/>
    <col min="12804" max="12804" width="11.33203125" style="36" customWidth="1"/>
    <col min="12805" max="12805" width="9.21875" style="36" customWidth="1"/>
    <col min="12806" max="12806" width="11.33203125" style="36" customWidth="1"/>
    <col min="12807" max="12809" width="10.21875" style="36" customWidth="1"/>
    <col min="12810" max="13054" width="8.88671875" style="36"/>
    <col min="13055" max="13055" width="9.21875" style="36" customWidth="1"/>
    <col min="13056" max="13056" width="11.33203125" style="36" customWidth="1"/>
    <col min="13057" max="13057" width="10.5546875" style="36" customWidth="1"/>
    <col min="13058" max="13058" width="11.33203125" style="36" customWidth="1"/>
    <col min="13059" max="13059" width="9.21875" style="36" customWidth="1"/>
    <col min="13060" max="13060" width="11.33203125" style="36" customWidth="1"/>
    <col min="13061" max="13061" width="9.21875" style="36" customWidth="1"/>
    <col min="13062" max="13062" width="11.33203125" style="36" customWidth="1"/>
    <col min="13063" max="13065" width="10.21875" style="36" customWidth="1"/>
    <col min="13066" max="13310" width="8.88671875" style="36"/>
    <col min="13311" max="13311" width="9.21875" style="36" customWidth="1"/>
    <col min="13312" max="13312" width="11.33203125" style="36" customWidth="1"/>
    <col min="13313" max="13313" width="10.5546875" style="36" customWidth="1"/>
    <col min="13314" max="13314" width="11.33203125" style="36" customWidth="1"/>
    <col min="13315" max="13315" width="9.21875" style="36" customWidth="1"/>
    <col min="13316" max="13316" width="11.33203125" style="36" customWidth="1"/>
    <col min="13317" max="13317" width="9.21875" style="36" customWidth="1"/>
    <col min="13318" max="13318" width="11.33203125" style="36" customWidth="1"/>
    <col min="13319" max="13321" width="10.21875" style="36" customWidth="1"/>
    <col min="13322" max="13566" width="8.88671875" style="36"/>
    <col min="13567" max="13567" width="9.21875" style="36" customWidth="1"/>
    <col min="13568" max="13568" width="11.33203125" style="36" customWidth="1"/>
    <col min="13569" max="13569" width="10.5546875" style="36" customWidth="1"/>
    <col min="13570" max="13570" width="11.33203125" style="36" customWidth="1"/>
    <col min="13571" max="13571" width="9.21875" style="36" customWidth="1"/>
    <col min="13572" max="13572" width="11.33203125" style="36" customWidth="1"/>
    <col min="13573" max="13573" width="9.21875" style="36" customWidth="1"/>
    <col min="13574" max="13574" width="11.33203125" style="36" customWidth="1"/>
    <col min="13575" max="13577" width="10.21875" style="36" customWidth="1"/>
    <col min="13578" max="13822" width="8.88671875" style="36"/>
    <col min="13823" max="13823" width="9.21875" style="36" customWidth="1"/>
    <col min="13824" max="13824" width="11.33203125" style="36" customWidth="1"/>
    <col min="13825" max="13825" width="10.5546875" style="36" customWidth="1"/>
    <col min="13826" max="13826" width="11.33203125" style="36" customWidth="1"/>
    <col min="13827" max="13827" width="9.21875" style="36" customWidth="1"/>
    <col min="13828" max="13828" width="11.33203125" style="36" customWidth="1"/>
    <col min="13829" max="13829" width="9.21875" style="36" customWidth="1"/>
    <col min="13830" max="13830" width="11.33203125" style="36" customWidth="1"/>
    <col min="13831" max="13833" width="10.21875" style="36" customWidth="1"/>
    <col min="13834" max="14078" width="8.88671875" style="36"/>
    <col min="14079" max="14079" width="9.21875" style="36" customWidth="1"/>
    <col min="14080" max="14080" width="11.33203125" style="36" customWidth="1"/>
    <col min="14081" max="14081" width="10.5546875" style="36" customWidth="1"/>
    <col min="14082" max="14082" width="11.33203125" style="36" customWidth="1"/>
    <col min="14083" max="14083" width="9.21875" style="36" customWidth="1"/>
    <col min="14084" max="14084" width="11.33203125" style="36" customWidth="1"/>
    <col min="14085" max="14085" width="9.21875" style="36" customWidth="1"/>
    <col min="14086" max="14086" width="11.33203125" style="36" customWidth="1"/>
    <col min="14087" max="14089" width="10.21875" style="36" customWidth="1"/>
    <col min="14090" max="14334" width="8.88671875" style="36"/>
    <col min="14335" max="14335" width="9.21875" style="36" customWidth="1"/>
    <col min="14336" max="14336" width="11.33203125" style="36" customWidth="1"/>
    <col min="14337" max="14337" width="10.5546875" style="36" customWidth="1"/>
    <col min="14338" max="14338" width="11.33203125" style="36" customWidth="1"/>
    <col min="14339" max="14339" width="9.21875" style="36" customWidth="1"/>
    <col min="14340" max="14340" width="11.33203125" style="36" customWidth="1"/>
    <col min="14341" max="14341" width="9.21875" style="36" customWidth="1"/>
    <col min="14342" max="14342" width="11.33203125" style="36" customWidth="1"/>
    <col min="14343" max="14345" width="10.21875" style="36" customWidth="1"/>
    <col min="14346" max="14590" width="8.88671875" style="36"/>
    <col min="14591" max="14591" width="9.21875" style="36" customWidth="1"/>
    <col min="14592" max="14592" width="11.33203125" style="36" customWidth="1"/>
    <col min="14593" max="14593" width="10.5546875" style="36" customWidth="1"/>
    <col min="14594" max="14594" width="11.33203125" style="36" customWidth="1"/>
    <col min="14595" max="14595" width="9.21875" style="36" customWidth="1"/>
    <col min="14596" max="14596" width="11.33203125" style="36" customWidth="1"/>
    <col min="14597" max="14597" width="9.21875" style="36" customWidth="1"/>
    <col min="14598" max="14598" width="11.33203125" style="36" customWidth="1"/>
    <col min="14599" max="14601" width="10.21875" style="36" customWidth="1"/>
    <col min="14602" max="14846" width="8.88671875" style="36"/>
    <col min="14847" max="14847" width="9.21875" style="36" customWidth="1"/>
    <col min="14848" max="14848" width="11.33203125" style="36" customWidth="1"/>
    <col min="14849" max="14849" width="10.5546875" style="36" customWidth="1"/>
    <col min="14850" max="14850" width="11.33203125" style="36" customWidth="1"/>
    <col min="14851" max="14851" width="9.21875" style="36" customWidth="1"/>
    <col min="14852" max="14852" width="11.33203125" style="36" customWidth="1"/>
    <col min="14853" max="14853" width="9.21875" style="36" customWidth="1"/>
    <col min="14854" max="14854" width="11.33203125" style="36" customWidth="1"/>
    <col min="14855" max="14857" width="10.21875" style="36" customWidth="1"/>
    <col min="14858" max="15102" width="8.88671875" style="36"/>
    <col min="15103" max="15103" width="9.21875" style="36" customWidth="1"/>
    <col min="15104" max="15104" width="11.33203125" style="36" customWidth="1"/>
    <col min="15105" max="15105" width="10.5546875" style="36" customWidth="1"/>
    <col min="15106" max="15106" width="11.33203125" style="36" customWidth="1"/>
    <col min="15107" max="15107" width="9.21875" style="36" customWidth="1"/>
    <col min="15108" max="15108" width="11.33203125" style="36" customWidth="1"/>
    <col min="15109" max="15109" width="9.21875" style="36" customWidth="1"/>
    <col min="15110" max="15110" width="11.33203125" style="36" customWidth="1"/>
    <col min="15111" max="15113" width="10.21875" style="36" customWidth="1"/>
    <col min="15114" max="15358" width="8.88671875" style="36"/>
    <col min="15359" max="15359" width="9.21875" style="36" customWidth="1"/>
    <col min="15360" max="15360" width="11.33203125" style="36" customWidth="1"/>
    <col min="15361" max="15361" width="10.5546875" style="36" customWidth="1"/>
    <col min="15362" max="15362" width="11.33203125" style="36" customWidth="1"/>
    <col min="15363" max="15363" width="9.21875" style="36" customWidth="1"/>
    <col min="15364" max="15364" width="11.33203125" style="36" customWidth="1"/>
    <col min="15365" max="15365" width="9.21875" style="36" customWidth="1"/>
    <col min="15366" max="15366" width="11.33203125" style="36" customWidth="1"/>
    <col min="15367" max="15369" width="10.21875" style="36" customWidth="1"/>
    <col min="15370" max="15614" width="8.88671875" style="36"/>
    <col min="15615" max="15615" width="9.21875" style="36" customWidth="1"/>
    <col min="15616" max="15616" width="11.33203125" style="36" customWidth="1"/>
    <col min="15617" max="15617" width="10.5546875" style="36" customWidth="1"/>
    <col min="15618" max="15618" width="11.33203125" style="36" customWidth="1"/>
    <col min="15619" max="15619" width="9.21875" style="36" customWidth="1"/>
    <col min="15620" max="15620" width="11.33203125" style="36" customWidth="1"/>
    <col min="15621" max="15621" width="9.21875" style="36" customWidth="1"/>
    <col min="15622" max="15622" width="11.33203125" style="36" customWidth="1"/>
    <col min="15623" max="15625" width="10.21875" style="36" customWidth="1"/>
    <col min="15626" max="15870" width="8.88671875" style="36"/>
    <col min="15871" max="15871" width="9.21875" style="36" customWidth="1"/>
    <col min="15872" max="15872" width="11.33203125" style="36" customWidth="1"/>
    <col min="15873" max="15873" width="10.5546875" style="36" customWidth="1"/>
    <col min="15874" max="15874" width="11.33203125" style="36" customWidth="1"/>
    <col min="15875" max="15875" width="9.21875" style="36" customWidth="1"/>
    <col min="15876" max="15876" width="11.33203125" style="36" customWidth="1"/>
    <col min="15877" max="15877" width="9.21875" style="36" customWidth="1"/>
    <col min="15878" max="15878" width="11.33203125" style="36" customWidth="1"/>
    <col min="15879" max="15881" width="10.21875" style="36" customWidth="1"/>
    <col min="15882" max="16126" width="8.88671875" style="36"/>
    <col min="16127" max="16127" width="9.21875" style="36" customWidth="1"/>
    <col min="16128" max="16128" width="11.33203125" style="36" customWidth="1"/>
    <col min="16129" max="16129" width="10.5546875" style="36" customWidth="1"/>
    <col min="16130" max="16130" width="11.33203125" style="36" customWidth="1"/>
    <col min="16131" max="16131" width="9.21875" style="36" customWidth="1"/>
    <col min="16132" max="16132" width="11.33203125" style="36" customWidth="1"/>
    <col min="16133" max="16133" width="9.21875" style="36" customWidth="1"/>
    <col min="16134" max="16134" width="11.33203125" style="36" customWidth="1"/>
    <col min="16135" max="16137" width="10.21875" style="36" customWidth="1"/>
    <col min="16138" max="16384" width="8.88671875" style="36"/>
  </cols>
  <sheetData>
    <row r="1" spans="1:14" s="34" customFormat="1" ht="66.75" customHeight="1">
      <c r="A1" s="27" t="s">
        <v>13</v>
      </c>
      <c r="B1" s="28"/>
      <c r="C1" s="29" t="s">
        <v>14</v>
      </c>
      <c r="D1" s="28"/>
      <c r="E1" s="29" t="s">
        <v>15</v>
      </c>
      <c r="F1" s="28"/>
      <c r="G1" s="29" t="s">
        <v>16</v>
      </c>
      <c r="H1" s="30"/>
      <c r="I1" s="31" t="s">
        <v>80</v>
      </c>
      <c r="J1" s="31"/>
      <c r="K1" s="32"/>
      <c r="L1" s="33"/>
      <c r="M1" s="33"/>
      <c r="N1" s="33"/>
    </row>
    <row r="2" spans="1:14" ht="15" customHeight="1">
      <c r="A2" s="35"/>
      <c r="K2" s="37"/>
    </row>
    <row r="3" spans="1:14" ht="31.5" customHeight="1">
      <c r="A3" s="38" t="s">
        <v>84</v>
      </c>
      <c r="E3" s="39"/>
      <c r="F3" s="39"/>
      <c r="G3" s="39"/>
      <c r="H3" s="39"/>
      <c r="I3" s="39"/>
      <c r="J3" s="39"/>
      <c r="K3" s="40"/>
    </row>
    <row r="4" spans="1:14" ht="15.75" customHeight="1">
      <c r="A4" s="41"/>
      <c r="B4" s="42"/>
      <c r="C4" s="42"/>
      <c r="D4" s="43"/>
      <c r="E4" s="202"/>
      <c r="F4" s="202"/>
      <c r="G4" s="202"/>
      <c r="H4" s="202"/>
      <c r="I4" s="202"/>
      <c r="J4" s="202"/>
      <c r="K4" s="203"/>
    </row>
    <row r="5" spans="1:14" ht="15.75" customHeight="1">
      <c r="A5" s="41"/>
      <c r="B5" s="42"/>
      <c r="C5" s="42"/>
      <c r="D5" s="43"/>
      <c r="E5" s="202"/>
      <c r="F5" s="202"/>
      <c r="G5" s="202"/>
      <c r="H5" s="202"/>
      <c r="I5" s="202"/>
      <c r="J5" s="202"/>
      <c r="K5" s="203"/>
    </row>
    <row r="6" spans="1:14" ht="42.75" customHeight="1">
      <c r="A6" s="204" t="s">
        <v>73</v>
      </c>
      <c r="B6" s="205"/>
      <c r="C6" s="205"/>
      <c r="D6" s="205"/>
      <c r="E6" s="205"/>
      <c r="F6" s="205"/>
      <c r="G6" s="205"/>
      <c r="H6" s="205"/>
      <c r="I6" s="205"/>
      <c r="J6" s="205"/>
      <c r="K6" s="206"/>
    </row>
    <row r="7" spans="1:14" ht="24.75" customHeight="1">
      <c r="A7" s="41"/>
      <c r="B7" s="42"/>
      <c r="C7" s="44"/>
      <c r="D7" s="44"/>
      <c r="E7" s="42"/>
      <c r="F7" s="42"/>
      <c r="G7" s="207"/>
      <c r="H7" s="207"/>
      <c r="I7" s="43"/>
      <c r="J7" s="43"/>
      <c r="K7" s="45"/>
    </row>
    <row r="8" spans="1:14" ht="24.75" customHeight="1">
      <c r="A8" s="41"/>
      <c r="B8" s="42"/>
      <c r="C8" s="46" t="s">
        <v>11</v>
      </c>
      <c r="D8" s="199" t="s">
        <v>17</v>
      </c>
      <c r="E8" s="199"/>
      <c r="F8" s="199"/>
      <c r="G8" s="199"/>
      <c r="H8" s="199"/>
      <c r="I8" s="199"/>
      <c r="J8" s="199"/>
      <c r="K8" s="45"/>
    </row>
    <row r="9" spans="1:14" ht="24.75" customHeight="1">
      <c r="A9" s="41"/>
      <c r="B9" s="42"/>
      <c r="C9" s="42"/>
      <c r="D9" s="199"/>
      <c r="E9" s="199"/>
      <c r="F9" s="199"/>
      <c r="G9" s="199"/>
      <c r="H9" s="199"/>
      <c r="I9" s="199"/>
      <c r="J9" s="199"/>
      <c r="K9" s="40"/>
    </row>
    <row r="10" spans="1:14" ht="24.75" customHeight="1">
      <c r="A10" s="41"/>
      <c r="B10" s="42"/>
      <c r="C10" s="42"/>
      <c r="D10" s="199" t="s">
        <v>18</v>
      </c>
      <c r="E10" s="199"/>
      <c r="F10" s="199"/>
      <c r="G10" s="199"/>
      <c r="H10" s="199"/>
      <c r="I10" s="199"/>
      <c r="J10" s="199"/>
      <c r="K10" s="40"/>
    </row>
    <row r="11" spans="1:14" ht="24.75" customHeight="1">
      <c r="A11" s="41"/>
      <c r="B11" s="42"/>
      <c r="C11" s="42"/>
      <c r="D11" s="199" t="s">
        <v>19</v>
      </c>
      <c r="E11" s="199"/>
      <c r="F11" s="199"/>
      <c r="G11" s="199"/>
      <c r="H11" s="199"/>
      <c r="I11" s="199"/>
      <c r="J11" s="199"/>
      <c r="K11" s="40"/>
    </row>
    <row r="12" spans="1:14" ht="24.75" customHeight="1">
      <c r="A12" s="41"/>
      <c r="B12" s="42"/>
      <c r="C12" s="42"/>
      <c r="D12" s="42"/>
      <c r="E12" s="42"/>
      <c r="F12" s="42"/>
      <c r="G12" s="67"/>
      <c r="H12" s="42"/>
      <c r="I12" s="42"/>
      <c r="J12" s="42"/>
      <c r="K12" s="40"/>
    </row>
    <row r="13" spans="1:14" ht="30.75" customHeight="1">
      <c r="A13" s="41"/>
      <c r="B13" s="50"/>
      <c r="C13" s="200" t="s">
        <v>12</v>
      </c>
      <c r="D13" s="200"/>
      <c r="E13" s="55" t="str">
        <f>"금"&amp;NUMBERSTRING(H13,1)&amp;"원"</f>
        <v>금일천사백일십만원</v>
      </c>
      <c r="F13" s="51"/>
      <c r="G13" s="52"/>
      <c r="H13" s="201">
        <f>총괄표!H11</f>
        <v>14100000</v>
      </c>
      <c r="I13" s="201"/>
      <c r="J13" s="53"/>
      <c r="K13" s="54"/>
    </row>
    <row r="14" spans="1:14" ht="30.75" customHeight="1">
      <c r="A14" s="41"/>
      <c r="C14" s="68"/>
      <c r="D14" s="68"/>
      <c r="E14" s="55"/>
      <c r="F14" s="56"/>
      <c r="G14" s="52"/>
      <c r="H14" s="69"/>
      <c r="I14" s="57"/>
      <c r="J14" s="57"/>
      <c r="K14" s="58"/>
    </row>
    <row r="15" spans="1:14" ht="24" customHeight="1">
      <c r="A15" s="59"/>
      <c r="B15" s="60"/>
      <c r="C15" s="61"/>
      <c r="D15" s="62"/>
      <c r="E15" s="63"/>
      <c r="F15" s="64"/>
      <c r="G15" s="61"/>
      <c r="H15" s="61"/>
      <c r="I15" s="61"/>
      <c r="J15" s="61"/>
      <c r="K15" s="65"/>
      <c r="L15" s="66"/>
    </row>
    <row r="16" spans="1:14">
      <c r="C16" s="47"/>
      <c r="D16" s="47"/>
      <c r="E16" s="48"/>
      <c r="F16" s="48"/>
      <c r="G16" s="47"/>
      <c r="H16" s="47"/>
      <c r="I16" s="47"/>
      <c r="J16" s="47"/>
      <c r="K16" s="48"/>
      <c r="L16" s="49"/>
    </row>
  </sheetData>
  <mergeCells count="10">
    <mergeCell ref="D9:J9"/>
    <mergeCell ref="C13:D13"/>
    <mergeCell ref="H13:I13"/>
    <mergeCell ref="E4:K4"/>
    <mergeCell ref="E5:K5"/>
    <mergeCell ref="A6:K6"/>
    <mergeCell ref="G7:H7"/>
    <mergeCell ref="D8:J8"/>
    <mergeCell ref="D10:J10"/>
    <mergeCell ref="D11:J11"/>
  </mergeCells>
  <phoneticPr fontId="4" type="noConversion"/>
  <pageMargins left="0.87" right="0.5" top="0.85" bottom="0.53" header="0.5" footer="0.5"/>
  <pageSetup paperSize="9" scale="93" orientation="landscape" horizontalDpi="4294967295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0"/>
  </sheetPr>
  <dimension ref="A1:K14"/>
  <sheetViews>
    <sheetView tabSelected="1" view="pageBreakPreview" zoomScale="70" zoomScaleNormal="75" zoomScaleSheetLayoutView="70" workbookViewId="0">
      <selection activeCell="I11" sqref="I11"/>
    </sheetView>
  </sheetViews>
  <sheetFormatPr defaultRowHeight="30" customHeight="1"/>
  <cols>
    <col min="1" max="1" width="4.77734375" style="22" customWidth="1"/>
    <col min="2" max="2" width="19.77734375" style="22" customWidth="1"/>
    <col min="3" max="3" width="21.77734375" style="22" customWidth="1"/>
    <col min="4" max="4" width="6.77734375" style="22" customWidth="1"/>
    <col min="5" max="8" width="18.77734375" style="22" customWidth="1"/>
    <col min="9" max="9" width="16.77734375" style="22" customWidth="1"/>
    <col min="10" max="10" width="1.77734375" style="22" customWidth="1"/>
    <col min="11" max="11" width="8.88671875" style="18"/>
    <col min="12" max="16384" width="8.88671875" style="22"/>
  </cols>
  <sheetData>
    <row r="1" spans="1:11" s="17" customFormat="1" ht="39.950000000000003" customHeight="1">
      <c r="A1" s="208" t="s">
        <v>26</v>
      </c>
      <c r="B1" s="209"/>
      <c r="C1" s="209"/>
      <c r="D1" s="209"/>
      <c r="E1" s="209"/>
      <c r="F1" s="209"/>
      <c r="G1" s="209"/>
      <c r="H1" s="209"/>
      <c r="I1" s="210"/>
      <c r="K1" s="18"/>
    </row>
    <row r="2" spans="1:11" s="19" customFormat="1" ht="39.75" customHeight="1">
      <c r="A2" s="217" t="s">
        <v>1</v>
      </c>
      <c r="B2" s="217"/>
      <c r="C2" s="148" t="s">
        <v>0</v>
      </c>
      <c r="D2" s="149" t="s">
        <v>21</v>
      </c>
      <c r="E2" s="149" t="s">
        <v>77</v>
      </c>
      <c r="F2" s="150" t="s">
        <v>22</v>
      </c>
      <c r="G2" s="150" t="s">
        <v>23</v>
      </c>
      <c r="H2" s="151" t="s">
        <v>24</v>
      </c>
      <c r="I2" s="150" t="s">
        <v>25</v>
      </c>
      <c r="K2" s="20"/>
    </row>
    <row r="3" spans="1:11" s="25" customFormat="1" ht="39.950000000000003" customHeight="1">
      <c r="A3" s="218" t="s">
        <v>4</v>
      </c>
      <c r="B3" s="219"/>
      <c r="C3" s="132"/>
      <c r="D3" s="133"/>
      <c r="E3" s="134"/>
      <c r="F3" s="135"/>
      <c r="G3" s="136"/>
      <c r="H3" s="122">
        <f>SUM(H4:H5)</f>
        <v>4059000</v>
      </c>
      <c r="I3" s="137"/>
      <c r="K3" s="26"/>
    </row>
    <row r="4" spans="1:11" ht="39.950000000000003" customHeight="1">
      <c r="A4" s="2">
        <v>1</v>
      </c>
      <c r="B4" s="1" t="s">
        <v>6</v>
      </c>
      <c r="C4" s="4" t="str">
        <f>" 기준단가의 "&amp;TEXT(D4,"0.0%")&amp;"적용"</f>
        <v xml:space="preserve"> 기준단가의 8.0%적용</v>
      </c>
      <c r="D4" s="118">
        <v>0.08</v>
      </c>
      <c r="E4" s="3">
        <v>26752500</v>
      </c>
      <c r="F4" s="71">
        <v>0</v>
      </c>
      <c r="G4" s="72">
        <f>E4*D4/12*12</f>
        <v>2140200</v>
      </c>
      <c r="H4" s="73">
        <f>SUM(F4:G4)</f>
        <v>2140200</v>
      </c>
      <c r="I4" s="74" t="s">
        <v>8</v>
      </c>
    </row>
    <row r="5" spans="1:11" ht="39.950000000000003" customHeight="1">
      <c r="A5" s="114">
        <v>2</v>
      </c>
      <c r="B5" s="115" t="s">
        <v>7</v>
      </c>
      <c r="C5" s="116" t="str">
        <f>" 기준단가의 "&amp;TEXT(D5,"0.0%")&amp;"적용"</f>
        <v xml:space="preserve"> 기준단가의 8.0%적용</v>
      </c>
      <c r="D5" s="125">
        <v>0.08</v>
      </c>
      <c r="E5" s="117">
        <v>23985000</v>
      </c>
      <c r="F5" s="126">
        <v>0</v>
      </c>
      <c r="G5" s="127">
        <f>E5*D5/12*12</f>
        <v>1918800</v>
      </c>
      <c r="H5" s="77">
        <f>SUM(F5:G5)</f>
        <v>1918800</v>
      </c>
      <c r="I5" s="79" t="s">
        <v>8</v>
      </c>
    </row>
    <row r="6" spans="1:11" s="16" customFormat="1" ht="39.950000000000003" customHeight="1">
      <c r="A6" s="218" t="s">
        <v>5</v>
      </c>
      <c r="B6" s="219"/>
      <c r="C6" s="128"/>
      <c r="D6" s="120"/>
      <c r="E6" s="129"/>
      <c r="F6" s="122"/>
      <c r="G6" s="130"/>
      <c r="H6" s="122">
        <f>SUM(H7:H8)</f>
        <v>10184400</v>
      </c>
      <c r="I6" s="131"/>
      <c r="K6" s="21"/>
    </row>
    <row r="7" spans="1:11" ht="39.950000000000003" customHeight="1">
      <c r="A7" s="2">
        <v>1</v>
      </c>
      <c r="B7" s="1" t="s">
        <v>2</v>
      </c>
      <c r="C7" s="4" t="str">
        <f>" 기준단가의 "&amp;TEXT(D7,"0%")&amp;"적용"</f>
        <v xml:space="preserve"> 기준단가의 16%적용</v>
      </c>
      <c r="D7" s="70">
        <v>0.16</v>
      </c>
      <c r="E7" s="3">
        <v>8302500</v>
      </c>
      <c r="F7" s="73">
        <f>E7*D7/12*12</f>
        <v>1328400</v>
      </c>
      <c r="G7" s="75">
        <v>0</v>
      </c>
      <c r="H7" s="73">
        <f>SUM(F7:G7)</f>
        <v>1328400</v>
      </c>
      <c r="I7" s="74"/>
    </row>
    <row r="8" spans="1:11" ht="39.950000000000003" customHeight="1">
      <c r="A8" s="114">
        <v>2</v>
      </c>
      <c r="B8" s="115" t="s">
        <v>3</v>
      </c>
      <c r="C8" s="116" t="str">
        <f>" 기준단가의 "&amp;TEXT(D8,"0%")&amp;"적용"</f>
        <v xml:space="preserve"> 기준단가의 16%적용</v>
      </c>
      <c r="D8" s="76">
        <v>0.16</v>
      </c>
      <c r="E8" s="117">
        <v>55350000</v>
      </c>
      <c r="F8" s="77">
        <f>E8*D8/12*12</f>
        <v>8856000</v>
      </c>
      <c r="G8" s="78">
        <v>0</v>
      </c>
      <c r="H8" s="77">
        <f>SUM(F8:G8)</f>
        <v>8856000</v>
      </c>
      <c r="I8" s="79"/>
    </row>
    <row r="9" spans="1:11" ht="39.950000000000003" customHeight="1">
      <c r="A9" s="211" t="s">
        <v>76</v>
      </c>
      <c r="B9" s="212"/>
      <c r="C9" s="119" t="s">
        <v>78</v>
      </c>
      <c r="D9" s="120"/>
      <c r="E9" s="121"/>
      <c r="F9" s="122"/>
      <c r="G9" s="123"/>
      <c r="H9" s="122">
        <f>H3+H6</f>
        <v>14243400</v>
      </c>
      <c r="I9" s="124"/>
    </row>
    <row r="10" spans="1:11" ht="39.950000000000003" customHeight="1">
      <c r="A10" s="213" t="s">
        <v>75</v>
      </c>
      <c r="B10" s="214"/>
      <c r="C10" s="144"/>
      <c r="D10" s="145"/>
      <c r="E10" s="146"/>
      <c r="F10" s="80"/>
      <c r="G10" s="147"/>
      <c r="H10" s="80">
        <f>INT(H9*0.1)</f>
        <v>1424340</v>
      </c>
      <c r="I10" s="81"/>
    </row>
    <row r="11" spans="1:11" ht="38.25" customHeight="1">
      <c r="A11" s="215" t="s">
        <v>74</v>
      </c>
      <c r="B11" s="216"/>
      <c r="C11" s="138"/>
      <c r="D11" s="139"/>
      <c r="E11" s="140"/>
      <c r="F11" s="141"/>
      <c r="G11" s="142"/>
      <c r="H11" s="143">
        <f>ROUNDDOWN((H10+H9)*0.9,-3)</f>
        <v>14100000</v>
      </c>
      <c r="I11" s="221" t="s">
        <v>85</v>
      </c>
    </row>
    <row r="14" spans="1:11" ht="30" customHeight="1">
      <c r="G14" s="18"/>
    </row>
  </sheetData>
  <mergeCells count="7">
    <mergeCell ref="A1:I1"/>
    <mergeCell ref="A9:B9"/>
    <mergeCell ref="A10:B10"/>
    <mergeCell ref="A11:B11"/>
    <mergeCell ref="A2:B2"/>
    <mergeCell ref="A6:B6"/>
    <mergeCell ref="A3:B3"/>
  </mergeCells>
  <phoneticPr fontId="4" type="noConversion"/>
  <printOptions horizontalCentered="1" verticalCentered="1"/>
  <pageMargins left="0.6692913385826772" right="0.6692913385826772" top="0.78740157480314965" bottom="0.78740157480314965" header="0.51181102362204722" footer="0.35433070866141736"/>
  <pageSetup paperSize="9" scale="74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K131"/>
  <sheetViews>
    <sheetView view="pageBreakPreview" zoomScaleNormal="85" zoomScaleSheetLayoutView="100" workbookViewId="0">
      <selection activeCell="A19" sqref="A19"/>
    </sheetView>
  </sheetViews>
  <sheetFormatPr defaultColWidth="17.6640625" defaultRowHeight="18.75" customHeight="1"/>
  <cols>
    <col min="1" max="16384" width="17.6640625" style="155"/>
  </cols>
  <sheetData>
    <row r="1" spans="1:11" ht="18.75" customHeight="1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</row>
    <row r="2" spans="1:11" ht="18.75" customHeight="1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</row>
    <row r="3" spans="1:11" ht="18.75" customHeight="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ht="18.75" customHeight="1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</row>
    <row r="5" spans="1:11" ht="18.75" customHeight="1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ht="18.75" customHeight="1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</row>
    <row r="7" spans="1:11" ht="18.75" customHeight="1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</row>
    <row r="8" spans="1:11" ht="18.75" customHeight="1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ht="18.75" customHeight="1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ht="18.75" customHeight="1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1" ht="18.75" customHeight="1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18.75" customHeight="1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</row>
    <row r="13" spans="1:11" ht="18.75" customHeight="1">
      <c r="A13" s="152"/>
      <c r="B13" s="152"/>
      <c r="C13" s="152"/>
      <c r="D13" s="152"/>
      <c r="E13" s="152"/>
      <c r="F13" s="152"/>
      <c r="G13" s="152"/>
      <c r="I13" s="152"/>
      <c r="J13" s="152"/>
      <c r="K13" s="152"/>
    </row>
    <row r="14" spans="1:11" ht="18.75" customHeight="1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ht="18.75" customHeight="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</row>
    <row r="16" spans="1:11" ht="18.75" customHeight="1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  <row r="17" spans="1:11" ht="18.75" customHeight="1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</row>
    <row r="18" spans="1:11" ht="18.75" customHeight="1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</row>
    <row r="19" spans="1:11" ht="18.75" customHeight="1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</row>
    <row r="20" spans="1:11" ht="18.75" customHeight="1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</row>
    <row r="21" spans="1:11" ht="18.75" customHeight="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</row>
    <row r="22" spans="1:11" ht="18.75" customHeight="1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</row>
    <row r="23" spans="1:11" ht="18.75" customHeight="1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</row>
    <row r="24" spans="1:11" ht="18.75" customHeight="1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</row>
    <row r="25" spans="1:11" ht="18.7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</row>
    <row r="26" spans="1:11" ht="18.7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</row>
    <row r="27" spans="1:11" ht="18.75" customHeight="1">
      <c r="A27" s="152"/>
      <c r="B27" s="152"/>
      <c r="C27" s="153"/>
      <c r="D27" s="153"/>
      <c r="E27" s="152"/>
      <c r="F27" s="152"/>
      <c r="G27" s="152"/>
      <c r="H27" s="152"/>
      <c r="I27" s="152"/>
      <c r="J27" s="152"/>
      <c r="K27" s="152"/>
    </row>
    <row r="28" spans="1:11" ht="18.75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</row>
    <row r="29" spans="1:11" ht="18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</row>
    <row r="30" spans="1:11" ht="18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</row>
    <row r="31" spans="1:11" ht="18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</row>
    <row r="32" spans="1:11" ht="18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</row>
    <row r="33" spans="1:11" ht="18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</row>
    <row r="34" spans="1:11" ht="18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</row>
    <row r="35" spans="1:11" ht="18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</row>
    <row r="36" spans="1:11" ht="18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</row>
    <row r="37" spans="1:11" ht="18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</row>
    <row r="38" spans="1:11" ht="18.7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</row>
    <row r="39" spans="1:11" ht="18.7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</row>
    <row r="40" spans="1:11" ht="18.7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</row>
    <row r="41" spans="1:11" ht="18.7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</row>
    <row r="42" spans="1:11" ht="18.7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spans="1:11" ht="18.7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</row>
    <row r="44" spans="1:11" ht="18.7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</row>
    <row r="45" spans="1:11" ht="18.7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</row>
    <row r="46" spans="1:11" ht="18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</row>
    <row r="47" spans="1:11" ht="18.7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</row>
    <row r="48" spans="1:11" ht="18.7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</row>
    <row r="49" spans="1:11" ht="18.7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</row>
    <row r="50" spans="1:11" ht="18.7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8.7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</row>
    <row r="52" spans="1:11" ht="18.7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</row>
    <row r="53" spans="1:11" ht="18.7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</row>
    <row r="54" spans="1:11" ht="18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</row>
    <row r="55" spans="1:11" ht="18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</row>
    <row r="56" spans="1:11" ht="18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</row>
    <row r="57" spans="1:11" ht="18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</row>
    <row r="58" spans="1:11" ht="18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</row>
    <row r="59" spans="1:11" ht="18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11" ht="18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</row>
    <row r="61" spans="1:11" s="156" customFormat="1" ht="27.75" customHeight="1">
      <c r="H61" s="154"/>
      <c r="I61" s="154"/>
      <c r="J61" s="154"/>
      <c r="K61" s="154"/>
    </row>
    <row r="62" spans="1:11" s="156" customFormat="1" ht="27.75" customHeight="1">
      <c r="A62" s="220" t="s">
        <v>81</v>
      </c>
      <c r="B62" s="220"/>
      <c r="C62" s="220"/>
      <c r="D62" s="220"/>
      <c r="E62" s="220"/>
      <c r="F62" s="220"/>
      <c r="G62" s="220"/>
      <c r="H62" s="220"/>
    </row>
    <row r="63" spans="1:11" ht="32.25" customHeight="1"/>
    <row r="64" spans="1:11" ht="32.25" customHeight="1"/>
    <row r="65" spans="1:8" ht="32.25" customHeight="1">
      <c r="A65" s="220"/>
      <c r="B65" s="220"/>
      <c r="C65" s="220"/>
      <c r="D65" s="220"/>
      <c r="E65" s="220"/>
      <c r="F65" s="220"/>
      <c r="G65" s="220"/>
      <c r="H65" s="220"/>
    </row>
    <row r="66" spans="1:8" ht="32.25" customHeight="1"/>
    <row r="67" spans="1:8" ht="32.25" customHeight="1"/>
    <row r="68" spans="1:8" ht="32.25" customHeight="1"/>
    <row r="69" spans="1:8" ht="32.25" customHeight="1"/>
    <row r="70" spans="1:8" ht="32.25" customHeight="1"/>
    <row r="71" spans="1:8" ht="32.25" customHeight="1"/>
    <row r="72" spans="1:8" ht="32.25" customHeight="1"/>
    <row r="73" spans="1:8" ht="32.25" customHeight="1"/>
    <row r="125" spans="3:4" ht="18.75" customHeight="1">
      <c r="C125" s="157"/>
      <c r="D125" s="157"/>
    </row>
    <row r="131" spans="3:4" ht="18.75" customHeight="1">
      <c r="C131" s="157"/>
      <c r="D131" s="157"/>
    </row>
  </sheetData>
  <mergeCells count="2">
    <mergeCell ref="A62:H62"/>
    <mergeCell ref="A65:H65"/>
  </mergeCells>
  <phoneticPr fontId="4" type="noConversion"/>
  <pageMargins left="0.7" right="0.7" top="0.75" bottom="0.75" header="0.3" footer="0.3"/>
  <pageSetup paperSize="9" scale="80" fitToHeight="0" orientation="landscape" r:id="rId1"/>
  <rowBreaks count="1" manualBreakCount="1">
    <brk id="32" max="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45" zoomScaleNormal="100" zoomScaleSheetLayoutView="145" workbookViewId="0">
      <selection activeCell="S33" sqref="S33"/>
    </sheetView>
  </sheetViews>
  <sheetFormatPr defaultRowHeight="13.5"/>
  <sheetData>
    <row r="1" spans="1:1">
      <c r="A1" s="158" t="s">
        <v>79</v>
      </c>
    </row>
  </sheetData>
  <phoneticPr fontId="4" type="noConversion"/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2</vt:i4>
      </vt:variant>
    </vt:vector>
  </HeadingPairs>
  <TitlesOfParts>
    <vt:vector size="9" baseType="lpstr">
      <vt:lpstr>표지 (2)</vt:lpstr>
      <vt:lpstr>설계설명</vt:lpstr>
      <vt:lpstr>표지</vt:lpstr>
      <vt:lpstr>설계갑지</vt:lpstr>
      <vt:lpstr>총괄표</vt:lpstr>
      <vt:lpstr>유지보수등급측정표(전산장비)</vt:lpstr>
      <vt:lpstr>참고.운영장비도입내역</vt:lpstr>
      <vt:lpstr>설계갑지!Print_Area</vt:lpstr>
      <vt:lpstr>'유지보수등급측정표(전산장비)'!Print_Area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jyhun</dc:creator>
  <cp:lastModifiedBy>hanjun</cp:lastModifiedBy>
  <cp:lastPrinted>2024-01-14T06:29:44Z</cp:lastPrinted>
  <dcterms:created xsi:type="dcterms:W3CDTF">2001-08-23T04:46:54Z</dcterms:created>
  <dcterms:modified xsi:type="dcterms:W3CDTF">2026-01-12T01:37:00Z</dcterms:modified>
</cp:coreProperties>
</file>