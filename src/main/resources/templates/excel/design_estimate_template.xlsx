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5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38.xml"/>
  <Override ContentType="application/vnd.openxmlformats-officedocument.spreadsheetml.externalLink+xml" PartName="/xl/externalLinks/externalLink20.xml"/>
  <Override ContentType="application/vnd.openxmlformats-officedocument.spreadsheetml.externalLink+xml" PartName="/xl/externalLinks/externalLink33.xml"/>
  <Override ContentType="application/vnd.openxmlformats-officedocument.spreadsheetml.externalLink+xml" PartName="/xl/externalLinks/externalLink29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18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26.xml"/>
  <Override ContentType="application/vnd.openxmlformats-officedocument.spreadsheetml.externalLink+xml" PartName="/xl/externalLinks/externalLink35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21.xml"/>
  <Override ContentType="application/vnd.openxmlformats-officedocument.spreadsheetml.externalLink+xml" PartName="/xl/externalLinks/externalLink22.xml"/>
  <Override ContentType="application/vnd.openxmlformats-officedocument.spreadsheetml.externalLink+xml" PartName="/xl/externalLinks/externalLink34.xml"/>
  <Override ContentType="application/vnd.openxmlformats-officedocument.spreadsheetml.externalLink+xml" PartName="/xl/externalLinks/externalLink39.xml"/>
  <Override ContentType="application/vnd.openxmlformats-officedocument.spreadsheetml.externalLink+xml" PartName="/xl/externalLinks/externalLink30.xml"/>
  <Override ContentType="application/vnd.openxmlformats-officedocument.spreadsheetml.externalLink+xml" PartName="/xl/externalLinks/externalLink17.xml"/>
  <Override ContentType="application/vnd.openxmlformats-officedocument.spreadsheetml.externalLink+xml" PartName="/xl/externalLinks/externalLink31.xml"/>
  <Override ContentType="application/vnd.openxmlformats-officedocument.spreadsheetml.externalLink+xml" PartName="/xl/externalLinks/externalLink23.xml"/>
  <Override ContentType="application/vnd.openxmlformats-officedocument.spreadsheetml.externalLink+xml" PartName="/xl/externalLinks/externalLink3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27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32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24.xml"/>
  <Override ContentType="application/vnd.openxmlformats-officedocument.spreadsheetml.externalLink+xml" PartName="/xl/externalLinks/externalLink37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28.xml"/>
  <Override ContentType="application/vnd.openxmlformats-officedocument.spreadsheetml.externalLink+xml" PartName="/xl/externalLinks/externalLink19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4"/>
    <sheet state="visible" name="갑지" sheetId="2" r:id="rId5"/>
    <sheet state="visible" name="총괄표" sheetId="3" r:id="rId6"/>
    <sheet state="visible" name="유지보수등급측정표(전산장비)" sheetId="4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</externalReferences>
  <definedNames>
    <definedName name="__IntlFixup">TRUE</definedName>
    <definedName localSheetId="3" name="__KHM111">{#N/A,#N/A,FALSE,"제목"}</definedName>
    <definedName name="__KHM111">{#N/A,#N/A,FALSE,"제목"}</definedName>
    <definedName localSheetId="3" name="__KHM888">{#N/A,#N/A,FALSE,"제목"}</definedName>
    <definedName name="__KHM888">{#N/A,#N/A,FALSE,"제목"}</definedName>
    <definedName localSheetId="3" name="_1_0_S">'[1]6PILE  (돌출)'!#REF!</definedName>
    <definedName name="_1_0_S">'[1]6PILE  (돌출)'!#REF!</definedName>
    <definedName localSheetId="3" name="_10P4_">{#N/A,#N/A,FALSE,"혼합골재"}</definedName>
    <definedName name="_10P4_">{#N/A,#N/A,FALSE,"혼합골재"}</definedName>
    <definedName name="_12_0_0_F">'[2]#REF'!#REF!</definedName>
    <definedName localSheetId="3" name="_12P5_">{#N/A,#N/A,FALSE,"배수1"}</definedName>
    <definedName name="_12P5_">{#N/A,#N/A,FALSE,"배수1"}</definedName>
    <definedName localSheetId="3" name="_14P6_">{#N/A,#N/A,FALSE,"2~8번"}</definedName>
    <definedName name="_14P6_">{#N/A,#N/A,FALSE,"2~8번"}</definedName>
    <definedName localSheetId="3" name="_16S3_">{#N/A,#N/A,FALSE,"포장2"}</definedName>
    <definedName name="_16S3_">{#N/A,#N/A,FALSE,"포장2"}</definedName>
    <definedName localSheetId="3" name="_1S">'[3]6PILE  (돌출)'!#REF!</definedName>
    <definedName name="_1S">'[3]6PILE  (돌출)'!#REF!</definedName>
    <definedName localSheetId="3" name="_2_0_S">'[3]6PILE  (돌출)'!#REF!</definedName>
    <definedName name="_2_0_S">'[3]6PILE  (돌출)'!#REF!</definedName>
    <definedName name="_2F">'[4]본선 토공 분배표'!#REF!</definedName>
    <definedName name="_3S">'[3]6PILE  (돌출)'!#REF!</definedName>
    <definedName localSheetId="3" name="_55P3_">{#N/A,#N/A,FALSE,"배수1"}</definedName>
    <definedName name="_55P3_">{#N/A,#N/A,FALSE,"배수1"}</definedName>
    <definedName localSheetId="3" name="_56P4_">{#N/A,#N/A,FALSE,"혼합골재"}</definedName>
    <definedName name="_56P4_">{#N/A,#N/A,FALSE,"혼합골재"}</definedName>
    <definedName localSheetId="3" name="_57P5_">{#N/A,#N/A,FALSE,"배수1"}</definedName>
    <definedName name="_57P5_">{#N/A,#N/A,FALSE,"배수1"}</definedName>
    <definedName localSheetId="3" name="_58P6_">{#N/A,#N/A,FALSE,"2~8번"}</definedName>
    <definedName name="_58P6_">{#N/A,#N/A,FALSE,"2~8번"}</definedName>
    <definedName localSheetId="3" name="_59S3_">{#N/A,#N/A,FALSE,"포장2"}</definedName>
    <definedName name="_59S3_">{#N/A,#N/A,FALSE,"포장2"}</definedName>
    <definedName name="_8_0_S">'[3]6PILE  (돌출)'!#REF!</definedName>
    <definedName localSheetId="3" name="_8P3_">{#N/A,#N/A,FALSE,"배수1"}</definedName>
    <definedName name="_8P3_">{#N/A,#N/A,FALSE,"배수1"}</definedName>
    <definedName localSheetId="3" name="_Dist_Bin">[5]조명시설!#REF!</definedName>
    <definedName localSheetId="0" name="_Dist_Bin">[6]조명시설!#REF!</definedName>
    <definedName name="_Dist_Bin">[5]조명시설!#REF!</definedName>
    <definedName localSheetId="3" name="_Dist_Values">[5]조명시설!#REF!</definedName>
    <definedName localSheetId="0" name="_Dist_Values">[6]조명시설!#REF!</definedName>
    <definedName name="_Dist_Values">[5]조명시설!#REF!</definedName>
    <definedName localSheetId="3" name="_KHM111">{#N/A,#N/A,FALSE,"제목"}</definedName>
    <definedName name="_KHM111">{#N/A,#N/A,FALSE,"제목"}</definedName>
    <definedName localSheetId="3" name="_KHM888">{#N/A,#N/A,FALSE,"제목"}</definedName>
    <definedName name="_KHM888">{#N/A,#N/A,FALSE,"제목"}</definedName>
    <definedName name="_Order1">255</definedName>
    <definedName name="_Order2">255</definedName>
    <definedName name="_P3">{#N/A,#N/A,FALSE,"배수1"}</definedName>
    <definedName name="_P4">{#N/A,#N/A,FALSE,"혼합골재"}</definedName>
    <definedName name="_P5">{#N/A,#N/A,FALSE,"배수1"}</definedName>
    <definedName name="_P6">{#N/A,#N/A,FALSE,"2~8번"}</definedName>
    <definedName name="_Regression_Int">1</definedName>
    <definedName name="_S3">{#N/A,#N/A,FALSE,"포장2"}</definedName>
    <definedName localSheetId="3" name="_Table1_In1">[7]시행후면적!$O$59:$O$59</definedName>
    <definedName name="_Table1_In1">[7]시행후면적!$O$59:$O$59</definedName>
    <definedName localSheetId="3" name="_Table1_Out">[7]시행후면적!$O$6006:$O$6006</definedName>
    <definedName name="_Table1_Out">[7]시행후면적!$O$6006:$O$6006</definedName>
    <definedName localSheetId="3" name="aaaa_1">{#N/A,#N/A,FALSE,"조골재"}</definedName>
    <definedName name="aaaa_1">{#N/A,#N/A,FALSE,"조골재"}</definedName>
    <definedName localSheetId="3" name="aaaaa_1">{#N/A,#N/A,FALSE,"조골재"}</definedName>
    <definedName name="aaaaa_1">{#N/A,#N/A,FALSE,"조골재"}</definedName>
    <definedName name="aaaaaaaaaa">{#N/A,#N/A,FALSE,"운반시간"}</definedName>
    <definedName localSheetId="3" name="aaaaaaaaaa_1">{#N/A,#N/A,FALSE,"운반시간"}</definedName>
    <definedName name="aaaaaaaaaa_1">{#N/A,#N/A,FALSE,"운반시간"}</definedName>
    <definedName localSheetId="3" name="abd">{#N/A,#N/A,FALSE,"골재소요량";#N/A,#N/A,FALSE,"골재소요량"}</definedName>
    <definedName name="abd">{#N/A,#N/A,FALSE,"골재소요량";#N/A,#N/A,FALSE,"골재소요량"}</definedName>
    <definedName name="Access_Button">"업체현황_카드발송_List"</definedName>
    <definedName name="Access_Button1">"업체현황_카드발송_List"</definedName>
    <definedName name="Access_Button2">"업체현황_카드발송_List"</definedName>
    <definedName name="Access_Button3">"카드발송_카드발송_List1"</definedName>
    <definedName name="Access_Button4">"업체현황_카드발송_List"</definedName>
    <definedName localSheetId="3" name="AccessDatabase">"C:\My Documents\북부수도사업소\전원차단장치\전원차~1\전원차단장치 내역서 03월06일.mdb"</definedName>
    <definedName name="AccessDatabase">"C:\My Documents\북부수도사업소\전원차단장치\전원차~1\전원차단장치 내역서 03월06일.mdb"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localSheetId="3" name="adfdge">{#N/A,#N/A,FALSE,"2~8번"}</definedName>
    <definedName name="adfdge">{#N/A,#N/A,FALSE,"2~8번"}</definedName>
    <definedName name="AJHD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nscount">1</definedName>
    <definedName localSheetId="3" name="asdas">{#N/A,#N/A,FALSE,"조골재"}</definedName>
    <definedName name="asdas">{#N/A,#N/A,FALSE,"조골재"}</definedName>
    <definedName localSheetId="3" name="asdffhjhklllyt">{#N/A,#N/A,FALSE,"현장 NCR 분석";#N/A,#N/A,FALSE,"현장품질감사";#N/A,#N/A,FALSE,"현장품질감사"}</definedName>
    <definedName name="asdffhjhklllyt">{#N/A,#N/A,FALSE,"현장 NCR 분석";#N/A,#N/A,FALSE,"현장품질감사";#N/A,#N/A,FALSE,"현장품질감사"}</definedName>
    <definedName localSheetId="3" name="ASF">{#N/A,#N/A,FALSE,"2~8번"}</definedName>
    <definedName name="ASF">{#N/A,#N/A,FALSE,"2~8번"}</definedName>
    <definedName localSheetId="3" name="bnn">{#N/A,#N/A,FALSE,"조골재"}</definedName>
    <definedName name="bnn">{#N/A,#N/A,FALSE,"조골재"}</definedName>
    <definedName localSheetId="3" name="dddddd">{#N/A,#N/A,FALSE,"이정표"}</definedName>
    <definedName name="dddddd">{#N/A,#N/A,FALSE,"이정표"}</definedName>
    <definedName localSheetId="3" name="ddddsasfgh">{#N/A,#N/A,FALSE,"현장 NCR 분석";#N/A,#N/A,FALSE,"현장품질감사";#N/A,#N/A,FALSE,"현장품질감사"}</definedName>
    <definedName name="ddddsasfgh">{#N/A,#N/A,FALSE,"현장 NCR 분석";#N/A,#N/A,FALSE,"현장품질감사";#N/A,#N/A,FALSE,"현장품질감사"}</definedName>
    <definedName localSheetId="3" name="DDFR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DFASFD">{#N/A,#N/A,FALSE,"골재소요량";#N/A,#N/A,FALSE,"골재소요량"}</definedName>
    <definedName name="DFASFD">{#N/A,#N/A,FALSE,"골재소요량";#N/A,#N/A,FALSE,"골재소요량"}</definedName>
    <definedName localSheetId="3" name="DFDASFGDASG">{#N/A,#N/A,FALSE,"단가표지"}</definedName>
    <definedName name="DFDASFGDASG">{#N/A,#N/A,FALSE,"단가표지"}</definedName>
    <definedName localSheetId="3" name="DFDF">{#N/A,#N/A,FALSE,"조골재"}</definedName>
    <definedName name="DFDF">{#N/A,#N/A,FALSE,"조골재"}</definedName>
    <definedName localSheetId="3" name="DFDFDF">{#N/A,#N/A,FALSE,"단가표지"}</definedName>
    <definedName name="DFDFDF">{#N/A,#N/A,FALSE,"단가표지"}</definedName>
    <definedName localSheetId="3" name="DFDSADFADSF">{#N/A,#N/A,FALSE,"2~8번"}</definedName>
    <definedName name="DFDSADFADSF">{#N/A,#N/A,FALSE,"2~8번"}</definedName>
    <definedName localSheetId="3" name="DFDSAFDFD">{#N/A,#N/A,FALSE,"부대1"}</definedName>
    <definedName name="DFDSAFDFD">{#N/A,#N/A,FALSE,"부대1"}</definedName>
    <definedName localSheetId="3" name="DFDSAFSFG">{#N/A,#N/A,FALSE,"구조2"}</definedName>
    <definedName name="DFDSAFSFG">{#N/A,#N/A,FALSE,"구조2"}</definedName>
    <definedName localSheetId="3" name="DFDSAGFDSAG">{#N/A,#N/A,FALSE,"혼합골재"}</definedName>
    <definedName name="DFDSAGFDSAG">{#N/A,#N/A,FALSE,"혼합골재"}</definedName>
    <definedName localSheetId="3" name="DFDSFD">{#N/A,#N/A,FALSE,"속도"}</definedName>
    <definedName name="DFDSFD">{#N/A,#N/A,FALSE,"속도"}</definedName>
    <definedName localSheetId="3" name="DFDSFDFDFD">{#N/A,#N/A,FALSE,"구조1"}</definedName>
    <definedName name="DFDSFDFDFD">{#N/A,#N/A,FALSE,"구조1"}</definedName>
    <definedName localSheetId="3" name="DFDSFDS">{#N/A,#N/A,FALSE,"부대2"}</definedName>
    <definedName name="DFDSFDS">{#N/A,#N/A,FALSE,"부대2"}</definedName>
    <definedName localSheetId="3" name="DFDSSF">{#N/A,#N/A,FALSE,"이정표"}</definedName>
    <definedName name="DFDSSF">{#N/A,#N/A,FALSE,"이정표"}</definedName>
    <definedName localSheetId="3" name="DFGADSGAFDG">{#N/A,#N/A,FALSE,"운반시간"}</definedName>
    <definedName name="DFGADSGAFDG">{#N/A,#N/A,FALSE,"운반시간"}</definedName>
    <definedName localSheetId="3" name="DFSW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dgasg">{#N/A,#N/A,FALSE,"조골재"}</definedName>
    <definedName name="dgasg">{#N/A,#N/A,FALSE,"조골재"}</definedName>
    <definedName localSheetId="3" name="DGDFGFGDG">{#N/A,#N/A,FALSE,"배수1"}</definedName>
    <definedName name="DGDFGFGDG">{#N/A,#N/A,FALSE,"배수1"}</definedName>
    <definedName localSheetId="3" name="dgfgf">{#N/A,#N/A,FALSE,"2~8번"}</definedName>
    <definedName name="dgfgf">{#N/A,#N/A,FALSE,"2~8번"}</definedName>
    <definedName localSheetId="3" name="dldldldll">[8]조명시설!#REF!</definedName>
    <definedName localSheetId="0" name="dldldldll">[8]조명시설!#REF!</definedName>
    <definedName name="dldldldll">[8]조명시설!#REF!</definedName>
    <definedName name="dns">{#N/A,#N/A,FALSE,"운반시간"}</definedName>
    <definedName localSheetId="3" name="DRFE">{#N/A,#N/A,FALSE,"현장 NCR 분석";#N/A,#N/A,FALSE,"현장품질감사";#N/A,#N/A,FALSE,"현장품질감사"}</definedName>
    <definedName name="DRFE">{#N/A,#N/A,FALSE,"현장 NCR 분석";#N/A,#N/A,FALSE,"현장품질감사";#N/A,#N/A,FALSE,"현장품질감사"}</definedName>
    <definedName localSheetId="3" name="DSA">{#N/A,#N/A,FALSE,"제목"}</definedName>
    <definedName name="DSA">{#N/A,#N/A,FALSE,"제목"}</definedName>
    <definedName localSheetId="3" name="dsaf">{#N/A,#N/A,FALSE,"조골재"}</definedName>
    <definedName name="dsaf">{#N/A,#N/A,FALSE,"조골재"}</definedName>
    <definedName localSheetId="3" name="dsaf_1">{#N/A,#N/A,FALSE,"조골재"}</definedName>
    <definedName name="dsaf_1">{#N/A,#N/A,FALSE,"조골재"}</definedName>
    <definedName localSheetId="3" name="DSF">{#N/A,#N/A,FALSE,"골재소요량";#N/A,#N/A,FALSE,"골재소요량"}</definedName>
    <definedName name="DSF">{#N/A,#N/A,FALSE,"골재소요량";#N/A,#N/A,FALSE,"골재소요량"}</definedName>
    <definedName localSheetId="3" name="DSF_1">{#N/A,#N/A,FALSE,"골재소요량";#N/A,#N/A,FALSE,"골재소요량"}</definedName>
    <definedName name="DSF_1">{#N/A,#N/A,FALSE,"골재소요량";#N/A,#N/A,FALSE,"골재소요량"}</definedName>
    <definedName localSheetId="3" name="dtrhgnb">{#N/A,#N/A,FALSE,"2~8번"}</definedName>
    <definedName name="dtrhgnb">{#N/A,#N/A,FALSE,"2~8번"}</definedName>
    <definedName localSheetId="3" name="DW">{#N/A,#N/A,FALSE,"배수2"}</definedName>
    <definedName name="DW">{#N/A,#N/A,FALSE,"배수2"}</definedName>
    <definedName localSheetId="3" name="eee_1">{#N/A,#N/A,FALSE,"2~8번"}</definedName>
    <definedName name="eee_1">{#N/A,#N/A,FALSE,"2~8번"}</definedName>
    <definedName localSheetId="3" name="ENJA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ERYETY">'[9]N賃率-職'!$I$5:$I$30</definedName>
    <definedName name="ERYETY">'[9]N賃率-職'!$I$5:$I$30</definedName>
    <definedName localSheetId="3" name="ETGFVBNJ">{#N/A,#N/A,FALSE,"현장 NCR 분석";#N/A,#N/A,FALSE,"현장품질감사";#N/A,#N/A,FALSE,"현장품질감사"}</definedName>
    <definedName name="ETGFVBNJ">{#N/A,#N/A,FALSE,"현장 NCR 분석";#N/A,#N/A,FALSE,"현장품질감사";#N/A,#N/A,FALSE,"현장품질감사"}</definedName>
    <definedName localSheetId="3" name="FDG">{#N/A,#N/A,FALSE,"제목"}</definedName>
    <definedName name="FDG">{#N/A,#N/A,FALSE,"제목"}</definedName>
    <definedName localSheetId="3" name="FDGDFAGFD">{#N/A,#N/A,FALSE,"포장1";#N/A,#N/A,FALSE,"포장1"}</definedName>
    <definedName name="FDGDFAGFD">{#N/A,#N/A,FALSE,"포장1";#N/A,#N/A,FALSE,"포장1"}</definedName>
    <definedName localSheetId="3" name="fdgfdg">{#N/A,#N/A,FALSE,"2~8번"}</definedName>
    <definedName name="fdgfdg">{#N/A,#N/A,FALSE,"2~8번"}</definedName>
    <definedName localSheetId="3" name="fdgfgf">{#N/A,#N/A,FALSE,"운반시간"}</definedName>
    <definedName name="fdgfgf">{#N/A,#N/A,FALSE,"운반시간"}</definedName>
    <definedName localSheetId="3" name="FDS">{#N/A,#N/A,FALSE,"제목"}</definedName>
    <definedName name="FDS">{#N/A,#N/A,FALSE,"제목"}</definedName>
    <definedName localSheetId="3" name="ffffff">{#N/A,#N/A,FALSE,"조골재"}</definedName>
    <definedName name="ffffff">{#N/A,#N/A,FALSE,"조골재"}</definedName>
    <definedName localSheetId="3" name="ffffffffff">{#N/A,#N/A,FALSE,"현장 NCR 분석";#N/A,#N/A,FALSE,"현장품질감사";#N/A,#N/A,FALSE,"현장품질감사"}</definedName>
    <definedName name="ffffffffff">{#N/A,#N/A,FALSE,"현장 NCR 분석";#N/A,#N/A,FALSE,"현장품질감사";#N/A,#N/A,FALSE,"현장품질감사"}</definedName>
    <definedName localSheetId="3" name="FGDAG">{#N/A,#N/A,FALSE,"포장2"}</definedName>
    <definedName name="FGDAG">{#N/A,#N/A,FALSE,"포장2"}</definedName>
    <definedName localSheetId="3" name="FGDAGFG">{#N/A,#N/A,FALSE,"혼합골재"}</definedName>
    <definedName name="FGDAGFG">{#N/A,#N/A,FALSE,"혼합골재"}</definedName>
    <definedName localSheetId="3" name="fgfadgf">{#N/A,#N/A,FALSE,"혼합골재"}</definedName>
    <definedName name="fgfadgf">{#N/A,#N/A,FALSE,"혼합골재"}</definedName>
    <definedName localSheetId="3" name="FGFDG">{#N/A,#N/A,FALSE,"표지목차"}</definedName>
    <definedName name="FGFDG">{#N/A,#N/A,FALSE,"표지목차"}</definedName>
    <definedName localSheetId="3" name="fgfdgffff">{#N/A,#N/A,FALSE,"부대2"}</definedName>
    <definedName name="fgfdgffff">{#N/A,#N/A,FALSE,"부대2"}</definedName>
    <definedName localSheetId="3" name="fgfdsgdfg">{#N/A,#N/A,FALSE,"혼합골재"}</definedName>
    <definedName name="fgfdsgdfg">{#N/A,#N/A,FALSE,"혼합골재"}</definedName>
    <definedName localSheetId="3" name="fgfg">{#N/A,#N/A,FALSE,"2~8번"}</definedName>
    <definedName name="fgfg">{#N/A,#N/A,FALSE,"2~8번"}</definedName>
    <definedName localSheetId="3" name="fgfgfg">{#N/A,#N/A,FALSE,"골재소요량";#N/A,#N/A,FALSE,"골재소요량"}</definedName>
    <definedName name="fgfgfg">{#N/A,#N/A,FALSE,"골재소요량";#N/A,#N/A,FALSE,"골재소요량"}</definedName>
    <definedName localSheetId="3" name="fghfdagfd">{#N/A,#N/A,FALSE,"표지목차"}</definedName>
    <definedName name="fghfdagfd">{#N/A,#N/A,FALSE,"표지목차"}</definedName>
    <definedName localSheetId="3" name="fhddg">{#N/A,#N/A,FALSE,"부대1"}</definedName>
    <definedName name="fhddg">{#N/A,#N/A,FALSE,"부대1"}</definedName>
    <definedName localSheetId="3" name="FHFH">[10]수량산출!$A$1:$A$8561</definedName>
    <definedName name="FHFH">[10]수량산출!$A$1:$A$8561</definedName>
    <definedName localSheetId="3" name="FHFK">[10]수량산출!#REF!</definedName>
    <definedName name="FHFK">[10]수량산출!#REF!</definedName>
    <definedName localSheetId="3" name="fhgdretyjiklp">{#N/A,#N/A,FALSE,"현장 NCR 분석";#N/A,#N/A,FALSE,"현장품질감사";#N/A,#N/A,FALSE,"현장품질감사"}</definedName>
    <definedName name="fhgdretyjiklp">{#N/A,#N/A,FALSE,"현장 NCR 분석";#N/A,#N/A,FALSE,"현장품질감사";#N/A,#N/A,FALSE,"현장품질감사"}</definedName>
    <definedName localSheetId="3" name="FSD">{#N/A,#N/A,FALSE,"제목"}</definedName>
    <definedName name="FSD">{#N/A,#N/A,FALSE,"제목"}</definedName>
    <definedName localSheetId="3" name="FSDAF">{#N/A,#N/A,FALSE,"제목"}</definedName>
    <definedName name="FSDAF">{#N/A,#N/A,FALSE,"제목"}</definedName>
    <definedName name="FULL">[11]경비2내역!#REF!</definedName>
    <definedName name="fx">{#N/A,#N/A,FALSE,"조골재"}</definedName>
    <definedName localSheetId="3" name="GDG">{#N/A,#N/A,FALSE,"포장2"}</definedName>
    <definedName name="GDG">{#N/A,#N/A,FALSE,"포장2"}</definedName>
    <definedName localSheetId="3" name="GDGFD">{#N/A,#N/A,FALSE,"배수1"}</definedName>
    <definedName name="GDGFD">{#N/A,#N/A,FALSE,"배수1"}</definedName>
    <definedName localSheetId="3" name="GFDG">{#N/A,#N/A,FALSE,"2~8번"}</definedName>
    <definedName name="GFDG">{#N/A,#N/A,FALSE,"2~8번"}</definedName>
    <definedName localSheetId="3" name="GFDGDFGFG">{#N/A,#N/A,FALSE,"혼합골재"}</definedName>
    <definedName name="GFDGDFGFG">{#N/A,#N/A,FALSE,"혼합골재"}</definedName>
    <definedName localSheetId="3" name="gfdsajl">{#N/A,#N/A,FALSE,"현장 NCR 분석";#N/A,#N/A,FALSE,"현장품질감사";#N/A,#N/A,FALSE,"현장품질감사"}</definedName>
    <definedName name="gfdsajl">{#N/A,#N/A,FALSE,"현장 NCR 분석";#N/A,#N/A,FALSE,"현장품질감사";#N/A,#N/A,FALSE,"현장품질감사"}</definedName>
    <definedName localSheetId="3" name="gfgfg">{#N/A,#N/A,FALSE,"골재소요량";#N/A,#N/A,FALSE,"골재소요량"}</definedName>
    <definedName name="gfgfg">{#N/A,#N/A,FALSE,"골재소요량";#N/A,#N/A,FALSE,"골재소요량"}</definedName>
    <definedName localSheetId="3" name="GFGFHGFHF">{#N/A,#N/A,FALSE,"토공2"}</definedName>
    <definedName name="GFGFHGFHF">{#N/A,#N/A,FALSE,"토공2"}</definedName>
    <definedName localSheetId="3" name="gfhgh">{#N/A,#N/A,FALSE,"배수2"}</definedName>
    <definedName name="gfhgh">{#N/A,#N/A,FALSE,"배수2"}</definedName>
    <definedName localSheetId="3" name="gfjdjkyt">'[9]N賃率-職'!$I$5:$I$30</definedName>
    <definedName name="gfjdjkyt">'[9]N賃率-職'!$I$5:$I$30</definedName>
    <definedName localSheetId="3" name="ggfhgfshgh">{#N/A,#N/A,FALSE,"포장2"}</definedName>
    <definedName name="ggfhgfshgh">{#N/A,#N/A,FALSE,"포장2"}</definedName>
    <definedName localSheetId="3" name="ggggg">{#N/A,#N/A,FALSE,"구조1"}</definedName>
    <definedName name="ggggg">{#N/A,#N/A,FALSE,"구조1"}</definedName>
    <definedName localSheetId="3" name="ggggggggggggg">{#N/A,#N/A,FALSE,"현장 NCR 분석";#N/A,#N/A,FALSE,"현장품질감사";#N/A,#N/A,FALSE,"현장품질감사"}</definedName>
    <definedName name="ggggggggggggg">{#N/A,#N/A,FALSE,"현장 NCR 분석";#N/A,#N/A,FALSE,"현장품질감사";#N/A,#N/A,FALSE,"현장품질감사"}</definedName>
    <definedName localSheetId="3" name="gggggggggggggggggg">{#N/A,#N/A,FALSE,"현장 NCR 분석";#N/A,#N/A,FALSE,"현장품질감사";#N/A,#N/A,FALSE,"현장품질감사"}</definedName>
    <definedName name="gggggggggggggggggg">{#N/A,#N/A,FALSE,"현장 NCR 분석";#N/A,#N/A,FALSE,"현장품질감사";#N/A,#N/A,FALSE,"현장품질감사"}</definedName>
    <definedName localSheetId="3" name="GGGTR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h">{#N/A,#N/A,FALSE,"표지목차"}</definedName>
    <definedName localSheetId="3" name="GGTREW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ghdsg">'[12]N賃率-職'!$I$5:$I$30</definedName>
    <definedName name="ghdsg">'[12]N賃率-職'!$I$5:$I$30</definedName>
    <definedName localSheetId="3" name="ghgfh">{#N/A,#N/A,FALSE,"포장2"}</definedName>
    <definedName name="ghgfh">{#N/A,#N/A,FALSE,"포장2"}</definedName>
    <definedName localSheetId="3" name="GJH">{#N/A,#N/A,FALSE,"제목"}</definedName>
    <definedName name="GJH">{#N/A,#N/A,FALSE,"제목"}</definedName>
    <definedName localSheetId="3" name="GJHGLI">{#N/A,#N/A,FALSE,"포장1";#N/A,#N/A,FALSE,"포장1"}</definedName>
    <definedName name="GJHGLI">{#N/A,#N/A,FALSE,"포장1";#N/A,#N/A,FALSE,"포장1"}</definedName>
    <definedName localSheetId="3" name="hardwar">[13]Sheet3!#REF!</definedName>
    <definedName name="hardwar">[13]Sheet3!#REF!</definedName>
    <definedName localSheetId="3" name="hgd">{#N/A,#N/A,FALSE,"배수2"}</definedName>
    <definedName name="hgd">{#N/A,#N/A,FALSE,"배수2"}</definedName>
    <definedName localSheetId="3" name="HGGGH">{#N/A,#N/A,FALSE,"제목"}</definedName>
    <definedName name="HGGGH">{#N/A,#N/A,FALSE,"제목"}</definedName>
    <definedName localSheetId="3" name="hgkjgfd">'[14]N賃率-職'!$I$5:$I$30</definedName>
    <definedName name="hgkjgfd">'[14]N賃率-職'!$I$5:$I$30</definedName>
    <definedName localSheetId="3" name="hhhhhh">{#N/A,#N/A,FALSE,"골재소요량";#N/A,#N/A,FALSE,"골재소요량"}</definedName>
    <definedName name="hhj">{#N/A,#N/A,FALSE,"혼합골재"}</definedName>
    <definedName localSheetId="3" name="HHR">{#N/A,#N/A,FALSE,"포장2"}</definedName>
    <definedName name="HHR">{#N/A,#N/A,FALSE,"포장2"}</definedName>
    <definedName localSheetId="3" name="hkj">{#N/A,#N/A,FALSE,"혼합골재"}</definedName>
    <definedName name="hkj">{#N/A,#N/A,FALSE,"혼합골재"}</definedName>
    <definedName name="HTML_CodePage">949</definedName>
    <definedName localSheetId="3" name="HTML_Control">{"'공사부문'!$A$6:$A$32"}</definedName>
    <definedName localSheetId="0" name="HTML_Control">{"'공사부문'!$A$6:$A$32"}</definedName>
    <definedName name="HTML_Control">{"'공사부문'!$A$6:$A$32"}</definedName>
    <definedName name="HTML_Description">""</definedName>
    <definedName name="HTML_Email">""</definedName>
    <definedName localSheetId="3" name="HTML_Header">"공사부문"</definedName>
    <definedName name="HTML_Header">"공사부문"</definedName>
    <definedName localSheetId="3" name="HTML_LastUpdate">"98-04-27"</definedName>
    <definedName name="HTML_LastUpdate">"98-04-27"</definedName>
    <definedName name="HTML_LineAfter">FALSE</definedName>
    <definedName name="HTML_LineBefore">FALSE</definedName>
    <definedName localSheetId="3" name="HTML_Name">"김준곤"</definedName>
    <definedName name="HTML_Name">"김준곤"</definedName>
    <definedName name="HTML_OBDlg2">TRUE</definedName>
    <definedName name="HTML_OBDlg4">TRUE</definedName>
    <definedName name="HTML_OS">0</definedName>
    <definedName localSheetId="3" name="HTML_PathFile">"C:\WINNT\Profiles\Administrator\Personal\MyHTML.htm"</definedName>
    <definedName name="HTML_PathFile">"C:\WINNT\Profiles\Administrator\Personal\MyHTML.htm"</definedName>
    <definedName localSheetId="3" name="HTML_Title">"시중노임단가"</definedName>
    <definedName name="HTML_Title">"시중노임단가"</definedName>
    <definedName name="HTML1_1">"'[엑셀95-따라하기 문제.xls]인터넷 어시스턴트'!$A$1:$J$18"</definedName>
    <definedName name="HTML1_10">"Marihan@hitel.kol.co.kr"</definedName>
    <definedName name="HTML1_11">1</definedName>
    <definedName name="HTML1_12">"C:\김종완\원고\[작업중] 한빛-엑셀70\CD-ROM문제\따라하기 문제&amp;그림\MyHTML01.htm"</definedName>
    <definedName name="HTML1_2">1</definedName>
    <definedName name="HTML1_3">"엑셀 프로젝트"</definedName>
    <definedName name="HTML1_4">"인터넷 어시스턴트"</definedName>
    <definedName name="HTML1_5">"엑셀 워크시트를 HTML문서로 변환한다. 이 적업은 &lt;한빛 미디어&gt; 책에서만 가능하며, [어린왕자]만의 독특한 아이디어 이다."</definedName>
    <definedName name="HTML1_6">1</definedName>
    <definedName name="HTML1_7">1</definedName>
    <definedName name="HTML1_8">"97-10-09"</definedName>
    <definedName name="HTML1_9">"김종완/어린왕자"</definedName>
    <definedName name="HTMLCount">1</definedName>
    <definedName localSheetId="3" name="hytrewsd">{#N/A,#N/A,FALSE,"현장 NCR 분석";#N/A,#N/A,FALSE,"현장품질감사";#N/A,#N/A,FALSE,"현장품질감사"}</definedName>
    <definedName name="hytrewsd">{#N/A,#N/A,FALSE,"현장 NCR 분석";#N/A,#N/A,FALSE,"현장품질감사";#N/A,#N/A,FALSE,"현장품질감사"}</definedName>
    <definedName localSheetId="3" name="IIJELLSS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IOIOIOIO">{#N/A,#N/A,FALSE,"표지목차"}</definedName>
    <definedName name="IOIOIOIO">{#N/A,#N/A,FALSE,"표지목차"}</definedName>
    <definedName localSheetId="3" name="IOKJLMNY">{#N/A,#N/A,FALSE,"현장 NCR 분석";#N/A,#N/A,FALSE,"현장품질감사";#N/A,#N/A,FALSE,"현장품질감사"}</definedName>
    <definedName name="IOKJLMNY">{#N/A,#N/A,FALSE,"현장 NCR 분석";#N/A,#N/A,FALSE,"현장품질감사";#N/A,#N/A,FALSE,"현장품질감사"}</definedName>
    <definedName localSheetId="3" name="J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jhjg">{#N/A,#N/A,FALSE,"조골재"}</definedName>
    <definedName name="jhjg">{#N/A,#N/A,FALSE,"조골재"}</definedName>
    <definedName localSheetId="3" name="jhjh">{#N/A,#N/A,FALSE,"표지목차"}</definedName>
    <definedName name="jhjh">{#N/A,#N/A,FALSE,"표지목차"}</definedName>
    <definedName localSheetId="3" name="JJFORS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JJHSHHA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JJJJ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JJJJJJJ">{#N/A,#N/A,FALSE,"단면 제원"}</definedName>
    <definedName name="JJJJJJJ">{#N/A,#N/A,FALSE,"단면 제원"}</definedName>
    <definedName localSheetId="3" name="jjjjjjjjjjjjjjjjjjjjjjjjjjjjjjjjjjjjjjjjjjjjjjjjjj">{#N/A,#N/A,FALSE,"현장 NCR 분석";#N/A,#N/A,FALSE,"현장품질감사";#N/A,#N/A,FALSE,"현장품질감사"}</definedName>
    <definedName name="jjjjjjjjjjjjjjjjjjjjjjjjjjjjjjjjjjjjjjjjjjjjjjjjjj">{#N/A,#N/A,FALSE,"현장 NCR 분석";#N/A,#N/A,FALSE,"현장품질감사";#N/A,#N/A,FALSE,"현장품질감사"}</definedName>
    <definedName name="jjk">{#N/A,#N/A,FALSE,"조골재"}</definedName>
    <definedName localSheetId="3" name="JJSUW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JKJKJKJK">{#N/A,#N/A,FALSE,"포장1";#N/A,#N/A,FALSE,"포장1"}</definedName>
    <definedName name="JKJKJKJK">{#N/A,#N/A,FALSE,"포장1";#N/A,#N/A,FALSE,"포장1"}</definedName>
    <definedName localSheetId="3" name="JSHS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khl">{#N/A,#N/A,FALSE,"2~8번"}</definedName>
    <definedName name="khl">{#N/A,#N/A,FALSE,"2~8번"}</definedName>
    <definedName name="kj">{#N/A,#N/A,FALSE,"운반시간"}</definedName>
    <definedName localSheetId="3" name="KJURBGF">{#N/A,#N/A,FALSE,"현장 NCR 분석";#N/A,#N/A,FALSE,"현장품질감사";#N/A,#N/A,FALSE,"현장품질감사"}</definedName>
    <definedName name="KJURBGF">{#N/A,#N/A,FALSE,"현장 NCR 분석";#N/A,#N/A,FALSE,"현장품질감사";#N/A,#N/A,FALSE,"현장품질감사"}</definedName>
    <definedName localSheetId="3" name="KKA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KKDAW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KKDI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KKDUEKS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KKISJJD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KKKD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KKKDJJS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KKKEEP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KKKKKKKK">{#N/A,#N/A,FALSE,"현장 NCR 분석";#N/A,#N/A,FALSE,"현장품질감사";#N/A,#N/A,FALSE,"현장품질감사"}</definedName>
    <definedName name="KKKKKKKK">{#N/A,#N/A,FALSE,"현장 NCR 분석";#N/A,#N/A,FALSE,"현장품질감사";#N/A,#N/A,FALSE,"현장품질감사"}</definedName>
    <definedName localSheetId="3" name="KKKSJS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KKKSSL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KKSIIEJD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KKSJJWUJD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KKSJWEI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kljhgfdsrtu">{#N/A,#N/A,FALSE,"현장 NCR 분석";#N/A,#N/A,FALSE,"현장품질감사";#N/A,#N/A,FALSE,"현장품질감사"}</definedName>
    <definedName name="kljhgfdsrtu">{#N/A,#N/A,FALSE,"현장 NCR 분석";#N/A,#N/A,FALSE,"현장품질감사";#N/A,#N/A,FALSE,"현장품질감사"}</definedName>
    <definedName localSheetId="3" name="KLLKLKLK">{#N/A,#N/A,FALSE,"포장2"}</definedName>
    <definedName name="KLLKLKLK">{#N/A,#N/A,FALSE,"포장2"}</definedName>
    <definedName localSheetId="3" name="KTINFHSVRMWLOFJTUUGJLDJF">{#N/A,#N/A,FALSE,"현장 NCR 분석";#N/A,#N/A,FALSE,"현장품질감사";#N/A,#N/A,FALSE,"현장품질감사"}</definedName>
    <definedName name="KTINFHSVRMWLOFJTUUGJLDJF">{#N/A,#N/A,FALSE,"현장 NCR 분석";#N/A,#N/A,FALSE,"현장품질감사";#N/A,#N/A,FALSE,"현장품질감사"}</definedName>
    <definedName localSheetId="3" name="LAK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imcount">1</definedName>
    <definedName localSheetId="3" name="lkjhgf">{#N/A,#N/A,FALSE,"현장 NCR 분석";#N/A,#N/A,FALSE,"현장품질감사";#N/A,#N/A,FALSE,"현장품질감사"}</definedName>
    <definedName name="lkjhgf">{#N/A,#N/A,FALSE,"현장 NCR 분석";#N/A,#N/A,FALSE,"현장품질감사";#N/A,#N/A,FALSE,"현장품질감사"}</definedName>
    <definedName localSheetId="3" name="LLDIEKKS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LLKD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lllllllllllllllllllllllllllllllllllllllllllll">{#N/A,#N/A,FALSE,"현장 NCR 분석";#N/A,#N/A,FALSE,"현장품질감사";#N/A,#N/A,FALSE,"현장품질감사"}</definedName>
    <definedName name="lllllllllllllllllllllllllllllllllllllllllllll">{#N/A,#N/A,FALSE,"현장 NCR 분석";#N/A,#N/A,FALSE,"현장품질감사";#N/A,#N/A,FALSE,"현장품질감사"}</definedName>
    <definedName localSheetId="3" name="LLLS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LL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LLSIEKDKD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LLSKEI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n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nego검토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0" name="nego검토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OPOP">[15]수량산출!#REF!</definedName>
    <definedName localSheetId="0" name="OPOP">[15]수량산출!#REF!</definedName>
    <definedName name="OPOP">[15]수량산출!#REF!</definedName>
    <definedName localSheetId="3" name="OPPP">[16]수량산출!$A$3:$H$8539</definedName>
    <definedName name="OPPP">[16]수량산출!$A$3:$H$8539</definedName>
    <definedName localSheetId="3" name="poopiiuuuuyyttthgf">{#N/A,#N/A,FALSE,"현장 NCR 분석";#N/A,#N/A,FALSE,"현장품질감사";#N/A,#N/A,FALSE,"현장품질감사"}</definedName>
    <definedName name="poopiiuuuuyyttthgf">{#N/A,#N/A,FALSE,"현장 NCR 분석";#N/A,#N/A,FALSE,"현장품질감사";#N/A,#N/A,FALSE,"현장품질감사"}</definedName>
    <definedName localSheetId="3" name="Q3WEE">{#N/A,#N/A,FALSE,"조골재"}</definedName>
    <definedName name="Q3WEE">{#N/A,#N/A,FALSE,"조골재"}</definedName>
    <definedName localSheetId="3" name="Q3WEE_1">{#N/A,#N/A,FALSE,"조골재"}</definedName>
    <definedName name="Q3WEE_1">{#N/A,#N/A,FALSE,"조골재"}</definedName>
    <definedName localSheetId="3" name="qqqqqq">{#N/A,#N/A,FALSE,"현장 NCR 분석";#N/A,#N/A,FALSE,"현장품질감사";#N/A,#N/A,FALSE,"현장품질감사"}</definedName>
    <definedName name="qqqqqq">{#N/A,#N/A,FALSE,"현장 NCR 분석";#N/A,#N/A,FALSE,"현장품질감사";#N/A,#N/A,FALSE,"현장품질감사"}</definedName>
    <definedName localSheetId="3" name="QW">{#N/A,#N/A,FALSE,"배수2"}</definedName>
    <definedName localSheetId="0" name="QW">{#N/A,#N/A,FALSE,"배수2"}</definedName>
    <definedName name="QW">{#N/A,#N/A,FALSE,"배수2"}</definedName>
    <definedName localSheetId="3" name="QWQ">{#N/A,#N/A,FALSE,"배수2"}</definedName>
    <definedName name="QWQ">{#N/A,#N/A,FALSE,"배수2"}</definedName>
    <definedName localSheetId="3" name="RFGBVCDW">{#N/A,#N/A,FALSE,"현장 NCR 분석";#N/A,#N/A,FALSE,"현장품질감사";#N/A,#N/A,FALSE,"현장품질감사"}</definedName>
    <definedName name="RFGBVCDW">{#N/A,#N/A,FALSE,"현장 NCR 분석";#N/A,#N/A,FALSE,"현장품질감사";#N/A,#N/A,FALSE,"현장품질감사"}</definedName>
    <definedName localSheetId="3" name="RFVGBNH">{#N/A,#N/A,FALSE,"현장 NCR 분석";#N/A,#N/A,FALSE,"현장품질감사";#N/A,#N/A,FALSE,"현장품질감사"}</definedName>
    <definedName name="RFVGBNH">{#N/A,#N/A,FALSE,"현장 NCR 분석";#N/A,#N/A,FALSE,"현장품질감사";#N/A,#N/A,FALSE,"현장품질감사"}</definedName>
    <definedName localSheetId="3" name="RK">[10]수량산출!#REF!</definedName>
    <definedName localSheetId="0" name="RK">[10]수량산출!#REF!</definedName>
    <definedName name="RK">[10]수량산출!#REF!</definedName>
    <definedName localSheetId="3" name="RRR">{#N/A,#N/A,FALSE,"포장2"}</definedName>
    <definedName localSheetId="3" name="RWER">{#N/A,#N/A,FALSE,"제목"}</definedName>
    <definedName name="RWER">{#N/A,#N/A,FALSE,"제목"}</definedName>
    <definedName localSheetId="3" name="sasasassas">{#N/A,#N/A,FALSE,"현장 NCR 분석";#N/A,#N/A,FALSE,"현장품질감사";#N/A,#N/A,FALSE,"현장품질감사"}</definedName>
    <definedName name="sasasassas">{#N/A,#N/A,FALSE,"현장 NCR 분석";#N/A,#N/A,FALSE,"현장품질감사";#N/A,#N/A,FALSE,"현장품질감사"}</definedName>
    <definedName localSheetId="3" name="SDDFD">{#N/A,#N/A,FALSE,"배수1"}</definedName>
    <definedName name="SDDFD">{#N/A,#N/A,FALSE,"배수1"}</definedName>
    <definedName localSheetId="3" name="SDF">{#N/A,#N/A,FALSE,"혼합골재"}</definedName>
    <definedName name="SDF">{#N/A,#N/A,FALSE,"혼합골재"}</definedName>
    <definedName localSheetId="3" name="SDFDFD">{#N/A,#N/A,FALSE,"운반시간"}</definedName>
    <definedName name="SDFDFD">{#N/A,#N/A,FALSE,"운반시간"}</definedName>
    <definedName localSheetId="3" name="SDS">{#N/A,#N/A,FALSE,"2~8번"}</definedName>
    <definedName name="SDS">{#N/A,#N/A,FALSE,"2~8번"}</definedName>
    <definedName localSheetId="3" name="SDS_1">{#N/A,#N/A,FALSE,"2~8번"}</definedName>
    <definedName name="SDS_1">{#N/A,#N/A,FALSE,"2~8번"}</definedName>
    <definedName localSheetId="3" name="sdsdddd">{#N/A,#N/A,FALSE,"토공2"}</definedName>
    <definedName name="sdsdddd">{#N/A,#N/A,FALSE,"토공2"}</definedName>
    <definedName name="sencount">1</definedName>
    <definedName localSheetId="3" name="SFA">{#N/A,#N/A,FALSE,"포장1";#N/A,#N/A,FALSE,"포장1"}</definedName>
    <definedName name="SFA">{#N/A,#N/A,FALSE,"포장1";#N/A,#N/A,FALSE,"포장1"}</definedName>
    <definedName localSheetId="3" name="sfggf">{#N/A,#N/A,FALSE,"배수1"}</definedName>
    <definedName name="sfggf">{#N/A,#N/A,FALSE,"배수1"}</definedName>
    <definedName localSheetId="3" name="SFSDFDSF">{#N/A,#N/A,FALSE,"운반시간"}</definedName>
    <definedName name="SFSDFDSF">{#N/A,#N/A,FALSE,"운반시간"}</definedName>
    <definedName name="SH">{#N/A,#N/A,FALSE,"제목"}</definedName>
    <definedName localSheetId="3" name="sheet">{#N/A,#N/A,FALSE,"골재소요량";#N/A,#N/A,FALSE,"골재소요량"}</definedName>
    <definedName name="sheet">{#N/A,#N/A,FALSE,"골재소요량";#N/A,#N/A,FALSE,"골재소요량"}</definedName>
    <definedName name="solver_lin">0</definedName>
    <definedName name="solver_num">1</definedName>
    <definedName name="solver_rel1">1</definedName>
    <definedName name="solver_rhs1">500000000</definedName>
    <definedName name="solver_tmp">500000000</definedName>
    <definedName name="solver_typ">1</definedName>
    <definedName name="solver_val">0</definedName>
    <definedName localSheetId="3" name="SSS_1">{#N/A,#N/A,FALSE,"2~8번"}</definedName>
    <definedName name="SSS_1">{#N/A,#N/A,FALSE,"2~8번"}</definedName>
    <definedName localSheetId="3" name="sssss">{#N/A,#N/A,FALSE,"운반시간"}</definedName>
    <definedName name="sssss">{#N/A,#N/A,FALSE,"운반시간"}</definedName>
    <definedName localSheetId="3" name="TGFR">{#N/A,#N/A,FALSE,"현장 NCR 분석";#N/A,#N/A,FALSE,"현장품질감사";#N/A,#N/A,FALSE,"현장품질감사"}</definedName>
    <definedName name="TGFR">{#N/A,#N/A,FALSE,"현장 NCR 분석";#N/A,#N/A,FALSE,"현장품질감사";#N/A,#N/A,FALSE,"현장품질감사"}</definedName>
    <definedName localSheetId="3" name="treuipo">{#N/A,#N/A,FALSE,"현장 NCR 분석";#N/A,#N/A,FALSE,"현장품질감사";#N/A,#N/A,FALSE,"현장품질감사"}</definedName>
    <definedName name="treuipo">{#N/A,#N/A,FALSE,"현장 NCR 분석";#N/A,#N/A,FALSE,"현장품질감사";#N/A,#N/A,FALSE,"현장품질감사"}</definedName>
    <definedName localSheetId="3" name="tyettyuierghjkk">{#N/A,#N/A,FALSE,"현장 NCR 분석";#N/A,#N/A,FALSE,"현장품질감사";#N/A,#N/A,FALSE,"현장품질감사"}</definedName>
    <definedName name="tyettyuierghjkk">{#N/A,#N/A,FALSE,"현장 NCR 분석";#N/A,#N/A,FALSE,"현장품질감사";#N/A,#N/A,FALSE,"현장품질감사"}</definedName>
    <definedName localSheetId="3" name="TYHFDGFD">{#N/A,#N/A,FALSE,"배수2"}</definedName>
    <definedName name="TYHFDGFD">{#N/A,#N/A,FALSE,"배수2"}</definedName>
    <definedName localSheetId="3" name="TYREWQ">{#N/A,#N/A,FALSE,"현장 NCR 분석";#N/A,#N/A,FALSE,"현장품질감사";#N/A,#N/A,FALSE,"현장품질감사"}</definedName>
    <definedName name="TYREWQ">{#N/A,#N/A,FALSE,"현장 NCR 분석";#N/A,#N/A,FALSE,"현장품질감사";#N/A,#N/A,FALSE,"현장품질감사"}</definedName>
    <definedName localSheetId="3" name="U">{"'용역비'!$A$4:$C$8"}</definedName>
    <definedName name="U">{"'용역비'!$A$4:$C$8"}</definedName>
    <definedName localSheetId="3" name="UJGTE">{#N/A,#N/A,FALSE,"현장 NCR 분석";#N/A,#N/A,FALSE,"현장품질감사";#N/A,#N/A,FALSE,"현장품질감사"}</definedName>
    <definedName name="UJGTE">{#N/A,#N/A,FALSE,"현장 NCR 분석";#N/A,#N/A,FALSE,"현장품질감사";#N/A,#N/A,FALSE,"현장품질감사"}</definedName>
    <definedName localSheetId="3" name="uy89ihbn">{#N/A,#N/A,FALSE,"2~8번"}</definedName>
    <definedName name="uy89ihbn">{#N/A,#N/A,FALSE,"2~8번"}</definedName>
    <definedName localSheetId="3" name="vcnf">'[17]N賃率-職'!$I$5:$I$30</definedName>
    <definedName name="vcnf">'[17]N賃率-職'!$I$5:$I$30</definedName>
    <definedName name="VV">{#N/A,#N/A,FALSE,"현장 NCR 분석";#N/A,#N/A,FALSE,"현장품질감사";#N/A,#N/A,FALSE,"현장품질감사"}</definedName>
    <definedName localSheetId="3" name="W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WEDSCVG">{#N/A,#N/A,FALSE,"현장 NCR 분석";#N/A,#N/A,FALSE,"현장품질감사";#N/A,#N/A,FALSE,"현장품질감사"}</definedName>
    <definedName name="WEDSCVG">{#N/A,#N/A,FALSE,"현장 NCR 분석";#N/A,#N/A,FALSE,"현장품질감사";#N/A,#N/A,FALSE,"현장품질감사"}</definedName>
    <definedName name="wer">{#N/A,#N/A,FALSE,"골재소요량";#N/A,#N/A,FALSE,"골재소요량"}</definedName>
    <definedName localSheetId="3" name="wer_1">{#N/A,#N/A,FALSE,"골재소요량";#N/A,#N/A,FALSE,"골재소요량"}</definedName>
    <definedName name="wer_1">{#N/A,#N/A,FALSE,"골재소요량";#N/A,#N/A,FALSE,"골재소요량"}</definedName>
    <definedName localSheetId="3" name="wewrrrre">{#N/A,#N/A,FALSE,"현장 NCR 분석";#N/A,#N/A,FALSE,"현장품질감사";#N/A,#N/A,FALSE,"현장품질감사"}</definedName>
    <definedName name="wewrrrre">{#N/A,#N/A,FALSE,"현장 NCR 분석";#N/A,#N/A,FALSE,"현장품질감사";#N/A,#N/A,FALSE,"현장품질감사"}</definedName>
    <definedName localSheetId="3" name="wm.조골재1">{#N/A,#N/A,FALSE,"조골재"}</definedName>
    <definedName name="wm.조골재1">{#N/A,#N/A,FALSE,"조골재"}</definedName>
    <definedName localSheetId="3" name="wrn.111.">{#N/A,#N/A,FALSE,"제목"}</definedName>
    <definedName name="wrn.111.">{#N/A,#N/A,FALSE,"제목"}</definedName>
    <definedName localSheetId="3" name="wrn.2번.">{#N/A,#N/A,FALSE,"2~8번"}</definedName>
    <definedName localSheetId="0" name="wrn.2번.">{#N/A,#N/A,FALSE,"2~8번"}</definedName>
    <definedName name="wrn.2번.">{#N/A,#N/A,FALSE,"2~8번"}</definedName>
    <definedName localSheetId="3" name="wrn.2번._1">{#N/A,#N/A,FALSE,"2~8번"}</definedName>
    <definedName name="wrn.2번._1">{#N/A,#N/A,FALSE,"2~8번"}</definedName>
    <definedName localSheetId="3" name="wrn.3번.">{#N/A,#N/A,FALSE,"2~8번"}</definedName>
    <definedName name="wrn.3번.">{#N/A,#N/A,FALSE,"2~8번"}</definedName>
    <definedName localSheetId="3" name="wrn.골재소요량.">{#N/A,#N/A,FALSE,"골재소요량";#N/A,#N/A,FALSE,"골재소요량"}</definedName>
    <definedName localSheetId="0" name="wrn.골재소요량.">{#N/A,#N/A,FALSE,"골재소요량";#N/A,#N/A,FALSE,"골재소요량"}</definedName>
    <definedName name="wrn.골재소요량.">{#N/A,#N/A,FALSE,"골재소요량";#N/A,#N/A,FALSE,"골재소요량"}</definedName>
    <definedName localSheetId="3" name="wrn.골재소요량._1">{#N/A,#N/A,FALSE,"골재소요량";#N/A,#N/A,FALSE,"골재소요량"}</definedName>
    <definedName name="wrn.골재소요량._1">{#N/A,#N/A,FALSE,"골재소요량";#N/A,#N/A,FALSE,"골재소요량"}</definedName>
    <definedName localSheetId="3" name="wrn.교대.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localSheetId="3" name="wrn.교육청.">{#N/A,#N/A,FALSE,"전력간선"}</definedName>
    <definedName name="wrn.교육청.">{#N/A,#N/A,FALSE,"전력간선"}</definedName>
    <definedName name="wrn.교육청.1">{#N/A,#N/A,FALSE,"전력간선"}</definedName>
    <definedName localSheetId="3" name="wrn.구조2.">{#N/A,#N/A,FALSE,"구조2"}</definedName>
    <definedName localSheetId="0" name="wrn.구조2.">{#N/A,#N/A,FALSE,"구조2"}</definedName>
    <definedName name="wrn.구조2.">{#N/A,#N/A,FALSE,"구조2"}</definedName>
    <definedName localSheetId="3" name="wrn.단가표지.">{#N/A,#N/A,FALSE,"단가표지"}</definedName>
    <definedName localSheetId="0" name="wrn.단가표지.">{#N/A,#N/A,FALSE,"단가표지"}</definedName>
    <definedName name="wrn.단가표지.">{#N/A,#N/A,FALSE,"단가표지"}</definedName>
    <definedName localSheetId="3" name="wrn.단가표지._1">{#N/A,#N/A,FALSE,"단가표지"}</definedName>
    <definedName name="wrn.단가표지._1">{#N/A,#N/A,FALSE,"단가표지"}</definedName>
    <definedName localSheetId="3" name="wrn.배수1.">{#N/A,#N/A,FALSE,"배수1"}</definedName>
    <definedName localSheetId="0" name="wrn.배수1.">{#N/A,#N/A,FALSE,"배수1"}</definedName>
    <definedName name="wrn.배수1.">{#N/A,#N/A,FALSE,"배수1"}</definedName>
    <definedName localSheetId="3" name="wrn.배수2.">{#N/A,#N/A,FALSE,"배수2"}</definedName>
    <definedName localSheetId="0" name="wrn.배수2.">{#N/A,#N/A,FALSE,"배수2"}</definedName>
    <definedName name="wrn.배수2.">{#N/A,#N/A,FALSE,"배수2"}</definedName>
    <definedName localSheetId="3" name="wrn.부대1.">{#N/A,#N/A,FALSE,"부대1"}</definedName>
    <definedName localSheetId="0" name="wrn.부대1.">{#N/A,#N/A,FALSE,"부대1"}</definedName>
    <definedName name="wrn.부대1.">{#N/A,#N/A,FALSE,"부대1"}</definedName>
    <definedName localSheetId="3" name="wrn.부대2.">{#N/A,#N/A,FALSE,"부대2"}</definedName>
    <definedName localSheetId="0" name="wrn.부대2.">{#N/A,#N/A,FALSE,"부대2"}</definedName>
    <definedName name="wrn.부대2.">{#N/A,#N/A,FALSE,"부대2"}</definedName>
    <definedName localSheetId="3" name="wrn.부산주경기장.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0" name="wrn.부산주경기장.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wrn.속도.">{#N/A,#N/A,FALSE,"속도"}</definedName>
    <definedName localSheetId="0" name="wrn.속도.">{#N/A,#N/A,FALSE,"속도"}</definedName>
    <definedName name="wrn.속도.">{#N/A,#N/A,FALSE,"속도"}</definedName>
    <definedName localSheetId="3" name="wrn.송변전공종단가.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송변전공종단가.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localSheetId="3" name="wrn.운반시간.">{#N/A,#N/A,FALSE,"운반시간"}</definedName>
    <definedName localSheetId="0" name="wrn.운반시간.">{#N/A,#N/A,FALSE,"운반시간"}</definedName>
    <definedName name="wrn.운반시간.">{#N/A,#N/A,FALSE,"운반시간"}</definedName>
    <definedName localSheetId="3" name="wrn.운반시간._1">{#N/A,#N/A,FALSE,"운반시간"}</definedName>
    <definedName name="wrn.운반시간._1">{#N/A,#N/A,FALSE,"운반시간"}</definedName>
    <definedName name="wrn.월간보고.">{#N/A,#N/A,FALSE,"99.11(감독실)";#N/A,#N/A,FALSE,"전체현황(감독실)";#N/A,#N/A,FALSE,"성토및 침하현황(99.11)(사업소)";#N/A,#N/A,FALSE,"방치구간 현황(99.11)(사업소)"}</definedName>
    <definedName localSheetId="3" name="wrn.이정표.">{#N/A,#N/A,FALSE,"이정표"}</definedName>
    <definedName localSheetId="0" name="wrn.이정표.">{#N/A,#N/A,FALSE,"이정표"}</definedName>
    <definedName name="wrn.이정표.">{#N/A,#N/A,FALSE,"이정표"}</definedName>
    <definedName localSheetId="3" name="wrn.전열선출서.">{#N/A,#N/A,FALSE,"전열산출서"}</definedName>
    <definedName name="wrn.전열선출서.">{#N/A,#N/A,FALSE,"전열산출서"}</definedName>
    <definedName localSheetId="3" name="wrn.조골재.">{#N/A,#N/A,FALSE,"조골재"}</definedName>
    <definedName localSheetId="0" name="wrn.조골재.">{#N/A,#N/A,FALSE,"조골재"}</definedName>
    <definedName name="wrn.조골재.">{#N/A,#N/A,FALSE,"조골재"}</definedName>
    <definedName localSheetId="3" name="wrn.조골재._1">{#N/A,#N/A,FALSE,"조골재"}</definedName>
    <definedName name="wrn.조골재._1">{#N/A,#N/A,FALSE,"조골재"}</definedName>
    <definedName name="wrn.지수1.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localSheetId="3" name="wrn.토공1.">{#N/A,#N/A,FALSE,"구조1"}</definedName>
    <definedName localSheetId="0" name="wrn.토공1.">{#N/A,#N/A,FALSE,"구조1"}</definedName>
    <definedName name="wrn.토공1.">{#N/A,#N/A,FALSE,"구조1"}</definedName>
    <definedName localSheetId="3" name="wrn.토공2.">{#N/A,#N/A,FALSE,"토공2"}</definedName>
    <definedName localSheetId="0" name="wrn.토공2.">{#N/A,#N/A,FALSE,"토공2"}</definedName>
    <definedName name="wrn.토공2.">{#N/A,#N/A,FALSE,"토공2"}</definedName>
    <definedName name="wrn.통신지.">{#N/A,#N/A,FALSE,"기안지";#N/A,#N/A,FALSE,"통신지"}</definedName>
    <definedName localSheetId="3" name="wrn.포장1.">{#N/A,#N/A,FALSE,"포장1";#N/A,#N/A,FALSE,"포장1"}</definedName>
    <definedName localSheetId="0" name="wrn.포장1.">{#N/A,#N/A,FALSE,"포장1";#N/A,#N/A,FALSE,"포장1"}</definedName>
    <definedName name="wrn.포장1.">{#N/A,#N/A,FALSE,"포장1";#N/A,#N/A,FALSE,"포장1"}</definedName>
    <definedName localSheetId="3" name="wrn.포장2.">{#N/A,#N/A,FALSE,"포장2"}</definedName>
    <definedName localSheetId="0" name="wrn.포장2.">{#N/A,#N/A,FALSE,"포장2"}</definedName>
    <definedName name="wrn.포장2.">{#N/A,#N/A,FALSE,"포장2"}</definedName>
    <definedName localSheetId="3" name="wrn.포장단가.">{#N/A,#N/A,FALSE,"포장단가"}</definedName>
    <definedName name="wrn.포장단가.">{#N/A,#N/A,FALSE,"포장단가"}</definedName>
    <definedName localSheetId="3" name="wrn.표준공종단가.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localSheetId="3" name="wrn.표지목차.">{#N/A,#N/A,FALSE,"표지목차"}</definedName>
    <definedName localSheetId="0" name="wrn.표지목차.">{#N/A,#N/A,FALSE,"표지목차"}</definedName>
    <definedName name="wrn.표지목차.">{#N/A,#N/A,FALSE,"표지목차"}</definedName>
    <definedName localSheetId="3" name="wrn.표지목차._1">{#N/A,#N/A,FALSE,"표지목차"}</definedName>
    <definedName name="wrn.표지목차._1">{#N/A,#N/A,FALSE,"표지목차"}</definedName>
    <definedName localSheetId="3" name="wrn.현장._.NCR._.분석.">{#N/A,#N/A,FALSE,"현장 NCR 분석";#N/A,#N/A,FALSE,"현장품질감사";#N/A,#N/A,FALSE,"현장품질감사"}</definedName>
    <definedName name="wrn.현장._.NCR._.분석.">{#N/A,#N/A,FALSE,"현장 NCR 분석";#N/A,#N/A,FALSE,"현장품질감사";#N/A,#N/A,FALSE,"현장품질감사"}</definedName>
    <definedName localSheetId="3" name="wrn.혼합골재.">{#N/A,#N/A,FALSE,"혼합골재"}</definedName>
    <definedName localSheetId="0" name="wrn.혼합골재.">{#N/A,#N/A,FALSE,"혼합골재"}</definedName>
    <definedName name="wrn.혼합골재.">{#N/A,#N/A,FALSE,"혼합골재"}</definedName>
    <definedName localSheetId="3" name="wrn.혼합골재._1">{#N/A,#N/A,FALSE,"혼합골재"}</definedName>
    <definedName name="wrn.혼합골재._1">{#N/A,#N/A,FALSE,"혼합골재"}</definedName>
    <definedName localSheetId="3" name="wrn.황금동.">{#N/A,#N/A,FALSE,"단면 제원"}</definedName>
    <definedName name="wrn.황금동.">{#N/A,#N/A,FALSE,"단면 제원"}</definedName>
    <definedName localSheetId="3" name="x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xoghdhg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xoghdhg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xxxxc">{#N/A,#N/A,FALSE,"조골재"}</definedName>
    <definedName localSheetId="3" name="XXXXXX">{"'공사부문'!$A$6:$A$32"}</definedName>
    <definedName localSheetId="0" name="XXXXXX">{"'공사부문'!$A$6:$A$32"}</definedName>
    <definedName name="XXXXXX">{"'공사부문'!$A$6:$A$32"}</definedName>
    <definedName localSheetId="3" name="YL">{"'용역비'!$A$4:$C$8"}</definedName>
    <definedName localSheetId="0" name="YL">{"'용역비'!$A$4:$C$8"}</definedName>
    <definedName name="YL">{"'용역비'!$A$4:$C$8"}</definedName>
    <definedName localSheetId="3" name="YUYUY">{#N/A,#N/A,FALSE,"혼합골재"}</definedName>
    <definedName name="YUYUY">{#N/A,#N/A,FALSE,"혼합골재"}</definedName>
    <definedName localSheetId="3" name="yy">{#N/A,#N/A,FALSE,"단가표지"}</definedName>
    <definedName localSheetId="3" name="yyuiyuyy">{#N/A,#N/A,FALSE,"현장 NCR 분석";#N/A,#N/A,FALSE,"현장품질감사";#N/A,#N/A,FALSE,"현장품질감사"}</definedName>
    <definedName name="yyuiyuyy">{#N/A,#N/A,FALSE,"현장 NCR 분석";#N/A,#N/A,FALSE,"현장품질감사";#N/A,#N/A,FALSE,"현장품질감사"}</definedName>
    <definedName localSheetId="3" name="yyy">[18]수량산출!$A$1:$A$8561</definedName>
    <definedName name="yyy">[18]수량산출!$A$1:$A$8561</definedName>
    <definedName name="yyyyyy">{#N/A,#N/A,FALSE,"조골재"}</definedName>
    <definedName localSheetId="3" name="z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ㄱ">[16]수량산출!#REF!</definedName>
    <definedName name="ㄱ">[16]수량산출!#REF!</definedName>
    <definedName name="ㄱㄱ">{#N/A,#N/A,FALSE,"운반시간"}</definedName>
    <definedName name="ㄱㄱㄱㄱㄱ">{#N/A,#N/A,FALSE,"2~8번"}</definedName>
    <definedName localSheetId="3" name="ㄱㄱㄱㄱㄱㄱ">{#N/A,#N/A,FALSE,"2~8번"}</definedName>
    <definedName name="ㄱㄱㄱㄱㄱㄱ">{#N/A,#N/A,FALSE,"2~8번"}</definedName>
    <definedName name="ㄱㄱㄱㄱㄱㄱㄱㄱㄱㄱㄱㄱㄱ">{#N/A,#N/A,FALSE,"단가표지"}</definedName>
    <definedName name="ㄱㄱㄱㄱㄱㄱㄱㄱㄱㄱㄱㄱㄱㄱㄱㄱ">{#N/A,#N/A,FALSE,"골재소요량";#N/A,#N/A,FALSE,"골재소요량"}</definedName>
    <definedName name="ㄱㄱㄱㄱㄱㄱㄱㄱㄱㄱㄱㄱㄱㄱㄱㄱㄱㄱ">{#N/A,#N/A,FALSE,"조골재"}</definedName>
    <definedName name="ㄱㄳㄳ">{#N/A,#N/A,FALSE,"2~8번"}</definedName>
    <definedName name="ㄱㄴ슌ㄱ">{#N/A,#N/A,FALSE,"단가표지"}</definedName>
    <definedName localSheetId="3" name="ㄱㄷ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ㄱㄷ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localSheetId="3" name="ㄱㄷㄱㄷ">{#N/A,#N/A,FALSE,"2~8번"}</definedName>
    <definedName name="ㄱㄷㄱㄷ">{#N/A,#N/A,FALSE,"2~8번"}</definedName>
    <definedName name="ㄱㄷㄴ슌ㄱ">{#N/A,#N/A,FALSE,"골재소요량";#N/A,#N/A,FALSE,"골재소요량"}</definedName>
    <definedName localSheetId="3" name="ㄱㄷㄻ">{#N/A,#N/A,FALSE,"포장단가"}</definedName>
    <definedName name="ㄱㄷㄻ">{#N/A,#N/A,FALSE,"포장단가"}</definedName>
    <definedName name="ㄱㄷㅁㅍㅅㅂ">{#N/A,#N/A,FALSE,"골재소요량";#N/A,#N/A,FALSE,"골재소요량"}</definedName>
    <definedName name="ㄱㄷㅎㅅㄷ4">{#N/A,#N/A,FALSE,"운반시간"}</definedName>
    <definedName name="ㄱ슈">{#N/A,#N/A,FALSE,"혼합골재"}</definedName>
    <definedName localSheetId="3" name="가가가가가가가가가각가ㅏ">{#N/A,#N/A,FALSE,"현장 NCR 분석";#N/A,#N/A,FALSE,"현장품질감사";#N/A,#N/A,FALSE,"현장품질감사"}</definedName>
    <definedName name="가가가가가가가가가각가ㅏ">{#N/A,#N/A,FALSE,"현장 NCR 분석";#N/A,#N/A,FALSE,"현장품질감사";#N/A,#N/A,FALSE,"현장품질감사"}</definedName>
    <definedName localSheetId="3" name="가아">[19]수량산출!#REF!</definedName>
    <definedName name="가아">[19]수량산출!#REF!</definedName>
    <definedName localSheetId="3" name="간">{#N/A,#N/A,FALSE,"포장단가"}</definedName>
    <definedName name="간">{#N/A,#N/A,FALSE,"포장단가"}</definedName>
    <definedName localSheetId="3" name="간지8">{#N/A,#N/A,FALSE,"조골재"}</definedName>
    <definedName name="간지8">{#N/A,#N/A,FALSE,"조골재"}</definedName>
    <definedName name="감독2">{#N/A,#N/A,FALSE,"단가표지"}</definedName>
    <definedName localSheetId="3" name="강재">{#N/A,#N/A,FALSE,"혼합골재"}</definedName>
    <definedName name="강재">{#N/A,#N/A,FALSE,"혼합골재"}</definedName>
    <definedName localSheetId="3" name="걀">{#N/A,#N/A,FALSE,"포장단가"}</definedName>
    <definedName name="걀">{#N/A,#N/A,FALSE,"포장단가"}</definedName>
    <definedName localSheetId="3" name="거ㅏ">[20]수량산출!$A$3:$H$8539</definedName>
    <definedName name="거ㅏ">[20]수량산출!$A$3:$H$8539</definedName>
    <definedName localSheetId="3" name="견적">'[21]내역서1999.8최종'!$A$1:$A$2438</definedName>
    <definedName name="견적">'[21]내역서1999.8최종'!$A$1:$A$2438</definedName>
    <definedName localSheetId="3" name="결재">{#N/A,#N/A,FALSE,"포장단가"}</definedName>
    <definedName name="결재">{#N/A,#N/A,FALSE,"포장단가"}</definedName>
    <definedName localSheetId="3" name="경계블럭연장">[22]조명시설!#REF!</definedName>
    <definedName localSheetId="0" name="경계블럭연장">[22]조명시설!#REF!</definedName>
    <definedName name="경계블럭연장">[22]조명시설!#REF!</definedName>
    <definedName localSheetId="3" name="경비집계">{"'용역비'!$A$4:$C$8"}</definedName>
    <definedName localSheetId="0" name="경비집계">{"'용역비'!$A$4:$C$8"}</definedName>
    <definedName name="경비집계">{"'용역비'!$A$4:$C$8"}</definedName>
    <definedName localSheetId="3" name="경운기">{#N/A,#N/A,FALSE,"포장단가"}</definedName>
    <definedName name="경운기">{#N/A,#N/A,FALSE,"포장단가"}</definedName>
    <definedName localSheetId="3" name="계단블">{#N/A,#N/A,FALSE,"운반시간"}</definedName>
    <definedName name="계단블">{#N/A,#N/A,FALSE,"운반시간"}</definedName>
    <definedName localSheetId="3" name="계측기기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0" name="계측기기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경준">{#N/A,#N/A,FALSE,"골재소요량";#N/A,#N/A,FALSE,"골재소요량"}</definedName>
    <definedName name="고고">{#N/A,#N/A,FALSE,"조골재"}</definedName>
    <definedName name="고고..">{#N/A,#N/A,FALSE,"골재소요량";#N/A,#N/A,FALSE,"골재소요량"}</definedName>
    <definedName name="골재">{#N/A,#N/A,FALSE,"골재소요량";#N/A,#N/A,FALSE,"골재소요량"}</definedName>
    <definedName localSheetId="3" name="공공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0" name="공공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공공도서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0" name="공공도서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공공도서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0" name="공공도서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종간지">[23]수량집계!#REF!</definedName>
    <definedName localSheetId="3" name="교">{#N/A,#N/A,FALSE,"단면 제원"}</definedName>
    <definedName name="교">{#N/A,#N/A,FALSE,"단면 제원"}</definedName>
    <definedName localSheetId="3" name="교대">{#N/A,#N/A,FALSE,"단면 제원"}</definedName>
    <definedName name="교대">{#N/A,#N/A,FALSE,"단면 제원"}</definedName>
    <definedName localSheetId="3" name="교대공">{#N/A,#N/A,FALSE,"단면 제원"}</definedName>
    <definedName name="교대공">{#N/A,#N/A,FALSE,"단면 제원"}</definedName>
    <definedName localSheetId="3" name="교대공1">{#N/A,#N/A,FALSE,"단면 제원"}</definedName>
    <definedName name="교대공1">{#N/A,#N/A,FALSE,"단면 제원"}</definedName>
    <definedName localSheetId="3" name="교대공11">{#N/A,#N/A,FALSE,"단면 제원"}</definedName>
    <definedName name="교대공11">{#N/A,#N/A,FALSE,"단면 제원"}</definedName>
    <definedName localSheetId="3" name="교대펄근집계">{#N/A,#N/A,FALSE,"배수1"}</definedName>
    <definedName localSheetId="0" name="교대펄근집계">{#N/A,#N/A,FALSE,"배수1"}</definedName>
    <definedName name="교대펄근집계">{#N/A,#N/A,FALSE,"배수1"}</definedName>
    <definedName localSheetId="3" name="교통비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통비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구">{#N/A,#N/A,FALSE,"구조2"}</definedName>
    <definedName name="구">{#N/A,#N/A,FALSE,"구조2"}</definedName>
    <definedName localSheetId="3" name="규">{#N/A,#N/A,FALSE,"단면 제원"}</definedName>
    <definedName name="규">{#N/A,#N/A,FALSE,"단면 제원"}</definedName>
    <definedName name="귯ㄳ">{#N/A,#N/A,FALSE,"표지목차"}</definedName>
    <definedName name="귯늇ㄳ">{#N/A,#N/A,FALSE,"단가표지"}</definedName>
    <definedName localSheetId="3" name="근거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0" name="근거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금오관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0" name="금오관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금의교">{#N/A,#N/A,FALSE,"단면 제원"}</definedName>
    <definedName name="금의교">{#N/A,#N/A,FALSE,"단면 제원"}</definedName>
    <definedName localSheetId="3" name="긴급공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0" name="긴급공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긴급공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김면수">{#N/A,#N/A,FALSE,"2~8번"}</definedName>
    <definedName name="김면수">{#N/A,#N/A,FALSE,"2~8번"}</definedName>
    <definedName name="김준형">{#N/A,#N/A,FALSE,"골재소요량";#N/A,#N/A,FALSE,"골재소요량"}</definedName>
    <definedName localSheetId="3" name="김진문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김진문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깬잡석">{#N/A,#N/A,FALSE,"포장단가"}</definedName>
    <definedName name="깬잡석">{#N/A,#N/A,FALSE,"포장단가"}</definedName>
    <definedName localSheetId="3" name="께기수량집계표">[6]조명시설!#REF!</definedName>
    <definedName name="께기수량집계표">[6]조명시설!#REF!</definedName>
    <definedName localSheetId="3" name="ㄳㄳㄳㄳ">{"'용역비'!$A$4:$C$8"}</definedName>
    <definedName localSheetId="0" name="ㄳㄳㄳㄳ">{"'용역비'!$A$4:$C$8"}</definedName>
    <definedName name="ㄳㄳㄳㄳ">{"'용역비'!$A$4:$C$8"}</definedName>
    <definedName name="ㄳㄳㅅ셔ㅛㅅ">{#N/A,#N/A,FALSE,"단가표지"}</definedName>
    <definedName name="ㄳㄳㅎㄱㅎㄱㄷ">{#N/A,#N/A,FALSE,"조골재"}</definedName>
    <definedName name="ㄳㄷ">{#N/A,#N/A,FALSE,"표지목차"}</definedName>
    <definedName name="ㄳㅍㅁㅁ규">{#N/A,#N/A,FALSE,"표지목차"}</definedName>
    <definedName localSheetId="3" name="ㄴㄴㄴ_1">{#N/A,#N/A,FALSE,"골재소요량";#N/A,#N/A,FALSE,"골재소요량"}</definedName>
    <definedName name="ㄴㄴㄴ_1">{#N/A,#N/A,FALSE,"골재소요량";#N/A,#N/A,FALSE,"골재소요량"}</definedName>
    <definedName localSheetId="3" name="ㄴㄹ">{#N/A,#N/A,FALSE,"2~8번"}</definedName>
    <definedName name="ㄴㄹ">{#N/A,#N/A,FALSE,"2~8번"}</definedName>
    <definedName name="ㄴㅇㄹㄴㅁㅇㄹ">{#N/A,#N/A,FALSE,"단가표지"}</definedName>
    <definedName name="ㄴㅇ로ㅠㅎ">{#N/A,#N/A,FALSE,"구조2"}</definedName>
    <definedName localSheetId="3" name="ㄴㅇㄻㄴㅇㄹ">{"'용역비'!$A$4:$C$8"}</definedName>
    <definedName localSheetId="0" name="ㄴㅇㄻㄴㅇㄹ">{"'용역비'!$A$4:$C$8"}</definedName>
    <definedName name="ㄴㅇㄻㄴㅇㄹ">{"'용역비'!$A$4:$C$8"}</definedName>
    <definedName localSheetId="3" name="ㄴㅇㄻㅇㄴㄹ">{#N/A,#N/A,FALSE,"포장단가"}</definedName>
    <definedName name="ㄴㅇㄻㅇㄴㄹ">{#N/A,#N/A,FALSE,"포장단가"}</definedName>
    <definedName localSheetId="3" name="ㄴㅇㅀㄴㅇㅁㄹ">{#N/A,#N/A,FALSE,"포장단가"}</definedName>
    <definedName name="ㄴㅇㅀㄴㅇㅁㄹ">{#N/A,#N/A,FALSE,"포장단가"}</definedName>
    <definedName name="ㄴ흂">{#N/A,#N/A,FALSE,"단가표지"}</definedName>
    <definedName localSheetId="3" name="나ㅏㅓㄹ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낙차공">{#N/A,#N/A,FALSE,"2~8번"}</definedName>
    <definedName name="낙차공">{#N/A,#N/A,FALSE,"2~8번"}</definedName>
    <definedName localSheetId="3" name="내부굴착2">{#N/A,#N/A,FALSE,"단면 제원"}</definedName>
    <definedName name="내부굴착2">{#N/A,#N/A,FALSE,"단면 제원"}</definedName>
    <definedName localSheetId="3" name="내장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노원문화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0" name="노원문화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노원문화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0" name="노원문화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뉵ㅎㅅㄳㅁ">{#N/A,#N/A,FALSE,"혼합골재"}</definedName>
    <definedName localSheetId="3" name="니">{#N/A,#N/A,FALSE,"단면 제원"}</definedName>
    <definedName name="니">{#N/A,#N/A,FALSE,"단면 제원"}</definedName>
    <definedName localSheetId="3" name="ㄷ_1">{#N/A,#N/A,FALSE,"2~8번"}</definedName>
    <definedName name="ㄷ_1">{#N/A,#N/A,FALSE,"2~8번"}</definedName>
    <definedName localSheetId="3" name="ㄷ6ㅓ">{"'용역비'!$A$4:$C$8"}</definedName>
    <definedName localSheetId="0" name="ㄷ6ㅓ">{"'용역비'!$A$4:$C$8"}</definedName>
    <definedName name="ㄷ6ㅓ">{"'용역비'!$A$4:$C$8"}</definedName>
    <definedName name="ㄷㄱㄱㅈㅍㄷ">{#N/A,#N/A,FALSE,"골재소요량";#N/A,#N/A,FALSE,"골재소요량"}</definedName>
    <definedName name="ㄷㄱㄴㄴㅁ">{#N/A,#N/A,FALSE,"단가표지"}</definedName>
    <definedName name="ㄷㄱㅈㅍ">{#N/A,#N/A,FALSE,"표지목차"}</definedName>
    <definedName name="ㄷㄱㅍㄷㄱ뮤">{#N/A,#N/A,FALSE,"2~8번"}</definedName>
    <definedName name="ㄷㄱㅍㅁㄷㄱ">{#N/A,#N/A,FALSE,"골재소요량";#N/A,#N/A,FALSE,"골재소요량"}</definedName>
    <definedName name="ㄷㄴㅁㄱㅇ">{#N/A,#N/A,FALSE,"골재소요량";#N/A,#N/A,FALSE,"골재소요량"}</definedName>
    <definedName name="ㄷㄷㄷㄷㄷㄷ">{#N/A,#N/A,FALSE,"운반시간"}</definedName>
    <definedName localSheetId="3" name="ㄷㄷㄷㄷㄷㄷㄷㄷ">{#N/A,#N/A,FALSE,"현장 NCR 분석";#N/A,#N/A,FALSE,"현장품질감사";#N/A,#N/A,FALSE,"현장품질감사"}</definedName>
    <definedName name="ㄷㄷㄷㄷㄷㄷㄷㄷ">{#N/A,#N/A,FALSE,"현장 NCR 분석";#N/A,#N/A,FALSE,"현장품질감사";#N/A,#N/A,FALSE,"현장품질감사"}</definedName>
    <definedName name="ㄷㄷㅈㅊㅍㅌㅋ">{#N/A,#N/A,FALSE,"조골재"}</definedName>
    <definedName name="ㄷㅇㄹ">{#N/A,#N/A,FALSE,"단가표지"}</definedName>
    <definedName name="ㄷㅈㄱㄱ">{#N/A,#N/A,FALSE,"조골재"}</definedName>
    <definedName name="ㄷㅈㄷ">{#N/A,#N/A,FALSE,"속도"}</definedName>
    <definedName name="ㄷㅈㄹㄹㄷㄹㅇㄴㅇㄴㄹ">{#N/A,#N/A,FALSE,"조골재"}</definedName>
    <definedName name="ㄷㅈㅈㄱㄷㄱㄷㅈ">{#N/A,#N/A,FALSE,"운반시간"}</definedName>
    <definedName name="ㄷㅈㅍㄱㄷㅈㄱ">{#N/A,#N/A,FALSE,"2~8번"}</definedName>
    <definedName localSheetId="3" name="ㄷㅍㅂ">{"'용역비'!$A$4:$C$8"}</definedName>
    <definedName localSheetId="0" name="ㄷㅍㅂ">{"'용역비'!$A$4:$C$8"}</definedName>
    <definedName name="ㄷㅍㅂ">{"'용역비'!$A$4:$C$8"}</definedName>
    <definedName localSheetId="3" name="단가산출서2">{#N/A,#N/A,FALSE,"포장단가"}</definedName>
    <definedName name="단가산출서2">{#N/A,#N/A,FALSE,"포장단가"}</definedName>
    <definedName localSheetId="3" name="단가조사자료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인상">[24]수지예산!$O$59:$O$59</definedName>
    <definedName localSheetId="3" name="대구공항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0" name="대구공항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대비">{#N/A,#N/A,FALSE,"전열산출서"}</definedName>
    <definedName name="대비">{#N/A,#N/A,FALSE,"전열산출서"}</definedName>
    <definedName localSheetId="3" name="도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광건설">{#N/A,#N/A,FALSE,"골재소요량";#N/A,#N/A,FALSE,"골재소요량"}</definedName>
    <definedName name="됴ㅠ굑ㅇ">{#N/A,#N/A,FALSE,"운반시간"}</definedName>
    <definedName localSheetId="3" name="두호">{#N/A,#N/A,FALSE,"2~8번"}</definedName>
    <definedName name="두호">{#N/A,#N/A,FALSE,"2~8번"}</definedName>
    <definedName localSheetId="3" name="등락폭산정표">{#N/A,#N/A,FALSE,"포장단가"}</definedName>
    <definedName name="등락폭산정표">{#N/A,#N/A,FALSE,"포장단가"}</definedName>
    <definedName localSheetId="3" name="등주감시기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등주감시기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떠">{#N/A,#N/A,FALSE,"단면 제원"}</definedName>
    <definedName name="떠">{#N/A,#N/A,FALSE,"단면 제원"}</definedName>
    <definedName name="ㄹㄹㄹㅈㄹ">{#N/A,#N/A,FALSE,"혼합골재"}</definedName>
    <definedName name="ㄹㄹ로">{#N/A,#N/A,FALSE,"골재소요량";#N/A,#N/A,FALSE,"골재소요량"}</definedName>
    <definedName localSheetId="3" name="ㄹㄹㅇㄴㄴ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ㄹㅇㄴ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ㄹㅇㄶ옿">'[25]N賃率-職'!$I$5:$I$30</definedName>
    <definedName name="ㄹㅇㄶ옿">'[25]N賃率-職'!$I$5:$I$30</definedName>
    <definedName localSheetId="3" name="ㄹㅇㄹ">{#N/A,#N/A,FALSE,"골재소요량";#N/A,#N/A,FALSE,"골재소요량"}</definedName>
    <definedName name="ㄹㅇㄹ">{#N/A,#N/A,FALSE,"골재소요량";#N/A,#N/A,FALSE,"골재소요량"}</definedName>
    <definedName name="ㄹㅇㄹㄷㅈㅍ">{#N/A,#N/A,FALSE,"혼합골재"}</definedName>
    <definedName localSheetId="3" name="ㄹㅇㅁㄴㄹ">{#N/A,#N/A,FALSE,"혼합골재"}</definedName>
    <definedName name="ㄹㅇㅁㄴㄹ">{#N/A,#N/A,FALSE,"혼합골재"}</definedName>
    <definedName localSheetId="3" name="ㄹㅇ퓨ㅓㅜㅏㅗㅜㅠㅅ퐇휴ㅗㅎ">{#N/A,#N/A,FALSE,"조골재"}</definedName>
    <definedName name="ㄹㅇ퓨ㅓㅜㅏㅗㅜㅠㅅ퐇휴ㅗㅎ">{#N/A,#N/A,FALSE,"조골재"}</definedName>
    <definedName localSheetId="3" name="ㄹㅇㅎㅁ">'[26]N賃率-職'!$I$5:$I$30</definedName>
    <definedName name="ㄹㅇㅎㅁ">'[26]N賃率-職'!$I$5:$I$30</definedName>
    <definedName localSheetId="3" name="라ㅓㅇ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래">{#N/A,#N/A,FALSE,"단면 제원"}</definedName>
    <definedName name="래">{#N/A,#N/A,FALSE,"단면 제원"}</definedName>
    <definedName localSheetId="3" name="려ㅛㄹ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0" name="려ㅛㄹ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로드">{#N/A,#N/A,FALSE,"현장 NCR 분석";#N/A,#N/A,FALSE,"현장품질감사";#N/A,#N/A,FALSE,"현장품질감사"}</definedName>
    <definedName name="로드">{#N/A,#N/A,FALSE,"현장 NCR 분석";#N/A,#N/A,FALSE,"현장품질감사";#N/A,#N/A,FALSE,"현장품질감사"}</definedName>
    <definedName localSheetId="3" name="로얄계약">{#N/A,#N/A,FALSE,"현장 NCR 분석";#N/A,#N/A,FALSE,"현장품질감사";#N/A,#N/A,FALSE,"현장품질감사"}</definedName>
    <definedName name="로얄계약">{#N/A,#N/A,FALSE,"현장 NCR 분석";#N/A,#N/A,FALSE,"현장품질감사";#N/A,#N/A,FALSE,"현장품질감사"}</definedName>
    <definedName name="료ㅜㅇ교">{#N/A,#N/A,FALSE,"표지목차"}</definedName>
    <definedName localSheetId="3" name="루">{#N/A,#N/A,FALSE,"단면 제원"}</definedName>
    <definedName name="루">{#N/A,#N/A,FALSE,"단면 제원"}</definedName>
    <definedName name="룻우ㅕㄴ">{#N/A,#N/A,FALSE,"골재소요량";#N/A,#N/A,FALSE,"골재소요량"}</definedName>
    <definedName name="률류">{#N/A,#N/A,FALSE,"혼합골재"}</definedName>
    <definedName localSheetId="3" name="ㅀㅀㄴ">{#N/A,#N/A,FALSE,"조골재"}</definedName>
    <definedName name="ㅀㅀㄴ">{#N/A,#N/A,FALSE,"조골재"}</definedName>
    <definedName name="ㅀㅁ">{#N/A,#N/A,FALSE,"조골재"}</definedName>
    <definedName localSheetId="3" name="ㅁ_1">{#N/A,#N/A,FALSE,"조골재"}</definedName>
    <definedName name="ㅁ_1">{#N/A,#N/A,FALSE,"조골재"}</definedName>
    <definedName localSheetId="3" name="ㅁㄴ_1">{#N/A,#N/A,FALSE,"2~8번"}</definedName>
    <definedName name="ㅁㄴ_1">{#N/A,#N/A,FALSE,"2~8번"}</definedName>
    <definedName name="ㅁㄴㄴ">{#N/A,#N/A,FALSE,"골재소요량";#N/A,#N/A,FALSE,"골재소요량"}</definedName>
    <definedName localSheetId="3" name="ㅁㄴㅁㄴ">{#N/A,#N/A,FALSE,"현장 NCR 분석";#N/A,#N/A,FALSE,"현장품질감사";#N/A,#N/A,FALSE,"현장품질감사"}</definedName>
    <definedName name="ㅁㄴㅁㄴ">{#N/A,#N/A,FALSE,"현장 NCR 분석";#N/A,#N/A,FALSE,"현장품질감사";#N/A,#N/A,FALSE,"현장품질감사"}</definedName>
    <definedName localSheetId="3" name="ㅁㄴㅁㅇㄴㅁㄴㅇ">{#N/A,#N/A,FALSE,"조골재"}</definedName>
    <definedName name="ㅁㄴㅁㅇㄴㅁㄴㅇ">{#N/A,#N/A,FALSE,"조골재"}</definedName>
    <definedName localSheetId="3" name="ㅁㄴㅇ">{#N/A,#N/A,FALSE,"배수1"}</definedName>
    <definedName localSheetId="0" name="ㅁㄴㅇ">{#N/A,#N/A,FALSE,"배수1"}</definedName>
    <definedName name="ㅁㄴㅇ">{#N/A,#N/A,FALSE,"배수1"}</definedName>
    <definedName localSheetId="3" name="ㅁㄴㅇ_1">{#N/A,#N/A,FALSE,"운반시간"}</definedName>
    <definedName name="ㅁㄴㅇ_1">{#N/A,#N/A,FALSE,"운반시간"}</definedName>
    <definedName localSheetId="3" name="ㅁㄴㅇㄻㄴㅇㄹㄴㅁㅎㄴㅇㅎ">{"'용역비'!$A$4:$C$8"}</definedName>
    <definedName localSheetId="0" name="ㅁㄴㅇㄻㄴㅇㄹㄴㅁㅎㄴㅇㅎ">{"'용역비'!$A$4:$C$8"}</definedName>
    <definedName name="ㅁㄴㅇㄻㄴㅇㄹㄴㅁㅎㄴㅇㅎ">{"'용역비'!$A$4:$C$8"}</definedName>
    <definedName localSheetId="3" name="ㅁㄴㅇㅁㄹ">{#N/A,#N/A,FALSE,"운반시간"}</definedName>
    <definedName localSheetId="0" name="ㅁㄴㅇㅁㄹ">{#N/A,#N/A,FALSE,"운반시간"}</definedName>
    <definedName name="ㅁㄴㅇㅁㄹ">{#N/A,#N/A,FALSE,"운반시간"}</definedName>
    <definedName name="ㅁㄷㄱㅍㄱㅈㅁ">{#N/A,#N/A,FALSE,"골재소요량";#N/A,#N/A,FALSE,"골재소요량"}</definedName>
    <definedName name="ㅁㄷㅎㅁㅎㅁ">{#N/A,#N/A,FALSE,"조골재"}</definedName>
    <definedName name="ㅁㄹ">{#N/A,#N/A,FALSE,"2~8번"}</definedName>
    <definedName name="ㅁㄹㄹ">{#N/A,#N/A,FALSE,"2~8번"}</definedName>
    <definedName name="ㅁㅀㅎ">{#N/A,#N/A,FALSE,"골재소요량";#N/A,#N/A,FALSE,"골재소요량"}</definedName>
    <definedName localSheetId="3" name="ㅁㅁ_1">{#N/A,#N/A,FALSE,"조골재"}</definedName>
    <definedName name="ㅁㅁ_1">{#N/A,#N/A,FALSE,"조골재"}</definedName>
    <definedName localSheetId="3" name="ㅁㅁㄴ">{#N/A,#N/A,FALSE,"2~8번"}</definedName>
    <definedName name="ㅁㅁㄴ">{#N/A,#N/A,FALSE,"2~8번"}</definedName>
    <definedName localSheetId="3" name="ㅁㅁㅁㅁㅁㅁ">{#N/A,#N/A,FALSE,"혼합골재"}</definedName>
    <definedName name="ㅁㅁㅁㅁㅁㅁ">{#N/A,#N/A,FALSE,"조골재"}</definedName>
    <definedName name="ㅁㅁㅁㅁㅁㅁㅁㅁ">{#N/A,#N/A,FALSE,"배수1"}</definedName>
    <definedName localSheetId="3" name="ㅁㅅ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ㅁㅅ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localSheetId="3" name="ㅁㅅㅅㅁㄱㅈ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ㅍㅊ">{#N/A,#N/A,FALSE,"속도"}</definedName>
    <definedName localSheetId="3" name="만득이">{#N/A,#N/A,FALSE,"2~8번"}</definedName>
    <definedName name="만득이">{#N/A,#N/A,FALSE,"2~8번"}</definedName>
    <definedName localSheetId="3" name="망루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망루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localSheetId="3" name="머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머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모">{#N/A,#N/A,FALSE,"단면 제원"}</definedName>
    <definedName name="모">{#N/A,#N/A,FALSE,"단면 제원"}</definedName>
    <definedName localSheetId="3" name="물가변동내역서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므">{#N/A,#N/A,FALSE,"단면 제원"}</definedName>
    <definedName name="므">{#N/A,#N/A,FALSE,"단면 제원"}</definedName>
    <definedName name="미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">{#N/A,#N/A,FALSE,"포장단가"}</definedName>
    <definedName localSheetId="3" name="ㅂㄴㅊㅂㄴ">'[25]N賃率-職'!$I$5:$I$30</definedName>
    <definedName name="ㅂㄴㅊㅂㄴ">'[25]N賃率-職'!$I$5:$I$30</definedName>
    <definedName name="ㅂㄷㅇ">{#N/A,#N/A,FALSE,"표지목차"}</definedName>
    <definedName localSheetId="3" name="ㅂㅂ">[20]수량산출!#REF!</definedName>
    <definedName name="ㅂㅂ">[20]수량산출!#REF!</definedName>
    <definedName localSheetId="3" name="ㅂㅂㅂ">{"'용역비'!$A$4:$C$8"}</definedName>
    <definedName name="ㅂㅂㅂ">{"'용역비'!$A$4:$C$8"}</definedName>
    <definedName localSheetId="3" name="ㅂㅂㅂㅂ">{#N/A,#N/A,FALSE,"현장 NCR 분석";#N/A,#N/A,FALSE,"현장품질감사";#N/A,#N/A,FALSE,"현장품질감사"}</definedName>
    <definedName name="ㅂㅂㅂㅂ">{#N/A,#N/A,FALSE,"현장 NCR 분석";#N/A,#N/A,FALSE,"현장품질감사";#N/A,#N/A,FALSE,"현장품질감사"}</definedName>
    <definedName name="ㅂㅂㅂㅂㅂㅂㅂㅂㅂ">{#N/A,#N/A,FALSE,"표지목차"}</definedName>
    <definedName name="ㅂㅈ">{#N/A,#N/A,FALSE,"2~8번"}</definedName>
    <definedName localSheetId="3" name="ㅂㅈ_1">{#N/A,#N/A,FALSE,"2~8번"}</definedName>
    <definedName name="ㅂㅈ_1">{#N/A,#N/A,FALSE,"2~8번"}</definedName>
    <definedName name="ㅂㅈㅈ">{#N/A,#N/A,FALSE,"운반시간"}</definedName>
    <definedName localSheetId="3" name="발파1">{#N/A,#N/A,FALSE,"포장단가"}</definedName>
    <definedName name="발파1">{#N/A,#N/A,FALSE,"포장단가"}</definedName>
    <definedName localSheetId="3" name="발파2">{#N/A,#N/A,FALSE,"포장단가"}</definedName>
    <definedName name="발파2">{#N/A,#N/A,FALSE,"포장단가"}</definedName>
    <definedName localSheetId="3" name="발파3">{#N/A,#N/A,FALSE,"포장단가"}</definedName>
    <definedName name="발파3">{#N/A,#N/A,FALSE,"포장단가"}</definedName>
    <definedName localSheetId="3" name="발파4">{#N/A,#N/A,FALSE,"포장단가"}</definedName>
    <definedName name="발파4">{#N/A,#N/A,FALSE,"포장단가"}</definedName>
    <definedName localSheetId="3" name="발파5">{#N/A,#N/A,FALSE,"포장단가"}</definedName>
    <definedName name="발파5">{#N/A,#N/A,FALSE,"포장단가"}</definedName>
    <definedName localSheetId="3" name="발파6">{#N/A,#N/A,FALSE,"포장단가"}</definedName>
    <definedName name="발파6">{#N/A,#N/A,FALSE,"포장단가"}</definedName>
    <definedName localSheetId="3" name="발파7">{#N/A,#N/A,FALSE,"포장단가"}</definedName>
    <definedName name="발파7">{#N/A,#N/A,FALSE,"포장단가"}</definedName>
    <definedName localSheetId="3" name="방음벽">{#N/A,#N/A,FALSE,"2~8번"}</definedName>
    <definedName name="방음벽">{#N/A,#N/A,FALSE,"2~8번"}</definedName>
    <definedName localSheetId="3" name="방음벽1">{#N/A,#N/A,FALSE,"운반시간"}</definedName>
    <definedName name="방음벽1">{#N/A,#N/A,FALSE,"운반시간"}</definedName>
    <definedName localSheetId="3" name="배관공수율">'[9]N賃率-職'!$I$5:$I$30</definedName>
    <definedName name="배관공수율">'[9]N賃率-職'!$I$5:$I$30</definedName>
    <definedName localSheetId="3" name="변경단가">{#N/A,#N/A,FALSE,"포장단가"}</definedName>
    <definedName name="변경단가">{#N/A,#N/A,FALSE,"포장단가"}</definedName>
    <definedName localSheetId="3" name="보오링그라우딩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딩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보오링그라우팅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0" name="보오링그라우팅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사">{#N/A,#N/A,FALSE,"전열산출서"}</definedName>
    <definedName localSheetId="3" name="봉화교">{#N/A,#N/A,FALSE,"단면 제원"}</definedName>
    <definedName name="봉화교">{#N/A,#N/A,FALSE,"단면 제원"}</definedName>
    <definedName localSheetId="3" name="봉화육교">{#N/A,#N/A,FALSE,"단면 제원"}</definedName>
    <definedName name="봉화육교">{#N/A,#N/A,FALSE,"단면 제원"}</definedName>
    <definedName name="부대공총괄수량집계">{#N/A,#N/A,FALSE,"2~8번"}</definedName>
    <definedName name="부대원본">{#N/A,#N/A,FALSE,"토공2"}</definedName>
    <definedName localSheetId="3" name="부산주경기장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부손익">{#N/A,#N/A,FALSE,"현장 NCR 분석";#N/A,#N/A,FALSE,"현장품질감사";#N/A,#N/A,FALSE,"현장품질감사"}</definedName>
    <definedName name="부손익">{#N/A,#N/A,FALSE,"현장 NCR 분석";#N/A,#N/A,FALSE,"현장품질감사";#N/A,#N/A,FALSE,"현장품질감사"}</definedName>
    <definedName localSheetId="3" name="분야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분야별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분야별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분야별공사비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분양별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..">{#N/A,#N/A,FALSE,"골재소요량";#N/A,#N/A,FALSE,"골재소요량"}</definedName>
    <definedName name="ㅅ곳ㄴ고">{#N/A,#N/A,FALSE,"2~8번"}</definedName>
    <definedName name="ㅅㄳ">{#N/A,#N/A,FALSE,"골재소요량";#N/A,#N/A,FALSE,"골재소요량"}</definedName>
    <definedName name="ㅅㅅㅅㅅㅅㅅㅅ">{#N/A,#N/A,FALSE,"골재소요량";#N/A,#N/A,FALSE,"골재소요량"}</definedName>
    <definedName name="ㅅㅅㅅㅅㅅㅅㅅㅅㅅㅅㅅ">{#N/A,#N/A,FALSE,"골재소요량";#N/A,#N/A,FALSE,"골재소요량"}</definedName>
    <definedName name="ㅅ여ㅛ윣ㄴ">{#N/A,#N/A,FALSE,"조골재"}</definedName>
    <definedName name="ㅅ융ㄴㄳ">{#N/A,#N/A,FALSE,"조골재"}</definedName>
    <definedName localSheetId="3" name="ㅅㅎ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ㅅㅎ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localSheetId="3" name="ㅅㅎ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ㅅㅎ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ㅅㅎ공ㅋ">{#N/A,#N/A,FALSE,"단가표지"}</definedName>
    <definedName localSheetId="3" name="사석채움면적산출">{#N/A,#N/A,FALSE,"2~8번"}</definedName>
    <definedName name="사석채움면적산출">{#N/A,#N/A,FALSE,"2~8번"}</definedName>
    <definedName localSheetId="3" name="사인원가">'[27]#REF'!#REF!</definedName>
    <definedName name="사인원가">'[27]#REF'!#REF!</definedName>
    <definedName localSheetId="3" name="성토과재">{#N/A,#N/A,FALSE,"조골재"}</definedName>
    <definedName name="성토과재">{#N/A,#N/A,FALSE,"조골재"}</definedName>
    <definedName localSheetId="3" name="세차안전">{#N/A,#N/A,FALSE,"현장 NCR 분석";#N/A,#N/A,FALSE,"현장품질감사";#N/A,#N/A,FALSE,"현장품질감사"}</definedName>
    <definedName name="세차안전">{#N/A,#N/A,FALSE,"현장 NCR 분석";#N/A,#N/A,FALSE,"현장품질감사";#N/A,#N/A,FALSE,"현장품질감사"}</definedName>
    <definedName localSheetId="3" name="셔ㅛ">{#N/A,#N/A,FALSE,"운반시간"}</definedName>
    <definedName name="셔ㅛ">{#N/A,#N/A,FALSE,"운반시간"}</definedName>
    <definedName name="소">[28]지수적용공사비내역서!#REF!</definedName>
    <definedName localSheetId="3" name="소운반">{#N/A,#N/A,FALSE,"포장단가"}</definedName>
    <definedName name="소운반">{#N/A,#N/A,FALSE,"포장단가"}</definedName>
    <definedName localSheetId="3" name="손영주">{#N/A,#N/A,FALSE,"조골재"}</definedName>
    <definedName name="손영주">{#N/A,#N/A,FALSE,"조골재"}</definedName>
    <definedName localSheetId="3" name="수량산출내역">{#N/A,#N/A,FALSE,"포장단가"}</definedName>
    <definedName name="수량산출내역">{#N/A,#N/A,FALSE,"포장단가"}</definedName>
    <definedName name="수량산출서2">{#N/A,#N/A,FALSE,"2~8번"}</definedName>
    <definedName localSheetId="3" name="수량집계">{#N/A,#N/A,FALSE,"포장단가"}</definedName>
    <definedName name="수량집계">{#N/A,#N/A,FALSE,"포장단가"}</definedName>
    <definedName localSheetId="3" name="순공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순공사비집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승용교">{#N/A,#N/A,FALSE,"2~8번"}</definedName>
    <definedName name="승용교">{#N/A,#N/A,FALSE,"2~8번"}</definedName>
    <definedName localSheetId="3" name="시멘트운반">{#N/A,#N/A,FALSE,"포장단가"}</definedName>
    <definedName name="시멘트운반">{#N/A,#N/A,FALSE,"포장단가"}</definedName>
    <definedName localSheetId="3" name="시설물토공">{#N/A,#N/A,FALSE,"2~8번"}</definedName>
    <definedName name="시설물토공">{#N/A,#N/A,FALSE,"2~8번"}</definedName>
    <definedName localSheetId="3" name="식재공">{#N/A,#N/A,FALSE,"조골재"}</definedName>
    <definedName name="식재공">{#N/A,#N/A,FALSE,"조골재"}</definedName>
    <definedName localSheetId="3" name="신규포장">{#N/A,#N/A,FALSE,"포장단가"}</definedName>
    <definedName name="신규포장">{#N/A,#N/A,FALSE,"포장단가"}</definedName>
    <definedName localSheetId="3" name="ㅆ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ㅆ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ㅇㄴㄹㅇㄴㄹㅇㄴ">{#N/A,#N/A,FALSE,"조골재"}</definedName>
    <definedName name="ㅇㄴㅋㅋㅌ">{#N/A,#N/A,FALSE,"혼합골재"}</definedName>
    <definedName name="ㅇㄴㅍㄴㄱ">{#N/A,#N/A,FALSE,"골재소요량";#N/A,#N/A,FALSE,"골재소요량"}</definedName>
    <definedName localSheetId="3" name="ㅇㄹㄴㄴ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ㄴ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ㅇㄹㄶㄴㅁ">'[29]N賃率-職'!$I$5:$I$30</definedName>
    <definedName name="ㅇㄹㄶㄴㅁ">'[29]N賃率-職'!$I$5:$I$30</definedName>
    <definedName localSheetId="3" name="ㅇㄹㄹ">'[30]N賃率-職'!$I$5:$I$30</definedName>
    <definedName name="ㅇㄹㄹ">'[30]N賃率-職'!$I$5:$I$30</definedName>
    <definedName name="ㅇㄹㄹㄴㅇㄹㅇㄹㄴㅇ">[31]조명시설!#REF!</definedName>
    <definedName localSheetId="3" name="ㅇㄹㄹㅇ">{#N/A,#N/A,FALSE,"2~8번"}</definedName>
    <definedName name="ㅇㄹㄹㅇ">{#N/A,#N/A,FALSE,"2~8번"}</definedName>
    <definedName name="ㅇㄹㅇ">{#N/A,#N/A,FALSE,"운반시간"}</definedName>
    <definedName localSheetId="3" name="ㅇ라ㅓㅏㅗㄹ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ㄺ">{#N/A,#N/A,FALSE,"혼합골재"}</definedName>
    <definedName localSheetId="3" name="ㅇㅁㄴㄻㄴㅇㄹㅇㅁㄴ">{#N/A,#N/A,FALSE,"단면 제원"}</definedName>
    <definedName name="ㅇㅁㄴㄻㄴㅇㄹㅇㅁㄴ">{#N/A,#N/A,FALSE,"단면 제원"}</definedName>
    <definedName localSheetId="3" name="ㅇ샤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ㅇ샤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ㅇ쇼뉴굔">{#N/A,#N/A,FALSE,"조골재"}</definedName>
    <definedName name="ㅇ수ㅕㅜㅇ">{#N/A,#N/A,FALSE,"단가표지"}</definedName>
    <definedName localSheetId="3" name="ㅇㅇㅂ">{#N/A,#N/A,FALSE,"현장 NCR 분석";#N/A,#N/A,FALSE,"현장품질감사";#N/A,#N/A,FALSE,"현장품질감사"}</definedName>
    <definedName name="ㅇㅇㅂ">{#N/A,#N/A,FALSE,"현장 NCR 분석";#N/A,#N/A,FALSE,"현장품질감사";#N/A,#N/A,FALSE,"현장품질감사"}</definedName>
    <definedName name="ㅇㅊㅍㅍㅊㅌㅍㅊㅌㅍㅌ">[31]조명시설!#REF!</definedName>
    <definedName name="ㅇㅍㄴㅁ3">{#N/A,#N/A,FALSE,"조골재"}</definedName>
    <definedName localSheetId="3" name="아냐">{#N/A,#N/A,FALSE,"전열산출서"}</definedName>
    <definedName name="아냐">{#N/A,#N/A,FALSE,"전열산출서"}</definedName>
    <definedName localSheetId="3" name="아스콘2">[32]조명시설!#REF!</definedName>
    <definedName localSheetId="0" name="아스콘2">[32]조명시설!#REF!</definedName>
    <definedName name="아스콘2">[32]조명시설!#REF!</definedName>
    <definedName localSheetId="3" name="아스콘깨기">{#N/A,#N/A,FALSE,"골재소요량";#N/A,#N/A,FALSE,"골재소요량"}</definedName>
    <definedName name="아스콘깨기">{#N/A,#N/A,FALSE,"골재소요량";#N/A,#N/A,FALSE,"골재소요량"}</definedName>
    <definedName name="아ㅏ">{#N/A,#N/A,FALSE,"조골재"}</definedName>
    <definedName localSheetId="3" name="아ㅏㅓ랜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아ㅏㅓㅗㄹ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야외무대2">{#N/A,#N/A,FALSE,"운반시간"}</definedName>
    <definedName name="야외무대2">{#N/A,#N/A,FALSE,"운반시간"}</definedName>
    <definedName localSheetId="3" name="양재승2222222">[33]차액보증!#REF!</definedName>
    <definedName localSheetId="0" name="양재승2222222">[33]차액보증!#REF!</definedName>
    <definedName name="양재승2222222">[33]차액보증!#REF!</definedName>
    <definedName localSheetId="3" name="어ㅓ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어ㅓ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localSheetId="3" name="어ㅓㅓㅇ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어ㅘㄴ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ㅜㅅㅅㄱㅇ">{#N/A,#N/A,FALSE,"골재소요량";#N/A,#N/A,FALSE,"골재소요량"}</definedName>
    <definedName localSheetId="3" name="연경1교">{#N/A,#N/A,FALSE,"단면 제원"}</definedName>
    <definedName name="연경1교">{#N/A,#N/A,FALSE,"단면 제원"}</definedName>
    <definedName localSheetId="3" name="연경1교1">{#N/A,#N/A,FALSE,"단면 제원"}</definedName>
    <definedName name="연경1교1">{#N/A,#N/A,FALSE,"단면 제원"}</definedName>
    <definedName localSheetId="3" name="연습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영시스템">[34]수량산출!#REF!</definedName>
    <definedName localSheetId="0" name="영시스템">[34]수량산출!#REF!</definedName>
    <definedName name="영시스템">[34]수량산출!#REF!</definedName>
    <definedName localSheetId="3" name="옥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옹벼집계">{#N/A,#N/A,FALSE,"혼합골재"}</definedName>
    <definedName localSheetId="3" name="옹벽수량집계표총괄">{#N/A,#N/A,FALSE,"혼합골재"}</definedName>
    <definedName name="옹벽수량집계표총괄">{#N/A,#N/A,FALSE,"혼합골재"}</definedName>
    <definedName name="옹벽지">{#N/A,#N/A,FALSE,"혼합골재"}</definedName>
    <definedName localSheetId="3" name="우수총괄">{#N/A,#N/A,FALSE,"골재소요량";#N/A,#N/A,FALSE,"골재소요량"}</definedName>
    <definedName name="우수총괄">{#N/A,#N/A,FALSE,"골재소요량";#N/A,#N/A,FALSE,"골재소요량"}</definedName>
    <definedName name="웃ㅇ국ㅇ">{#N/A,#N/A,FALSE,"혼합골재"}</definedName>
    <definedName localSheetId="3" name="원가계간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원가계산">{#N/A,#N/A,FALSE,"포장단가"}</definedName>
    <definedName name="원가계산">{#N/A,#N/A,FALSE,"포장단가"}</definedName>
    <definedName localSheetId="3" name="원가계산19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원각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원기기ㅣㅇ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>[35]실행철강하도!$A$1:$A$4</definedName>
    <definedName localSheetId="3" name="유률유">{#N/A,#N/A,FALSE,"배수1"}</definedName>
    <definedName name="유률유">{#N/A,#N/A,FALSE,"배수1"}</definedName>
    <definedName localSheetId="3" name="육교">{#N/A,#N/A,FALSE,"단면 제원"}</definedName>
    <definedName name="육교">{#N/A,#N/A,FALSE,"단면 제원"}</definedName>
    <definedName localSheetId="3" name="이성">{#N/A,#N/A,FALSE,"골재소요량";#N/A,#N/A,FALSE,"골재소요량"}</definedName>
    <definedName name="이성">{#N/A,#N/A,FALSE,"골재소요량";#N/A,#N/A,FALSE,"골재소요량"}</definedName>
    <definedName localSheetId="3" name="이성진">{#N/A,#N/A,FALSE,"조골재"}</definedName>
    <definedName name="이성진">{#N/A,#N/A,FALSE,"조골재"}</definedName>
    <definedName localSheetId="3" name="이이잉">{#N/A,#N/A,FALSE,"전열산출서"}</definedName>
    <definedName name="이이잉">{#N/A,#N/A,FALSE,"전열산출서"}</definedName>
    <definedName localSheetId="3" name="이정">{#N/A,#N/A,FALSE,"2~8번"}</definedName>
    <definedName localSheetId="0" name="이정">{#N/A,#N/A,FALSE,"2~8번"}</definedName>
    <definedName name="이정">{#N/A,#N/A,FALSE,"2~8번"}</definedName>
    <definedName localSheetId="3" name="이천순복음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0" name="이천순복음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공항고속도로">{#N/A,#N/A,FALSE,"단가표지"}</definedName>
    <definedName localSheetId="3" name="인천지검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0" name="인천지검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일반부">{#N/A,#N/A,FALSE,"조골재"}</definedName>
    <definedName name="일반부">{#N/A,#N/A,FALSE,"조골재"}</definedName>
    <definedName localSheetId="3" name="일반부_1">{#N/A,#N/A,FALSE,"조골재"}</definedName>
    <definedName name="일반부_1">{#N/A,#N/A,FALSE,"조골재"}</definedName>
    <definedName localSheetId="3" name="임ㄴ">{"'공사부문'!$A$6:$A$32"}</definedName>
    <definedName localSheetId="0" name="임ㄴ">{"'공사부문'!$A$6:$A$32"}</definedName>
    <definedName name="임ㄴ">{"'공사부문'!$A$6:$A$32"}</definedName>
    <definedName localSheetId="3" name="임차료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임차료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ㅈㄱ_1">{#N/A,#N/A,FALSE,"조골재"}</definedName>
    <definedName name="ㅈㄱ_1">{#N/A,#N/A,FALSE,"조골재"}</definedName>
    <definedName localSheetId="3" name="ㅈㄷㄱㄷㄱㄷ">{"'용역비'!$A$4:$C$8"}</definedName>
    <definedName localSheetId="0" name="ㅈㄷㄱㄷㄱㄷ">{"'용역비'!$A$4:$C$8"}</definedName>
    <definedName name="ㅈㄷㄱㄷㄱㄷ">{"'용역비'!$A$4:$C$8"}</definedName>
    <definedName name="ㅈㄷㄳㅈㄷㅍㅎㄱ">{#N/A,#N/A,FALSE,"표지목차"}</definedName>
    <definedName name="ㅈㄷㄳㅎㅍㅂㅈㄱ">{#N/A,#N/A,FALSE,"골재소요량";#N/A,#N/A,FALSE,"골재소요량"}</definedName>
    <definedName name="ㅈㅁㄱㄷ">{#N/A,#N/A,FALSE,"단가표지"}</definedName>
    <definedName localSheetId="3" name="ㅈㅇ">{"'용역비'!$A$4:$C$8"}</definedName>
    <definedName localSheetId="0" name="ㅈㅇ">{"'용역비'!$A$4:$C$8"}</definedName>
    <definedName name="ㅈㅇ">{"'용역비'!$A$4:$C$8"}</definedName>
    <definedName localSheetId="3" name="ㅈㅈ">{#N/A,#N/A,FALSE,"표지목차"}</definedName>
    <definedName localSheetId="0" name="ㅈㅈ">{#N/A,#N/A,FALSE,"표지목차"}</definedName>
    <definedName name="ㅈㅈ">{#N/A,#N/A,FALSE,"표지목차"}</definedName>
    <definedName localSheetId="3" name="ㅈㅈㅈ">{"'용역비'!$A$4:$C$8"}</definedName>
    <definedName localSheetId="0" name="ㅈㅈㅈ">{"'용역비'!$A$4:$C$8"}</definedName>
    <definedName name="ㅈㅈㅈ">{"'용역비'!$A$4:$C$8"}</definedName>
    <definedName localSheetId="3" name="ㅈㅈㅈㅈ">{#N/A,#N/A,FALSE,"골재소요량";#N/A,#N/A,FALSE,"골재소요량"}</definedName>
    <definedName name="ㅈㅈㅈㅈ">{#N/A,#N/A,FALSE,"조골재"}</definedName>
    <definedName localSheetId="3" name="ㅈㅈㅈㅈㅈ">{#N/A,#N/A,FALSE,"혼합골재"}</definedName>
    <definedName name="ㅈㅈㅈㅈㅈ">{#N/A,#N/A,FALSE,"2~8번"}</definedName>
    <definedName localSheetId="3" name="ㅈㅈㅈㅈㅈㅈ">{"'용역비'!$A$4:$C$8"}</definedName>
    <definedName localSheetId="0" name="ㅈㅈㅈㅈㅈㅈ">{"'용역비'!$A$4:$C$8"}</definedName>
    <definedName name="ㅈㅈㅈㅈㅈㅈ">{"'용역비'!$A$4:$C$8"}</definedName>
    <definedName localSheetId="3" name="자재집계">{#N/A,#N/A,FALSE,"포장단가"}</definedName>
    <definedName name="자재집계">{#N/A,#N/A,FALSE,"포장단가"}</definedName>
    <definedName name="장1">{#N/A,#N/A,FALSE,"토공2"}</definedName>
    <definedName name="장10">{#N/A,#N/A,FALSE,"조골재"}</definedName>
    <definedName name="장11">{#N/A,#N/A,FALSE,"2~8번"}</definedName>
    <definedName name="장12">{#N/A,#N/A,FALSE,"골재소요량";#N/A,#N/A,FALSE,"골재소요량"}</definedName>
    <definedName name="장13">{#N/A,#N/A,FALSE,"구조2"}</definedName>
    <definedName name="장14">{#N/A,#N/A,FALSE,"단가표지"}</definedName>
    <definedName name="장15">{#N/A,#N/A,FALSE,"배수1"}</definedName>
    <definedName name="장16">{#N/A,#N/A,FALSE,"배수2"}</definedName>
    <definedName name="장17">{#N/A,#N/A,FALSE,"부대1"}</definedName>
    <definedName name="장18">{#N/A,#N/A,FALSE,"부대2"}</definedName>
    <definedName name="장19">{#N/A,#N/A,FALSE,"속도"}</definedName>
    <definedName name="장2">{#N/A,#N/A,FALSE,"2~8번"}</definedName>
    <definedName name="장20">{#N/A,#N/A,FALSE,"운반시간"}</definedName>
    <definedName name="장21">{#N/A,#N/A,FALSE,"이정표"}</definedName>
    <definedName name="장22">{#N/A,#N/A,FALSE,"조골재"}</definedName>
    <definedName name="장23">{#N/A,#N/A,FALSE,"구조1"}</definedName>
    <definedName name="장24">{#N/A,#N/A,FALSE,"토공2"}</definedName>
    <definedName name="장25">{#N/A,#N/A,FALSE,"포장1";#N/A,#N/A,FALSE,"포장1"}</definedName>
    <definedName name="장26">{#N/A,#N/A,FALSE,"포장2"}</definedName>
    <definedName name="장27">{#N/A,#N/A,FALSE,"표지목차"}</definedName>
    <definedName name="장28">{#N/A,#N/A,FALSE,"혼합골재"}</definedName>
    <definedName name="장4">{#N/A,#N/A,FALSE,"단가표지"}</definedName>
    <definedName name="장5">{#N/A,#N/A,FALSE,"운반시간"}</definedName>
    <definedName name="장6">{#N/A,#N/A,FALSE,"운반시간"}</definedName>
    <definedName name="장7">{#N/A,#N/A,FALSE,"골재소요량";#N/A,#N/A,FALSE,"골재소요량"}</definedName>
    <definedName name="장8">{#N/A,#N/A,FALSE,"단가표지"}</definedName>
    <definedName name="장9">{#N/A,#N/A,FALSE,"단가표지"}</definedName>
    <definedName localSheetId="3" name="재집">{"'용역비'!$A$4:$C$8"}</definedName>
    <definedName localSheetId="0" name="재집">{"'용역비'!$A$4:$C$8"}</definedName>
    <definedName name="재집">{"'용역비'!$A$4:$C$8"}</definedName>
    <definedName localSheetId="3" name="쟈">{#N/A,#N/A,FALSE,"단면 제원"}</definedName>
    <definedName name="쟈">{#N/A,#N/A,FALSE,"단면 제원"}</definedName>
    <definedName localSheetId="3" name="저">{#N/A,#N/A,FALSE,"단면 제원"}</definedName>
    <definedName name="저">{#N/A,#N/A,FALSE,"단면 제원"}</definedName>
    <definedName localSheetId="3" name="전산처리비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전산처리비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접속A2">{#N/A,#N/A,FALSE,"단면 제원"}</definedName>
    <definedName name="접속A2">{#N/A,#N/A,FALSE,"단면 제원"}</definedName>
    <definedName localSheetId="3" name="제">{#N/A,#N/A,FALSE,"단면 제원"}</definedName>
    <definedName name="제">{#N/A,#N/A,FALSE,"단면 제원"}</definedName>
    <definedName localSheetId="3" name="제조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조경자재총괄표">{#N/A,#N/A,FALSE,"골재소요량";#N/A,#N/A,FALSE,"골재소요량"}</definedName>
    <definedName name="조경자재총괄표">{#N/A,#N/A,FALSE,"골재소요량";#N/A,#N/A,FALSE,"골재소요량"}</definedName>
    <definedName localSheetId="3" name="조사가">[36]입찰안!#REF!</definedName>
    <definedName localSheetId="0" name="조사가">[36]입찰안!#REF!</definedName>
    <definedName name="조사가">[36]입찰안!#REF!</definedName>
    <definedName localSheetId="3" name="종합청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0" name="종합청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죠">{#N/A,#N/A,FALSE,"단면 제원"}</definedName>
    <definedName name="죠">{#N/A,#N/A,FALSE,"단면 제원"}</definedName>
    <definedName name="주간">{#N/A,#N/A,FALSE,"운반시간"}</definedName>
    <definedName localSheetId="3" name="중기운반식">{#N/A,#N/A,FALSE,"포장단가"}</definedName>
    <definedName name="중기운반식">{#N/A,#N/A,FALSE,"포장단가"}</definedName>
    <definedName name="중량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쥬">{#N/A,#N/A,FALSE,"단면 제원"}</definedName>
    <definedName name="쥬">{#N/A,#N/A,FALSE,"단면 제원"}</definedName>
    <definedName localSheetId="3" name="즈">{#N/A,#N/A,FALSE,"단면 제원"}</definedName>
    <definedName name="즈">{#N/A,#N/A,FALSE,"단면 제원"}</definedName>
    <definedName localSheetId="3" name="지">{#N/A,#N/A,FALSE,"단면 제원"}</definedName>
    <definedName name="지">{#N/A,#N/A,FALSE,"단면 제원"}</definedName>
    <definedName localSheetId="3" name="지계표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지계표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지워">{#N/A,#N/A,FALSE,"전열산출서"}</definedName>
    <definedName name="지워">{#N/A,#N/A,FALSE,"전열산출서"}</definedName>
    <definedName localSheetId="3" name="지워야">{#N/A,#N/A,FALSE,"전열산출서"}</definedName>
    <definedName name="지워야">{#N/A,#N/A,FALSE,"전열산출서"}</definedName>
    <definedName localSheetId="3" name="직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직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진">{#N/A,#N/A,FALSE,"2~8번"}</definedName>
    <definedName localSheetId="3" name="ㅊㄴ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ㅊㄴ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ㅊㅊㅊㅊㅊ">{#N/A,#N/A,FALSE,"단가표지"}</definedName>
    <definedName name="ㅊㅊㅊㅊㅊㅊ">{#N/A,#N/A,FALSE,"조골재"}</definedName>
    <definedName localSheetId="3" name="ㅊㅊㅊㅊㅊㅊㅊ">{#N/A,#N/A,FALSE,"현장 NCR 분석";#N/A,#N/A,FALSE,"현장품질감사";#N/A,#N/A,FALSE,"현장품질감사"}</definedName>
    <definedName name="ㅊㅊㅊㅊㅊㅊㅊ">{#N/A,#N/A,FALSE,"현장 NCR 분석";#N/A,#N/A,FALSE,"현장품질감사";#N/A,#N/A,FALSE,"현장품질감사"}</definedName>
    <definedName localSheetId="3" name="ㅊ햐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ㅊ햐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localSheetId="3" name="차차">[37]조명시설!#REF!</definedName>
    <definedName localSheetId="0" name="차차">[37]조명시설!#REF!</definedName>
    <definedName name="차차">[37]조명시설!#REF!</definedName>
    <definedName name="철근량">{#N/A,#N/A,FALSE,"전력간선"}</definedName>
    <definedName localSheetId="3" name="철근운반">{#N/A,#N/A,FALSE,"포장단가"}</definedName>
    <definedName name="철근운반">{#N/A,#N/A,FALSE,"포장단가"}</definedName>
    <definedName localSheetId="3" name="철근집계">{#N/A,#N/A,FALSE,"단가표지"}</definedName>
    <definedName name="철근집계">{#N/A,#N/A,FALSE,"단가표지"}</definedName>
    <definedName name="철근총괄1">{#N/A,#N/A,FALSE,"표지목차"}</definedName>
    <definedName localSheetId="3" name="쳐ㅑ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쳐ㅑ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총공">{#N/A,#N/A,FALSE,"운반시간"}</definedName>
    <definedName name="총공사비2">{#N/A,#N/A,FALSE,"전력간선"}</definedName>
    <definedName localSheetId="3" name="총괄">{#N/A,#N/A,FALSE,"포장단가"}</definedName>
    <definedName localSheetId="0" name="총괄">{#N/A,#N/A,FALSE,"포장단가"}</definedName>
    <definedName name="총괄">{#N/A,#N/A,FALSE,"포장단가"}</definedName>
    <definedName localSheetId="3" name="추정">{#N/A,#N/A,FALSE,"전열산출서"}</definedName>
    <definedName name="추정">{#N/A,#N/A,FALSE,"전열산출서"}</definedName>
    <definedName localSheetId="3" name="ㅋ_1">{#N/A,#N/A,FALSE,"조골재"}</definedName>
    <definedName name="ㅋ_1">{#N/A,#N/A,FALSE,"조골재"}</definedName>
    <definedName localSheetId="3" name="ㅋㅇ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ㅋㅇ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localSheetId="3" name="ㅋㅇㅌㅅ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ㅋㅇㅌㅅ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localSheetId="3" name="ㅋㅋ">{#N/A,#N/A,FALSE,"단가표지"}</definedName>
    <definedName name="ㅋㅋ">{#N/A,#N/A,FALSE,"조골재"}</definedName>
    <definedName name="ㅋㅋㅋㅋ">{#N/A,#N/A,FALSE,"조골재"}</definedName>
    <definedName name="ㅋㅋㅋㅋㅋㅋ">{#N/A,#N/A,FALSE,"골재소요량";#N/A,#N/A,FALSE,"골재소요량"}</definedName>
    <definedName localSheetId="3" name="ㅋㅋㅋㅋㅋㅋㅋㅋㅋㅋㅋ">{#N/A,#N/A,FALSE,"포장단가"}</definedName>
    <definedName name="ㅋㅋㅋㅋㅋㅋㅋㅋㅋㅋㅋ">{#N/A,#N/A,FALSE,"포장단가"}</definedName>
    <definedName localSheetId="3" name="케러">{#N/A,#N/A,FALSE,"2~8번"}</definedName>
    <definedName name="케러">{#N/A,#N/A,FALSE,"2~8번"}</definedName>
    <definedName localSheetId="3" name="ㅌ_1">{#N/A,#N/A,FALSE,"2~8번"}</definedName>
    <definedName name="ㅌ_1">{#N/A,#N/A,FALSE,"2~8번"}</definedName>
    <definedName localSheetId="3" name="ㅌㄹ서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ㄹ서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localSheetId="3" name="ㅌ랴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랴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localSheetId="3" name="ㅌ료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ㅌ료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localSheetId="3" name="ㅌㅇ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ㅌㅇ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ㅌㅌ">{#N/A,#N/A,FALSE,"조골재"}</definedName>
    <definedName name="ㅌㅌㅌㅌ">{#N/A,#N/A,FALSE,"2~8번"}</definedName>
    <definedName name="ㅌㅌㅌㅌㅌㅌ">{#N/A,#N/A,FALSE,"조골재"}</definedName>
    <definedName localSheetId="3" name="ㅌㅍㅁㄴㅋ">'[25]N賃率-職'!$I$5:$I$30</definedName>
    <definedName name="ㅌㅍㅁㄴㅋ">'[25]N賃率-職'!$I$5:$I$30</definedName>
    <definedName localSheetId="3" name="타견적">[34]수량산출!$A$1:$A$8282</definedName>
    <definedName name="타견적">[34]수량산출!$A$1:$A$8282</definedName>
    <definedName name="태영">{#N/A,#N/A,FALSE,"골재소요량";#N/A,#N/A,FALSE,"골재소요량"}</definedName>
    <definedName name="토공.">{#N/A,#N/A,FALSE,"운반시간"}</definedName>
    <definedName name="토공집계">{#N/A,#N/A,FALSE,"단가표지"}</definedName>
    <definedName localSheetId="3" name="토량계산">{#N/A,#N/A,FALSE,"포장단가"}</definedName>
    <definedName name="토량계산">{#N/A,#N/A,FALSE,"포장단가"}</definedName>
    <definedName localSheetId="3" name="토목설계">{#N/A,#N/A,FALSE,"골재소요량";#N/A,#N/A,FALSE,"골재소요량"}</definedName>
    <definedName name="토목설계">{#N/A,#N/A,FALSE,"골재소요량";#N/A,#N/A,FALSE,"골재소요량"}</definedName>
    <definedName localSheetId="3" name="ㅍ_1">{#N/A,#N/A,FALSE,"2~8번"}</definedName>
    <definedName name="ㅍ_1">{#N/A,#N/A,FALSE,"2~8번"}</definedName>
    <definedName localSheetId="3" name="ㅍㅍㅍ">{#N/A,#N/A,FALSE,"단가표지"}</definedName>
    <definedName name="ㅍㅍㅍ">{#N/A,#N/A,FALSE,"단가표지"}</definedName>
    <definedName localSheetId="3" name="ㅍㅍㅍㅍㅍ">{#N/A,#N/A,FALSE,"표지목차"}</definedName>
    <definedName name="ㅍㅍㅍㅍㅍ">{#N/A,#N/A,FALSE,"운반시간"}</definedName>
    <definedName localSheetId="3" name="ㅍㅍㅍㅍㅍㅍㅍㅍ">{#N/A,#N/A,FALSE,"표지목차"}</definedName>
    <definedName name="ㅍㅍㅍㅍㅍㅍㅍㅍ">{#N/A,#N/A,FALSE,"표지목차"}</definedName>
    <definedName localSheetId="3" name="파군재교">{#N/A,#N/A,FALSE,"단면 제원"}</definedName>
    <definedName name="파군재교">{#N/A,#N/A,FALSE,"단면 제원"}</definedName>
    <definedName name="푸">{#N/A,#N/A,FALSE,"토공2"}</definedName>
    <definedName name="ㅎ4ㅅ고46">[28]지수적용공사비내역서!#REF!</definedName>
    <definedName localSheetId="3" name="ㅎ5">{#N/A,#N/A,FALSE,"골재소요량";#N/A,#N/A,FALSE,"골재소요량"}</definedName>
    <definedName name="ㅎ5">{#N/A,#N/A,FALSE,"골재소요량";#N/A,#N/A,FALSE,"골재소요량"}</definedName>
    <definedName localSheetId="3" name="ㅎ5_1">{#N/A,#N/A,FALSE,"골재소요량";#N/A,#N/A,FALSE,"골재소요량"}</definedName>
    <definedName name="ㅎ5_1">{#N/A,#N/A,FALSE,"골재소요량";#N/A,#N/A,FALSE,"골재소요량"}</definedName>
    <definedName name="ㅎㄱㄷㅎ">{#N/A,#N/A,FALSE,"골재소요량";#N/A,#N/A,FALSE,"골재소요량"}</definedName>
    <definedName name="ㅎㄱㅎㅎㄷㄶ">{#N/A,#N/A,FALSE,"골재소요량";#N/A,#N/A,FALSE,"골재소요량"}</definedName>
    <definedName name="ㅎ노ㅠ">{#N/A,#N/A,FALSE,"배수1"}</definedName>
    <definedName name="ㅎㄶ">{#N/A,#N/A,FALSE,"속도"}</definedName>
    <definedName name="ㅎㄹㄴ">{#N/A,#N/A,FALSE,"2~8번"}</definedName>
    <definedName name="ㅎㄹㅇㄹㄴㅇㄴㄹ">{#N/A,#N/A,FALSE,"표지목차"}</definedName>
    <definedName localSheetId="3" name="ㅎㄹ오하ㅓ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0" name="ㅎㄹ오하ㅓ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류휴ㅠㅎ휴">{#N/A,#N/A,FALSE,"골재소요량";#N/A,#N/A,FALSE,"골재소요량"}</definedName>
    <definedName name="ㅎ류ㅠㅍㅎㅇㅎ">{#N/A,#N/A,FALSE,"골재소요량";#N/A,#N/A,FALSE,"골재소요량"}</definedName>
    <definedName name="ㅎ률">{#N/A,#N/A,FALSE,"조골재"}</definedName>
    <definedName localSheetId="3" name="ㅎㅀㄹ">{#N/A,#N/A,FALSE,"운반시간"}</definedName>
    <definedName name="ㅎㅀㄹ">{#N/A,#N/A,FALSE,"운반시간"}</definedName>
    <definedName name="ㅎㅇㄴ">{#N/A,#N/A,FALSE,"2~8번"}</definedName>
    <definedName localSheetId="3" name="ㅎㅎㅎㅇ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ㄴ">{#N/A,#N/A,FALSE,"표지목차"}</definedName>
    <definedName localSheetId="3" name="ㅎㅎㅎㅎㅎㅎㅎ">{#N/A,#N/A,FALSE,"골재소요량";#N/A,#N/A,FALSE,"골재소요량"}</definedName>
    <definedName name="ㅎㅎㅎㅎㅎㅎㅎ">{#N/A,#N/A,FALSE,"골재소요량";#N/A,#N/A,FALSE,"골재소요량"}</definedName>
    <definedName name="ㅎㅎㅎㅎㅎㅜㅜ">{#N/A,#N/A,FALSE,"조골재"}</definedName>
    <definedName localSheetId="3" name="하도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0" name="하도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하동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하수도2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하이바">{#N/A,#N/A,FALSE,"포장단가"}</definedName>
    <definedName name="하이바">{#N/A,#N/A,FALSE,"포장단가"}</definedName>
    <definedName localSheetId="3" name="한동">{#N/A,#N/A,FALSE,"단가표지"}</definedName>
    <definedName name="한동">{#N/A,#N/A,FALSE,"단가표지"}</definedName>
    <definedName localSheetId="3" name="한전">{#N/A,#N/A,FALSE,"현장 NCR 분석";#N/A,#N/A,FALSE,"현장품질감사";#N/A,#N/A,FALSE,"현장품질감사"}</definedName>
    <definedName name="한전">{#N/A,#N/A,FALSE,"현장 NCR 분석";#N/A,#N/A,FALSE,"현장품질감사";#N/A,#N/A,FALSE,"현장품질감사"}</definedName>
    <definedName name="호ㅠ포">{#N/A,#N/A,FALSE,"표지목차"}</definedName>
    <definedName localSheetId="3" name="홓">{#N/A,#N/A,FALSE,"조골재"}</definedName>
    <definedName name="홓">{#N/A,#N/A,FALSE,"조골재"}</definedName>
    <definedName localSheetId="3" name="회현지구">{"'용역비'!$A$4:$C$8"}</definedName>
    <definedName name="회현지구">{"'용역비'!$A$4:$C$8"}</definedName>
    <definedName name="효ㅛㅛㅛㅛ">{#N/A,#N/A,FALSE,"조골재"}</definedName>
    <definedName localSheetId="3" name="흄관운반">{#N/A,#N/A,FALSE,"포장단가"}</definedName>
    <definedName name="흄관운반">{#N/A,#N/A,FALSE,"포장단가"}</definedName>
    <definedName localSheetId="3" name="히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히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localSheetId="3" name="ㅏ_1">{#N/A,#N/A,FALSE,"운반시간"}</definedName>
    <definedName name="ㅏ_1">{#N/A,#N/A,FALSE,"운반시간"}</definedName>
    <definedName localSheetId="3" name="ㅏㅏㅏ갸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ㅏㅏㅏ데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ㅏㅏㅏㅏ">{#N/A,#N/A,FALSE,"단면 제원"}</definedName>
    <definedName name="ㅏㅏㅏㅏ">{#N/A,#N/A,FALSE,"단면 제원"}</definedName>
    <definedName name="ㅏㅏㅏㅏㅏ">{#N/A,#N/A,FALSE,"단가표지"}</definedName>
    <definedName name="ㅏㅏㅏㅏㅏㅏㅏ">{#N/A,#N/A,FALSE,"운반시간"}</definedName>
    <definedName name="ㅏㅏㅏㅏㅏㅏㅏㅏㅏㅏㅏㅏㅏㅏㅏㅏㅏㅏㅏㅏㅏㅏㅏㅏㅏㅏㅏ">{#N/A,#N/A,FALSE,"단가표지"}</definedName>
    <definedName localSheetId="3" name="ㅏㅏㅣ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ㅏㅓ">{#N/A,#N/A,FALSE,"골재소요량";#N/A,#N/A,FALSE,"골재소요량"}</definedName>
    <definedName name="ㅏㅓ">{#N/A,#N/A,FALSE,"골재소요량";#N/A,#N/A,FALSE,"골재소요량"}</definedName>
    <definedName localSheetId="3" name="ㅏㅓㅏ">{#N/A,#N/A,FALSE,"단가표지"}</definedName>
    <definedName name="ㅏㅓㅏ">{#N/A,#N/A,FALSE,"단가표지"}</definedName>
    <definedName localSheetId="3" name="ㅏㅓㅏㅓ">{#N/A,#N/A,FALSE,"2~8번"}</definedName>
    <definedName name="ㅏㅓㅏㅓ">{#N/A,#N/A,FALSE,"2~8번"}</definedName>
    <definedName localSheetId="3" name="ㅏㅕㅛㅏㄱㄹㅇ">'[25]N賃率-職'!$I$5:$I$30</definedName>
    <definedName name="ㅏㅕㅛㅏㄱㄹㅇ">'[25]N賃率-職'!$I$5:$I$30</definedName>
    <definedName name="ㅑ">{#N/A,#N/A,FALSE,"조골재"}</definedName>
    <definedName localSheetId="3" name="ㅑ_1">{#N/A,#N/A,FALSE,"조골재"}</definedName>
    <definedName name="ㅑ_1">{#N/A,#N/A,FALSE,"조골재"}</definedName>
    <definedName localSheetId="3" name="ㅑㅑㅑ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ㅕ사">{#N/A,#N/A,FALSE,"혼합골재"}</definedName>
    <definedName name="ㅑㅣㅕㅕㅣㅏㅎ">{#N/A,#N/A,FALSE,"골재소요량";#N/A,#N/A,FALSE,"골재소요량"}</definedName>
    <definedName localSheetId="3" name="ㅓ7">{#N/A,#N/A,FALSE,"단가표지"}</definedName>
    <definedName name="ㅓ7">{#N/A,#N/A,FALSE,"단가표지"}</definedName>
    <definedName localSheetId="3" name="ㅓ7_1">{#N/A,#N/A,FALSE,"단가표지"}</definedName>
    <definedName name="ㅓ7_1">{#N/A,#N/A,FALSE,"단가표지"}</definedName>
    <definedName localSheetId="3" name="ㅓㄴㄱ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ㄴㄱ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localSheetId="3" name="ㅓㄴㅇ러">{#N/A,#N/A,FALSE,"골재소요량";#N/A,#N/A,FALSE,"골재소요량"}</definedName>
    <definedName name="ㅓㄴㅇ러">{#N/A,#N/A,FALSE,"골재소요량";#N/A,#N/A,FALSE,"골재소요량"}</definedName>
    <definedName localSheetId="3" name="ㅓ난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ㅓㄹ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ㄹ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localSheetId="3" name="ㅓㅇ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ㅇ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ㅇ런">[38]SANTOGO!#REF!</definedName>
    <definedName localSheetId="3" name="ㅓㅏ">{#N/A,#N/A,FALSE,"표지목차"}</definedName>
    <definedName name="ㅓㅏ">{#N/A,#N/A,FALSE,"골재소요량";#N/A,#N/A,FALSE,"골재소요량"}</definedName>
    <definedName localSheetId="3" name="ㅓㅏㅓ">{#N/A,#N/A,FALSE,"조골재"}</definedName>
    <definedName name="ㅓㅏㅓ">{#N/A,#N/A,FALSE,"조골재"}</definedName>
    <definedName name="ㅓㅏㅓㅎ">{#N/A,#N/A,FALSE,"단가표지"}</definedName>
    <definedName localSheetId="3" name="ㅓㅓㅏ니ㅣㅇ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ㅓㅓㅓ">{#N/A,#N/A,FALSE,"단면 제원"}</definedName>
    <definedName name="ㅓㅓㅓ">{#N/A,#N/A,FALSE,"단면 제원"}</definedName>
    <definedName localSheetId="3" name="ㅓㅓㅓㄴ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ㅓㅓㅓㅓㅓㅓㅓㅓ">{#N/A,#N/A,FALSE,"골재소요량";#N/A,#N/A,FALSE,"골재소요량"}</definedName>
    <definedName localSheetId="3" name="ㅓㅓㅗ">{#N/A,#N/A,FALSE,"조골재"}</definedName>
    <definedName name="ㅓㅓㅗ">{#N/A,#N/A,FALSE,"조골재"}</definedName>
    <definedName name="ㅓㅕ">{#N/A,#N/A,FALSE,"조골재"}</definedName>
    <definedName localSheetId="3" name="ㅓㅗㅓ">{#N/A,#N/A,FALSE,"2~8번"}</definedName>
    <definedName name="ㅓㅗㅓ">{#N/A,#N/A,FALSE,"2~8번"}</definedName>
    <definedName localSheetId="3" name="ㅓㅛㅇ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ㅓㅛㅇ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ㅔ">{#N/A,#N/A,FALSE,"골재소요량";#N/A,#N/A,FALSE,"골재소요량"}</definedName>
    <definedName localSheetId="3" name="ㅔ3">{#N/A,#N/A,FALSE,"배수1"}</definedName>
    <definedName name="ㅔ3">{#N/A,#N/A,FALSE,"배수1"}</definedName>
    <definedName localSheetId="3" name="ㅔㅔㅔㅔㅔㅔㅔㅔㅔㅔ">{#N/A,#N/A,FALSE,"현장 NCR 분석";#N/A,#N/A,FALSE,"현장품질감사";#N/A,#N/A,FALSE,"현장품질감사"}</definedName>
    <definedName name="ㅔㅔㅔㅔㅔㅔㅔㅔㅔㅔ">{#N/A,#N/A,FALSE,"현장 NCR 분석";#N/A,#N/A,FALSE,"현장품질감사";#N/A,#N/A,FALSE,"현장품질감사"}</definedName>
    <definedName name="ㅕㅑ">{#N/A,#N/A,FALSE,"2~8번"}</definedName>
    <definedName name="ㅕㅑㅑㅑ">{#N/A,#N/A,FALSE,"조골재"}</definedName>
    <definedName name="ㅕㅕㅕ">{#N/A,#N/A,FALSE,"혼합골재"}</definedName>
    <definedName name="ㅕㅕㅕㅕ">{#N/A,#N/A,FALSE,"표지목차"}</definedName>
    <definedName name="ㅕㅕㅕㅕㅕ">{#N/A,#N/A,FALSE,"운반시간"}</definedName>
    <definedName localSheetId="3" name="ㅕㅕㅕㅕㅕㅕ">{#N/A,#N/A,FALSE,"현장 NCR 분석";#N/A,#N/A,FALSE,"현장품질감사";#N/A,#N/A,FALSE,"현장품질감사"}</definedName>
    <definedName name="ㅕㅕㅕㅕㅕㅕ">{#N/A,#N/A,FALSE,"현장 NCR 분석";#N/A,#N/A,FALSE,"현장품질감사";#N/A,#N/A,FALSE,"현장품질감사"}</definedName>
    <definedName name="ㅕㅕㅕㅕㅕㅕㅕㅕ">{#N/A,#N/A,FALSE,"조골재"}</definedName>
    <definedName name="ㅗ4ㅛㅗ6">[28]지수적용공사비내역서!#REF!</definedName>
    <definedName localSheetId="3" name="ㅗㄱㅇ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ㄱㅇ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localSheetId="3" name="ㅗㄳ샤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ㄳ샤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localSheetId="3" name="ㅗㄴㄱ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ㄴㄱ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localSheetId="3" name="ㅗ마ㅓ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ㅗㅅㄴㄱ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ㅗㅅㄴㄱ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ㅗㅍ초">{#N/A,#N/A,FALSE,"2~8번"}</definedName>
    <definedName name="ㅗㅎㅎㅌㄹㅋㅅ">{#N/A,#N/A,FALSE,"2~8번"}</definedName>
    <definedName localSheetId="3" name="ㅗ호">{#N/A,#N/A,FALSE,"조골재"}</definedName>
    <definedName name="ㅗ호">{#N/A,#N/A,FALSE,"조골재"}</definedName>
    <definedName localSheetId="3" name="ㅗㅓ">{"'제조(순번)'!$A$386:$A$387","'제조(순번)'!$A$1:$H$399"}</definedName>
    <definedName name="ㅗㅓ">{"'제조(순번)'!$A$386:$A$387","'제조(순번)'!$A$1:$H$399"}</definedName>
    <definedName localSheetId="3" name="ㅗㅓㅗ">{#N/A,#N/A,FALSE,"골재소요량";#N/A,#N/A,FALSE,"골재소요량"}</definedName>
    <definedName name="ㅗㅓㅗ">{#N/A,#N/A,FALSE,"골재소요량";#N/A,#N/A,FALSE,"골재소요량"}</definedName>
    <definedName localSheetId="3" name="ㅗㅗㅗ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ㅗㅗㅗ">{#N/A,#N/A,FALSE,"2~8번"}</definedName>
    <definedName localSheetId="3" name="ㅗㅗㅗㅗㅗㅗㅗ">{#N/A,#N/A,FALSE,"현장 NCR 분석";#N/A,#N/A,FALSE,"현장품질감사";#N/A,#N/A,FALSE,"현장품질감사"}</definedName>
    <definedName name="ㅗㅗㅗㅗㅗㅗㅗ">{#N/A,#N/A,FALSE,"현장 NCR 분석";#N/A,#N/A,FALSE,"현장품질감사";#N/A,#N/A,FALSE,"현장품질감사"}</definedName>
    <definedName localSheetId="3" name="ㅘㅓ">{#N/A,#N/A,FALSE,"운반시간"}</definedName>
    <definedName name="ㅘㅓ">{#N/A,#N/A,FALSE,"운반시간"}</definedName>
    <definedName name="ㅛ셔됴ㅕ">{#N/A,#N/A,FALSE,"운반시간"}</definedName>
    <definedName name="ㅛ셔으ㅜㅅ구">{#N/A,#N/A,FALSE,"2~8번"}</definedName>
    <definedName name="ㅛㅇ수ㅜㅛㅅㅇ">{#N/A,#N/A,FALSE,"2~8번"}</definedName>
    <definedName localSheetId="3" name="ㅛㅌ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ㅛㅌ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ㅛㅓㄴㄱ5">{#N/A,#N/A,FALSE,"단가표지"}</definedName>
    <definedName localSheetId="3" name="ㅛㅕㅑ">'[30]N賃率-職'!$I$5:$I$30</definedName>
    <definedName name="ㅛㅕㅑ">'[30]N賃率-職'!$I$5:$I$30</definedName>
    <definedName name="ㅛㅕㅕㅑㅓ">{#N/A,#N/A,FALSE,"표지목차"}</definedName>
    <definedName localSheetId="3" name="ㅛㅗㅁ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ㅛㅗㅁ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ㅛㅛ">{#N/A,#N/A,FALSE,"골재소요량";#N/A,#N/A,FALSE,"골재소요량"}</definedName>
    <definedName localSheetId="3" name="ㅛㅛㅛㅛ">[39]수량산출!$A$1:$A$8561</definedName>
    <definedName name="ㅛㅛㅛㅛ">[39]수량산출!$A$1:$A$8561</definedName>
    <definedName localSheetId="3" name="ㅛㅛㅛㅛㅛㅛ">{#N/A,#N/A,FALSE,"현장 NCR 분석";#N/A,#N/A,FALSE,"현장품질감사";#N/A,#N/A,FALSE,"현장품질감사"}</definedName>
    <definedName name="ㅛㅛㅛㅛㅛㅛ">{#N/A,#N/A,FALSE,"현장 NCR 분석";#N/A,#N/A,FALSE,"현장품질감사";#N/A,#N/A,FALSE,"현장품질감사"}</definedName>
    <definedName name="ㅛㅛㅛㅛㅛㅛㅛ">{#N/A,#N/A,FALSE,"단가표지"}</definedName>
    <definedName name="ㅛㅠㅗㄱ셔ㅛ">{#N/A,#N/A,FALSE,"조골재"}</definedName>
    <definedName localSheetId="3" name="ㅜ">[16]수량산출!#REF!</definedName>
    <definedName name="ㅜ">[16]수량산출!#REF!</definedName>
    <definedName localSheetId="3" name="ㅜ_1">{#N/A,#N/A,FALSE,"조골재"}</definedName>
    <definedName name="ㅜ_1">{#N/A,#N/A,FALSE,"조골재"}</definedName>
    <definedName name="ㅜㄴ">{#N/A,#N/A,FALSE,"운반시간"}</definedName>
    <definedName name="ㅜ여숫유">{#N/A,#N/A,FALSE,"운반시간"}</definedName>
    <definedName name="ㅜ후ㅗㅜㅗ">{#N/A,#N/A,FALSE,"단가표지"}</definedName>
    <definedName localSheetId="3" name="ㅜㅜㅜㅜㅜㅜㅜㅜㅜ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ㅜㅜㅜㅜㅜㅜㅜㅜ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ㅎㄹ촉ㅇ">{#N/A,#N/A,FALSE,"조골재"}</definedName>
    <definedName localSheetId="3" name="ㅠㄱ">{"'용역비'!$A$4:$C$8"}</definedName>
    <definedName localSheetId="0" name="ㅠㄱ">{"'용역비'!$A$4:$C$8"}</definedName>
    <definedName name="ㅠㄱ">{"'용역비'!$A$4:$C$8"}</definedName>
    <definedName name="ㅠㄱ소슈">{#N/A,#N/A,FALSE,"골재소요량";#N/A,#N/A,FALSE,"골재소요량"}</definedName>
    <definedName name="ㅠㅅ롯고">{#N/A,#N/A,FALSE,"골재소요량";#N/A,#N/A,FALSE,"골재소요량"}</definedName>
    <definedName name="ㅠ숑ㄱ쇼ㅠㅠㅅ">{#N/A,#N/A,FALSE,"단가표지"}</definedName>
    <definedName localSheetId="3" name="ㅠㅠㅠㅠ">{#N/A,#N/A,FALSE,"운반시간"}</definedName>
    <definedName name="ㅠㅠㅠㅠ">{#N/A,#N/A,FALSE,"단면 제원"}</definedName>
    <definedName localSheetId="3" name="ㅡ_1">{#N/A,#N/A,FALSE,"2~8번"}</definedName>
    <definedName name="ㅡ_1">{#N/A,#N/A,FALSE,"2~8번"}</definedName>
    <definedName name="ㅡㅗㅓㅓㅡㅗㅗㅓㅓㅗ">{#N/A,#N/A,FALSE,"운반시간"}</definedName>
    <definedName localSheetId="3" name="ㅡㅡㅡㅡㅡ">{#N/A,#N/A,FALSE,"현장 NCR 분석";#N/A,#N/A,FALSE,"현장품질감사";#N/A,#N/A,FALSE,"현장품질감사"}</definedName>
    <definedName name="ㅡㅡㅡㅡㅡ">{#N/A,#N/A,FALSE,"현장 NCR 분석";#N/A,#N/A,FALSE,"현장품질감사";#N/A,#N/A,FALSE,"현장품질감사"}</definedName>
    <definedName localSheetId="3" name="ㅣㅎ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ㅣㅎ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localSheetId="3" name="ㅣㅏ아ㅓㄴ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ㅣㅏㅓ">{#N/A,#N/A,FALSE,"운반시간"}</definedName>
    <definedName name="ㅣㅏㅓ">{#N/A,#N/A,FALSE,"운반시간"}</definedName>
    <definedName localSheetId="3" name="ㅣㅏㅓㅗ효ㅕㅕㅕㅕㅛㅅㅅ">{#N/A,#N/A,FALSE,"현장 NCR 분석";#N/A,#N/A,FALSE,"현장품질감사";#N/A,#N/A,FALSE,"현장품질감사"}</definedName>
    <definedName name="ㅣㅏㅓㅗ효ㅕㅕㅕㅕㅛㅅㅅ">{#N/A,#N/A,FALSE,"현장 NCR 분석";#N/A,#N/A,FALSE,"현장품질감사";#N/A,#N/A,FALSE,"현장품질감사"}</definedName>
    <definedName name="ㅣㅑㅑ">{#N/A,#N/A,FALSE,"단가표지"}</definedName>
    <definedName localSheetId="3" name="ㅣㅣㅣ">[32]조명시설!#REF!</definedName>
    <definedName localSheetId="0" name="ㅣㅣㅣ">[32]조명시설!#REF!</definedName>
    <definedName name="ㅣㅣㅣ">[32]조명시설!#REF!</definedName>
    <definedName localSheetId="3" name="ㅣㅣㅣ노원문화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localSheetId="3" name="ㅣㅣㅣㅣ">[32]조명시설!#REF!</definedName>
    <definedName localSheetId="0" name="ㅣㅣㅣㅣ">[32]조명시설!#REF!</definedName>
    <definedName name="ㅣㅣㅣㅣ">[32]조명시설!#REF!</definedName>
    <definedName localSheetId="3" name="ㅣㅣㅣㅣㅣ">[32]조명시설!#REF!</definedName>
    <definedName localSheetId="0" name="ㅣㅣㅣㅣㅣ">[32]조명시설!#REF!</definedName>
    <definedName name="ㅣㅣㅣㅣㅣ">[32]조명시설!#REF!</definedName>
    <definedName localSheetId="3" name="ㅣㅣㅣㅣㅣㅣ">[32]조명시설!#REF!</definedName>
    <definedName localSheetId="0" name="ㅣㅣㅣㅣㅣㅣ">[32]조명시설!#REF!</definedName>
    <definedName name="ㅣㅣㅣㅣㅣㅣ">[32]조명시설!#REF!</definedName>
    <definedName name="tttq">#REF!</definedName>
    <definedName localSheetId="3" name="DEDED">#REF!</definedName>
    <definedName localSheetId="3" name="박어쟈루">#REF!</definedName>
    <definedName name="기기">#REF!</definedName>
    <definedName localSheetId="3" name="ㄱㄷ쇼">#REF!</definedName>
    <definedName localSheetId="0" name="ㄹㅇㄶ">#REF!</definedName>
    <definedName localSheetId="3" name="sfgsdfd">#REF!</definedName>
    <definedName localSheetId="0" name="ㄱㄷ쇼">#REF!</definedName>
    <definedName name="HHH">#REF!</definedName>
    <definedName name="ded">#REF!</definedName>
    <definedName name="_woogi3">#REF!</definedName>
    <definedName name="ㄷ숃ㄱ">#REF!</definedName>
    <definedName name="ㅁㄴㅇㅁㄴㅇ">#REF!</definedName>
    <definedName name="swasqqq">#REF!</definedName>
    <definedName localSheetId="0" name="jkghjgk">#REF!</definedName>
    <definedName name="콘크리트2">#REF!</definedName>
    <definedName name="ㅜㅠㅊ퓨ㅜ">#REF!</definedName>
    <definedName localSheetId="3" name="이릉">#REF!</definedName>
    <definedName name="ㅁㅀㅁㄴ">#REF!</definedName>
    <definedName localSheetId="3" name="찰샇기">#REF!</definedName>
    <definedName name="rererere">#REF!</definedName>
    <definedName name="ㅎㅇㄶㄷㄱ">#REF!</definedName>
    <definedName localSheetId="3" name="ㅁㄶㅁㄴ">#REF!</definedName>
    <definedName localSheetId="0" name="sfdgsd">#REF!</definedName>
    <definedName localSheetId="3" name="강아지">#REF!</definedName>
    <definedName localSheetId="3" name="ㄴㅁㅇㅁㄴ">#REF!</definedName>
    <definedName localSheetId="3" name="토적표">#REF!</definedName>
    <definedName localSheetId="3" name="ppppoi">#REF!</definedName>
    <definedName name="새이름2">#REF!</definedName>
    <definedName name="rth">#REF!</definedName>
    <definedName name="m">#REF!</definedName>
    <definedName localSheetId="3" name="RERE">#REF!</definedName>
    <definedName localSheetId="3" name="aaas">#REF!</definedName>
    <definedName name="골">#REF!</definedName>
    <definedName localSheetId="0" name="ㅍ큪ㅊㅋ">#REF!</definedName>
    <definedName name="trtrtrtrtr">#REF!</definedName>
    <definedName localSheetId="3" name="설명서">#REF!</definedName>
    <definedName localSheetId="0" name="롬ㄴ">#REF!</definedName>
    <definedName name="ㄹㅇ홀옹ㅎㄹ">#REF!</definedName>
    <definedName localSheetId="3" name="_kfkf">#REF!</definedName>
    <definedName name="aaas">#REF!</definedName>
    <definedName name="토적표">#REF!</definedName>
    <definedName localSheetId="1" name="_Key2">#REF!</definedName>
    <definedName localSheetId="3" name="ㅠ뮤ㅐ">#REF!</definedName>
    <definedName localSheetId="0" name="ㅎㄹ">#REF!</definedName>
    <definedName localSheetId="3" name="ㅅㅅ">#REF!</definedName>
    <definedName localSheetId="0" name="_Key2">#REF!</definedName>
    <definedName localSheetId="3" name="jkghjgk">#REF!</definedName>
    <definedName localSheetId="3" name="_woogi2">#REF!</definedName>
    <definedName localSheetId="3" name="콘크리트2">#REF!</definedName>
    <definedName name="qe">#REF!</definedName>
    <definedName localSheetId="3" name="tttq">#REF!</definedName>
    <definedName name="ㄹㄹ">#REF!</definedName>
    <definedName localSheetId="3" name="gthyhy">#REF!</definedName>
    <definedName name="DEDED">#REF!</definedName>
    <definedName name="ㅠ뮤ㅐ">#REF!</definedName>
    <definedName name="ktf">#REF!</definedName>
    <definedName name="일집">#REF!</definedName>
    <definedName name="frfr">#REF!</definedName>
    <definedName name="_woogi">#REF!</definedName>
    <definedName name="ppppoi">#REF!</definedName>
    <definedName name="ㅅㅅㅅ">#REF!</definedName>
    <definedName localSheetId="0" name="ㄹㅇㄹㅇ">#REF!</definedName>
    <definedName name="TTTT">#REF!</definedName>
    <definedName localSheetId="3" name="eeefr">#REF!</definedName>
    <definedName localSheetId="3" name="ㅇㅎㅁㄴ">#REF!</definedName>
    <definedName localSheetId="3" name="_Sort11">#REF!</definedName>
    <definedName localSheetId="0" name="_Sort">#REF!</definedName>
    <definedName localSheetId="0" name="QWS">#REF!</definedName>
    <definedName name="_Fill">#REF!</definedName>
    <definedName localSheetId="3" name="asss">#REF!</definedName>
    <definedName localSheetId="3" name="frfrefed">#REF!</definedName>
    <definedName localSheetId="3" name="ㄱㄷ죠">#REF!</definedName>
    <definedName name="jkghjgk">#REF!</definedName>
    <definedName name="박어쟈루">#REF!</definedName>
    <definedName localSheetId="3" name="ㄱㄷㅈㅄㄷ">#REF!</definedName>
    <definedName localSheetId="3" name="ㄹㅇㅎㄹㅇ">#REF!</definedName>
    <definedName localSheetId="3" name="완공3">#REF!</definedName>
    <definedName localSheetId="3" name="_woogi">#REF!</definedName>
    <definedName localSheetId="0" name="ㄱㄷ죠">#REF!</definedName>
    <definedName localSheetId="3" name="pppppo">#REF!</definedName>
    <definedName name="ㄹ헝ㄹ">#REF!</definedName>
    <definedName localSheetId="0" name="qwerqerwr">#REF!</definedName>
    <definedName localSheetId="3" name="rtrtr">#REF!</definedName>
    <definedName localSheetId="3" name="ㅣㅑㅕㅗ">#REF!</definedName>
    <definedName localSheetId="3" name="ㄹㅇ홀옹ㅎㄹ">#REF!</definedName>
    <definedName name="ㄹㄹㄹㄹ">#REF!</definedName>
    <definedName name="yyty">#REF!</definedName>
    <definedName localSheetId="3" name="LLL">#REF!</definedName>
    <definedName name="ㄴㅁㅇㅁㄴ">#REF!</definedName>
    <definedName localSheetId="3" name="QWS">#REF!</definedName>
    <definedName name="han">#REF!</definedName>
    <definedName localSheetId="3" name="nnhnhd">#REF!</definedName>
    <definedName name="OOO">#REF!</definedName>
    <definedName name="rhf">#REF!</definedName>
    <definedName localSheetId="0" name="ㅎㅇㄶㄷㄱ">#REF!</definedName>
    <definedName name="ㅇㅀㅎ">#REF!</definedName>
    <definedName localSheetId="3" name="gdjhsy">#REF!</definedName>
    <definedName localSheetId="3" name="qwreq">#REF!</definedName>
    <definedName name="ddddwwwwdddd">#REF!</definedName>
    <definedName name="yy">#REF!</definedName>
    <definedName localSheetId="3" name="PPP">#REF!</definedName>
    <definedName localSheetId="1" name="_Sort">#REF!</definedName>
    <definedName localSheetId="3" name="woogi">#REF!</definedName>
    <definedName name="ㄴㅇㅎㄴㅇ">#REF!</definedName>
    <definedName localSheetId="3" name="파일">#REF!</definedName>
    <definedName name="_Regression_Y">#REF!</definedName>
    <definedName name="ㄳㅅ">#REF!</definedName>
    <definedName name="RERE">#REF!</definedName>
    <definedName localSheetId="3" name="ytytytyty">#REF!</definedName>
    <definedName name="HH">#REF!</definedName>
    <definedName name="_재ㅐ햐">#REF!</definedName>
    <definedName name="erer">#REF!</definedName>
    <definedName name="gthyhy">#REF!</definedName>
    <definedName localSheetId="3" name="frfr">#REF!</definedName>
    <definedName localSheetId="3" name="원가내역">#REF!</definedName>
    <definedName name="ㄹㅇㄶ">#REF!</definedName>
    <definedName name="ur">#REF!</definedName>
    <definedName localSheetId="3" name="ㅎㄹ">#REF!</definedName>
    <definedName localSheetId="1" name="sss">#REF!</definedName>
    <definedName localSheetId="3" name="sfdgsd">#REF!</definedName>
    <definedName name="ㄱㄷ쇼">#REF!</definedName>
    <definedName localSheetId="3" name="rhf">#REF!</definedName>
    <definedName localSheetId="0" name="ㄶㄴㄷ">#REF!</definedName>
    <definedName name="PPP">#REF!</definedName>
    <definedName name="JBG">#REF!</definedName>
    <definedName name="hjhj">#REF!</definedName>
    <definedName localSheetId="3" name="kty">#REF!</definedName>
    <definedName name="_Key1">#REF!</definedName>
    <definedName localSheetId="3" name="HH">#REF!</definedName>
    <definedName name="구산갑지">#REF!</definedName>
    <definedName localSheetId="3" name="swsw">#REF!</definedName>
    <definedName name="QWS">#REF!</definedName>
    <definedName name="vfvfvf">#REF!</definedName>
    <definedName localSheetId="0" name="파일">#REF!</definedName>
    <definedName localSheetId="3" name="Q">#REF!</definedName>
    <definedName localSheetId="3" name="rth">#REF!</definedName>
    <definedName name="ㅇㅎㅁㄴ">#REF!</definedName>
    <definedName name="부대공명세서">#REF!</definedName>
    <definedName localSheetId="3" name="hjhj">#REF!</definedName>
    <definedName localSheetId="3" name="ㅅㄱㅈ">#REF!</definedName>
    <definedName localSheetId="3" name="가도">#REF!</definedName>
    <definedName name="pppppo">#REF!</definedName>
    <definedName localSheetId="3" name="ㄴㄴ">#REF!</definedName>
    <definedName localSheetId="0" name="ㄱ둊">#REF!</definedName>
    <definedName name="eeefr">#REF!</definedName>
    <definedName name="_Sortt">#REF!</definedName>
    <definedName name="가도">#REF!</definedName>
    <definedName name="eded">#REF!</definedName>
    <definedName name="ddddd">#REF!</definedName>
    <definedName localSheetId="0" name="ㄹㅇ홀옹ㅎㄹ">#REF!</definedName>
    <definedName localSheetId="0" name="_Sortt">#REF!</definedName>
    <definedName name="ㄱㄷ죠">#REF!</definedName>
    <definedName name="ㅘㅗ허ㅎ">#REF!</definedName>
    <definedName localSheetId="3" name="ㅇㄱ셔ㅓㅀ">#REF!</definedName>
    <definedName name="ㄶㄴㄷ">#REF!</definedName>
    <definedName name="ppppppp">#REF!</definedName>
    <definedName localSheetId="0" name="ㄷ숃ㄱ">#REF!</definedName>
    <definedName name="jhjhjh">#REF!</definedName>
    <definedName name="wew">#REF!</definedName>
    <definedName name="sfgsdfd">#REF!</definedName>
    <definedName localSheetId="3" name="ddfr">#REF!</definedName>
    <definedName name="nnhnhd">#REF!</definedName>
    <definedName localSheetId="3" name="_Key1">#REF!</definedName>
    <definedName localSheetId="3" name="mjmj">#REF!</definedName>
    <definedName name="GEMCO">#REF!</definedName>
    <definedName localSheetId="0" name="ㅣㅑㅕㅗ">#REF!</definedName>
    <definedName localSheetId="0" name="ㄱㄷㅈㅄㄷ">#REF!</definedName>
    <definedName name="sfdgsd">#REF!</definedName>
    <definedName localSheetId="3" name="qwerqerwr">#REF!</definedName>
    <definedName localSheetId="3" name="aq">#REF!</definedName>
    <definedName localSheetId="3" name="OPP">#REF!</definedName>
    <definedName localSheetId="3" name="trtrtrtrtr">#REF!</definedName>
    <definedName localSheetId="3" name="_woogi3">#REF!</definedName>
    <definedName name="popo">#REF!</definedName>
    <definedName localSheetId="3" name="ㅎㅇㄶㄷㄱ">#REF!</definedName>
    <definedName localSheetId="3" name="cdcd">#REF!</definedName>
    <definedName localSheetId="3" name="ㄱ둊">#REF!</definedName>
    <definedName localSheetId="3" name="ㅅㅅㅅ">#REF!</definedName>
    <definedName name="woogi">#REF!</definedName>
    <definedName localSheetId="3" name="sdsdsds">#REF!</definedName>
    <definedName name="ㅣㅑㅕㅗ">#REF!</definedName>
    <definedName localSheetId="0" name="_Parse_Out">#REF!</definedName>
    <definedName name="woogi2">#REF!</definedName>
    <definedName name="LLL">#REF!</definedName>
    <definedName name="_Parse_Out">#REF!</definedName>
    <definedName localSheetId="3" name="ㄹ헝ㄹ">#REF!</definedName>
    <definedName localSheetId="3" name="ㅜㅠㅊ퓨ㅜ">#REF!</definedName>
    <definedName localSheetId="1" name="_Key1">#REF!</definedName>
    <definedName localSheetId="0" name="ㅁㄶㅁㄴ">#REF!</definedName>
    <definedName localSheetId="3" name="남남">#REF!</definedName>
    <definedName localSheetId="3" name="ㅁㄴㅇㅁㄴㅇ">#REF!</definedName>
    <definedName name="ㅎㄹ">#REF!</definedName>
    <definedName localSheetId="3" name="TTTT">#REF!</definedName>
    <definedName localSheetId="3" name="ㄷㅎㄹㅇ">#REF!</definedName>
    <definedName name="ㄱ됵ㄷ">#REF!</definedName>
    <definedName name="원가내역">#REF!</definedName>
    <definedName name="ddfr">#REF!</definedName>
    <definedName localSheetId="3" name="erer">#REF!</definedName>
    <definedName localSheetId="3" name="ㄹㄹ">#REF!</definedName>
    <definedName name="HHHH">#REF!</definedName>
    <definedName localSheetId="0" name="rth">#REF!</definedName>
    <definedName name="YTYT">#REF!</definedName>
    <definedName localSheetId="3" name="yyyyyh">#REF!</definedName>
    <definedName name="frfrff">#REF!</definedName>
    <definedName name="ㄱ둊">#REF!</definedName>
    <definedName name="완공3">#REF!</definedName>
    <definedName name="롬ㄴ">#REF!</definedName>
    <definedName localSheetId="0" name="_Key1">#REF!</definedName>
    <definedName localSheetId="3" name="gtgt">#REF!</definedName>
    <definedName localSheetId="3" name="_Key2">#REF!</definedName>
    <definedName localSheetId="3" name="ㅁㅀㅁㄴ">#REF!</definedName>
    <definedName localSheetId="1" name="_Fill">#REF!</definedName>
    <definedName localSheetId="3" name="HHHH">#REF!</definedName>
    <definedName localSheetId="3" name="ded">#REF!</definedName>
    <definedName name="hhhhhh">#REF!</definedName>
    <definedName localSheetId="3" name="YTYT">#REF!</definedName>
    <definedName localSheetId="0" name="ㅂㄱㄹㄷㅈㅅㄷ4ㅈ">#REF!</definedName>
    <definedName localSheetId="3" name="ddddd">#REF!</definedName>
    <definedName localSheetId="3" name="KKK">#REF!</definedName>
    <definedName localSheetId="0" name="ㅂㅈㄷㄱㅈㅂ">#REF!</definedName>
    <definedName localSheetId="3" name="ㄹㅇㄹㅇ">#REF!</definedName>
    <definedName name="ㅍ큪ㅊㅋ">#REF!</definedName>
    <definedName localSheetId="3" name="OOO">#REF!</definedName>
    <definedName name="ㅅㅅ">#REF!</definedName>
    <definedName name="파일">#REF!</definedName>
    <definedName name="asss">#REF!</definedName>
    <definedName localSheetId="3" name="ㅎㅎㅎㅎㅎㅎㅎㅎㅎㅎㅎㅎㅎㅎㅎㅎㅎㅎㅎㅎㅎㅎㅎ">#REF!</definedName>
    <definedName localSheetId="3" name="_Key3">#REF!</definedName>
    <definedName localSheetId="3" name="롬ㄴ">#REF!</definedName>
    <definedName localSheetId="0" name="HHH">#REF!</definedName>
    <definedName localSheetId="3" name="ppppppp">#REF!</definedName>
    <definedName localSheetId="0" name="ㄹㄹ">#REF!</definedName>
    <definedName localSheetId="0" name="ㄴㅁㅇㅁㄴ">#REF!</definedName>
    <definedName localSheetId="3" name="JJJ">#REF!</definedName>
    <definedName name="ㄴㄴ">#REF!</definedName>
    <definedName name="_woogi2">#REF!</definedName>
    <definedName name="qwreq">#REF!</definedName>
    <definedName name="ytytytyty">#REF!</definedName>
    <definedName name="_woogi24">#REF!</definedName>
    <definedName name="OPP">#REF!</definedName>
    <definedName name="juju">#REF!</definedName>
    <definedName name="ㅇㄱ셔ㅓㅀ">#REF!</definedName>
    <definedName name="aq">#REF!</definedName>
    <definedName localSheetId="0" name="tye">#REF!</definedName>
    <definedName name="남남">#REF!</definedName>
    <definedName name="_Key3">#REF!</definedName>
    <definedName name="ㅁㅁ">#REF!</definedName>
    <definedName localSheetId="3" name="일집">#REF!</definedName>
    <definedName name="cdcd">#REF!</definedName>
    <definedName localSheetId="3" name="교통">#REF!</definedName>
    <definedName localSheetId="0" name="sfgsdfd">#REF!</definedName>
    <definedName localSheetId="3" name="ㅍ큪ㅊㅋ">#REF!</definedName>
    <definedName name="ㅅ">#REF!</definedName>
    <definedName localSheetId="0" name="남남">#REF!</definedName>
    <definedName name="yyyyyh">#REF!</definedName>
    <definedName localSheetId="3" name="ㅇㅀㅎ">#REF!</definedName>
    <definedName name="_Sort11">#REF!</definedName>
    <definedName localSheetId="3" name="_Sortt">#REF!</definedName>
    <definedName name="ㅁ">#REF!</definedName>
    <definedName name="fkf">#REF!</definedName>
    <definedName name="ㅅㄱㅈ">#REF!</definedName>
    <definedName name="rtrtr">#REF!</definedName>
    <definedName localSheetId="3" name="yyty">#REF!</definedName>
    <definedName localSheetId="0" name="ㅅㄱㅈ">#REF!</definedName>
    <definedName localSheetId="0" name="LLL">#REF!</definedName>
    <definedName localSheetId="3" name="홍ㄹㄴㄷㄱ">#REF!</definedName>
    <definedName name="qwerqerwr">#REF!</definedName>
    <definedName localSheetId="0" name="ㅅㅅ">#REF!</definedName>
    <definedName name="tye">#REF!</definedName>
    <definedName name="sdsdsds">#REF!</definedName>
    <definedName name="찰샇기">#REF!</definedName>
    <definedName name="이름">#REF!</definedName>
    <definedName localSheetId="3" name="ㅂㅈㄷㄱㅈㅂ">#REF!</definedName>
    <definedName localSheetId="3" name="ㅂㄱㄹㄷㅈㅅㄷ4ㅈ">#REF!</definedName>
    <definedName name="ㄹㅇㅎㄹㅇ">#REF!</definedName>
    <definedName localSheetId="3" name="ㅅ">#REF!</definedName>
    <definedName localSheetId="0" name="ㅁㅀㅁㄴ">#REF!</definedName>
    <definedName localSheetId="3" name="GEMCO">#REF!</definedName>
    <definedName localSheetId="3" name="dataww">#REF!</definedName>
    <definedName localSheetId="3" name="ㄱ됵ㄷ">#REF!</definedName>
    <definedName localSheetId="3" name="fkf">#REF!</definedName>
    <definedName localSheetId="0" name="홍ㄹㄴㄷㄱ">#REF!</definedName>
    <definedName localSheetId="0" name="sss">#REF!</definedName>
    <definedName localSheetId="3" name="HHH">#REF!</definedName>
    <definedName name="KKK">#REF!</definedName>
    <definedName localSheetId="0" name="ㄹ헝ㄹ">#REF!</definedName>
    <definedName name="ooooo">#REF!</definedName>
    <definedName localSheetId="3" name="ㄷ숃ㄱ">#REF!</definedName>
    <definedName name="ㄴㅁㄹㅈㄹ">#REF!</definedName>
    <definedName localSheetId="0" name="_Key3">#REF!</definedName>
    <definedName name="gdjhsy">#REF!</definedName>
    <definedName name="Q">#REF!</definedName>
    <definedName name="frfrefed">#REF!</definedName>
    <definedName localSheetId="0" name="ㄷㅅㅈㄷ">#REF!</definedName>
    <definedName localSheetId="3" name="_Sort">#REF!</definedName>
    <definedName name="SGARETER">#REF!</definedName>
    <definedName name="swsw">#REF!</definedName>
    <definedName localSheetId="3" name="hdehd">#REF!</definedName>
    <definedName name="kty">#REF!</definedName>
    <definedName localSheetId="3" name="ewew">#REF!</definedName>
    <definedName localSheetId="3" name="errer">#REF!</definedName>
    <definedName name="_kfkf">#REF!</definedName>
    <definedName localSheetId="3" name="_woogi24">#REF!</definedName>
    <definedName localSheetId="3" name="ㄷㅅㅈㄷ">#REF!</definedName>
    <definedName localSheetId="3" name="popo">#REF!</definedName>
    <definedName name="wwww">#REF!</definedName>
    <definedName name="tt">#REF!</definedName>
    <definedName name="_Regression_Out">#REF!</definedName>
    <definedName name="_Regression_X">#REF!</definedName>
    <definedName localSheetId="3" name="_Parse_Out">#REF!</definedName>
    <definedName name="errer">#REF!</definedName>
    <definedName name="기기기">#REF!</definedName>
    <definedName localSheetId="3" name="_재ㅐ햐">#REF!</definedName>
    <definedName name="dataww">#REF!</definedName>
    <definedName localSheetId="3" name="vfvfvf">#REF!</definedName>
    <definedName localSheetId="0" name="JJJ">#REF!</definedName>
    <definedName name="sss">#REF!</definedName>
    <definedName name="zzz">#REF!</definedName>
    <definedName name="이릉">#REF!</definedName>
    <definedName localSheetId="3" name="_Regression_Y">#REF!</definedName>
    <definedName localSheetId="3" name="eded">#REF!</definedName>
    <definedName localSheetId="3" name="ㅁ">#REF!</definedName>
    <definedName name="ㅁㄶㅁㄴ">#REF!</definedName>
    <definedName localSheetId="3" name="ㄶㄴㄷ">#REF!</definedName>
    <definedName localSheetId="3" name="sss">#REF!</definedName>
    <definedName localSheetId="3" name="ktf">#REF!</definedName>
    <definedName name="강아지">#REF!</definedName>
    <definedName name="ㄱㄷㅈㅄㄷ">#REF!</definedName>
    <definedName localSheetId="3" name="wwww">#REF!</definedName>
    <definedName localSheetId="0" name="_Fill">#REF!</definedName>
    <definedName localSheetId="3" name="rererere">#REF!</definedName>
    <definedName localSheetId="0" name="ㅇㅎㅁㄴ">#REF!</definedName>
    <definedName name="ㄷㅅㅈㄷ">#REF!</definedName>
    <definedName name="_Key2">#REF!</definedName>
    <definedName name="ㄹㅇㄹㅇ">#REF!</definedName>
    <definedName localSheetId="3" name="jhjhjh">#REF!</definedName>
    <definedName localSheetId="0" name="qwreq">#REF!</definedName>
    <definedName localSheetId="0" name="ㄱ됵ㄷ">#REF!</definedName>
    <definedName localSheetId="3" name="swasqqq">#REF!</definedName>
    <definedName name="ㄷㅎㄹㅇ">#REF!</definedName>
    <definedName name="홍ㄹㄴㄷㄱ">#REF!</definedName>
    <definedName name="gtgt">#REF!</definedName>
    <definedName name="ㅂㅈㄷㄱㅈㅂ">#REF!</definedName>
    <definedName name="ㅎㅎㅎㅎㅎㅎㅎㅎㅎㅎㅎㅎㅎㅎㅎㅎㅎㅎㅎㅎㅎㅎㅎ">#REF!</definedName>
    <definedName localSheetId="3" name="ㄴㅁㄹㅈㄹ">#REF!</definedName>
    <definedName localSheetId="3" name="m">#REF!</definedName>
    <definedName localSheetId="3" name="woogi2">#REF!</definedName>
    <definedName name="신품">#REF!</definedName>
    <definedName name="mjmj">#REF!</definedName>
    <definedName name="JJJ">#REF!</definedName>
    <definedName localSheetId="0" name="TTTT">#REF!</definedName>
    <definedName localSheetId="0" name="OPP">#REF!</definedName>
    <definedName localSheetId="0" name="SGARETER">#REF!</definedName>
    <definedName name="가도토적">#REF!</definedName>
    <definedName localSheetId="3" name="tye">#REF!</definedName>
    <definedName name="아">#REF!</definedName>
    <definedName localSheetId="3" name="_Regression_Out">#REF!</definedName>
    <definedName localSheetId="3" name="ooooo">#REF!</definedName>
    <definedName localSheetId="3" name="frfrff">#REF!</definedName>
    <definedName localSheetId="3" name="가도토적">#REF!</definedName>
    <definedName localSheetId="3" name="ㄴㅇㅎㄴㅇ">#REF!</definedName>
    <definedName localSheetId="3" name="ㅁㅁ">#REF!</definedName>
    <definedName localSheetId="3" name="ddddwwwwdddd">#REF!</definedName>
    <definedName name="_Sort">#REF!</definedName>
    <definedName localSheetId="3" name="ur">#REF!</definedName>
    <definedName localSheetId="3" name="_Fill">#REF!</definedName>
    <definedName localSheetId="3" name="juju">#REF!</definedName>
    <definedName name="hdehd">#REF!</definedName>
    <definedName localSheetId="3" name="ㄹㅇㄶ">#REF!</definedName>
    <definedName name="업체">#REF!</definedName>
    <definedName localSheetId="3" name="골">#REF!</definedName>
    <definedName name="ㅂㄱㄹㄷㅈㅅㄷ4ㅈ">#REF!</definedName>
    <definedName localSheetId="3" name="SGARETER">#REF!</definedName>
    <definedName localSheetId="0" name="ㅜㅠㅊ퓨ㅜ">#REF!</definedName>
    <definedName localSheetId="0" name="ㄹㅇㅎㄹㅇ">#REF!</definedName>
    <definedName name="ewew">#REF!</definedName>
    <definedName name="설명서">#REF!</definedName>
    <definedName localSheetId="3" name="_Regression_X">#REF!</definedName>
  </definedNames>
  <calcPr/>
  <extLst>
    <ext uri="GoogleSheetsCustomDataVersion2">
      <go:sheetsCustomData xmlns:go="http://customooxmlschemas.google.com/" r:id="rId47" roundtripDataChecksum="1GFDJfvwwRHscb6sIsQXHwGviKFdGw2XFKbYXxZcbCs="/>
    </ext>
  </extLst>
</workbook>
</file>

<file path=xl/sharedStrings.xml><?xml version="1.0" encoding="utf-8"?>
<sst xmlns="http://schemas.openxmlformats.org/spreadsheetml/2006/main" count="45" uniqueCount="41">
  <si>
    <t xml:space="preserve">  2026년도</t>
  </si>
  <si>
    <t>2026년 밀양시 도시계획정보체계(UPIS) 운영장비 유지관리 용역</t>
  </si>
  <si>
    <t>설 계 예 산 서</t>
  </si>
  <si>
    <t>2026.  2.</t>
  </si>
  <si>
    <t>.</t>
  </si>
  <si>
    <t>밀   양   시</t>
  </si>
  <si>
    <t>설계  년월일</t>
  </si>
  <si>
    <t>2026년   2월    일</t>
  </si>
  <si>
    <t>설계자</t>
  </si>
  <si>
    <t>심사자</t>
  </si>
  <si>
    <t>담당</t>
  </si>
  <si>
    <t xml:space="preserve">과장 </t>
  </si>
  <si>
    <t>2026년도</t>
  </si>
  <si>
    <t>◎ 위         치</t>
  </si>
  <si>
    <t>: 경상남도 밀양시 전역</t>
  </si>
  <si>
    <t>◎ 용역개요</t>
  </si>
  <si>
    <t xml:space="preserve"> </t>
  </si>
  <si>
    <t xml:space="preserve"> 1. 도시계획정보 운영장비 H/W, S/W 유지관리</t>
  </si>
  <si>
    <t>◎ 총용역비</t>
  </si>
  <si>
    <t>총괄표</t>
  </si>
  <si>
    <t>구 분</t>
  </si>
  <si>
    <t>산출내역</t>
  </si>
  <si>
    <t>적용율</t>
  </si>
  <si>
    <t>도입가
(부가세포함)</t>
  </si>
  <si>
    <t>직접인건비</t>
  </si>
  <si>
    <t>경비 및 재료비</t>
  </si>
  <si>
    <t>유지관리소계
(12개월기준)</t>
  </si>
  <si>
    <t>비  고</t>
  </si>
  <si>
    <t>1. 하드웨어 유지보수</t>
  </si>
  <si>
    <t>I. 유지보수대가</t>
  </si>
  <si>
    <t>DB서버</t>
  </si>
  <si>
    <t>OS포함</t>
  </si>
  <si>
    <t>AP서버</t>
  </si>
  <si>
    <t>2. 소프트웨어 유지보수</t>
  </si>
  <si>
    <t>II. 유지보수대가</t>
  </si>
  <si>
    <t>DBMS</t>
  </si>
  <si>
    <t>GIS엔진</t>
  </si>
  <si>
    <t>총    계(부가세포함)</t>
  </si>
  <si>
    <t>1 + 2</t>
  </si>
  <si>
    <t>백단위 절사
낙찰율적용 97%</t>
  </si>
  <si>
    <t>◈ S/W유지보수 등급은 3등급(16%)반영, SW사업 대가산정 가이드( 2025년 개정판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</si>
</sst>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금&quot;#,###&quot;원&quot;"/>
    <numFmt numFmtId="165" formatCode="&quot;(금&quot;@&quot;원)&quot;"/>
    <numFmt numFmtId="166" formatCode="_-* #,##0_-;\-* #,##0_-;_-* &quot;-&quot;_-;_-@"/>
    <numFmt numFmtId="167" formatCode="0.0%"/>
    <numFmt numFmtId="168" formatCode="#,##0_);[Red]\(#,##0\)"/>
    <numFmt numFmtId="169" formatCode="_-* #,##0_-;\-* #,##0_-;_-* &quot;-&quot;??_-;_-@"/>
  </numFmts>
  <fonts count="30">
    <font>
      <sz val="11.0"/>
      <color rgb="FF000000"/>
      <name val="Calibri"/>
      <scheme val="minor"/>
    </font>
    <font>
      <sz val="10.0"/>
      <color theme="1"/>
      <name val="Malgun Gothic"/>
    </font>
    <font>
      <sz val="16.0"/>
      <color theme="1"/>
      <name val="Malgun Gothic"/>
    </font>
    <font>
      <b/>
      <sz val="24.0"/>
      <color theme="1"/>
      <name val="Malgun Gothic"/>
    </font>
    <font/>
    <font>
      <b/>
      <sz val="40.0"/>
      <color theme="1"/>
      <name val="Malgun Gothic"/>
    </font>
    <font>
      <sz val="10.0"/>
      <color rgb="FF000000"/>
      <name val="Malgun Gothic"/>
    </font>
    <font>
      <b/>
      <sz val="20.0"/>
      <color theme="1"/>
      <name val="Malgun Gothic"/>
    </font>
    <font>
      <b/>
      <sz val="28.0"/>
      <color theme="1"/>
      <name val="Malgun Gothic"/>
    </font>
    <font>
      <sz val="11.0"/>
      <color theme="1"/>
      <name val="Gulim"/>
    </font>
    <font>
      <b/>
      <sz val="16.0"/>
      <color theme="1"/>
      <name val="Gulim"/>
    </font>
    <font>
      <b/>
      <sz val="20.0"/>
      <color theme="1"/>
      <name val="Gulim"/>
    </font>
    <font>
      <b/>
      <sz val="13.0"/>
      <color theme="1"/>
      <name val="Gulim"/>
    </font>
    <font>
      <sz val="13.0"/>
      <color theme="1"/>
      <name val="Gulim"/>
    </font>
    <font>
      <sz val="12.0"/>
      <color theme="1"/>
      <name val="Gulim"/>
    </font>
    <font>
      <b/>
      <sz val="11.0"/>
      <color theme="1"/>
      <name val="Gulim"/>
    </font>
    <font>
      <b/>
      <sz val="13.0"/>
      <color rgb="FFFF0000"/>
      <name val="Gulim"/>
    </font>
    <font>
      <b/>
      <sz val="14.0"/>
      <color rgb="FFFF0000"/>
      <name val="Gulim"/>
    </font>
    <font>
      <b/>
      <sz val="12.0"/>
      <color rgb="FFFF0000"/>
      <name val="Gulim"/>
    </font>
    <font>
      <sz val="24.0"/>
      <color theme="1"/>
      <name val="나눔고딕"/>
    </font>
    <font>
      <sz val="11.0"/>
      <color theme="1"/>
      <name val="나눔고딕"/>
    </font>
    <font>
      <sz val="12.0"/>
      <color theme="1"/>
      <name val="나눔고딕"/>
    </font>
    <font>
      <b/>
      <sz val="12.0"/>
      <color theme="1"/>
      <name val="나눔고딕"/>
    </font>
    <font>
      <b/>
      <sz val="11.0"/>
      <color theme="1"/>
      <name val="나눔고딕"/>
    </font>
    <font>
      <sz val="11.0"/>
      <color theme="1"/>
      <name val="HY견명조"/>
    </font>
    <font>
      <sz val="11.0"/>
      <color theme="1"/>
      <name val="Malgun Gothic"/>
    </font>
    <font>
      <sz val="10.0"/>
      <color rgb="FFFF0000"/>
      <name val="Malgun Gothic"/>
    </font>
    <font>
      <sz val="12.0"/>
      <color theme="1"/>
      <name val="Malgun Gothic"/>
    </font>
    <font>
      <b/>
      <sz val="14.0"/>
      <color theme="1"/>
      <name val="Malgun Gothic"/>
    </font>
    <font>
      <sz val="11.0"/>
      <color rgb="FFFF0000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61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</border>
    <border>
      <right style="hair">
        <color rgb="FF000000"/>
      </right>
    </border>
    <border>
      <left style="hair">
        <color rgb="FF000000"/>
      </left>
    </border>
    <border>
      <left style="hair">
        <color rgb="FF000000"/>
      </left>
      <right style="hair">
        <color rgb="FF000000"/>
      </right>
    </border>
    <border>
      <right style="thin">
        <color rgb="FF000000"/>
      </right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0" fillId="0" fontId="2" numFmtId="0" xfId="0" applyAlignment="1" applyFont="1">
      <alignment vertical="center"/>
    </xf>
    <xf borderId="4" fillId="0" fontId="1" numFmtId="0" xfId="0" applyBorder="1" applyFont="1"/>
    <xf borderId="0" fillId="0" fontId="1" numFmtId="0" xfId="0" applyFont="1"/>
    <xf borderId="5" fillId="0" fontId="1" numFmtId="0" xfId="0" applyBorder="1" applyFont="1"/>
    <xf borderId="4" fillId="0" fontId="3" numFmtId="0" xfId="0" applyAlignment="1" applyBorder="1" applyFont="1">
      <alignment horizontal="left" shrinkToFit="0" vertical="center" wrapText="1"/>
    </xf>
    <xf borderId="5" fillId="0" fontId="4" numFmtId="0" xfId="0" applyBorder="1" applyFont="1"/>
    <xf borderId="4" fillId="0" fontId="5" numFmtId="0" xfId="0" applyAlignment="1" applyBorder="1" applyFont="1">
      <alignment horizontal="center" shrinkToFit="1" vertical="center" wrapText="0"/>
    </xf>
    <xf borderId="4" fillId="0" fontId="5" numFmtId="0" xfId="0" applyAlignment="1" applyBorder="1" applyFont="1">
      <alignment horizontal="center" vertical="center"/>
    </xf>
    <xf borderId="0" fillId="0" fontId="6" numFmtId="0" xfId="0" applyAlignment="1" applyFont="1">
      <alignment horizontal="left"/>
    </xf>
    <xf borderId="4" fillId="0" fontId="7" numFmtId="0" xfId="0" applyAlignment="1" applyBorder="1" applyFont="1">
      <alignment horizontal="center" vertical="center"/>
    </xf>
    <xf borderId="4" fillId="0" fontId="8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5" fillId="0" fontId="8" numFmtId="0" xfId="0" applyAlignment="1" applyBorder="1" applyFont="1">
      <alignment vertical="center"/>
    </xf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9" fillId="0" fontId="9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vertical="center"/>
    </xf>
    <xf borderId="10" fillId="0" fontId="9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13" fillId="0" fontId="4" numFmtId="0" xfId="0" applyBorder="1" applyFont="1"/>
    <xf borderId="0" fillId="0" fontId="9" numFmtId="0" xfId="0" applyAlignment="1" applyFont="1">
      <alignment vertical="center"/>
    </xf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0" fontId="9" numFmtId="0" xfId="0" applyAlignment="1" applyBorder="1" applyFont="1">
      <alignment vertical="center"/>
    </xf>
    <xf borderId="20" fillId="0" fontId="9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19" fillId="0" fontId="11" numFmtId="0" xfId="0" applyAlignment="1" applyBorder="1" applyFont="1">
      <alignment horizontal="center" shrinkToFit="0" vertical="center" wrapText="1"/>
    </xf>
    <xf borderId="20" fillId="0" fontId="4" numFmtId="0" xfId="0" applyBorder="1" applyFont="1"/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13" numFmtId="0" xfId="0" applyAlignment="1" applyFont="1">
      <alignment horizontal="left" vertical="center"/>
    </xf>
    <xf borderId="0" fillId="0" fontId="14" numFmtId="0" xfId="0" applyAlignment="1" applyFont="1">
      <alignment horizontal="left" vertical="center"/>
    </xf>
    <xf borderId="20" fillId="0" fontId="14" numFmtId="0" xfId="0" applyAlignment="1" applyBorder="1" applyFont="1">
      <alignment horizontal="left" vertical="center"/>
    </xf>
    <xf borderId="0" fillId="0" fontId="15" numFmtId="0" xfId="0" applyAlignment="1" applyFont="1">
      <alignment horizontal="left" vertical="center"/>
    </xf>
    <xf borderId="0" fillId="0" fontId="16" numFmtId="0" xfId="0" applyAlignment="1" applyFont="1">
      <alignment horizontal="left" vertical="center"/>
    </xf>
    <xf borderId="0" fillId="0" fontId="12" numFmtId="0" xfId="0" applyAlignment="1" applyFont="1">
      <alignment vertical="center"/>
    </xf>
    <xf borderId="0" fillId="0" fontId="15" numFmtId="0" xfId="0" applyAlignment="1" applyFont="1">
      <alignment vertical="center"/>
    </xf>
    <xf borderId="0" fillId="0" fontId="17" numFmtId="0" xfId="0" applyAlignment="1" applyFont="1">
      <alignment vertical="center"/>
    </xf>
    <xf borderId="0" fillId="0" fontId="18" numFmtId="164" xfId="0" applyAlignment="1" applyFont="1" applyNumberFormat="1">
      <alignment horizontal="center" vertical="center"/>
    </xf>
    <xf borderId="0" fillId="0" fontId="18" numFmtId="165" xfId="0" applyAlignment="1" applyFont="1" applyNumberFormat="1">
      <alignment vertical="center"/>
    </xf>
    <xf borderId="0" fillId="0" fontId="18" numFmtId="165" xfId="0" applyAlignment="1" applyFont="1" applyNumberFormat="1">
      <alignment horizontal="left" vertical="center"/>
    </xf>
    <xf borderId="0" fillId="0" fontId="9" numFmtId="166" xfId="0" applyAlignment="1" applyFont="1" applyNumberFormat="1">
      <alignment vertical="center"/>
    </xf>
    <xf borderId="21" fillId="0" fontId="9" numFmtId="0" xfId="0" applyAlignment="1" applyBorder="1" applyFont="1">
      <alignment vertical="center"/>
    </xf>
    <xf borderId="22" fillId="0" fontId="9" numFmtId="0" xfId="0" applyAlignment="1" applyBorder="1" applyFont="1">
      <alignment vertical="center"/>
    </xf>
    <xf borderId="23" fillId="0" fontId="9" numFmtId="0" xfId="0" applyAlignment="1" applyBorder="1" applyFont="1">
      <alignment vertical="center"/>
    </xf>
    <xf borderId="24" fillId="2" fontId="19" numFmtId="49" xfId="0" applyAlignment="1" applyBorder="1" applyFill="1" applyFont="1" applyNumberFormat="1">
      <alignment horizontal="center" vertical="center"/>
    </xf>
    <xf borderId="25" fillId="0" fontId="4" numFmtId="0" xfId="0" applyBorder="1" applyFont="1"/>
    <xf borderId="26" fillId="0" fontId="4" numFmtId="0" xfId="0" applyBorder="1" applyFont="1"/>
    <xf borderId="0" fillId="0" fontId="20" numFmtId="49" xfId="0" applyFont="1" applyNumberFormat="1"/>
    <xf borderId="0" fillId="0" fontId="20" numFmtId="167" xfId="0" applyFont="1" applyNumberFormat="1"/>
    <xf borderId="0" fillId="0" fontId="20" numFmtId="9" xfId="0" applyFont="1" applyNumberFormat="1"/>
    <xf borderId="27" fillId="2" fontId="21" numFmtId="49" xfId="0" applyAlignment="1" applyBorder="1" applyFont="1" applyNumberFormat="1">
      <alignment horizontal="center" vertical="center"/>
    </xf>
    <xf borderId="28" fillId="0" fontId="4" numFmtId="0" xfId="0" applyBorder="1" applyFont="1"/>
    <xf borderId="29" fillId="2" fontId="21" numFmtId="49" xfId="0" applyAlignment="1" applyBorder="1" applyFont="1" applyNumberFormat="1">
      <alignment horizontal="center" vertical="center"/>
    </xf>
    <xf borderId="29" fillId="2" fontId="21" numFmtId="49" xfId="0" applyAlignment="1" applyBorder="1" applyFont="1" applyNumberFormat="1">
      <alignment horizontal="center" shrinkToFit="0" vertical="center" wrapText="1"/>
    </xf>
    <xf borderId="30" fillId="2" fontId="21" numFmtId="49" xfId="0" applyAlignment="1" applyBorder="1" applyFont="1" applyNumberFormat="1">
      <alignment horizontal="center" vertical="center"/>
    </xf>
    <xf borderId="31" fillId="2" fontId="21" numFmtId="49" xfId="0" applyAlignment="1" applyBorder="1" applyFont="1" applyNumberFormat="1">
      <alignment horizontal="center" vertical="center"/>
    </xf>
    <xf borderId="30" fillId="2" fontId="21" numFmtId="49" xfId="0" applyAlignment="1" applyBorder="1" applyFont="1" applyNumberFormat="1">
      <alignment horizontal="center" shrinkToFit="0" vertical="center" wrapText="1"/>
    </xf>
    <xf borderId="32" fillId="2" fontId="21" numFmtId="49" xfId="0" applyAlignment="1" applyBorder="1" applyFont="1" applyNumberFormat="1">
      <alignment horizontal="center" vertical="center"/>
    </xf>
    <xf borderId="0" fillId="0" fontId="21" numFmtId="49" xfId="0" applyAlignment="1" applyFont="1" applyNumberFormat="1">
      <alignment horizontal="center"/>
    </xf>
    <xf borderId="0" fillId="0" fontId="21" numFmtId="167" xfId="0" applyAlignment="1" applyFont="1" applyNumberFormat="1">
      <alignment horizontal="center"/>
    </xf>
    <xf borderId="0" fillId="0" fontId="21" numFmtId="9" xfId="0" applyAlignment="1" applyFont="1" applyNumberFormat="1">
      <alignment horizontal="center"/>
    </xf>
    <xf borderId="33" fillId="0" fontId="22" numFmtId="49" xfId="0" applyAlignment="1" applyBorder="1" applyFont="1" applyNumberFormat="1">
      <alignment horizontal="left" vertical="center"/>
    </xf>
    <xf borderId="34" fillId="0" fontId="4" numFmtId="0" xfId="0" applyBorder="1" applyFont="1"/>
    <xf borderId="35" fillId="0" fontId="22" numFmtId="49" xfId="0" applyAlignment="1" applyBorder="1" applyFont="1" applyNumberFormat="1">
      <alignment horizontal="center" vertical="center"/>
    </xf>
    <xf borderId="36" fillId="0" fontId="22" numFmtId="9" xfId="0" applyAlignment="1" applyBorder="1" applyFont="1" applyNumberFormat="1">
      <alignment horizontal="center" vertical="center"/>
    </xf>
    <xf borderId="37" fillId="0" fontId="22" numFmtId="49" xfId="0" applyAlignment="1" applyBorder="1" applyFont="1" applyNumberFormat="1">
      <alignment horizontal="center" vertical="center"/>
    </xf>
    <xf borderId="36" fillId="0" fontId="22" numFmtId="168" xfId="0" applyAlignment="1" applyBorder="1" applyFont="1" applyNumberFormat="1">
      <alignment horizontal="center" vertical="center"/>
    </xf>
    <xf borderId="37" fillId="0" fontId="22" numFmtId="168" xfId="0" applyAlignment="1" applyBorder="1" applyFont="1" applyNumberFormat="1">
      <alignment horizontal="center" vertical="center"/>
    </xf>
    <xf borderId="38" fillId="0" fontId="22" numFmtId="49" xfId="0" applyAlignment="1" applyBorder="1" applyFont="1" applyNumberFormat="1">
      <alignment horizontal="center" vertical="center"/>
    </xf>
    <xf borderId="0" fillId="0" fontId="22" numFmtId="49" xfId="0" applyAlignment="1" applyFont="1" applyNumberFormat="1">
      <alignment horizontal="center"/>
    </xf>
    <xf borderId="0" fillId="0" fontId="14" numFmtId="1" xfId="0" applyAlignment="1" applyFont="1" applyNumberFormat="1">
      <alignment horizontal="center" shrinkToFit="0" vertical="center" wrapText="1"/>
    </xf>
    <xf borderId="0" fillId="0" fontId="22" numFmtId="167" xfId="0" applyAlignment="1" applyFont="1" applyNumberFormat="1">
      <alignment horizontal="center"/>
    </xf>
    <xf borderId="0" fillId="0" fontId="22" numFmtId="9" xfId="0" applyAlignment="1" applyFont="1" applyNumberFormat="1">
      <alignment horizontal="center"/>
    </xf>
    <xf borderId="33" fillId="0" fontId="20" numFmtId="49" xfId="0" applyAlignment="1" applyBorder="1" applyFont="1" applyNumberFormat="1">
      <alignment horizontal="center" vertical="center"/>
    </xf>
    <xf borderId="35" fillId="0" fontId="20" numFmtId="9" xfId="0" applyAlignment="1" applyBorder="1" applyFont="1" applyNumberFormat="1">
      <alignment vertical="center"/>
    </xf>
    <xf borderId="36" fillId="0" fontId="20" numFmtId="9" xfId="0" applyAlignment="1" applyBorder="1" applyFont="1" applyNumberFormat="1">
      <alignment vertical="center"/>
    </xf>
    <xf borderId="37" fillId="0" fontId="20" numFmtId="168" xfId="0" applyAlignment="1" applyBorder="1" applyFont="1" applyNumberFormat="1">
      <alignment vertical="center"/>
    </xf>
    <xf borderId="36" fillId="0" fontId="20" numFmtId="166" xfId="0" applyAlignment="1" applyBorder="1" applyFont="1" applyNumberFormat="1">
      <alignment vertical="center"/>
    </xf>
    <xf borderId="36" fillId="0" fontId="20" numFmtId="168" xfId="0" applyAlignment="1" applyBorder="1" applyFont="1" applyNumberFormat="1">
      <alignment vertical="center"/>
    </xf>
    <xf borderId="38" fillId="0" fontId="23" numFmtId="167" xfId="0" applyAlignment="1" applyBorder="1" applyFont="1" applyNumberFormat="1">
      <alignment horizontal="center" vertical="center"/>
    </xf>
    <xf borderId="0" fillId="0" fontId="21" numFmtId="166" xfId="0" applyFont="1" applyNumberFormat="1"/>
    <xf borderId="0" fillId="0" fontId="21" numFmtId="9" xfId="0" applyFont="1" applyNumberFormat="1"/>
    <xf borderId="39" fillId="0" fontId="20" numFmtId="49" xfId="0" applyAlignment="1" applyBorder="1" applyFont="1" applyNumberFormat="1">
      <alignment horizontal="center" vertical="center"/>
    </xf>
    <xf borderId="40" fillId="0" fontId="20" numFmtId="49" xfId="0" applyAlignment="1" applyBorder="1" applyFont="1" applyNumberFormat="1">
      <alignment horizontal="center" vertical="center"/>
    </xf>
    <xf borderId="41" fillId="0" fontId="20" numFmtId="0" xfId="0" applyAlignment="1" applyBorder="1" applyFont="1">
      <alignment vertical="center"/>
    </xf>
    <xf borderId="42" fillId="0" fontId="20" numFmtId="9" xfId="0" applyAlignment="1" applyBorder="1" applyFont="1" applyNumberFormat="1">
      <alignment vertical="center"/>
    </xf>
    <xf borderId="43" fillId="0" fontId="20" numFmtId="166" xfId="0" applyAlignment="1" applyBorder="1" applyFont="1" applyNumberFormat="1">
      <alignment vertical="center"/>
    </xf>
    <xf borderId="42" fillId="0" fontId="20" numFmtId="166" xfId="0" applyAlignment="1" applyBorder="1" applyFont="1" applyNumberFormat="1">
      <alignment vertical="center"/>
    </xf>
    <xf borderId="43" fillId="0" fontId="20" numFmtId="168" xfId="0" applyAlignment="1" applyBorder="1" applyFont="1" applyNumberFormat="1">
      <alignment vertical="center"/>
    </xf>
    <xf borderId="42" fillId="0" fontId="20" numFmtId="168" xfId="0" applyAlignment="1" applyBorder="1" applyFont="1" applyNumberFormat="1">
      <alignment vertical="center"/>
    </xf>
    <xf borderId="44" fillId="0" fontId="20" numFmtId="166" xfId="0" applyAlignment="1" applyBorder="1" applyFont="1" applyNumberFormat="1">
      <alignment horizontal="center" vertical="center"/>
    </xf>
    <xf borderId="0" fillId="0" fontId="20" numFmtId="166" xfId="0" applyFont="1" applyNumberFormat="1"/>
    <xf borderId="0" fillId="0" fontId="14" numFmtId="166" xfId="0" applyAlignment="1" applyFont="1" applyNumberFormat="1">
      <alignment vertical="center"/>
    </xf>
    <xf borderId="0" fillId="0" fontId="20" numFmtId="166" xfId="0" applyAlignment="1" applyFont="1" applyNumberFormat="1">
      <alignment horizontal="center" vertical="center"/>
    </xf>
    <xf borderId="0" fillId="0" fontId="20" numFmtId="169" xfId="0" applyAlignment="1" applyFont="1" applyNumberFormat="1">
      <alignment horizontal="center" vertical="center"/>
    </xf>
    <xf borderId="45" fillId="0" fontId="20" numFmtId="49" xfId="0" applyAlignment="1" applyBorder="1" applyFont="1" applyNumberFormat="1">
      <alignment horizontal="center" vertical="center"/>
    </xf>
    <xf borderId="46" fillId="0" fontId="20" numFmtId="49" xfId="0" applyAlignment="1" applyBorder="1" applyFont="1" applyNumberFormat="1">
      <alignment horizontal="center" vertical="center"/>
    </xf>
    <xf borderId="47" fillId="0" fontId="20" numFmtId="0" xfId="0" applyAlignment="1" applyBorder="1" applyFont="1">
      <alignment vertical="center"/>
    </xf>
    <xf borderId="48" fillId="0" fontId="20" numFmtId="9" xfId="0" applyAlignment="1" applyBorder="1" applyFont="1" applyNumberFormat="1">
      <alignment vertical="center"/>
    </xf>
    <xf borderId="49" fillId="0" fontId="20" numFmtId="166" xfId="0" applyAlignment="1" applyBorder="1" applyFont="1" applyNumberFormat="1">
      <alignment vertical="center"/>
    </xf>
    <xf borderId="48" fillId="0" fontId="20" numFmtId="166" xfId="0" applyAlignment="1" applyBorder="1" applyFont="1" applyNumberFormat="1">
      <alignment vertical="center"/>
    </xf>
    <xf borderId="49" fillId="0" fontId="20" numFmtId="168" xfId="0" applyAlignment="1" applyBorder="1" applyFont="1" applyNumberFormat="1">
      <alignment vertical="center"/>
    </xf>
    <xf borderId="48" fillId="0" fontId="20" numFmtId="168" xfId="0" applyAlignment="1" applyBorder="1" applyFont="1" applyNumberFormat="1">
      <alignment vertical="center"/>
    </xf>
    <xf borderId="50" fillId="0" fontId="20" numFmtId="166" xfId="0" applyAlignment="1" applyBorder="1" applyFont="1" applyNumberFormat="1">
      <alignment horizontal="center" vertical="center"/>
    </xf>
    <xf borderId="37" fillId="0" fontId="20" numFmtId="9" xfId="0" applyAlignment="1" applyBorder="1" applyFont="1" applyNumberFormat="1">
      <alignment vertical="center"/>
    </xf>
    <xf borderId="0" fillId="0" fontId="21" numFmtId="167" xfId="0" applyFont="1" applyNumberFormat="1"/>
    <xf borderId="34" fillId="0" fontId="20" numFmtId="168" xfId="0" applyAlignment="1" applyBorder="1" applyFont="1" applyNumberFormat="1">
      <alignment vertical="center"/>
    </xf>
    <xf borderId="37" fillId="0" fontId="20" numFmtId="166" xfId="0" applyAlignment="1" applyBorder="1" applyFont="1" applyNumberFormat="1">
      <alignment vertical="center"/>
    </xf>
    <xf borderId="0" fillId="0" fontId="14" numFmtId="166" xfId="0" applyAlignment="1" applyFont="1" applyNumberFormat="1">
      <alignment horizontal="center" vertical="center"/>
    </xf>
    <xf borderId="51" fillId="0" fontId="20" numFmtId="49" xfId="0" applyAlignment="1" applyBorder="1" applyFont="1" applyNumberFormat="1">
      <alignment horizontal="center" vertical="center"/>
    </xf>
    <xf borderId="52" fillId="0" fontId="20" numFmtId="49" xfId="0" applyAlignment="1" applyBorder="1" applyFont="1" applyNumberFormat="1">
      <alignment horizontal="center" vertical="center"/>
    </xf>
    <xf borderId="53" fillId="0" fontId="20" numFmtId="0" xfId="0" applyAlignment="1" applyBorder="1" applyFont="1">
      <alignment vertical="center"/>
    </xf>
    <xf borderId="54" fillId="0" fontId="20" numFmtId="9" xfId="0" applyAlignment="1" applyBorder="1" applyFont="1" applyNumberFormat="1">
      <alignment vertical="center"/>
    </xf>
    <xf borderId="0" fillId="0" fontId="20" numFmtId="166" xfId="0" applyAlignment="1" applyFont="1" applyNumberFormat="1">
      <alignment vertical="center"/>
    </xf>
    <xf borderId="54" fillId="0" fontId="20" numFmtId="168" xfId="0" applyAlignment="1" applyBorder="1" applyFont="1" applyNumberFormat="1">
      <alignment vertical="center"/>
    </xf>
    <xf borderId="55" fillId="0" fontId="20" numFmtId="166" xfId="0" applyAlignment="1" applyBorder="1" applyFont="1" applyNumberFormat="1">
      <alignment horizontal="center" vertical="center"/>
    </xf>
    <xf borderId="56" fillId="0" fontId="23" numFmtId="49" xfId="0" applyAlignment="1" applyBorder="1" applyFont="1" applyNumberFormat="1">
      <alignment horizontal="center" vertical="center"/>
    </xf>
    <xf borderId="57" fillId="0" fontId="4" numFmtId="0" xfId="0" applyBorder="1" applyFont="1"/>
    <xf borderId="58" fillId="0" fontId="20" numFmtId="49" xfId="0" applyAlignment="1" applyBorder="1" applyFont="1" applyNumberFormat="1">
      <alignment vertical="center"/>
    </xf>
    <xf borderId="59" fillId="0" fontId="20" numFmtId="167" xfId="0" applyAlignment="1" applyBorder="1" applyFont="1" applyNumberFormat="1">
      <alignment vertical="center"/>
    </xf>
    <xf borderId="57" fillId="0" fontId="23" numFmtId="166" xfId="0" applyAlignment="1" applyBorder="1" applyFont="1" applyNumberFormat="1">
      <alignment vertical="center"/>
    </xf>
    <xf borderId="59" fillId="0" fontId="20" numFmtId="168" xfId="0" applyAlignment="1" applyBorder="1" applyFont="1" applyNumberFormat="1">
      <alignment vertical="center"/>
    </xf>
    <xf borderId="57" fillId="0" fontId="20" numFmtId="168" xfId="0" applyAlignment="1" applyBorder="1" applyFont="1" applyNumberFormat="1">
      <alignment vertical="center"/>
    </xf>
    <xf borderId="59" fillId="0" fontId="23" numFmtId="166" xfId="0" applyAlignment="1" applyBorder="1" applyFont="1" applyNumberFormat="1">
      <alignment vertical="center"/>
    </xf>
    <xf borderId="60" fillId="0" fontId="23" numFmtId="166" xfId="0" applyAlignment="1" applyBorder="1" applyFont="1" applyNumberFormat="1">
      <alignment horizontal="center" shrinkToFit="0" vertical="center" wrapText="1"/>
    </xf>
    <xf borderId="0" fillId="0" fontId="14" numFmtId="0" xfId="0" applyFont="1"/>
    <xf borderId="0" fillId="0" fontId="14" numFmtId="0" xfId="0" applyAlignment="1" applyFont="1">
      <alignment shrinkToFit="0" vertical="center" wrapText="1"/>
    </xf>
    <xf borderId="0" fillId="0" fontId="24" numFmtId="166" xfId="0" applyFont="1" applyNumberFormat="1"/>
    <xf borderId="0" fillId="0" fontId="1" numFmtId="0" xfId="0" applyAlignment="1" applyFont="1">
      <alignment vertical="center"/>
    </xf>
    <xf borderId="0" fillId="0" fontId="25" numFmtId="0" xfId="0" applyFont="1"/>
    <xf borderId="0" fillId="0" fontId="26" numFmtId="0" xfId="0" applyAlignment="1" applyFont="1">
      <alignment vertical="center"/>
    </xf>
    <xf borderId="0" fillId="0" fontId="27" numFmtId="0" xfId="0" applyAlignment="1" applyFont="1">
      <alignment horizontal="left"/>
    </xf>
    <xf borderId="0" fillId="0" fontId="27" numFmtId="0" xfId="0" applyAlignment="1" applyFont="1">
      <alignment horizontal="left" vertical="center"/>
    </xf>
    <xf borderId="0" fillId="0" fontId="28" numFmtId="0" xfId="0" applyAlignment="1" applyFont="1">
      <alignment horizontal="center" shrinkToFit="0" vertical="center" wrapText="1"/>
    </xf>
    <xf borderId="0" fillId="0" fontId="2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externalLink" Target="externalLinks/externalLink33.xml"/><Relationship Id="rId20" Type="http://schemas.openxmlformats.org/officeDocument/2006/relationships/externalLink" Target="externalLinks/externalLink13.xml"/><Relationship Id="rId42" Type="http://schemas.openxmlformats.org/officeDocument/2006/relationships/externalLink" Target="externalLinks/externalLink35.xml"/><Relationship Id="rId41" Type="http://schemas.openxmlformats.org/officeDocument/2006/relationships/externalLink" Target="externalLinks/externalLink34.xml"/><Relationship Id="rId22" Type="http://schemas.openxmlformats.org/officeDocument/2006/relationships/externalLink" Target="externalLinks/externalLink15.xml"/><Relationship Id="rId44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4.xml"/><Relationship Id="rId43" Type="http://schemas.openxmlformats.org/officeDocument/2006/relationships/externalLink" Target="externalLinks/externalLink36.xml"/><Relationship Id="rId24" Type="http://schemas.openxmlformats.org/officeDocument/2006/relationships/externalLink" Target="externalLinks/externalLink17.xml"/><Relationship Id="rId46" Type="http://schemas.openxmlformats.org/officeDocument/2006/relationships/externalLink" Target="externalLinks/externalLink39.xml"/><Relationship Id="rId23" Type="http://schemas.openxmlformats.org/officeDocument/2006/relationships/externalLink" Target="externalLinks/externalLink16.xml"/><Relationship Id="rId45" Type="http://schemas.openxmlformats.org/officeDocument/2006/relationships/externalLink" Target="externalLinks/externalLink3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9.xml"/><Relationship Id="rId25" Type="http://schemas.openxmlformats.org/officeDocument/2006/relationships/externalLink" Target="externalLinks/externalLink18.xml"/><Relationship Id="rId47" Type="http://customschemas.google.com/relationships/workbookmetadata" Target="metadata"/><Relationship Id="rId28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0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externalLink" Target="externalLinks/externalLink22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3.xml"/><Relationship Id="rId11" Type="http://schemas.openxmlformats.org/officeDocument/2006/relationships/externalLink" Target="externalLinks/externalLink4.xml"/><Relationship Id="rId33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3.xml"/><Relationship Id="rId32" Type="http://schemas.openxmlformats.org/officeDocument/2006/relationships/externalLink" Target="externalLinks/externalLink25.xml"/><Relationship Id="rId13" Type="http://schemas.openxmlformats.org/officeDocument/2006/relationships/externalLink" Target="externalLinks/externalLink6.xml"/><Relationship Id="rId35" Type="http://schemas.openxmlformats.org/officeDocument/2006/relationships/externalLink" Target="externalLinks/externalLink28.xml"/><Relationship Id="rId12" Type="http://schemas.openxmlformats.org/officeDocument/2006/relationships/externalLink" Target="externalLinks/externalLink5.xml"/><Relationship Id="rId34" Type="http://schemas.openxmlformats.org/officeDocument/2006/relationships/externalLink" Target="externalLinks/externalLink27.xml"/><Relationship Id="rId15" Type="http://schemas.openxmlformats.org/officeDocument/2006/relationships/externalLink" Target="externalLinks/externalLink8.xml"/><Relationship Id="rId37" Type="http://schemas.openxmlformats.org/officeDocument/2006/relationships/externalLink" Target="externalLinks/externalLink30.xml"/><Relationship Id="rId14" Type="http://schemas.openxmlformats.org/officeDocument/2006/relationships/externalLink" Target="externalLinks/externalLink7.xml"/><Relationship Id="rId36" Type="http://schemas.openxmlformats.org/officeDocument/2006/relationships/externalLink" Target="externalLinks/externalLink29.xml"/><Relationship Id="rId17" Type="http://schemas.openxmlformats.org/officeDocument/2006/relationships/externalLink" Target="externalLinks/externalLink10.xml"/><Relationship Id="rId39" Type="http://schemas.openxmlformats.org/officeDocument/2006/relationships/externalLink" Target="externalLinks/externalLink32.xml"/><Relationship Id="rId16" Type="http://schemas.openxmlformats.org/officeDocument/2006/relationships/externalLink" Target="externalLinks/externalLink9.xml"/><Relationship Id="rId38" Type="http://schemas.openxmlformats.org/officeDocument/2006/relationships/externalLink" Target="externalLinks/externalLink31.xml"/><Relationship Id="rId19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1304925</xdr:colOff>
      <xdr:row>19</xdr:row>
      <xdr:rowOff>19050</xdr:rowOff>
    </xdr:from>
    <xdr:ext cx="66675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971550</xdr:colOff>
      <xdr:row>40</xdr:row>
      <xdr:rowOff>38100</xdr:rowOff>
    </xdr:from>
    <xdr:ext cx="3105150" cy="238125"/>
    <xdr:sp>
      <xdr:nvSpPr>
        <xdr:cNvPr id="3" name="Shape 3"/>
        <xdr:cNvSpPr/>
      </xdr:nvSpPr>
      <xdr:spPr>
        <a:xfrm>
          <a:off x="3807713" y="3675225"/>
          <a:ext cx="3076575" cy="209550"/>
        </a:xfrm>
        <a:prstGeom prst="rect">
          <a:avLst/>
        </a:prstGeom>
        <a:noFill/>
        <a:ln cap="flat" cmpd="sng" w="2857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981075</xdr:colOff>
      <xdr:row>51</xdr:row>
      <xdr:rowOff>57150</xdr:rowOff>
    </xdr:from>
    <xdr:ext cx="3067050" cy="190500"/>
    <xdr:sp>
      <xdr:nvSpPr>
        <xdr:cNvPr id="4" name="Shape 4"/>
        <xdr:cNvSpPr/>
      </xdr:nvSpPr>
      <xdr:spPr>
        <a:xfrm>
          <a:off x="3826763" y="3699038"/>
          <a:ext cx="3038475" cy="161925"/>
        </a:xfrm>
        <a:prstGeom prst="rect">
          <a:avLst/>
        </a:prstGeom>
        <a:noFill/>
        <a:ln cap="flat" cmpd="sng" w="2857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5</xdr:row>
      <xdr:rowOff>0</xdr:rowOff>
    </xdr:from>
    <xdr:ext cx="4981575" cy="696277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4972050" cy="70580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32</xdr:row>
      <xdr:rowOff>66675</xdr:rowOff>
    </xdr:from>
    <xdr:ext cx="4857750" cy="699135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32</xdr:row>
      <xdr:rowOff>47625</xdr:rowOff>
    </xdr:from>
    <xdr:ext cx="4848225" cy="69532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&#50689;&#50629;1&#48376;&#48512;(1)\C\&#50689;&#50629;1&#48376;&#48512;\4.&#44608;&#51116;&#49457;\&#44396;&#49328;\&#44396;&#49328;&#51333;&#54633;&#50868;&#46041;&#44204;&#51201;1,2\My%20Documents\sys_cabling_12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&#51221;&#51064;&#54868;\&#44608;&#54788;&#51068;\DATA\&#49444;&#44228;&#48320;&#44221;\&#44053;&#44288;&#54028;&#51068;(&#51088;&#47308;)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Ntcom\work\MY\RETAIN\&#50745;&#48317;&#51312;&#44552;&#49688;&#51221;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&#51312;&#45824;&#49457;\CDS\song\&#51652;&#46020;&#48372;&#44256;\7-3\7&#50900;\hi-excel\3&#54924;-&#49444;&#48320;\3&#54924;-&#53664;&#51201;.XLS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A:\MSOffice\Excel\work\&#45236;&#50669;.XLS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&#48177;&#48337;&#49440;\&#44288;&#47532;&#49892;\hb\&#49340;&#49328;1&#51648;&#44396;(&#49892;&#49884;)\&#51452;&#44277;&#49688;&#47049;\&#51068;&#50948;&#45824;&#44032;9803.xls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&#51109;&#51064;&#54840;\&#47928;&#49436;\JUNG\&#45824;&#54217;\&#51222;&#51648;.XLS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&#51312;&#48276;&#54945;\C\DataBackup\&#49688;&#47049;&#49328;&#52636;&#49436;\09&#54252;&#51109;\&#54869;&#54253;&#48512;.xls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CMK\&#44032;&#51256;&#44032;&#49464;&#50836;\WINDOWS\Application%20Data\Microsoft\Templates\2000&#44221;&#51452;EXPO\7&#50900;file\&#46020;&#47196;&#44277;&#49324;\&#49436;&#50872;&#49884;CCTV.xls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KMS\&#45347;&#50612;&#51452;&#49464;&#50836;\WINDOWS\Application%20Data\Microsoft\Templates\MSOffice\99file\&#49436;&#50872;&#49884;CCTV.xls" TargetMode="External"/></Relationships>
</file>

<file path=xl/externalLinks/_rels/externalLink1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N:\&#49352;%20&#54260;&#45908;\&#54788;&#51109;&#51089;&#50629;\14-2\My%20Documents\&#45909;&#54413;&#44048;&#48513;&#46020;&#47196;\&#45909;&#54413;&#44048;&#48513;&#44221;&#48708;.xls" TargetMode="External"/></Relationships>
</file>

<file path=xl/externalLinks/_rels/externalLink1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F:\&#50689;&#50629;&#50629;&#47924;\2011&#45380;\&#51648;&#51088;&#52404;\&#51228;&#52380;&#49884;\UPIS\&#48156;&#51452;&#51088;&#47308;&#51228;&#44277;_20110211\&#51228;&#52380;_UPIS_&#49444;&#44228;&#49436;_20110216_&#52488;&#50504;.xls" TargetMode="External"/></Relationships>
</file>

<file path=xl/externalLinks/_rels/externalLink1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&#50896;&#50857;&#51652;\&#50896;&#50857;&#51652;&#51032;%20&#50896;\My%20Documents\&#50672;&#44208;.xls" TargetMode="External"/></Relationships>
</file>

<file path=xl/externalLinks/_rels/externalLink1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Hjy\&#44032;&#51256;&#44032;&#49464;&#50836;\&#51204;&#51088;&#51648;&#48520;&#49884;&#49828;&#53596;\C&#50532;C&#50896;&#44032;&#44228;&#49328;.xls" TargetMode="External"/></Relationships>
</file>

<file path=xl/externalLinks/_rels/externalLink1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&#49436;&#50689;&#49437;\D\Program%20Files\AutoCAD%20R14\&#49892;&#49884;\&#49569;&#46972;&#52488;&#46321;&#54617;&#44368;\&#45236;&#50669;&#49436;\&#49569;&#46972;&#52488;&#51473;&#54617;&#44368;(final).xls" TargetMode="External"/></Relationships>
</file>

<file path=xl/externalLinks/_rels/externalLink1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&#49436;&#50689;&#49437;\D\BAKUP\OLD-E\1760\1766\1766-1.xls" TargetMode="External"/></Relationships>
</file>

<file path=xl/externalLinks/_rels/externalLink1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AHN\&#44032;&#51256;&#44032;&#49464;&#50836;\Documents%20and%20Settings\start\Local%20Settings\Temp\&#44048;&#50864;&#54924;(&#45208;&#45432;).zip&#50640;%20&#45824;&#54620;%20&#51076;&#49884;%20&#46356;&#47113;&#53552;&#47532;%201\office-file\&#54861;&#51648;&#50689;\2002&#45380;\0207\&#50640;&#47532;&#53944;&#54140;&#45768;&#52376;\&#47785;&#51116;&#50668;&#45803;&#51060;&#47928;&#50808;18&#51333;.xls" TargetMode="External"/></Relationships>
</file>

<file path=xl/externalLinks/_rels/externalLink1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&#48149;&#44540;&#49688;\MYDOCUMENTS\&#44204;&#51201;&#49436;\&#44204;&#51201;&#49436;(&#50641;&#49472;)\&#54532;&#47196;&#51229;&#53944;\&#54788;&#51228;&#51089;&#50629;&#49892;\&#46020;&#54868;,&#44221;&#54868;,&#44148;&#54868;\&#49457;&#45224;&#51008;&#54665;1&#44032;&#50517;&#51109;.xls" TargetMode="External"/></Relationships>
</file>

<file path=xl/externalLinks/_rels/externalLink1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A:\99&#51452;&#44277;-&#49688;&#48176;&#51613;&#48729;&#51088;&#47308;.xls" TargetMode="External"/></Relationships>
</file>

<file path=xl/externalLinks/_rels/externalLink2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&#47700;&#51064;\D\My%20Documents\&#44204;&#51201;\&#46041;&#45224;&#54633;&#49457;\&#44288;&#47532;\FORM\XLS\EQ9900000(&#45236;&#50669;&#49436;).xls" TargetMode="External"/></Relationships>
</file>

<file path=xl/externalLinks/_rels/externalLink2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&#51060;&#48120;&#54805;\MY%20DOCUMENTS\&#47928;&#49436;\&#44288;&#44277;&#49324;\&#44277;&#44592;&#49328;&#51221;.XLS" TargetMode="External"/></Relationships>
</file>

<file path=xl/externalLinks/_rels/externalLink2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&#49888;&#50857;&#46301;\06-&#44228;&#50557;&#44288;&#47144;\Documents%20and%20Settings\&#51060;&#44592;&#49328;\Local%20Settings\Temporary%20Internet%20Files\Content.IE5\PFRZ91KE\lim\down\&#50676;&#47536;&#44368;&#51221;&#48143;&#55092;&#49885;&#44277;&#50896;&#51312;&#49457;&#44277;&#49324;(&#49688;&#47049;&#49328;&#52636;2003.3)20).xls" TargetMode="External"/></Relationships>
</file>

<file path=xl/externalLinks/_rels/externalLink2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Nds\project\project\2002\&#51228;&#52380;&#46020;&#45812;&#49892;&#49884;&#49444;&#44228;\&#49688;&#47049;sample\2000\1-1%20(&#49345;&#47196;)&#51109;&#54217;&#52380;\&#44368;&#45824;.xls" TargetMode="External"/></Relationships>
</file>

<file path=xl/externalLinks/_rels/externalLink2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&#44288;&#47532;&#48512;\C\JUNG\&#45824;&#54217;\&#51222;&#51648;.XLS" TargetMode="External"/></Relationships>
</file>

<file path=xl/externalLinks/_rels/externalLink2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Csh\&#44277;&#50976;%20&#44536;&#47548;\&#51076;&#49884;&#54028;&#51068;\KNK\2002&#45380;\&#50896;&#44032;&#44228;&#49328;\&#48372;&#46972;&#47588;&#48337;&#50896;\office%20&#50577;&#49885;\I&#19968;&#33324;&#27604;.xls" TargetMode="External"/></Relationships>
</file>

<file path=xl/externalLinks/_rels/externalLink2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KNK\&#44032;&#51256;&#44032;&#49464;&#50836;\&#44221;&#52272;&#51333;&#54633;&#54617;&#44368;-&#49548;&#44033;&#45432;\&#46020;&#44277;-&#51088;&#44592;&#53685;&#54665;&#44428;\2003&#45380;&#54364;&#51648;&#50577;&#49885;\&#48372;&#46972;&#47588;&#48337;&#50896;\WINDOWS\Application%20Data\Microsoft\Templates\MSOffice\99file\&#49436;&#50872;&#49884;&#49888;&#54840;-2.xls" TargetMode="External"/></Relationships>
</file>

<file path=xl/externalLinks/_rels/externalLink2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&#51109;&#54788;&#50864;\&#50896;&#44032;&#44228;&#49328;\My%20Documents\&#50896;&#44032;&#44228;&#49328;\&#50896;&#44032;&#44228;&#49328;\Book4.xls" TargetMode="External"/></Relationships>
</file>

<file path=xl/externalLinks/_rels/externalLink2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2000&#45380;&#49888;&#54805;1&#54840;&#52980;\C\BEAR-1\ESC\CC-04.XLS" TargetMode="External"/></Relationships>
</file>

<file path=xl/externalLinks/_rels/externalLink2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sh\&#51648;&#51088;&#52404;\Documents%20and%20Settings\admin\&#48148;&#53461;%20&#54868;&#47732;\My%20Documents\&#48155;&#51008;%20&#54028;&#51068;\OFFICE%20&#50577;&#49885;\N&#36035;&#63963;-&#32887;.xls" TargetMode="External"/></Relationships>
</file>

<file path=xl/externalLinks/_rels/externalLink3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NANOENTECH\nanoentech.co.Ltd\Documents%20and%20Settings\lsh\My%20Documents\&#48155;&#51008;%20&#54028;&#51068;\My%20Documents\&#44608;&#44221;&#53469;\&#50977;&#44400;&#51228;1266&#48512;&#45824;\&#51228;&#51312;\&#53356;&#47021;&#53356;&#50808;\EXCEL\&#51312;&#44221;&#45236;.XLS" TargetMode="External"/></Relationships>
</file>

<file path=xl/externalLinks/_rels/externalLink3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In\&#47196;&#52972;%20&#46356;&#49828;&#53356;%20(D)\hb\&#49340;&#49328;1&#51648;&#44396;(&#49892;&#49884;)\&#51452;&#44277;&#49688;&#47049;\&#51068;&#50948;&#45824;&#44032;9803.xls" TargetMode="External"/></Relationships>
</file>

<file path=xl/externalLinks/_rels/externalLink3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&#49888;&#50857;&#46301;\06-&#44228;&#50557;&#44288;&#47144;\Documents%20and%20Settings\&#44428;&#53468;&#49885;\My%20Documents\&#52572;&#51648;&#54984;\&#49444;&#44228;&#44288;&#47144;\3&#44592;&#51456;.xls" TargetMode="External"/></Relationships>
</file>

<file path=xl/externalLinks/_rels/externalLink3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Girl\d\My%20Documents\&#47928;&#49436;\&#49440;&#44553;&#44552;.xls" TargetMode="External"/></Relationships>
</file>

<file path=xl/externalLinks/_rels/externalLink3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HJY\&#44032;&#51256;&#44032;&#49464;&#50836;\My%20Documents\&#54644;&#49440;&#44256;&#45236;&#50669;&#49436;\&#54616;&#49328;\&#54616;&#49328;\&#54616;&#44277;&#51221;.xls" TargetMode="External"/></Relationships>
</file>

<file path=xl/externalLinks/_rels/externalLink3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&#50980;&#51109;&#54788;\C\My%20Documents\&#45236;&#50669;&#49436;\KHDATA\&#44288;&#47532;&#52397;\&#50896;&#45224;-&#50872;&#51652;\&#50896;&#45224;&#50872;&#51652;&#45209;&#52272;&#45236;&#50669;(99.4.13%20&#48512;&#49328;&#52397;).xls" TargetMode="External"/></Relationships>
</file>

<file path=xl/externalLinks/_rels/externalLink3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F:\Office\&#48149;&#44592;&#49324;%20&#51089;&#50629;&#50857;\DATA\MR-BAB\&#50641;&#49472;DATA\3.&#48176;&#49688;&#44277;\BUDAE.XLS" TargetMode="External"/></Relationships>
</file>

<file path=xl/externalLinks/_rels/externalLink3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L:\&#48149;&#51333;&#48124;\K&#46300;&#46972;&#51060;&#48652;\work\&#47928;&#49436;&#44288;&#47532;\&#49324;&#50629;&#48156;&#51452;\&#44340;&#49328;\&#52488;&#50504;\&#44340;&#49328;_UPIS&#49444;&#44228;&#45236;&#50669;&#49436;_09.04.24.xls" TargetMode="External"/></Relationships>
</file>

<file path=xl/externalLinks/_rels/externalLink3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&#45208;&#44221;&#51452;\D\BEAR\XLS\FD9715-1.XLS" TargetMode="External"/></Relationships>
</file>

<file path=xl/externalLinks/_rels/externalLink3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AHN\&#44032;&#51256;&#44032;&#49464;&#50836;\&#51076;&#49884;&#54028;&#51068;\KNK\2002&#45380;\&#50896;&#44032;&#44228;&#49328;\&#47560;&#54252;&#44221;&#52272;&#49436;\&#48372;&#46972;&#47588;&#48337;&#50896;\&#51076;&#49884;&#54028;&#51068;\KNK\file\&#49436;&#50872;&#49884;CCTV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6PILE  (돌출)"/>
      <sheetName val="견적을지"/>
      <sheetName val="설계산출표지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강관파일(자료)"/>
      <sheetName val="#REF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6PILE  (돌출)"/>
      <sheetName val="조명시설"/>
      <sheetName val="부안일위"/>
      <sheetName val="단위중량"/>
      <sheetName val="업무처리전"/>
      <sheetName val="6PILE  _돌출_"/>
      <sheetName val="소업1교"/>
      <sheetName val="3BL공동구 수량"/>
      <sheetName val="옹벽조금수정"/>
      <sheetName val="#REF"/>
      <sheetName val="가설건물"/>
      <sheetName val="본선 토공 분배표"/>
      <sheetName val="샘플표지"/>
      <sheetName val="갑지"/>
      <sheetName val="내역서"/>
      <sheetName val="공사비집계"/>
      <sheetName val="진주방향"/>
      <sheetName val="반응조"/>
      <sheetName val="토공 갑지"/>
      <sheetName val="입찰안"/>
      <sheetName val="내역표지"/>
      <sheetName val="빗물받이(910-510-410)"/>
      <sheetName val="가격조사서"/>
      <sheetName val="약품설비"/>
      <sheetName val="노임단가"/>
      <sheetName val="원형1호맨홀토공수량"/>
      <sheetName val="집계표(육상)"/>
      <sheetName val="지급자재"/>
      <sheetName val="포장공자재집계표"/>
      <sheetName val="DATE"/>
      <sheetName val="산출근거"/>
      <sheetName val="해전배수"/>
      <sheetName val="수문일1"/>
      <sheetName val="결과조달"/>
      <sheetName val="총괄내역서"/>
      <sheetName val="총 괄 표"/>
      <sheetName val="참조"/>
      <sheetName val="사통"/>
      <sheetName val="물가시세"/>
      <sheetName val="터파기및재료"/>
      <sheetName val="Sheet1"/>
      <sheetName val="수지표"/>
      <sheetName val="셀명"/>
      <sheetName val="총괄"/>
      <sheetName val="하도내역 (철콘)"/>
      <sheetName val="SLAB&quot;1&quot;"/>
      <sheetName val="BOX(1.5X1.5)"/>
      <sheetName val="6PILE+옹벽집계!$G$6+옹벽집계!$H$10  (돌출"/>
      <sheetName val="산출내역서"/>
      <sheetName val="실행철강하도"/>
      <sheetName val="내역"/>
      <sheetName val="2.단면가정 "/>
      <sheetName val="D200"/>
      <sheetName val="교각계산"/>
      <sheetName val="수량3"/>
      <sheetName val="우수받이재료집계표"/>
      <sheetName val="말뚝지지력산정"/>
      <sheetName val="가도공"/>
      <sheetName val="단면 (2)"/>
      <sheetName val="Sheet1 (2)"/>
      <sheetName val="안산기계장치"/>
      <sheetName val="4.2유효폭의 계산"/>
      <sheetName val="입찰"/>
      <sheetName val="현경"/>
      <sheetName val="U-TYPE(1)"/>
      <sheetName val="오동"/>
      <sheetName val="대조"/>
      <sheetName val="나한"/>
      <sheetName val="type-F"/>
      <sheetName val="격점수량"/>
      <sheetName val="간지(1)"/>
      <sheetName val="1,2,3,4,5단위수량"/>
      <sheetName val="ELECTRIC"/>
      <sheetName val="SCHEDULE"/>
      <sheetName val="Sheet2"/>
      <sheetName val="수량집계"/>
      <sheetName val="인사자료총집계"/>
      <sheetName val="슬래브"/>
      <sheetName val="A-4"/>
      <sheetName val="밸브설치"/>
      <sheetName val="일위대가목록"/>
      <sheetName val="2호맨홀공제수량"/>
      <sheetName val="배수관산출"/>
      <sheetName val="000000"/>
      <sheetName val="공사비증감"/>
      <sheetName val="수안보-MBR1"/>
      <sheetName val="3.공통공사대비"/>
      <sheetName val="목표세부명세"/>
      <sheetName val="견적서(토공)"/>
      <sheetName val="간선계산"/>
      <sheetName val="ABUT수량-A1"/>
      <sheetName val="예가표"/>
      <sheetName val="교각정보"/>
      <sheetName val="기기리스트"/>
      <sheetName val="BID"/>
      <sheetName val="1062-X방향 "/>
      <sheetName val="발주설계서(당초)"/>
      <sheetName val="포장물량집계"/>
      <sheetName val="원가"/>
      <sheetName val="실정보고"/>
      <sheetName val="갑지1"/>
      <sheetName val="DATA98"/>
      <sheetName val="고창방향"/>
      <sheetName val="SIL98"/>
      <sheetName val="연돌일위집계"/>
      <sheetName val="공사비증감(P4) "/>
      <sheetName val="1. 설계조건 2.단면가정 3. 하중계산"/>
      <sheetName val="DATA 입력란"/>
      <sheetName val="일위대가(계측기설치)"/>
      <sheetName val="기성내역"/>
      <sheetName val="경상비"/>
      <sheetName val="DATA2000"/>
      <sheetName val="수로집계"/>
      <sheetName val="실행예산"/>
      <sheetName val="식재"/>
      <sheetName val="시설물"/>
      <sheetName val="식재출력용"/>
      <sheetName val="유지관리"/>
      <sheetName val="단가"/>
      <sheetName val="주식"/>
      <sheetName val="집계표"/>
      <sheetName val="견적의뢰서"/>
      <sheetName val="2000년1차"/>
      <sheetName val="2000전체분"/>
      <sheetName val="200"/>
      <sheetName val="세대구분"/>
      <sheetName val="공문"/>
      <sheetName val="COVER"/>
      <sheetName val="Sheet4"/>
      <sheetName val="DATA입력"/>
      <sheetName val="자료"/>
      <sheetName val="2공구산출내역"/>
      <sheetName val="S.중기사용료"/>
      <sheetName val="97노임단가"/>
      <sheetName val="입력란"/>
      <sheetName val="간 지1"/>
      <sheetName val="TOTAL_BOQ"/>
      <sheetName val="BOX 본체"/>
      <sheetName val="날개벽(시점좌측)"/>
      <sheetName val="뚝토공"/>
      <sheetName val="4)유동표"/>
      <sheetName val="단면A-A(TR)"/>
      <sheetName val="단면B-B(EA)"/>
      <sheetName val="역T형"/>
      <sheetName val="6PILE 과속방지턱집계표!$K$12 (돌출)"/>
      <sheetName val="8.PILE  (돌출)"/>
      <sheetName val="산근터빈"/>
      <sheetName val="금액내역서"/>
      <sheetName val="공통비총괄표"/>
      <sheetName val="1TL종점(1)"/>
      <sheetName val="토목품셈"/>
      <sheetName val="PAD TR보호대기초"/>
      <sheetName val="가로등기초"/>
      <sheetName val="HANDHOLE(2)"/>
      <sheetName val="전차선로 물량표"/>
      <sheetName val="공사내역"/>
      <sheetName val="실행"/>
      <sheetName val="1호맨홀토공"/>
      <sheetName val="TOWER 10TON"/>
      <sheetName val="TOWER 12TON"/>
      <sheetName val="CTEMCOST"/>
      <sheetName val="합천내역"/>
      <sheetName val="F-302"/>
      <sheetName val="F301.303"/>
      <sheetName val="plan&amp;section of foundation"/>
      <sheetName val="design load"/>
      <sheetName val="working load at the btm ft."/>
      <sheetName val="stability check"/>
      <sheetName val="design criteria"/>
      <sheetName val="산근"/>
      <sheetName val="D-3109"/>
      <sheetName val="대비표"/>
      <sheetName val="Total"/>
      <sheetName val="inter"/>
      <sheetName val="B"/>
      <sheetName val="PROCURE"/>
      <sheetName val="out_prog"/>
      <sheetName val="선적schedule (2)"/>
      <sheetName val="공종단가"/>
      <sheetName val="6PILE  _돌_x001c__"/>
      <sheetName val="일위대가"/>
      <sheetName val="장비"/>
      <sheetName val="산근1"/>
      <sheetName val="노무"/>
      <sheetName val="자재"/>
      <sheetName val="코드표"/>
      <sheetName val="약품공급2"/>
      <sheetName val="신당동집계표"/>
      <sheetName val="산마루측구단위수량"/>
      <sheetName val="신표지1"/>
      <sheetName val="일위(PN)"/>
      <sheetName val="배수내역"/>
      <sheetName val="DAILY"/>
      <sheetName val="제출내역 (2)"/>
      <sheetName val="바닥판"/>
      <sheetName val="96보완계획7.12"/>
      <sheetName val="수량명세서"/>
      <sheetName val="교각1"/>
      <sheetName val="관로토공집계표"/>
      <sheetName val="01.견적내역서"/>
      <sheetName val="경영상태"/>
      <sheetName val="중기비"/>
      <sheetName val="지하"/>
      <sheetName val="메서,변+증"/>
      <sheetName val="식생블럭단위수량"/>
      <sheetName val="갑지(추정)"/>
      <sheetName val="노무비"/>
      <sheetName val="EQUIP"/>
      <sheetName val="공량산출서"/>
      <sheetName val="대비"/>
      <sheetName val="건축"/>
      <sheetName val="공사비예산서(토목분)"/>
      <sheetName val="기자재비"/>
      <sheetName val="Sheet3"/>
      <sheetName val="3.하중산정4.지지력"/>
      <sheetName val="대,유,램"/>
      <sheetName val="본부소개"/>
      <sheetName val="민자토목설변1차"/>
      <sheetName val="프랜트면허"/>
      <sheetName val="토목주소"/>
      <sheetName val="archi(본사)"/>
      <sheetName val="6PILE__(돌출)"/>
      <sheetName val="허용지지력"/>
      <sheetName val="Output"/>
      <sheetName val="배수통관(좌)"/>
      <sheetName val="단가일람"/>
      <sheetName val="조경일람"/>
      <sheetName val="2002상반기노임기준"/>
      <sheetName val="1NYS(당)"/>
      <sheetName val="본체"/>
      <sheetName val="대림경상68억"/>
      <sheetName val="화전내"/>
      <sheetName val="40총괄"/>
      <sheetName val="40집계"/>
      <sheetName val="입출재고현황 (2)"/>
      <sheetName val="SG"/>
      <sheetName val="설계조건"/>
      <sheetName val="내역(전체)"/>
      <sheetName val="수량산출내역1115"/>
      <sheetName val="부대공"/>
      <sheetName val="토공"/>
      <sheetName val="포장공"/>
      <sheetName val="CIVIL4"/>
      <sheetName val="수량집계표"/>
      <sheetName val="01.인원현황 (계획)"/>
      <sheetName val="배수내역(98년도분)"/>
      <sheetName val="보차도경계석"/>
      <sheetName val="합의경상"/>
      <sheetName val="일위대가목차"/>
      <sheetName val="Quantity"/>
      <sheetName val="Sheet15"/>
      <sheetName val="정보"/>
      <sheetName val="산출근거(S4)"/>
      <sheetName val="음봉방향"/>
      <sheetName val="교통표지판수량집계표"/>
      <sheetName val="자재집계표"/>
      <sheetName val="도배공사언고"/>
      <sheetName val="수량산출"/>
      <sheetName val="COPING"/>
      <sheetName val="시행후면적"/>
      <sheetName val="J형측구단위수량"/>
      <sheetName val="소산진입"/>
      <sheetName val="설비"/>
      <sheetName val="교대(A1-A2)"/>
      <sheetName val="도봉2지구"/>
      <sheetName val="견적서"/>
      <sheetName val="비목군분류일위"/>
      <sheetName val="사유서제출현황-2"/>
      <sheetName val="날개벽"/>
      <sheetName val="정부노임단가"/>
      <sheetName val="가설사무소수량집계"/>
      <sheetName val="간접비"/>
      <sheetName val="우각부보강"/>
      <sheetName val="토사(PE)"/>
      <sheetName val="가압장구체수량산출서"/>
      <sheetName val="입상내역"/>
      <sheetName val="DRUM"/>
      <sheetName val="CAL(1)."/>
      <sheetName val="12CGOU"/>
      <sheetName val="Bend_fact "/>
      <sheetName val="요약배부"/>
      <sheetName val="주관사업"/>
      <sheetName val="STAFF ANALYSIS"/>
      <sheetName val="C"/>
      <sheetName val="견적대비표"/>
      <sheetName val="96노임기준"/>
      <sheetName val="기본"/>
      <sheetName val="차액보증"/>
      <sheetName val="2000시행예상"/>
      <sheetName val="YES-T"/>
      <sheetName val="단가조사"/>
      <sheetName val="수로단위수량"/>
      <sheetName val="부하(성남)"/>
      <sheetName val="Basic"/>
      <sheetName val="D"/>
      <sheetName val="L"/>
      <sheetName val="M"/>
      <sheetName val="Part AB"/>
      <sheetName val="Part I"/>
      <sheetName val="Part M"/>
      <sheetName val="S"/>
      <sheetName val="E"/>
      <sheetName val="Resource"/>
      <sheetName val="Exrate"/>
      <sheetName val="40단가산출서"/>
      <sheetName val="단가산출서"/>
      <sheetName val="우수받이"/>
      <sheetName val="토목"/>
      <sheetName val="기계(집계표)"/>
      <sheetName val="1.설계조건"/>
      <sheetName val="옹벽"/>
      <sheetName val="유림골조"/>
      <sheetName val="단위단가"/>
      <sheetName val="INPUT"/>
      <sheetName val="A1(토공)"/>
      <sheetName val="A1(구조물)"/>
      <sheetName val="수량집계(1)"/>
      <sheetName val="철근집계표"/>
      <sheetName val="포장직선구간"/>
      <sheetName val="Sheet17"/>
      <sheetName val="을 2"/>
      <sheetName val="을 1"/>
      <sheetName val="손익분석"/>
      <sheetName val="2.단면가정"/>
      <sheetName val="2.교량(신설)"/>
      <sheetName val="I.설계조건"/>
      <sheetName val="가옥철거"/>
      <sheetName val="건축내역서"/>
      <sheetName val="설비내역서"/>
      <sheetName val="전기내역서"/>
      <sheetName val="철근량"/>
      <sheetName val="의뢰서"/>
      <sheetName val="설계산출표지"/>
      <sheetName val="단위수량"/>
      <sheetName val="일위대가1"/>
      <sheetName val="국공유지및사유지"/>
      <sheetName val="골재및자재집계표"/>
      <sheetName val="수문보고"/>
      <sheetName val="할증 "/>
      <sheetName val="대운산출"/>
      <sheetName val="침하계"/>
      <sheetName val="대부예산서"/>
      <sheetName val="기초공"/>
      <sheetName val="기둥(원형)"/>
      <sheetName val="돌담교 상부수량"/>
      <sheetName val="수입"/>
      <sheetName val="최적단면"/>
      <sheetName val="변경집계표"/>
      <sheetName val="기초INPUT"/>
      <sheetName val="토공-내역"/>
      <sheetName val="제수변수량H2.15"/>
      <sheetName val="_공기변수량"/>
      <sheetName val="인건비"/>
      <sheetName val="9509"/>
      <sheetName val="3BL공동구_수량"/>
      <sheetName val="산출근거-S1"/>
      <sheetName val="배수관설치현황"/>
      <sheetName val="대로근거"/>
      <sheetName val="1.토공"/>
      <sheetName val="70%"/>
      <sheetName val="소비자가"/>
      <sheetName val="공통가설공사"/>
      <sheetName val="부하계산서"/>
      <sheetName val="품셈TABLE"/>
      <sheetName val="화재 탐지 설비"/>
      <sheetName val="★도급내역"/>
      <sheetName val="DATA"/>
      <sheetName val="중기사용료"/>
      <sheetName val="일위"/>
      <sheetName val="갑지(집행)"/>
      <sheetName val="교량전기"/>
      <sheetName val="지장물C"/>
      <sheetName val="6PILE___돌출_"/>
      <sheetName val="직재"/>
      <sheetName val="집수정"/>
      <sheetName val="마감사양"/>
      <sheetName val="예정(3)"/>
      <sheetName val="현장관리비"/>
      <sheetName val="계산근거"/>
      <sheetName val="woo(mac)"/>
      <sheetName val="20-6(L)"/>
      <sheetName val="관로조사공"/>
      <sheetName val="본선차로수량집계표"/>
      <sheetName val="김여중"/>
      <sheetName val="방음벽기초"/>
      <sheetName val="무근깨기"/>
      <sheetName val="계약용량(서포)"/>
      <sheetName val="전기"/>
      <sheetName val="원형맨홀수량"/>
      <sheetName val="토적표(우안)"/>
      <sheetName val="토적표(좌안)"/>
      <sheetName val="2.대외공문"/>
      <sheetName val="좌측"/>
      <sheetName val="6PILE (돌출)"/>
      <sheetName val="맨홀수량산출"/>
      <sheetName val="BOX-1510"/>
      <sheetName val="비탈면보호공수량산출"/>
      <sheetName val="수지예산"/>
      <sheetName val="TYPE-1"/>
      <sheetName val="가공비"/>
      <sheetName val="실행내역서"/>
      <sheetName val="기초일위"/>
      <sheetName val="수목단가"/>
      <sheetName val="시설수량표"/>
      <sheetName val="시설일위"/>
      <sheetName val="식재수량표"/>
      <sheetName val="식재일위"/>
      <sheetName val="일위목록"/>
      <sheetName val="자재단가"/>
      <sheetName val="중로근거"/>
      <sheetName val="1.수인터널"/>
      <sheetName val="guard(mac)"/>
      <sheetName val="토공계산서(부체도로)"/>
      <sheetName val="AN-01"/>
      <sheetName val="PRICES"/>
      <sheetName val="골조시행"/>
      <sheetName val="예상"/>
      <sheetName val="전선 및 전선관"/>
      <sheetName val="구조물공"/>
      <sheetName val="토공 total"/>
      <sheetName val="상부공"/>
      <sheetName val="참고사항"/>
      <sheetName val="근로자자료입력"/>
      <sheetName val="설직재-1"/>
      <sheetName val="기계경비"/>
      <sheetName val="J01"/>
      <sheetName val="매립"/>
      <sheetName val="외주현황.wq1"/>
      <sheetName val="설계"/>
      <sheetName val="I一般比"/>
      <sheetName val="이름"/>
      <sheetName val="LOB"/>
      <sheetName val="C-직노1"/>
      <sheetName val="Supplement2"/>
      <sheetName val=""/>
      <sheetName val="전기혼잡제경비(45)"/>
      <sheetName val="Pier 3"/>
      <sheetName val="설계내역"/>
      <sheetName val="부대토목"/>
      <sheetName val="데리네이타현황"/>
      <sheetName val="기계공사"/>
      <sheetName val="공사비총"/>
      <sheetName val="당초"/>
      <sheetName val="여과지동"/>
      <sheetName val="기초자료"/>
      <sheetName val="에너지동"/>
      <sheetName val="중기목록표"/>
      <sheetName val="계화총괄"/>
      <sheetName val="계화배수(3대)"/>
      <sheetName val="자금신청서"/>
      <sheetName val="배수공"/>
      <sheetName val="간지"/>
      <sheetName val="연결관암거"/>
      <sheetName val="깨기"/>
      <sheetName val="건설기계_목록"/>
      <sheetName val="전체변경예정공정표_2012.07.30"/>
      <sheetName val="Sheet13"/>
      <sheetName val="Sheet14"/>
      <sheetName val="GEN"/>
      <sheetName val="인부노임"/>
      <sheetName val="설계예시"/>
      <sheetName val="평가데이터"/>
      <sheetName val="이토변실(A3-LINE)"/>
      <sheetName val="내역서(교량)전체"/>
      <sheetName val="기계경비일람"/>
      <sheetName val="ASP 일반구간_250A"/>
      <sheetName val="횡배날개"/>
      <sheetName val="제직재"/>
      <sheetName val="제-노임"/>
      <sheetName val="3련 BOX"/>
      <sheetName val="단가산출"/>
      <sheetName val="관급총괄"/>
      <sheetName val="칠산대교 중앙부"/>
      <sheetName val="칠산대교 시종점부"/>
      <sheetName val="일반수량"/>
      <sheetName val="금융비용"/>
      <sheetName val="수량산출서"/>
      <sheetName val="BOX"/>
      <sheetName val="전기일위대가"/>
      <sheetName val="당초내역서"/>
      <sheetName val="직공시공계획서"/>
      <sheetName val="N賃率-職"/>
      <sheetName val="P.M 별"/>
      <sheetName val="토적계산"/>
      <sheetName val="연습"/>
      <sheetName val="1을"/>
      <sheetName val="개요"/>
      <sheetName val="을"/>
      <sheetName val="낙찰표"/>
      <sheetName val="자재(설치)"/>
      <sheetName val="지장물조서"/>
      <sheetName val="찍기"/>
      <sheetName val="기계경비적용기준"/>
      <sheetName val="총수량 (기성)"/>
      <sheetName val="4-1.노무비(직영)"/>
      <sheetName val="2_단면가정_"/>
      <sheetName val="총_괄_표"/>
      <sheetName val="토공_갑지"/>
      <sheetName val="공사비증감(P4)_"/>
      <sheetName val="본선_토공_분배표"/>
      <sheetName val="단면_(2)"/>
      <sheetName val="하도내역_(철콘)"/>
      <sheetName val="우수"/>
      <sheetName val="운반"/>
      <sheetName val="관급자재대"/>
      <sheetName val="내역-가"/>
      <sheetName val="1단계"/>
      <sheetName val="집계표(OPTION)"/>
      <sheetName val="T.T.P 단위수량"/>
      <sheetName val="L형집계"/>
      <sheetName val="IW-LIST"/>
      <sheetName val="전력구구조물산근"/>
      <sheetName val="DHEQSUPT"/>
      <sheetName val="F301_303"/>
      <sheetName val="plan&amp;section_of_foundation"/>
      <sheetName val="design_load"/>
      <sheetName val="working_load_at_the_btm_ft_"/>
      <sheetName val="stability_check"/>
      <sheetName val="design_criteria"/>
      <sheetName val="CAL(1)_"/>
      <sheetName val="Bend_fact_"/>
      <sheetName val="STAFF_ANALYSIS"/>
      <sheetName val="Sheet1_(2)"/>
      <sheetName val="BQMPALOC"/>
      <sheetName val="Cash2"/>
      <sheetName val="Z"/>
      <sheetName val="실행대비"/>
      <sheetName val="건축물터파기"/>
      <sheetName val="단가대비표"/>
      <sheetName val="일위7"/>
      <sheetName val="일위6"/>
      <sheetName val="일위5"/>
      <sheetName val="노무단가비교표"/>
      <sheetName val="일위1"/>
      <sheetName val="일위2"/>
      <sheetName val="일위3"/>
      <sheetName val="일위4"/>
      <sheetName val="일위8"/>
      <sheetName val="일위9"/>
      <sheetName val="철거산출근거"/>
      <sheetName val="목록"/>
      <sheetName val="자재단가표"/>
      <sheetName val="조합일"/>
      <sheetName val="철거일"/>
      <sheetName val="일위대가(1)"/>
      <sheetName val="6공구(당초)"/>
      <sheetName val="직노"/>
      <sheetName val="조건표"/>
      <sheetName val="동원(3)"/>
      <sheetName val="9GNG운반"/>
      <sheetName val="주요자재집계"/>
      <sheetName val="외자배분"/>
      <sheetName val="외자내역"/>
      <sheetName val="STEEL BOX 단면설계(SEC.8)"/>
      <sheetName val="단위자갈수량1"/>
      <sheetName val="수량"/>
      <sheetName val="시멘트 및 골재량 (슬래브)"/>
      <sheetName val="시멘트 및 골재량 (거더)"/>
      <sheetName val="단위수량산출"/>
      <sheetName val="토공정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본선 토공 분배표"/>
      <sheetName val="laroux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총괄"/>
      <sheetName val="갑,을"/>
      <sheetName val="노임단가"/>
      <sheetName val="조명시설"/>
      <sheetName val="단가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발주내역"/>
      <sheetName val="결과조달"/>
      <sheetName val="9GNG운반"/>
      <sheetName val="설계개요"/>
      <sheetName val="계약일반사항"/>
      <sheetName val="사유서(출)"/>
      <sheetName val="내역"/>
      <sheetName val="도로구조공사비"/>
      <sheetName val="도로토공공사비"/>
      <sheetName val="여수토공사비"/>
      <sheetName val="한전납입금"/>
      <sheetName val="약품설비"/>
      <sheetName val="ABUT수량-A1"/>
      <sheetName val="예가표"/>
      <sheetName val="집계표"/>
      <sheetName val="1호맨홀토공"/>
      <sheetName val="다곡2교"/>
      <sheetName val="INPUT"/>
      <sheetName val="MODELING"/>
      <sheetName val="일위대가목차"/>
      <sheetName val="수량산출"/>
      <sheetName val="일위"/>
      <sheetName val="총괄표"/>
      <sheetName val="노무비"/>
      <sheetName val="제경비요율"/>
      <sheetName val="사리부설"/>
      <sheetName val="#REF"/>
      <sheetName val="내역서"/>
      <sheetName val="철집"/>
      <sheetName val="실행철강하도"/>
      <sheetName val="일위대가표"/>
      <sheetName val="설명"/>
      <sheetName val="시공여유율"/>
      <sheetName val="전차선로 물량표"/>
      <sheetName val="부안일위"/>
      <sheetName val="현장관리비 산출내역"/>
      <sheetName val="공사비집계"/>
      <sheetName val="수토공단위당"/>
      <sheetName val="조경일람"/>
      <sheetName val="내역표지"/>
      <sheetName val="자재견적 (대왕) (2)"/>
      <sheetName val="산출근거"/>
      <sheetName val="공사비"/>
      <sheetName val="전기"/>
      <sheetName val="품셈(기초)"/>
      <sheetName val="PAD TR보호대기초"/>
      <sheetName val="가로등기초"/>
      <sheetName val="HANDHOLE(2)"/>
      <sheetName val="일위대가(계측기설치)"/>
      <sheetName val="CCTV내역서"/>
      <sheetName val="unit"/>
      <sheetName val="재료값"/>
      <sheetName val="VXXXXX"/>
      <sheetName val="1.동력공사"/>
      <sheetName val="구조물철거타공정이월"/>
      <sheetName val="일위대가(가설)"/>
      <sheetName val="산수배수"/>
      <sheetName val="1,2공구원가계산서"/>
      <sheetName val="2공구산출내역"/>
      <sheetName val="1공구산출내역서"/>
      <sheetName val="투찰내역"/>
      <sheetName val="설계(원가)"/>
      <sheetName val="내역서(변경2)"/>
      <sheetName val="내역서 (변경)"/>
      <sheetName val="자재집계표"/>
      <sheetName val="환토"/>
      <sheetName val="단가산출(운반장비)"/>
      <sheetName val="토공집계표"/>
      <sheetName val="토공계산서"/>
      <sheetName val="운반성토집계"/>
      <sheetName val="토적집계"/>
      <sheetName val="토적표"/>
      <sheetName val="비탈면보호공수량"/>
      <sheetName val="구조물깨기"/>
      <sheetName val="구조물깨기산근"/>
      <sheetName val="배수공집계표"/>
      <sheetName val="배수토공"/>
      <sheetName val="측구공"/>
      <sheetName val="L형측구"/>
      <sheetName val="도로경계석"/>
      <sheetName val="산마루측구"/>
      <sheetName val=" U형배수관"/>
      <sheetName val="도수로"/>
      <sheetName val="집수정(측구)"/>
      <sheetName val="용수로"/>
      <sheetName val="우오수공"/>
      <sheetName val="관수량"/>
      <sheetName val="우수받이"/>
      <sheetName val="집수정 (우오수)"/>
      <sheetName val="암거공"/>
      <sheetName val="박스암거"/>
      <sheetName val="맹암거공"/>
      <sheetName val="설계변경(운동장)"/>
      <sheetName val="운동장맹암거1"/>
      <sheetName val="운동장맹암거2"/>
      <sheetName val="집수정(맹암거)"/>
      <sheetName val="운동장맹암거(평면도)"/>
      <sheetName val="옹벽공"/>
      <sheetName val="포장공"/>
      <sheetName val="소로수량"/>
      <sheetName val="소로수량산출"/>
      <sheetName val="보도수량"/>
      <sheetName val="가로수수량"/>
      <sheetName val="차선도색"/>
      <sheetName val="차선수량"/>
      <sheetName val="도수로원가"/>
      <sheetName val="도수로내역"/>
      <sheetName val="도수로수량"/>
      <sheetName val="단위가격 "/>
      <sheetName val="교각계산"/>
      <sheetName val="재료비"/>
      <sheetName val="일위대가"/>
      <sheetName val="DATE"/>
      <sheetName val="DATA"/>
      <sheetName val="A(Rev.3)"/>
      <sheetName val="Macro"/>
      <sheetName val="Taux"/>
      <sheetName val="BID"/>
      <sheetName val="금액내역서"/>
      <sheetName val="전기혼잡제경비(45)"/>
      <sheetName val="단면가정"/>
      <sheetName val="부대내역"/>
      <sheetName val="터파기및재료"/>
      <sheetName val="설계"/>
      <sheetName val="1단계"/>
      <sheetName val="단면 (2)"/>
      <sheetName val="A-4"/>
      <sheetName val="공문"/>
      <sheetName val="계수시트"/>
      <sheetName val="원가계산서"/>
      <sheetName val="공사비예산서(토목분)"/>
      <sheetName val="년도별"/>
      <sheetName val="왕십리방향"/>
      <sheetName val="투찰"/>
      <sheetName val="단가조사"/>
      <sheetName val="제출내역 (2)"/>
      <sheetName val="밸브설치"/>
      <sheetName val="98NS-N"/>
      <sheetName val="공종단가"/>
      <sheetName val="남양내역"/>
      <sheetName val="SG"/>
      <sheetName val="공사비총괄표"/>
      <sheetName val="참조"/>
      <sheetName val="날개벽(시점좌측)"/>
      <sheetName val="입찰안"/>
      <sheetName val="토적"/>
      <sheetName val="NYS"/>
      <sheetName val="공내역"/>
      <sheetName val="중기비"/>
      <sheetName val="일위집계표"/>
      <sheetName val="입상내역"/>
      <sheetName val="요율"/>
      <sheetName val="Sheet2"/>
      <sheetName val="횡배수관집현황(2공구)"/>
      <sheetName val="cover예산"/>
      <sheetName val="cover설계서"/>
      <sheetName val="예산서갑지"/>
      <sheetName val="원가계산"/>
      <sheetName val="원가근거 "/>
      <sheetName val="관급자재집계"/>
      <sheetName val="내역서집계"/>
      <sheetName val="내역서(1. 옥외전력 및 수변전설비)"/>
      <sheetName val="내역서(2. 접지 및 피뢰침 설비)"/>
      <sheetName val="내역서(3. CABLE TRAY)"/>
      <sheetName val="내역서(4. 가압장 동력)"/>
      <sheetName val="내역서(5. 약품투입동,응집침전지 동력)"/>
      <sheetName val="내역서(6. 여과지 동력)"/>
      <sheetName val="내역서(7. 농축조,농축분배조 동력)"/>
      <sheetName val="내역서(8. 조정농축조,조정농축분배조 동력)"/>
      <sheetName val="내역서(9. 탈리액농축조,탈리액농축분배조 동력)"/>
      <sheetName val="내역서(10. 탈수기동,회수펌프동 동력)"/>
      <sheetName val="내역서(11. 식당 및 창고 전력간선,전열)"/>
      <sheetName val="내역서(12. 식당 및 창고 전등)"/>
      <sheetName val="내역서(13. 가압장 전력간선,전열)"/>
      <sheetName val="내역서(14. 가압장 전등)"/>
      <sheetName val="내역서(15. 여과지 전력간선,전열)"/>
      <sheetName val="내역서(16. 여과지 전등)"/>
      <sheetName val="내역서(17. 각 농축분배조 전등.전열)"/>
      <sheetName val="내역서(18. 옥외 약전 및 방송)"/>
      <sheetName val="내역서(19. 각동 약전 및 방송)"/>
      <sheetName val="부대설비"/>
      <sheetName val="대가갑지"/>
      <sheetName val="분전반설치비 일위대가"/>
      <sheetName val="그림갑지"/>
      <sheetName val="잡철물제작"/>
      <sheetName val="관로굴착"/>
      <sheetName val="단가갑지"/>
      <sheetName val="단가비교표"/>
      <sheetName val="산출서갑지"/>
      <sheetName val="공량갑지"/>
      <sheetName val="공량(1. 옥외전력 및 수변전, 외등설비)"/>
      <sheetName val="공량(2. 접지 및 피뢰침 설비)"/>
      <sheetName val="공량(3. CABLE TRAY)"/>
      <sheetName val="공량(4. 가압장 동력)"/>
      <sheetName val="공량(5. 약품투입동,응집침전지 동력)"/>
      <sheetName val="공량(6. 여과지 동력)"/>
      <sheetName val="공량(7. 농축조,농축분배조 동력)"/>
      <sheetName val="공량(8. 조정농축조,조정농축분배조 동력)"/>
      <sheetName val="공량(9. 탈리액농축조,탈리액농축분배조 동력)"/>
      <sheetName val="공량(10. 탈수기동,회수펌프동 동력)"/>
      <sheetName val="공량(11. 식당 및 창고 전력간선,전열)"/>
      <sheetName val="공량(12. 식당 및 창고 전등)"/>
      <sheetName val="공량(13. 가압장 전력간선,전열)"/>
      <sheetName val="공량(14. 가압장 전등)"/>
      <sheetName val="공량(15. 여과지 전력간선,전열)"/>
      <sheetName val="공량(16. 여과지 전등)"/>
      <sheetName val="공량(17. 각 농축분배조 전등.전열)"/>
      <sheetName val="공량(18. 옥외 약전 및 방송)"/>
      <sheetName val="공량(19. 각동 약전 및 방송"/>
      <sheetName val="산출조서갑지"/>
      <sheetName val="산출조서(1.옥외전력 및 수변전, 외등설비)"/>
      <sheetName val="산출조서(2. 접지 및 피뢰침 설비)"/>
      <sheetName val="산출조서(3. CABLE TRAY)"/>
      <sheetName val="산출조서(4. 가압장 동력)"/>
      <sheetName val="산출조서(5. 약품투입동,응집침전지 동력)"/>
      <sheetName val="산출조서(6. 여과지 동력)"/>
      <sheetName val="산출조서(7. 농축조,농축분배조 동력)"/>
      <sheetName val="산출조서(8. 조정농축조,조정농축분배조 동력)"/>
      <sheetName val="산출조서(9. 탈리액농축조,탈리액농축분배조 동력)"/>
      <sheetName val="산출조서(10. 탈수기동,회수펌프동 동력)"/>
      <sheetName val="산출조서(11. 식당 및 창고 전력간선,전열)"/>
      <sheetName val="산출조서(12. 식당 및 창고 전등)"/>
      <sheetName val="산출조서(13. 가압장 전력간선,전열)"/>
      <sheetName val="산출조서(L1. 관리동 전등)"/>
      <sheetName val="산출조서(L2. 침사지 전등,전열)"/>
      <sheetName val="산출조서(15. 여과지 전력간선,전열)"/>
      <sheetName val="산출조서(16. 여과지 전등)"/>
      <sheetName val="산출조서(17. 각 농축분배조 전등.전열)"/>
      <sheetName val="산출조서(18. 옥외 약전 및 방송)"/>
      <sheetName val="산출조서(19. 각동 약전 및 방송)"/>
      <sheetName val="견적갑지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5"/>
      <sheetName val="한전 수탁비 계산 내역"/>
      <sheetName val="CUBICLE설치비 일위대가 "/>
      <sheetName val="9811"/>
      <sheetName val="NFB"/>
      <sheetName val="여과지동"/>
      <sheetName val="1.토공"/>
      <sheetName val="전선 및 전선관"/>
      <sheetName val="찍기"/>
      <sheetName val="P-산#1-1(WOWA1)"/>
      <sheetName val="매립"/>
      <sheetName val="98수문일위"/>
      <sheetName val="고창방향"/>
      <sheetName val="일위대가(목록)"/>
      <sheetName val="자원리스트"/>
      <sheetName val="조건표"/>
      <sheetName val="유림골조"/>
      <sheetName val="가설공사비"/>
      <sheetName val="대비"/>
      <sheetName val="별첨1-임식"/>
      <sheetName val="기본자료"/>
      <sheetName val="총괄내역서"/>
      <sheetName val="Sheet1 (2)"/>
      <sheetName val="천방교접속"/>
      <sheetName val="일위_파일"/>
      <sheetName val="양수장내역"/>
      <sheetName val="양수장"/>
      <sheetName val="견적대비"/>
      <sheetName val="지급자재"/>
      <sheetName val="변경집계표"/>
      <sheetName val="건              축"/>
      <sheetName val="참조자료"/>
      <sheetName val="날개벽"/>
      <sheetName val="PIPE내역_FCN_"/>
      <sheetName val="원가계산서 "/>
      <sheetName val="고용보험료"/>
      <sheetName val="예산내역서"/>
      <sheetName val="9509"/>
      <sheetName val="배수내역"/>
      <sheetName val="96보완계획7.12"/>
      <sheetName val="업무처리전"/>
      <sheetName val="설계내역서"/>
      <sheetName val="Sheet1"/>
      <sheetName val="반중력식옹벽"/>
      <sheetName val="당초명세(평)"/>
      <sheetName val="작업일보"/>
      <sheetName val="표준계약서"/>
      <sheetName val="대치판정"/>
      <sheetName val="문학간접"/>
      <sheetName val="건축"/>
      <sheetName val="건축-물가변동"/>
      <sheetName val="일반문틀 설치"/>
      <sheetName val="샌딩 에폭시 도장"/>
      <sheetName val="스텐문틀설치"/>
      <sheetName val="주beam"/>
      <sheetName val="1.설계조건"/>
      <sheetName val="교각1"/>
      <sheetName val="CODE"/>
      <sheetName val="COPING"/>
      <sheetName val="기초공"/>
      <sheetName val="기둥(원형)"/>
      <sheetName val="상 부"/>
      <sheetName val="계화배수"/>
      <sheetName val="6PILE  (돌출)"/>
      <sheetName val="I一般比"/>
      <sheetName val="도근좌표"/>
      <sheetName val="지장물C"/>
      <sheetName val="갑지"/>
      <sheetName val="산출내역서집계표"/>
      <sheetName val="1공구 건정토건 철콘"/>
      <sheetName val="2공구하도급내역서"/>
      <sheetName val="토량1-1"/>
      <sheetName val="적현로"/>
      <sheetName val="변경내역서"/>
      <sheetName val="수목단가"/>
      <sheetName val="시설수량표"/>
      <sheetName val="식재수량표"/>
      <sheetName val="전체"/>
      <sheetName val="관급자재"/>
      <sheetName val="제경비"/>
      <sheetName val="초기화면"/>
      <sheetName val="토공사"/>
      <sheetName val="정렬"/>
      <sheetName val="계약내역서"/>
      <sheetName val="직공비"/>
      <sheetName val="을"/>
      <sheetName val="8.PILE  (돌출)"/>
      <sheetName val="말뚝지지력산정"/>
      <sheetName val="날개벽수량표"/>
      <sheetName val="대로근거"/>
      <sheetName val="새공통"/>
      <sheetName val="화해(함평)"/>
      <sheetName val="화해(장성)"/>
      <sheetName val="총내"/>
      <sheetName val="연습"/>
      <sheetName val="기계경비일람"/>
      <sheetName val="기존구조물철거집계계표"/>
      <sheetName val="안정검토"/>
      <sheetName val="자재일위(경)"/>
      <sheetName val="자재단가비교표"/>
      <sheetName val="CAT_5"/>
      <sheetName val="설치중량_"/>
      <sheetName val="수문일위_"/>
      <sheetName val="청하배수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MACRO(MCC)"/>
      <sheetName val="토공총괄표"/>
      <sheetName val="TYPE-A"/>
      <sheetName val="실행예산(97.12.17)"/>
      <sheetName val="집계표(육상)"/>
      <sheetName val="간선계산"/>
      <sheetName val="원형1호맨홀토공수량"/>
      <sheetName val="TOWER 12TON"/>
      <sheetName val="TOWER 10TON"/>
      <sheetName val="M-EQPT-Z"/>
      <sheetName val="3.하중산정4.지지력"/>
      <sheetName val="가공비"/>
      <sheetName val="원가계산서(집계)"/>
      <sheetName val="관급수량총"/>
      <sheetName val="설계조건"/>
      <sheetName val="안정계산"/>
      <sheetName val="단면검토"/>
      <sheetName val="석탄2.3물량"/>
      <sheetName val="수문일위(2012)"/>
      <sheetName val="공장유"/>
      <sheetName val="본선 토공 분배표"/>
      <sheetName val="장비"/>
      <sheetName val="부하계산서"/>
      <sheetName val="부하(성남)"/>
      <sheetName val="하수급견적대비"/>
      <sheetName val="산근1"/>
      <sheetName val="관리,공감"/>
      <sheetName val="입찰"/>
      <sheetName val="설계내역"/>
      <sheetName val="소야공정계획표"/>
      <sheetName val="현경"/>
      <sheetName val="점수계산1-2"/>
      <sheetName val="전화번호DATA (2001)"/>
      <sheetName val="노무"/>
      <sheetName val="자압"/>
      <sheetName val="주형"/>
      <sheetName val="자재"/>
      <sheetName val="약품공급2"/>
      <sheetName val="본지점중"/>
      <sheetName val="공  종  별  집  계  표"/>
      <sheetName val="일  위  대  가  목  록"/>
      <sheetName val="일 위 대 가 표"/>
      <sheetName val="단  가  대  비  표"/>
      <sheetName val="건축내역"/>
      <sheetName val="기기리스트"/>
      <sheetName val="Y-WORK"/>
      <sheetName val="COPING-1"/>
      <sheetName val="역T형교대-2수량"/>
      <sheetName val="수지예산서(세부) (2)"/>
      <sheetName val="계화총괄"/>
      <sheetName val="계화배수(3대)"/>
      <sheetName val="공통"/>
      <sheetName val="현산지구200420"/>
      <sheetName val="수량산출서"/>
      <sheetName val="NAI"/>
      <sheetName val="유입량"/>
      <sheetName val="총괄집계표"/>
      <sheetName val="기자재비"/>
      <sheetName val="EP0618"/>
      <sheetName val="1NYS(당)"/>
      <sheetName val="수량이동"/>
      <sheetName val="가도공"/>
      <sheetName val="분전함신설"/>
      <sheetName val="접지1종"/>
      <sheetName val="충돌 내용"/>
      <sheetName val="자재견적_(대왕)_(2)"/>
      <sheetName val="신표지1"/>
      <sheetName val="MOTOR"/>
      <sheetName val="공통비총괄표"/>
      <sheetName val="1.설계기준"/>
      <sheetName val="S.중기사용료"/>
      <sheetName val="입력란"/>
      <sheetName val="97노임단가"/>
      <sheetName val="국공유지및사유지"/>
      <sheetName val="내역서1"/>
      <sheetName val="단위가격"/>
      <sheetName val="list"/>
      <sheetName val="단가일람"/>
      <sheetName val="수문보고"/>
      <sheetName val="공사비증감"/>
      <sheetName val="단가산출서(표지)"/>
      <sheetName val="목차"/>
      <sheetName val="요율산출"/>
      <sheetName val="공종별예산조사"/>
      <sheetName val="터파기,맨홀"/>
      <sheetName val="1공구8.개소"/>
      <sheetName val="운반"/>
      <sheetName val="운반산출"/>
      <sheetName val="작업부산물수량"/>
      <sheetName val="산업폐기물"/>
      <sheetName val="조립식 가설건물"/>
      <sheetName val="감독차량유지"/>
      <sheetName val="실행내역서"/>
      <sheetName val="2000년1차"/>
      <sheetName val="굴화내역"/>
      <sheetName val="굴화적격"/>
      <sheetName val="재료노무비율"/>
      <sheetName val="설계단가"/>
      <sheetName val="아파트내역"/>
      <sheetName val="48일위"/>
      <sheetName val="48수량"/>
      <sheetName val="22수량"/>
      <sheetName val="49일위"/>
      <sheetName val="22일위"/>
      <sheetName val="49수량"/>
      <sheetName val="DHEQSUPT"/>
      <sheetName val="PIPE내역(FCN)"/>
      <sheetName val="b_balju_cho"/>
      <sheetName val="단가산출내역(노임부분수정)"/>
      <sheetName val="재개발"/>
      <sheetName val="토총괄 (2)"/>
      <sheetName val="음봉방향"/>
      <sheetName val="차액보증"/>
      <sheetName val="D-623D"/>
      <sheetName val="경비2내역"/>
      <sheetName val="국내"/>
      <sheetName val="포장물량집계"/>
      <sheetName val="아파트 "/>
      <sheetName val="입력시트"/>
      <sheetName val="증감내역서"/>
      <sheetName val="정공공사"/>
      <sheetName val="기계경비(시간당)"/>
      <sheetName val="램머"/>
      <sheetName val="Baby일위대가"/>
      <sheetName val="조건"/>
      <sheetName val="단가산출"/>
      <sheetName val="전체도급"/>
      <sheetName val="부대대비"/>
      <sheetName val="냉연집계"/>
      <sheetName val="1-1"/>
      <sheetName val="계산근거"/>
      <sheetName val="3.공통공사대비"/>
      <sheetName val="장문교(대전)"/>
      <sheetName val="주재료비"/>
      <sheetName val="견적"/>
      <sheetName val="준검 내역서"/>
      <sheetName val="이설도로유용토"/>
      <sheetName val="인부신상자료"/>
      <sheetName val="BLOCK(1)"/>
      <sheetName val="위치조서"/>
      <sheetName val="ESC(K치)"/>
      <sheetName val="시설물일위"/>
      <sheetName val="strut type"/>
      <sheetName val="DATA1"/>
      <sheetName val="설계명세서"/>
      <sheetName val="예산명세서"/>
      <sheetName val="자료입력"/>
      <sheetName val="200"/>
      <sheetName val="부표총괄"/>
      <sheetName val="간접비"/>
      <sheetName val="착공내역서"/>
      <sheetName val="단면설계"/>
      <sheetName val="연면적(평)단가"/>
      <sheetName val="간접비총계"/>
      <sheetName val="부안변전"/>
      <sheetName val="단위수량"/>
      <sheetName val="SHL"/>
      <sheetName val="소일위대가코드표"/>
      <sheetName val="공사총원가계산서"/>
      <sheetName val="하수처리장-토목원가"/>
      <sheetName val="하수처리장-토목"/>
      <sheetName val="지장물취득비"/>
      <sheetName val="조경원가"/>
      <sheetName val="조경내역"/>
      <sheetName val="하수처리장-건축원가"/>
      <sheetName val="하수처리장-건축"/>
      <sheetName val="설비집계"/>
      <sheetName val="설비내역"/>
      <sheetName val="기계원가계산"/>
      <sheetName val="하수처리장-기계내역"/>
      <sheetName val="중계펌프장-기계내역"/>
      <sheetName val="전기원가"/>
      <sheetName val="전기집계"/>
      <sheetName val="하수처리장-전기집계"/>
      <sheetName val="하수처리장-전기내역"/>
      <sheetName val="중계펌프장-전기집계"/>
      <sheetName val="중계펌프장-전기내역"/>
      <sheetName val="하수처리장-사급자재대"/>
      <sheetName val="U-TYPE(1)"/>
      <sheetName val="CC16-내역서"/>
      <sheetName val="Macro2"/>
      <sheetName val="각형맨홀"/>
      <sheetName val="깨기"/>
      <sheetName val="_x0000__x000c__x0000__x000c__x0000__x0000_耀僵䅛_x0000__x0000__x0000__x0000__x0001__x0000__x0000__x0000_‎ӥ_x001b__x0000__x000c__x0000__x000c__x0000__x0000_"/>
      <sheetName val="_x0000__x000c__x0000__x000c__x0000__x0000_렀హ䆍_x0000__x0000__x0000__x0000__x0001__x0000__x0000__x0000_2_x0000__x0000__x0000__x0000__x0000__x001c__x0000__x000c__x0000_"/>
      <sheetName val=" 냉각수펌프"/>
      <sheetName val="INPUT(덕도방향-시점)"/>
      <sheetName val="제진기"/>
      <sheetName val="TOTAL3"/>
      <sheetName val="케이슨Type-A(제원)"/>
      <sheetName val="Electricity"/>
      <sheetName val="연돌일위집계"/>
      <sheetName val="총괄내역"/>
      <sheetName val="Sheet4"/>
      <sheetName val="예정(3)"/>
      <sheetName val="동원(3)"/>
      <sheetName val="호안블럭단가"/>
      <sheetName val="갑지(추정)"/>
      <sheetName val="주행"/>
      <sheetName val="산출내역서"/>
      <sheetName val="간접재료비산출표-27-30"/>
      <sheetName val="IW-LIST"/>
      <sheetName val="대부예산서"/>
      <sheetName val="cal"/>
      <sheetName val="바닥판"/>
      <sheetName val="입력단가"/>
      <sheetName val="사급자재대-기계"/>
      <sheetName val="사급자재대-전기"/>
      <sheetName val="시운전비"/>
      <sheetName val="차집관로, 중계펌프장원가"/>
      <sheetName val="최적단면"/>
      <sheetName val="집수정(600-700)"/>
      <sheetName val="견적대비표"/>
      <sheetName val="플랜트 설치"/>
      <sheetName val="교량하부공"/>
      <sheetName val="A1"/>
      <sheetName val="입출재고현황 (2)"/>
      <sheetName val="경상비"/>
      <sheetName val="도급"/>
      <sheetName val="실행대비"/>
      <sheetName val="공사개요"/>
      <sheetName val="청천내"/>
      <sheetName val="도급내역"/>
      <sheetName val="세부내역"/>
      <sheetName val="연결임시"/>
      <sheetName val="구조물공"/>
      <sheetName val="투찰추정"/>
      <sheetName val="도급내역5+800"/>
      <sheetName val="수목표준대가"/>
      <sheetName val="JUCKEYK"/>
      <sheetName val="부대공"/>
      <sheetName val="도급금액"/>
      <sheetName val="재노경"/>
      <sheetName val="배수공"/>
      <sheetName val="일위대가(1)"/>
      <sheetName val="총공사내역서"/>
      <sheetName val="토공"/>
      <sheetName val="설 계"/>
      <sheetName val="WORK"/>
      <sheetName val="일반공사"/>
      <sheetName val="노임"/>
      <sheetName val="충주"/>
      <sheetName val="2000전체분"/>
      <sheetName val="공통부대비"/>
      <sheetName val="Sheet3"/>
      <sheetName val="입력값"/>
      <sheetName val="설계기준 및 하중계산"/>
      <sheetName val="BSD (2)"/>
      <sheetName val="Eq. Mobilization"/>
      <sheetName val="PI"/>
      <sheetName val="용수간선"/>
      <sheetName val="차집관로, 중계펌프장"/>
      <sheetName val="중계펌프장-건축"/>
      <sheetName val="중계펌프장-사급자재대"/>
      <sheetName val="JUCK"/>
      <sheetName val="연결관암거"/>
      <sheetName val=""/>
      <sheetName val="구의33고"/>
      <sheetName val="B.O.M"/>
      <sheetName val="일반부표"/>
      <sheetName val="CTEMCOST"/>
      <sheetName val="대림경상68억"/>
      <sheetName val="손익분석"/>
      <sheetName val="tggwan(mac)"/>
      <sheetName val="공사비내역서"/>
      <sheetName val="산근터빈"/>
      <sheetName val="Total"/>
      <sheetName val="DT"/>
      <sheetName val="롤러"/>
      <sheetName val="BH"/>
      <sheetName val="펌프차타설"/>
      <sheetName val="맨홀수량산출"/>
      <sheetName val="S0"/>
      <sheetName val="중로근거"/>
      <sheetName val="진로도급"/>
      <sheetName val="백호우계수"/>
      <sheetName val="Macro1"/>
      <sheetName val="N賃率-職"/>
      <sheetName val="아울렛박스"/>
      <sheetName val="G.R300경비"/>
      <sheetName val="노임이"/>
      <sheetName val="북방3터널"/>
      <sheetName val="1.취수장"/>
      <sheetName val="중기조종사 단위단가"/>
      <sheetName val="흥양2교토공집계표"/>
      <sheetName val="발주"/>
      <sheetName val="계약조건"/>
      <sheetName val="----"/>
      <sheetName val="VXXX"/>
      <sheetName val="갑지1"/>
      <sheetName val="갑지2"/>
      <sheetName val="원가"/>
      <sheetName val="집계"/>
      <sheetName val="가로등기초대"/>
      <sheetName val="점멸기기초"/>
      <sheetName val="대관"/>
      <sheetName val="사급"/>
      <sheetName val="관급"/>
      <sheetName val="수량(총괄)"/>
      <sheetName val="수량기초"/>
      <sheetName val="공량"/>
      <sheetName val="부하계산"/>
      <sheetName val="부목"/>
      <sheetName val="간지"/>
      <sheetName val="소총괄"/>
      <sheetName val="내1"/>
      <sheetName val="내2"/>
      <sheetName val="내3"/>
      <sheetName val="내4"/>
      <sheetName val="내5"/>
      <sheetName val="사급자재"/>
      <sheetName val="터파기"/>
      <sheetName val="수1"/>
      <sheetName val="수2"/>
      <sheetName val="수3"/>
      <sheetName val="수4"/>
      <sheetName val="수5"/>
      <sheetName val="공1"/>
      <sheetName val="공2"/>
      <sheetName val="공3"/>
      <sheetName val="공4"/>
      <sheetName val="공5"/>
      <sheetName val="6공구(당초)"/>
      <sheetName val="연결도로"/>
      <sheetName val="연결교량"/>
      <sheetName val="방수제집계"/>
      <sheetName val="진입도로"/>
      <sheetName val="확장(총괄)"/>
      <sheetName val="확장(부대)"/>
      <sheetName val="공사비내역서(1)"/>
      <sheetName val="BOX-1510"/>
      <sheetName val="시행후면적"/>
      <sheetName val="수지예산"/>
      <sheetName val="수로단위수량"/>
      <sheetName val="총집계표"/>
      <sheetName val="LRT Style BOQ"/>
      <sheetName val="3.바닥판설계"/>
      <sheetName val="세골재  T2 변경 현황"/>
      <sheetName val="수량산출서 갑지"/>
      <sheetName val="데리네이타현황"/>
      <sheetName val="96노임기준"/>
      <sheetName val="Macro(전선)"/>
      <sheetName val="보온 회사분"/>
      <sheetName val="RING WALL"/>
      <sheetName val="골조시행"/>
      <sheetName val="소산진입"/>
      <sheetName val="DATA-UPS"/>
      <sheetName val="옹벽수량집계"/>
      <sheetName val="토적계산서(전체)"/>
      <sheetName val="종단유용(전체)"/>
      <sheetName val="내역적용"/>
      <sheetName val="포장공위치조서"/>
      <sheetName val="data2"/>
      <sheetName val="환경기계공정표 (3)"/>
      <sheetName val="내역서적용집계표"/>
      <sheetName val="용역비내역-진짜"/>
      <sheetName val="기계경비"/>
      <sheetName val="000000"/>
      <sheetName val="1062-X방향 "/>
      <sheetName val="토사(PE)"/>
      <sheetName val="관로조서"/>
      <sheetName val="단가보완"/>
      <sheetName val="화설내"/>
      <sheetName val="정부노임단가"/>
      <sheetName val="DANGA"/>
      <sheetName val="정_x0000__x0000__x0005_"/>
      <sheetName val="산근(PE,300)"/>
      <sheetName val="특2호부관하천산근"/>
      <sheetName val="1.레미콘집계"/>
      <sheetName val="2.아스콘집계"/>
      <sheetName val="3.보도집계"/>
      <sheetName val="4.보차도경계석및 도로경계블럭"/>
      <sheetName val="Ⅰ.골재집계 "/>
      <sheetName val="3.공통공사_x0000__x0000_"/>
      <sheetName val="청구서 (별지)(3차분)"/>
      <sheetName val="기성내역서(전체,3차)"/>
      <sheetName val="직원유류수불현황"/>
      <sheetName val="3도로"/>
      <sheetName val="송라터널총괄"/>
      <sheetName val="COVER"/>
      <sheetName val="P.M 별"/>
      <sheetName val="48일위(기존)"/>
      <sheetName val="자재일람"/>
      <sheetName val="1차네트공정"/>
      <sheetName val="전력"/>
      <sheetName val="woo(mac)"/>
      <sheetName val="설계예시"/>
      <sheetName val="빗물받이(910-510-410)"/>
      <sheetName val="날개벽(TYPE1)"/>
      <sheetName val="우수공"/>
      <sheetName val="인건비"/>
      <sheetName val="사업수지"/>
      <sheetName val="PKG"/>
      <sheetName val="본부소개"/>
      <sheetName val="배관배선 단가조사"/>
      <sheetName val="일위대가집계"/>
      <sheetName val="교대(A1)"/>
      <sheetName val="GI-LIST"/>
      <sheetName val="사  업  비  수  지  예  산  서"/>
      <sheetName val="기계원가계_xd800_"/>
      <sheetName val="자료"/>
      <sheetName val="무근깨기"/>
      <sheetName val="공사총원가계多⾊"/>
      <sheetName val="지선량"/>
      <sheetName val="공구원가계산"/>
      <sheetName val="순공사비"/>
      <sheetName val="일_방수"/>
      <sheetName val="대상1"/>
      <sheetName val="FOOTING단면력"/>
      <sheetName val="노무비계"/>
      <sheetName val="TARGET"/>
      <sheetName val="다곡땭⾘"/>
      <sheetName val="제수변수량"/>
      <sheetName val="건축내역서"/>
      <sheetName val="설비내역서"/>
      <sheetName val="전기내역서"/>
      <sheetName val="범례"/>
      <sheetName val="데이타"/>
      <sheetName val="식재인부"/>
      <sheetName val="우수"/>
      <sheetName val="(A)내역서"/>
      <sheetName val="가격조사서"/>
      <sheetName val="견"/>
      <sheetName val="요약서"/>
      <sheetName val="단"/>
      <sheetName val="4.포장집계"/>
      <sheetName val="연결관산출조서"/>
      <sheetName val="집계표(OPTION)"/>
      <sheetName val="평균H"/>
      <sheetName val="SLAB"/>
      <sheetName val="공종"/>
      <sheetName val="외주비"/>
      <sheetName val="Requirement(Work Crew)"/>
      <sheetName val="목표세부명세"/>
      <sheetName val="평가데이터"/>
      <sheetName val="전체내역서"/>
      <sheetName val="6.7.8.우물통"/>
      <sheetName val="석문"/>
      <sheetName val="인지"/>
      <sheetName val="신흑2"/>
      <sheetName val="괴산"/>
      <sheetName val="단월"/>
      <sheetName val="산척"/>
      <sheetName val="바인드"/>
      <sheetName val="3련 BOX"/>
      <sheetName val="내역서01"/>
      <sheetName val="YES-T"/>
      <sheetName val="관리비"/>
      <sheetName val="3BL공동구 수량"/>
      <sheetName val="견적조건"/>
      <sheetName val="외주내역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산출(1)"/>
      <sheetName val="일위산출(2)"/>
      <sheetName val="일위산출(3)"/>
      <sheetName val="laroux"/>
      <sheetName val="단가조사표"/>
      <sheetName val="전관방송"/>
      <sheetName val="공연장"/>
      <sheetName val="배관,배선"/>
      <sheetName val="한국정보기술"/>
      <sheetName val="BREAKDOWN"/>
      <sheetName val="SUMMARY "/>
      <sheetName val="SUMMARY  (2)"/>
      <sheetName val="현금"/>
      <sheetName val="30신설일위대가"/>
      <sheetName val="30집계표"/>
      <sheetName val="B"/>
      <sheetName val="2.단면가정"/>
      <sheetName val="1.설_x0000__x0000_Ā"/>
      <sheetName val="1.설_x0000__x0000__x0005_"/>
      <sheetName val="비탈면보호공수량산출"/>
      <sheetName val="1.설壆⿜_x0000_"/>
      <sheetName val="1공구원가계산서"/>
      <sheetName val="AHU집계"/>
      <sheetName val="공조기휀"/>
      <sheetName val="공조기"/>
      <sheetName val="포장복구집계"/>
      <sheetName val="C3"/>
      <sheetName val="옵션"/>
      <sheetName val="합산자재"/>
      <sheetName val="노임근거"/>
      <sheetName val="옵션1"/>
      <sheetName val="합산자재1"/>
      <sheetName val="3. GROUNDING SYSTEM"/>
      <sheetName val="1.경관조명산출"/>
      <sheetName val="1.경관조명산출집계"/>
      <sheetName val="저리조양"/>
      <sheetName val="김포IO"/>
      <sheetName val="일지-H"/>
      <sheetName val="약전닥트"/>
      <sheetName val="FD"/>
      <sheetName val="건축부하"/>
      <sheetName val="FA설치명세"/>
      <sheetName val="처리단락"/>
      <sheetName val="99관저"/>
      <sheetName val="LD"/>
      <sheetName val="수량산출표"/>
      <sheetName val="신당동집계표"/>
      <sheetName val="신규일위대가"/>
      <sheetName val="Baby일_x0000__x0000__x0005_"/>
      <sheetName val="Baby일鄀谏Û"/>
      <sheetName val="산업_x0000__x0000__x0005_"/>
      <sheetName val="시운전연료"/>
      <sheetName val="1TL종점(1)"/>
      <sheetName val="신고분기설정참고"/>
      <sheetName val="01"/>
      <sheetName val="マージン"/>
      <sheetName val="설명(1~8) "/>
      <sheetName val="제당(원도급내역)"/>
      <sheetName val="제당 (13신규)원도급내역"/>
      <sheetName val="제당 (14신규)원도급내역"/>
      <sheetName val="제당(하도급내역)"/>
      <sheetName val="제당 (13신규)하도급내역"/>
      <sheetName val="제당 (14신규)하도급내역 "/>
      <sheetName val="여수토방수로(원도급내역)"/>
      <sheetName val="여수토방수로 (13신규)원도급내역"/>
      <sheetName val="여수토방수로 (14신규)원도급내역"/>
      <sheetName val="여수토방수로(하도급내역)"/>
      <sheetName val="여수토방수로 (13신규)하도급내역 "/>
      <sheetName val="여수토방수로 (14신규)하도급내역 "/>
      <sheetName val="이설도로(원도급내역)"/>
      <sheetName val="이설도로 (14신규)원도급내역 "/>
      <sheetName val="이설도로(하도급내역)"/>
      <sheetName val="이설도로 (14신규)하도급내역"/>
      <sheetName val="2호이설도로(원도급내역)"/>
      <sheetName val="2호이설도로 (14신규)원도급내역"/>
      <sheetName val="2호이설도로(하도급내역) "/>
      <sheetName val="2호이설도로 (14신규)하도급내역"/>
      <sheetName val="사통(원도급내역)"/>
      <sheetName val="사통(하도급내역) "/>
      <sheetName val="제1호용수지선(원도급)"/>
      <sheetName val="제1호용수지선 (하도급)"/>
      <sheetName val="견적의뢰"/>
      <sheetName val="EACT10"/>
      <sheetName val="EKOG10 (2)"/>
      <sheetName val="EKOG10건축"/>
      <sheetName val="노원열병합  건축공사기성내역서"/>
      <sheetName val="전기일위대가"/>
      <sheetName val="조경"/>
      <sheetName val="판"/>
      <sheetName val="CLAUSE"/>
      <sheetName val="소비자가"/>
      <sheetName val="건축원가계산서"/>
      <sheetName val="hvac(제어동)"/>
      <sheetName val="수입"/>
      <sheetName val="도급잔고내역"/>
      <sheetName val="단락전류-A"/>
      <sheetName val="차수"/>
      <sheetName val="type-F"/>
      <sheetName val="금액집계"/>
      <sheetName val="내역서(총)"/>
      <sheetName val="ENE-CAL 1"/>
      <sheetName val="노견단위수량"/>
      <sheetName val="대가수량"/>
      <sheetName val="옹벽"/>
      <sheetName val="이형관중량"/>
      <sheetName val="산근(목록)"/>
      <sheetName val="경비"/>
      <sheetName val="횡배수관"/>
      <sheetName val="철근단면적"/>
      <sheetName val="자재 집계표"/>
      <sheetName val="유천배수장"/>
      <sheetName val="수량"/>
      <sheetName val="로우프"/>
      <sheetName val="데이터입력"/>
      <sheetName val="T13(P68~72,78)"/>
      <sheetName val="제출내역_(2)"/>
      <sheetName val="전차선로_물량표"/>
      <sheetName val="Baby일닑⾸_x0005_"/>
      <sheetName val="와동수량"/>
      <sheetName val="입력정보"/>
      <sheetName val="설치중량_2"/>
      <sheetName val="수문일위_2"/>
      <sheetName val="1_동력공사1"/>
      <sheetName val="자재견적_(대왕)_(2)2"/>
      <sheetName val="전차선로_물량표1"/>
      <sheetName val="단위가격_1"/>
      <sheetName val="Sheet1_(2)1"/>
      <sheetName val="내역서_(변경)1"/>
      <sheetName val="_U형배수관1"/>
      <sheetName val="집수정_(우오수)1"/>
      <sheetName val="단면_(2)1"/>
      <sheetName val="제출내역_(2)1"/>
      <sheetName val="현장관리비_산출내역1"/>
      <sheetName val="1_토공1"/>
      <sheetName val="전선_및_전선관1"/>
      <sheetName val="6PILE__(돌출)1"/>
      <sheetName val="1_설계기준1"/>
      <sheetName val="PAD_TR보호대기초1"/>
      <sheetName val="건______________축1"/>
      <sheetName val="원가근거_1"/>
      <sheetName val="내역서(1__옥외전력_및_수변전설비)1"/>
      <sheetName val="내역서(2__접지_및_피뢰침_설비)1"/>
      <sheetName val="내역서(3__CABLE_TRAY)1"/>
      <sheetName val="내역서(4__가압장_동력)1"/>
      <sheetName val="내역서(5__약품투입동,응집침전지_동력)1"/>
      <sheetName val="내역서(6__여과지_동력)1"/>
      <sheetName val="내역서(7__농축조,농축분배조_동력)1"/>
      <sheetName val="내역서(8__조정농축조,조정농축분배조_동력)1"/>
      <sheetName val="내역서(9__탈리액농축조,탈리액농축분배조_동력)1"/>
      <sheetName val="내역서(10__탈수기동,회수펌프동_동력)1"/>
      <sheetName val="내역서(11__식당_및_창고_전력간선,전열)1"/>
      <sheetName val="내역서(12__식당_및_창고_전등)1"/>
      <sheetName val="내역서(13__가압장_전력간선,전열)1"/>
      <sheetName val="내역서(14__가압장_전등)1"/>
      <sheetName val="내역서(15__여과지_전력간선,전열)1"/>
      <sheetName val="내역서(16__여과지_전등)1"/>
      <sheetName val="내역서(17__각_농축분배조_전등_전열)1"/>
      <sheetName val="내역서(18__옥외_약전_및_방송)1"/>
      <sheetName val="내역서(19__각동_약전_및_방송)1"/>
      <sheetName val="분전반설치비_일위대가1"/>
      <sheetName val="공량(1__옥외전력_및_수변전,_외등설비)1"/>
      <sheetName val="공량(2__접지_및_피뢰침_설비)1"/>
      <sheetName val="공량(3__CABLE_TRAY)1"/>
      <sheetName val="공량(4__가압장_동력)1"/>
      <sheetName val="공량(5__약품투입동,응집침전지_동력)1"/>
      <sheetName val="공량(6__여과지_동력)1"/>
      <sheetName val="공량(7__농축조,농축분배조_동력)1"/>
      <sheetName val="공량(8__조정농축조,조정농축분배조_동력)1"/>
      <sheetName val="공량(9__탈리액농축조,탈리액농축분배조_동력)1"/>
      <sheetName val="공량(10__탈수기동,회수펌프동_동력)1"/>
      <sheetName val="공량(11__식당_및_창고_전력간선,전열)1"/>
      <sheetName val="공량(12__식당_및_창고_전등)1"/>
      <sheetName val="공량(13__가압장_전력간선,전열)1"/>
      <sheetName val="공량(14__가압장_전등)1"/>
      <sheetName val="공량(15__여과지_전력간선,전열)1"/>
      <sheetName val="공량(16__여과지_전등)1"/>
      <sheetName val="공량(17__각_농축분배조_전등_전열)1"/>
      <sheetName val="공량(18__옥외_약전_및_방송)1"/>
      <sheetName val="공량(19__각동_약전_및_방송1"/>
      <sheetName val="산출조서(1_옥외전력_및_수변전,_외등설비)1"/>
      <sheetName val="산출조서(2__접지_및_피뢰침_설비)1"/>
      <sheetName val="산출조서(3__CABLE_TRAY)1"/>
      <sheetName val="산출조서(4__가압장_동력)1"/>
      <sheetName val="산출조서(5__약품투입동,응집침전지_동력)1"/>
      <sheetName val="산출조서(6__여과지_동력)1"/>
      <sheetName val="산출조서(7__농축조,농축분배조_동력)1"/>
      <sheetName val="산출조서(8__조정농축조,조정농축분배조_동력)1"/>
      <sheetName val="산출조서(9__탈리액농축조,탈리액농축분배조_동력)1"/>
      <sheetName val="산출조서(10__탈수기동,회수펌프동_동력)1"/>
      <sheetName val="산출조서(11__식당_및_창고_전력간선,전열)1"/>
      <sheetName val="산출조서(12__식당_및_창고_전등)1"/>
      <sheetName val="산출조서(13__가압장_전력간선,전열)1"/>
      <sheetName val="산출조서(L1__관리동_전등)1"/>
      <sheetName val="산출조서(L2__침사지_전등,전열)1"/>
      <sheetName val="산출조서(15__여과지_전력간선,전열)1"/>
      <sheetName val="산출조서(16__여과지_전등)1"/>
      <sheetName val="산출조서(17__각_농축분배조_전등_전열)1"/>
      <sheetName val="산출조서(18__옥외_약전_및_방송)1"/>
      <sheetName val="산출조서(19__각동_약전_및_방송)1"/>
      <sheetName val="한전_수탁비_계산_내역1"/>
      <sheetName val="CUBICLE설치비_일위대가_1"/>
      <sheetName val="본선_토공_분배표1"/>
      <sheetName val="전화번호DATA_(2001)1"/>
      <sheetName val="원가계산서_1"/>
      <sheetName val="96보완계획7_121"/>
      <sheetName val="공__종__별__집__계__표1"/>
      <sheetName val="일__위__대__가__목__록1"/>
      <sheetName val="일_위_대_가_표1"/>
      <sheetName val="단__가__대__비__표1"/>
      <sheetName val="8_PILE__(돌출)1"/>
      <sheetName val="토총괄_(2)1"/>
      <sheetName val="아파트_1"/>
      <sheetName val="1공구_건정토건_철콘1"/>
      <sheetName val="준검_내역서1"/>
      <sheetName val="충돌_내용1"/>
      <sheetName val="일반문틀_설치1"/>
      <sheetName val="샌딩_에폭시_도장1"/>
      <sheetName val="상_부1"/>
      <sheetName val="1_설계조건1"/>
      <sheetName val="1공구8_개소1"/>
      <sheetName val="조립식_가설건물1"/>
      <sheetName val="석탄2_3물량1"/>
      <sheetName val="strut_type1"/>
      <sheetName val="차집관로,_중계펌프장원가1"/>
      <sheetName val="차집관로,_중계펌프장1"/>
      <sheetName val="A(Rev_3)1"/>
      <sheetName val="3_하중산정4_지지력1"/>
      <sheetName val="수지예산서(세부)_(2)1"/>
      <sheetName val="S_중기사용료1"/>
      <sheetName val="실행예산(97_12_17)1"/>
      <sheetName val="TOWER_12TON1"/>
      <sheetName val="TOWER_10TON1"/>
      <sheetName val="설치중량_1"/>
      <sheetName val="수문일위_1"/>
      <sheetName val="1_동력공사"/>
      <sheetName val="자재견적_(대왕)_(2)1"/>
      <sheetName val="단위가격_"/>
      <sheetName val="Sheet1_(2)"/>
      <sheetName val="내역서_(변경)"/>
      <sheetName val="_U형배수관"/>
      <sheetName val="집수정_(우오수)"/>
      <sheetName val="단면_(2)"/>
      <sheetName val="현장관리비_산출내역"/>
      <sheetName val="1_토공"/>
      <sheetName val="전선_및_전선관"/>
      <sheetName val="6PILE__(돌출)"/>
      <sheetName val="1_설계기준"/>
      <sheetName val="PAD_TR보호대기초"/>
      <sheetName val="건______________축"/>
      <sheetName val="원가근거_"/>
      <sheetName val="내역서(1__옥외전력_및_수변전설비)"/>
      <sheetName val="내역서(2__접지_및_피뢰침_설비)"/>
      <sheetName val="내역서(3__CABLE_TRAY)"/>
      <sheetName val="내역서(4__가압장_동력)"/>
      <sheetName val="내역서(5__약품투입동,응집침전지_동력)"/>
      <sheetName val="내역서(6__여과지_동력)"/>
      <sheetName val="내역서(7__농축조,농축분배조_동력)"/>
      <sheetName val="내역서(8__조정농축조,조정농축분배조_동력)"/>
      <sheetName val="내역서(9__탈리액농축조,탈리액농축분배조_동력)"/>
      <sheetName val="내역서(10__탈수기동,회수펌프동_동력)"/>
      <sheetName val="내역서(11__식당_및_창고_전력간선,전열)"/>
      <sheetName val="내역서(12__식당_및_창고_전등)"/>
      <sheetName val="내역서(13__가압장_전력간선,전열)"/>
      <sheetName val="내역서(14__가압장_전등)"/>
      <sheetName val="내역서(15__여과지_전력간선,전열)"/>
      <sheetName val="내역서(16__여과지_전등)"/>
      <sheetName val="내역서(17__각_농축분배조_전등_전열)"/>
      <sheetName val="내역서(18__옥외_약전_및_방송)"/>
      <sheetName val="내역서(19__각동_약전_및_방송)"/>
      <sheetName val="분전반설치비_일위대가"/>
      <sheetName val="공량(1__옥외전력_및_수변전,_외등설비)"/>
      <sheetName val="공량(2__접지_및_피뢰침_설비)"/>
      <sheetName val="공량(3__CABLE_TRAY)"/>
      <sheetName val="공량(4__가압장_동력)"/>
      <sheetName val="공량(5__약품투입동,응집침전지_동력)"/>
      <sheetName val="공량(6__여과지_동력)"/>
      <sheetName val="공량(7__농축조,농축분배조_동력)"/>
      <sheetName val="공량(8__조정농축조,조정농축분배조_동력)"/>
      <sheetName val="공량(9__탈리액농축조,탈리액농축분배조_동력)"/>
      <sheetName val="공량(10__탈수기동,회수펌프동_동력)"/>
      <sheetName val="공량(11__식당_및_창고_전력간선,전열)"/>
      <sheetName val="공량(12__식당_및_창고_전등)"/>
      <sheetName val="공량(13__가압장_전력간선,전열)"/>
      <sheetName val="공량(14__가압장_전등)"/>
      <sheetName val="공량(15__여과지_전력간선,전열)"/>
      <sheetName val="공량(16__여과지_전등)"/>
      <sheetName val="공량(17__각_농축분배조_전등_전열)"/>
      <sheetName val="공량(18__옥외_약전_및_방송)"/>
      <sheetName val="공량(19__각동_약전_및_방송"/>
      <sheetName val="산출조서(1_옥외전력_및_수변전,_외등설비)"/>
      <sheetName val="산출조서(2__접지_및_피뢰침_설비)"/>
      <sheetName val="산출조서(3__CABLE_TRAY)"/>
      <sheetName val="산출조서(4__가압장_동력)"/>
      <sheetName val="산출조서(5__약품투입동,응집침전지_동력)"/>
      <sheetName val="산출조서(6__여과지_동력)"/>
      <sheetName val="산출조서(7__농축조,농축분배조_동력)"/>
      <sheetName val="산출조서(8__조정농축조,조정농축분배조_동력)"/>
      <sheetName val="산출조서(9__탈리액농축조,탈리액농축분배조_동력)"/>
      <sheetName val="산출조서(10__탈수기동,회수펌프동_동력)"/>
      <sheetName val="산출조서(11__식당_및_창고_전력간선,전열)"/>
      <sheetName val="산출조서(12__식당_및_창고_전등)"/>
      <sheetName val="산출조서(13__가압장_전력간선,전열)"/>
      <sheetName val="산출조서(L1__관리동_전등)"/>
      <sheetName val="산출조서(L2__침사지_전등,전열)"/>
      <sheetName val="산출조서(15__여과지_전력간선,전열)"/>
      <sheetName val="산출조서(16__여과지_전등)"/>
      <sheetName val="산출조서(17__각_농축분배조_전등_전열)"/>
      <sheetName val="산출조서(18__옥외_약전_및_방송)"/>
      <sheetName val="산출조서(19__각동_약전_및_방송)"/>
      <sheetName val="한전_수탁비_계산_내역"/>
      <sheetName val="CUBICLE설치비_일위대가_"/>
      <sheetName val="본선_토공_분배표"/>
      <sheetName val="전화번호DATA_(2001)"/>
      <sheetName val="원가계산서_"/>
      <sheetName val="96보완계획7_12"/>
      <sheetName val="공__종__별__집__계__표"/>
      <sheetName val="일__위__대__가__목__록"/>
      <sheetName val="일_위_대_가_표"/>
      <sheetName val="단__가__대__비__표"/>
      <sheetName val="8_PILE__(돌출)"/>
      <sheetName val="토총괄_(2)"/>
      <sheetName val="아파트_"/>
      <sheetName val="1공구_건정토건_철콘"/>
      <sheetName val="준검_내역서"/>
      <sheetName val="충돌_내용"/>
      <sheetName val="일반문틀_설치"/>
      <sheetName val="샌딩_에폭시_도장"/>
      <sheetName val="상_부"/>
      <sheetName val="1_설계조건"/>
      <sheetName val="1공구8_개소"/>
      <sheetName val="조립식_가설건물"/>
      <sheetName val="석탄2_3물량"/>
      <sheetName val="strut_type"/>
      <sheetName val="차집관로,_중계펌프장원가"/>
      <sheetName val="차집관로,_중계펌프장"/>
      <sheetName val="A(Rev_3)"/>
      <sheetName val="3_하중산정4_지지력"/>
      <sheetName val="수지예산서(세부)_(2)"/>
      <sheetName val="S_중기사용료"/>
      <sheetName val="실행예산(97_12_17)"/>
      <sheetName val="TOWER_12TON"/>
      <sheetName val="TOWER_10TON"/>
      <sheetName val="입찰보고"/>
      <sheetName val="설치중량_3"/>
      <sheetName val="수문일위_3"/>
      <sheetName val="1_동력공사2"/>
      <sheetName val="자재견적_(대왕)_(2)3"/>
      <sheetName val="전차선로_물량표2"/>
      <sheetName val="단위가격_2"/>
      <sheetName val="Sheet1_(2)2"/>
      <sheetName val="내역서_(변경)2"/>
      <sheetName val="_U형배수관2"/>
      <sheetName val="집수정_(우오수)2"/>
      <sheetName val="단면_(2)2"/>
      <sheetName val="제출내역_(2)2"/>
      <sheetName val="현장관리비_산출내역2"/>
      <sheetName val="1_토공2"/>
      <sheetName val="전선_및_전선관2"/>
      <sheetName val="6PILE__(돌출)2"/>
      <sheetName val="1_설계기준2"/>
      <sheetName val="PAD_TR보호대기초2"/>
      <sheetName val="건______________축2"/>
      <sheetName val="원가근거_2"/>
      <sheetName val="내역서(1__옥외전력_및_수변전설비)2"/>
      <sheetName val="내역서(2__접지_및_피뢰침_설비)2"/>
      <sheetName val="내역서(3__CABLE_TRAY)2"/>
      <sheetName val="내역서(4__가압장_동력)2"/>
      <sheetName val="내역서(5__약품투입동,응집침전지_동력)2"/>
      <sheetName val="내역서(6__여과지_동력)2"/>
      <sheetName val="내역서(7__농축조,농축분배조_동력)2"/>
      <sheetName val="내역서(8__조정농축조,조정농축분배조_동력)2"/>
      <sheetName val="내역서(9__탈리액농축조,탈리액농축분배조_동력)2"/>
      <sheetName val="내역서(10__탈수기동,회수펌프동_동력)2"/>
      <sheetName val="내역서(11__식당_및_창고_전력간선,전열)2"/>
      <sheetName val="내역서(12__식당_및_창고_전등)2"/>
      <sheetName val="내역서(13__가압장_전력간선,전열)2"/>
      <sheetName val="내역서(14__가압장_전등)2"/>
      <sheetName val="내역서(15__여과지_전력간선,전열)2"/>
      <sheetName val="내역서(16__여과지_전등)2"/>
      <sheetName val="내역서(17__각_농축분배조_전등_전열)2"/>
      <sheetName val="내역서(18__옥외_약전_및_방송)2"/>
      <sheetName val="내역서(19__각동_약전_및_방송)2"/>
      <sheetName val="분전반설치비_일위대가2"/>
      <sheetName val="공량(1__옥외전력_및_수변전,_외등설비)2"/>
      <sheetName val="공량(2__접지_및_피뢰침_설비)2"/>
      <sheetName val="공량(3__CABLE_TRAY)2"/>
      <sheetName val="공량(4__가압장_동력)2"/>
      <sheetName val="공량(5__약품투입동,응집침전지_동력)2"/>
      <sheetName val="공량(6__여과지_동력)2"/>
      <sheetName val="공량(7__농축조,농축분배조_동력)2"/>
      <sheetName val="공량(8__조정농축조,조정농축분배조_동력)2"/>
      <sheetName val="공량(9__탈리액농축조,탈리액농축분배조_동력)2"/>
      <sheetName val="공량(10__탈수기동,회수펌프동_동력)2"/>
      <sheetName val="공량(11__식당_및_창고_전력간선,전열)2"/>
      <sheetName val="공량(12__식당_및_창고_전등)2"/>
      <sheetName val="공량(13__가압장_전력간선,전열)2"/>
      <sheetName val="공량(14__가압장_전등)2"/>
      <sheetName val="공량(15__여과지_전력간선,전열)2"/>
      <sheetName val="공량(16__여과지_전등)2"/>
      <sheetName val="공량(17__각_농축분배조_전등_전열)2"/>
      <sheetName val="공량(18__옥외_약전_및_방송)2"/>
      <sheetName val="공량(19__각동_약전_및_방송2"/>
      <sheetName val="산출조서(1_옥외전력_및_수변전,_외등설비)2"/>
      <sheetName val="산출조서(2__접지_및_피뢰침_설비)2"/>
      <sheetName val="산출조서(3__CABLE_TRAY)2"/>
      <sheetName val="산출조서(4__가압장_동력)2"/>
      <sheetName val="산출조서(5__약품투입동,응집침전지_동력)2"/>
      <sheetName val="산출조서(6__여과지_동력)2"/>
      <sheetName val="산출조서(7__농축조,농축분배조_동력)2"/>
      <sheetName val="산출조서(8__조정농축조,조정농축분배조_동력)2"/>
      <sheetName val="산출조서(9__탈리액농축조,탈리액농축분배조_동력)2"/>
      <sheetName val="산출조서(10__탈수기동,회수펌프동_동력)2"/>
      <sheetName val="산출조서(11__식당_및_창고_전력간선,전열)2"/>
      <sheetName val="산출조서(12__식당_및_창고_전등)2"/>
      <sheetName val="산출조서(13__가압장_전력간선,전열)2"/>
      <sheetName val="산출조서(L1__관리동_전등)2"/>
      <sheetName val="산출조서(L2__침사지_전등,전열)2"/>
      <sheetName val="산출조서(15__여과지_전력간선,전열)2"/>
      <sheetName val="산출조서(16__여과지_전등)2"/>
      <sheetName val="산출조서(17__각_농축분배조_전등_전열)2"/>
      <sheetName val="산출조서(18__옥외_약전_및_방송)2"/>
      <sheetName val="산출조서(19__각동_약전_및_방송)2"/>
      <sheetName val="한전_수탁비_계산_내역2"/>
      <sheetName val="CUBICLE설치비_일위대가_2"/>
      <sheetName val="본선_토공_분배표2"/>
      <sheetName val="전화번호DATA_(2001)2"/>
      <sheetName val="원가계산서_2"/>
      <sheetName val="96보완계획7_122"/>
      <sheetName val="공__종__별__집__계__표2"/>
      <sheetName val="일__위__대__가__목__록2"/>
      <sheetName val="일_위_대_가_표2"/>
      <sheetName val="단__가__대__비__표2"/>
      <sheetName val="8_PILE__(돌출)2"/>
      <sheetName val="토총괄_(2)2"/>
      <sheetName val="아파트_2"/>
      <sheetName val="1공구_건정토건_철콘2"/>
      <sheetName val="준검_내역서2"/>
      <sheetName val="충돌_내용2"/>
      <sheetName val="일반문틀_설치2"/>
      <sheetName val="샌딩_에폭시_도장2"/>
      <sheetName val="상_부2"/>
      <sheetName val="1_설계조건2"/>
      <sheetName val="1공구8_개소2"/>
      <sheetName val="조립식_가설건물2"/>
      <sheetName val="석탄2_3물량2"/>
      <sheetName val="strut_type2"/>
      <sheetName val="차집관로,_중계펌프장원가2"/>
      <sheetName val="차집관로,_중계펌프장2"/>
      <sheetName val="A(Rev_3)2"/>
      <sheetName val="3_하중산정4_지지력2"/>
      <sheetName val="수지예산서(세부)_(2)2"/>
      <sheetName val="S_중기사용료2"/>
      <sheetName val="실행예산(97_12_17)2"/>
      <sheetName val="TOWER_12TON2"/>
      <sheetName val="TOWER_10TON2"/>
      <sheetName val="_x005f_x0000__x005f_x000c__x005f_x0000__x005f_x000c__x0"/>
      <sheetName val="TEST1"/>
      <sheetName val="산출2-기기동력"/>
      <sheetName val="제직재"/>
      <sheetName val="설직재-1"/>
      <sheetName val="제-노임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/>
      <sheetData sheetId="881" refreshError="1"/>
      <sheetData sheetId="882" refreshError="1"/>
      <sheetData sheetId="883" refreshError="1"/>
      <sheetData sheetId="884" refreshError="1"/>
      <sheetData sheetId="885"/>
      <sheetData sheetId="886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00000"/>
      <sheetName val="일위대가"/>
      <sheetName val="조명시설"/>
      <sheetName val="도근좌표"/>
      <sheetName val="산출근거"/>
      <sheetName val="직재"/>
      <sheetName val="Sheet1"/>
      <sheetName val="Sheet2"/>
      <sheetName val="Sheet3"/>
      <sheetName val="archi(본사)"/>
      <sheetName val="설직재-1"/>
      <sheetName val="제-노임"/>
      <sheetName val="제직재"/>
      <sheetName val="6PILE  (돌출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시행후면적"/>
      <sheetName val="날개벽"/>
    </sheetNames>
    <sheetDataSet>
      <sheetData sheetId="0"/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확폭부포장수량"/>
      <sheetName val="확폭부수량산출"/>
      <sheetName val="확폭부"/>
      <sheetName val="토공"/>
      <sheetName val="-치수표(곡선부)"/>
      <sheetName val="확폭부 (2)"/>
      <sheetName val="계산서(곡선부)"/>
      <sheetName val="-평면선형조서-"/>
      <sheetName val="확폭구간"/>
      <sheetName val="접속도로1"/>
      <sheetName val="조명시설"/>
      <sheetName val="노임단가"/>
      <sheetName val="총괄내역서"/>
      <sheetName val="관접합및부설"/>
      <sheetName val="단가"/>
      <sheetName val="집계표"/>
      <sheetName val="대로근거"/>
      <sheetName val="중로근거"/>
      <sheetName val="2003상반기노임기준"/>
      <sheetName val="DATE"/>
      <sheetName val="포장재료집계표"/>
      <sheetName val="요율"/>
      <sheetName val="토사(PE)"/>
      <sheetName val="상호참고자료"/>
      <sheetName val="발주처자료입력"/>
      <sheetName val="회사기본자료"/>
      <sheetName val="하자보증자료"/>
      <sheetName val="기술자관련자료"/>
      <sheetName val="고시단가"/>
      <sheetName val="이름표지정"/>
      <sheetName val="자재단가비교표"/>
      <sheetName val="data"/>
      <sheetName val="직접경비"/>
      <sheetName val="심사물량"/>
      <sheetName val="심사계산"/>
      <sheetName val="진주방향"/>
      <sheetName val="내력서"/>
      <sheetName val="내역갑지"/>
      <sheetName val="기계경비"/>
      <sheetName val="인건비(환율)"/>
      <sheetName val="데이타"/>
      <sheetName val="식재인부"/>
      <sheetName val="총괄서"/>
      <sheetName val="2000노임기준"/>
      <sheetName val="식재일위대가"/>
      <sheetName val="기초단가"/>
      <sheetName val="남한강 2단계 전체분"/>
      <sheetName val="각종단가"/>
      <sheetName val="노임단가(2010"/>
      <sheetName val="Sheet1"/>
      <sheetName val="값"/>
      <sheetName val="공사비"/>
      <sheetName val="단 가"/>
      <sheetName val="지구물리탐사"/>
      <sheetName val="2.재료비"/>
      <sheetName val="1.인건비"/>
      <sheetName val="12.보오링"/>
      <sheetName val="18.공내수압탄성자연"/>
      <sheetName val="확폭부_(2)"/>
      <sheetName val="한강운반비"/>
      <sheetName val="구역화물"/>
      <sheetName val="#REF"/>
      <sheetName val="1.설계조건"/>
      <sheetName val="Y-WORK"/>
      <sheetName val="정보매체A동"/>
      <sheetName val="일위산출"/>
      <sheetName val="일위대가 "/>
      <sheetName val="제경비요율"/>
      <sheetName val="설계예산서"/>
      <sheetName val="일위대가"/>
      <sheetName val="BOX"/>
      <sheetName val="금액"/>
      <sheetName val="-몰탈콘크리트"/>
      <sheetName val="-배수구조물공토공"/>
      <sheetName val="횡배수관재료-"/>
      <sheetName val="계산서(직선부)"/>
      <sheetName val="콘크리트측구연장"/>
      <sheetName val="포장공"/>
      <sheetName val="말뚝지지력산정"/>
      <sheetName val="SLAB&quot;1&quot;"/>
      <sheetName val="COPING"/>
      <sheetName val="000000"/>
      <sheetName val="공사요율산출표"/>
      <sheetName val="횡날개수집"/>
      <sheetName val="직접인건비"/>
      <sheetName val="견적대비"/>
      <sheetName val="단가조사서"/>
      <sheetName val="목차"/>
      <sheetName val="산근목록"/>
      <sheetName val="장비집계"/>
      <sheetName val="96보완계획7.12"/>
      <sheetName val=" 견적서"/>
      <sheetName val="내역서"/>
      <sheetName val="단위수량"/>
      <sheetName val="danga"/>
      <sheetName val="ilch"/>
      <sheetName val="산출목록표"/>
      <sheetName val="각형맨홀"/>
      <sheetName val="전차선로 물량표"/>
      <sheetName val="자재"/>
      <sheetName val="공사"/>
      <sheetName val="노임"/>
      <sheetName val="공통(20-91)"/>
      <sheetName val="횡배수관단위수량"/>
      <sheetName val="배수장공사비명세서"/>
      <sheetName val="ABUT수량-A1"/>
      <sheetName val="정부노임단가"/>
      <sheetName val="횡단위수량"/>
      <sheetName val="총괄"/>
      <sheetName val="수량및단가산출서"/>
      <sheetName val="공내역"/>
      <sheetName val="9509"/>
      <sheetName val="구간별"/>
      <sheetName val="공사개요"/>
      <sheetName val="고부제"/>
      <sheetName val="원평천상류2차"/>
      <sheetName val="일반하천실시설계용역"/>
      <sheetName val="조촌제"/>
      <sheetName val="crude.SLAB RE-b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직재"/>
      <sheetName val="자료업체"/>
      <sheetName val="결과"/>
      <sheetName val="총괄"/>
      <sheetName val="재료계"/>
      <sheetName val="간재"/>
      <sheetName val="노무"/>
      <sheetName val="일위"/>
      <sheetName val="N賃率-職"/>
      <sheetName val="조명시설"/>
      <sheetName val="20관리비율"/>
      <sheetName val="I一般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일위"/>
      <sheetName val="자료업체"/>
      <sheetName val="비율"/>
      <sheetName val="결과"/>
      <sheetName val="총괄"/>
      <sheetName val="재료계"/>
      <sheetName val="직재"/>
      <sheetName val="간재"/>
      <sheetName val="노무"/>
      <sheetName val="노임단가"/>
      <sheetName val="工간노율"/>
      <sheetName val="경비"/>
      <sheetName val="工경비율"/>
      <sheetName val="工완성공사율"/>
      <sheetName val="工산재율"/>
      <sheetName val="工안전관리율"/>
      <sheetName val="운반"/>
      <sheetName val="수리수선"/>
      <sheetName val="수선비견적"/>
      <sheetName val="工관리비율"/>
      <sheetName val="제총괄"/>
      <sheetName val="제-재료계"/>
      <sheetName val="제직재"/>
      <sheetName val="수량산출"/>
      <sheetName val="N賃率-職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가설공통공사"/>
      <sheetName val="기구조직"/>
      <sheetName val="기본입력"/>
      <sheetName val="경비2내역"/>
      <sheetName val="기준단가"/>
      <sheetName val="접대비"/>
      <sheetName val="선급금"/>
      <sheetName val="하자수수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표지"/>
      <sheetName val="총괄표"/>
      <sheetName val="설계서"/>
      <sheetName val="일위대가"/>
      <sheetName val="산출내역"/>
      <sheetName val="산출내역_장비"/>
      <sheetName val="참조_이력면적"/>
      <sheetName val="노임단가"/>
      <sheetName val="안내"/>
      <sheetName val="N賃率-職"/>
      <sheetName val="20관리비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3"/>
      <sheetName val="경산"/>
      <sheetName val="직재"/>
      <sheetName val="일위대가목록"/>
      <sheetName val="일위대가"/>
      <sheetName val="일위대가(4층원격)"/>
      <sheetName val="내역서"/>
      <sheetName val="연결"/>
      <sheetName val="기업"/>
      <sheetName val="손익"/>
      <sheetName val="직노"/>
      <sheetName val="#REF"/>
      <sheetName val="I一般比"/>
      <sheetName val="N賃率-職"/>
      <sheetName val="J直材4"/>
      <sheetName val="일위"/>
      <sheetName val="실행내역"/>
      <sheetName val="설직재-1"/>
      <sheetName val="제직재"/>
      <sheetName val="내역서2안"/>
      <sheetName val="패널"/>
      <sheetName val="집계"/>
      <sheetName val="기본일위"/>
      <sheetName val="Sheet2"/>
      <sheetName val="홍보비디오"/>
      <sheetName val="원가"/>
      <sheetName val="1안"/>
      <sheetName val="연간근무"/>
      <sheetName val="교육시간"/>
      <sheetName val="임율"/>
      <sheetName val="총괄"/>
      <sheetName val="직.근"/>
      <sheetName val="직접인건비"/>
      <sheetName val="간접인건비"/>
      <sheetName val="인집"/>
      <sheetName val="경비"/>
      <sheetName val="수리수선비"/>
      <sheetName val="수목데이타 "/>
      <sheetName val="변화치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기본간지 (3)"/>
      <sheetName val="기본목차"/>
      <sheetName val="결과"/>
      <sheetName val="업체집계"/>
      <sheetName val="원가집계"/>
      <sheetName val="총괄표"/>
      <sheetName val="재집계"/>
      <sheetName val="부품별집계"/>
      <sheetName val="회로MC"/>
      <sheetName val="기구MC"/>
      <sheetName val="직재비(기타)"/>
      <sheetName val="간재비"/>
      <sheetName val="금형비"/>
      <sheetName val="노무집계"/>
      <sheetName val="노무비"/>
      <sheetName val="소요공수"/>
      <sheetName val="노임단가명세"/>
      <sheetName val="간노율"/>
      <sheetName val="임금"/>
      <sheetName val="경비"/>
      <sheetName val="경비배부액"/>
      <sheetName val="경비조정"/>
      <sheetName val="개발비"/>
      <sheetName val="외주가공비"/>
      <sheetName val="일반관리비율"/>
      <sheetName val="IS"/>
      <sheetName val="MS"/>
      <sheetName val="총괄(차로)"/>
      <sheetName val="총괄(부스)"/>
      <sheetName val="설치재료"/>
      <sheetName val="집계표(차로)"/>
      <sheetName val="성남(차로)"/>
      <sheetName val="청계(차로)"/>
      <sheetName val="판교(차로)"/>
      <sheetName val="성남(부스)"/>
      <sheetName val="청계(부스)"/>
      <sheetName val="판교(부스)"/>
      <sheetName val="설노집계"/>
      <sheetName val="설치노무"/>
      <sheetName val="설치간노비"/>
      <sheetName val="02간노율"/>
      <sheetName val="일위집계"/>
      <sheetName val="일위대가"/>
      <sheetName val="설노임단가 (2)"/>
      <sheetName val="工경비"/>
      <sheetName val="02경비율"/>
      <sheetName val="운반비"/>
      <sheetName val="SW개발비"/>
      <sheetName val="개발인건"/>
      <sheetName val="1차인건"/>
      <sheetName val="step"/>
      <sheetName val="SW제경"/>
      <sheetName val="기술료"/>
      <sheetName val="직접경비"/>
      <sheetName val="SW목록"/>
      <sheetName val="시스템요약data"/>
      <sheetName val="정산서버상세data"/>
      <sheetName val="N賃率-職"/>
      <sheetName val="제-노임"/>
      <sheetName val="제직재"/>
      <sheetName val="갑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타견적1"/>
      <sheetName val="타견적2"/>
      <sheetName val="타견적3"/>
      <sheetName val="견적대비표"/>
      <sheetName val="내역서"/>
      <sheetName val="단가대비표"/>
      <sheetName val="PANEL 중량산출"/>
      <sheetName val="중량산출"/>
      <sheetName val="수량산출"/>
      <sheetName val="ABUT수량-A1"/>
      <sheetName val="단가비교표"/>
      <sheetName val="1안"/>
      <sheetName val="샘플표지"/>
      <sheetName val="N賃率-職"/>
      <sheetName val="과천MAIN"/>
      <sheetName val="일위"/>
      <sheetName val="노임"/>
      <sheetName val="매립"/>
      <sheetName val="I一般比"/>
      <sheetName val="원가 (2)"/>
      <sheetName val="품목납기"/>
      <sheetName val="Sheet2"/>
      <sheetName val="신우"/>
      <sheetName val="J直材4"/>
      <sheetName val="TYPE-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laroux"/>
      <sheetName val="갑지"/>
      <sheetName val="과천MAIN"/>
      <sheetName val="일위 (2)"/>
      <sheetName val="갑지 (2)"/>
      <sheetName val="산출근거서"/>
      <sheetName val="일위"/>
      <sheetName val="수량산출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賃率-職"/>
      <sheetName val="옹벽현"/>
    </sheet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목차"/>
      <sheetName val="목적"/>
      <sheetName val="전제"/>
      <sheetName val="계산기준"/>
      <sheetName val="간지"/>
      <sheetName val="간노비율(제조)"/>
      <sheetName val="노무명세"/>
      <sheetName val="적용경비"/>
      <sheetName val="경비1"/>
      <sheetName val="경비2"/>
      <sheetName val="적용일비"/>
      <sheetName val="일비1"/>
      <sheetName val="일비2"/>
      <sheetName val="손익"/>
      <sheetName val="제조"/>
      <sheetName val="기업경영"/>
      <sheetName val="적용율"/>
      <sheetName val="간노비율(설치)"/>
      <sheetName val="기타경비"/>
      <sheetName val="안전.산재"/>
      <sheetName val="일반.이윤"/>
      <sheetName val="수량산출"/>
      <sheetName val="N賃率-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XXXXXX"/>
      <sheetName val="종합경제"/>
      <sheetName val="종합경제 (상철)"/>
      <sheetName val="간지"/>
      <sheetName val="목차"/>
      <sheetName val="단가대비-1-25"/>
      <sheetName val="외함-원가산출-26"/>
      <sheetName val="외함-원가계산-27-42"/>
      <sheetName val="외함-노무비-43"/>
      <sheetName val="일위대가-45"/>
      <sheetName val="시간당임율산출표-46"/>
      <sheetName val="이면자재산출내역-47-50"/>
      <sheetName val="업체별실노무공수산출 -51"/>
      <sheetName val="현장실모무공수종합(평균)결과표 -52"/>
      <sheetName val="노무산출--54"/>
      <sheetName val="노무비-55"/>
      <sheetName val="운반비-124"/>
      <sheetName val="수량산출"/>
      <sheetName val="재정비직인"/>
      <sheetName val="재정비내역"/>
      <sheetName val="지적고시내역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****00"/>
      <sheetName val="PIPE"/>
      <sheetName val="을-1"/>
      <sheetName val="수량산출"/>
      <sheetName val="각형맨홀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공사개요"/>
      <sheetName val="견적사항요약"/>
      <sheetName val="공사비집계표"/>
      <sheetName val="협력업체"/>
      <sheetName val="초청현황"/>
      <sheetName val="견적대비"/>
      <sheetName val="외주견적의뢰"/>
      <sheetName val="외주견적내역"/>
      <sheetName val="머리말"/>
      <sheetName val="표지"/>
      <sheetName val="현설청취보고서"/>
      <sheetName val="목표원가 "/>
      <sheetName val="목표실행"/>
      <sheetName val="품의양식"/>
      <sheetName val="현장설명서"/>
      <sheetName val=" 부대초청 "/>
      <sheetName val="토공사대비표"/>
      <sheetName val="외주견적품의"/>
      <sheetName val="질의"/>
      <sheetName val="공문"/>
      <sheetName val="공 정 표"/>
      <sheetName val="보할공정표"/>
      <sheetName val="보할공정표1"/>
      <sheetName val="금융비"/>
      <sheetName val="공기산정"/>
      <sheetName val="공통가설"/>
      <sheetName val="모듈"/>
      <sheetName val="내역서1999.8최종"/>
      <sheetName val="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</sheetDataSet>
  </externalBook>
</externalLink>
</file>

<file path=xl/externalLinks/externalLink2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철거수량총괄"/>
      <sheetName val="성남철거수량집계"/>
      <sheetName val="성남담장조적"/>
      <sheetName val="성남담장무근"/>
      <sheetName val="성남철문철거"/>
      <sheetName val="가양철거수량집계"/>
      <sheetName val="가양담장조적"/>
      <sheetName val="가양담장무근"/>
      <sheetName val="가양철문철거"/>
      <sheetName val="가양경계석및콘크리트포장"/>
      <sheetName val="용운체육공원"/>
      <sheetName val="단위수량"/>
      <sheetName val="문주"/>
      <sheetName val="침목계단(가양)"/>
      <sheetName val="침목계단(성남)"/>
      <sheetName val="입간판"/>
      <sheetName val="토공(성남)"/>
      <sheetName val="토공(가양)"/>
      <sheetName val="조명시설"/>
      <sheetName val="내역서1999.8최종"/>
      <sheetName val="열린교정및휴식공원조성공사(수량산출2003.3)2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수량집계"/>
      <sheetName val="주요자재"/>
      <sheetName val="A1"/>
      <sheetName val="A2"/>
      <sheetName val="교대"/>
      <sheetName val="#REF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2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시행후면적"/>
      <sheetName val="결재표지1"/>
      <sheetName val="표지"/>
      <sheetName val="증감내역"/>
      <sheetName val="수지예산"/>
      <sheetName val="자재총"/>
      <sheetName val="검토조서"/>
      <sheetName val="신포총괄"/>
      <sheetName val="총괄공사"/>
      <sheetName val="영풍제"/>
      <sheetName val="장암제 "/>
      <sheetName val="언체(신)"/>
      <sheetName val="수량집계(장)"/>
      <sheetName val="평야부집계(장)"/>
      <sheetName val="평야부토적(장)"/>
      <sheetName val="자재집계(장)"/>
      <sheetName val="제당토적(장)"/>
      <sheetName val="여수토수량집계(장)"/>
      <sheetName val="여수토적(장)"/>
      <sheetName val="재료계산(장)"/>
      <sheetName val="평야부토적(신)"/>
      <sheetName val="평야부집계(신)"/>
      <sheetName val="신포제"/>
      <sheetName val="Sheet2"/>
      <sheetName val="재료계산(신)"/>
      <sheetName val="자재집계(신)"/>
      <sheetName val="수량집계(신)"/>
      <sheetName val="여수토적(신)"/>
      <sheetName val="제당토적(신)"/>
      <sheetName val="분수문그림"/>
      <sheetName val="여수토수량집계(신)"/>
      <sheetName val="자재집계(영)"/>
      <sheetName val="수량집계(영)"/>
      <sheetName val="사석헐기(영)"/>
      <sheetName val="여수토옹벽집계(영)"/>
      <sheetName val="영풍개거"/>
      <sheetName val="평야부토적(영)"/>
      <sheetName val="단가조견표"/>
      <sheetName val="단가목록(신)"/>
      <sheetName val="단산목록(신)"/>
      <sheetName val="단가산출기초(신)"/>
      <sheetName val="일일대가(신)"/>
      <sheetName val="자재단가"/>
      <sheetName val="단가목록(영)"/>
      <sheetName val="단산목록(영)"/>
      <sheetName val="일일대가(영)"/>
      <sheetName val="단가산출기초(영)"/>
      <sheetName val="단가목록(장)"/>
      <sheetName val="수로관그림"/>
      <sheetName val="일일대가(장)"/>
      <sheetName val="단산목록(장)"/>
      <sheetName val="단가산출기초(장)"/>
      <sheetName val="중기단가"/>
      <sheetName val="노임단가"/>
      <sheetName val="그라수량(신)"/>
      <sheetName val="그라작업일수(신)"/>
      <sheetName val="주입심도(신)"/>
      <sheetName val="공별내역(신)"/>
      <sheetName val="찬공(신)"/>
      <sheetName val="주입(신)"/>
      <sheetName val="그라수량(영)"/>
      <sheetName val="그라작업일수(영)"/>
      <sheetName val="주입심도(영)"/>
      <sheetName val="공별내역(영)"/>
      <sheetName val="찬공(영)"/>
      <sheetName val="주입(영)"/>
      <sheetName val="Sheet1"/>
      <sheetName val="수량산출"/>
      <sheetName val="관급자재"/>
      <sheetName val="변경관급자재"/>
      <sheetName val="투찰추정"/>
      <sheetName val="자재집계(장曬"/>
      <sheetName val="집계표"/>
      <sheetName val="단가표"/>
      <sheetName val="일위대가"/>
      <sheetName val="N賃率-職"/>
      <sheetName val="#REF"/>
      <sheetName val="신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2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一般比"/>
      <sheetName val="N賃率-職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2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설직재-1"/>
      <sheetName val="N賃率-職"/>
    </sheetNames>
    <sheetDataSet>
      <sheetData sheetId="0"/>
      <sheetData sheetId="1" refreshError="1"/>
    </sheetDataSet>
  </externalBook>
</externalLink>
</file>

<file path=xl/externalLinks/externalLink2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Sheet2"/>
      <sheetName val="Sheet3"/>
      <sheetName val="#REF"/>
      <sheetName val="실행내역"/>
      <sheetName val="직노"/>
      <sheetName val="J直材4"/>
      <sheetName val="I一般比"/>
      <sheetName val="N賃率-職"/>
      <sheetName val="내역서2안"/>
      <sheetName val="설직재-1"/>
      <sheetName val="제직재"/>
      <sheetName val="패널"/>
      <sheetName val="목록"/>
      <sheetName val="기본일위"/>
      <sheetName val="집계"/>
      <sheetName val="경산"/>
      <sheetName val="일위"/>
      <sheetName val="공사노임"/>
      <sheetName val="Book4"/>
      <sheetName val="홍보비디오"/>
      <sheetName val="단가"/>
      <sheetName val="원가"/>
      <sheetName val="工완성공사율"/>
      <sheetName val="工관리비율"/>
      <sheetName val="직재"/>
      <sheetName val="2F 회의실견적(5_14 일대)"/>
      <sheetName val="일위대가목록"/>
      <sheetName val=" HIT-&gt;HMC 견적(3900)"/>
      <sheetName val="일위대가"/>
      <sheetName val="일위대가(4층원격)"/>
      <sheetName val="노임"/>
      <sheetName val="내역서"/>
      <sheetName val="지형제작"/>
      <sheetName val="단가 (2)"/>
      <sheetName val="제-노임"/>
      <sheetName val="시행후면적"/>
      <sheetName val="갑지"/>
      <sheetName val="집계표"/>
      <sheetName val="1안"/>
      <sheetName val="조명시설"/>
      <sheetName val="2공구산출내역"/>
      <sheetName val="수량산출"/>
      <sheetName val="견적을지"/>
      <sheetName val="재정비직인"/>
      <sheetName val="재정비내역"/>
      <sheetName val="지적고시내역"/>
      <sheetName val="내역"/>
      <sheetName val="6호기"/>
      <sheetName val="조직"/>
      <sheetName val="데이타"/>
      <sheetName val="식재인부"/>
      <sheetName val="경율산정.XLS"/>
      <sheetName val="을"/>
      <sheetName val="총괄내역서"/>
      <sheetName val="수량산출(모형)"/>
      <sheetName val="수량산출(공수)"/>
      <sheetName val="모형단가"/>
      <sheetName val="금액내역서"/>
      <sheetName val="내역을"/>
      <sheetName val="명세서"/>
      <sheetName val="전기일위대가"/>
      <sheetName val="Sheet1 (2)"/>
      <sheetName val="빗물받이(910-510-410)"/>
      <sheetName val="4"/>
      <sheetName val="11"/>
      <sheetName val="8"/>
      <sheetName val="2"/>
      <sheetName val="7"/>
      <sheetName val="6"/>
      <sheetName val="5"/>
      <sheetName val="10"/>
      <sheetName val="9"/>
      <sheetName val="심사물량"/>
      <sheetName val="심사계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2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총괄표"/>
      <sheetName val="물가변동조정개요"/>
      <sheetName val="공사비변경집계표"/>
      <sheetName val="K값산출"/>
      <sheetName val="기계경비"/>
      <sheetName val="지수조정"/>
      <sheetName val="지수적용공사비내역서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賃率-職"/>
      <sheetName val="Sheet1 (2)"/>
    </sheetNames>
    <sheetDataSet>
      <sheetData sheetId="0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건축내역"/>
      <sheetName val="일위대가"/>
      <sheetName val="N賃率-職"/>
    </sheetNames>
    <sheetDataSet>
      <sheetData sheetId="0"/>
      <sheetData sheetId="1" refreshError="1"/>
      <sheetData sheetId="2" refreshError="1"/>
    </sheetDataSet>
  </externalBook>
</externalLink>
</file>

<file path=xl/externalLinks/externalLink3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00000"/>
      <sheetName val="일위대가"/>
      <sheetName val="조명시설"/>
      <sheetName val="방음벽기초(H=4m)"/>
      <sheetName val="실행철강하도"/>
      <sheetName val="진주방향"/>
      <sheetName val="터파기및재료"/>
      <sheetName val="수량산출"/>
      <sheetName val="단위수량"/>
      <sheetName val="N賃率-職"/>
      <sheetName val="총괄내역서"/>
      <sheetName val="일반수량총괄집계"/>
      <sheetName val="코드표"/>
      <sheetName val="#REF"/>
      <sheetName val="6PILE  (돌출)"/>
      <sheetName val="대로근거"/>
      <sheetName val="중로근거"/>
      <sheetName val="Sheet1 (2)"/>
      <sheetName val="화설내"/>
      <sheetName val="기계경비(시간당)"/>
      <sheetName val="램머"/>
      <sheetName val="데리네이타현황"/>
      <sheetName val="마산방향"/>
      <sheetName val="내역서"/>
      <sheetName val="증감내역서"/>
      <sheetName val="자금청구"/>
      <sheetName val="투찰내역서"/>
      <sheetName val="내역"/>
      <sheetName val="sand토적"/>
      <sheetName val="TOTAL1"/>
      <sheetName val="일위대가(가설)"/>
      <sheetName val="단위단가"/>
      <sheetName val="말뚝지지력산정"/>
      <sheetName val="일위대가9803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VXXXXX"/>
      <sheetName val="일위합"/>
      <sheetName val="일위"/>
      <sheetName val="토공"/>
      <sheetName val="포장공"/>
      <sheetName val="부대공"/>
      <sheetName val="운반공"/>
      <sheetName val="배수공"/>
      <sheetName val="중기사"/>
      <sheetName val="기계경"/>
      <sheetName val="노임단"/>
      <sheetName val="장비단"/>
      <sheetName val="자재단"/>
      <sheetName val="기계합"/>
      <sheetName val="일위대가"/>
      <sheetName val="조명시설"/>
      <sheetName val="N賃率-職"/>
      <sheetName val="TYPE-A"/>
      <sheetName val="3기준"/>
      <sheetName val="2.어플리케이션보정계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선급금"/>
      <sheetName val="선급금지급조건"/>
      <sheetName val="선급금신청서"/>
      <sheetName val="각서"/>
      <sheetName val="사용계획서"/>
      <sheetName val="카메라"/>
      <sheetName val="Sheet1"/>
      <sheetName val="Sheet2"/>
      <sheetName val="Sheet3"/>
      <sheetName val="차액보증"/>
      <sheetName val="조명시설"/>
      <sheetName val="대림경상68억"/>
      <sheetName val="장비단"/>
      <sheetName val="노임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공사비"/>
      <sheetName val="수지예산"/>
      <sheetName val="토적계산"/>
      <sheetName val="유용계산"/>
      <sheetName val="정산서"/>
      <sheetName val="순공사비"/>
      <sheetName val="당공사"/>
      <sheetName val="총"/>
      <sheetName val="총괄"/>
      <sheetName val="총정산"/>
      <sheetName val="집계"/>
      <sheetName val="재료"/>
      <sheetName val="97자재"/>
      <sheetName val="자재대 (2)"/>
      <sheetName val="자재정산"/>
      <sheetName val="Sheet1"/>
      <sheetName val="재료계산97"/>
      <sheetName val="호"/>
      <sheetName val="수량산출"/>
      <sheetName val="공종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uard(mac)"/>
      <sheetName val="2000년1차"/>
      <sheetName val="입찰안"/>
      <sheetName val="#REF"/>
      <sheetName val="노임"/>
      <sheetName val="중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표지"/>
      <sheetName val="총괄내역서"/>
      <sheetName val="UPIS_일위대가"/>
      <sheetName val="UPIS_대가근거"/>
      <sheetName val="산출내역_장비"/>
      <sheetName val="수량산출"/>
      <sheetName val="노임단가"/>
      <sheetName val="참조_이력면적"/>
      <sheetName val="간지양식"/>
      <sheetName val="조명시설"/>
      <sheetName val="지급자재"/>
      <sheetName val="데리네이타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3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ANKIJUN"/>
      <sheetName val="SANTOGO"/>
      <sheetName val="SANBAISU"/>
    </sheetNames>
    <sheetDataSet>
      <sheetData sheetId="0"/>
      <sheetData sheetId="1"/>
      <sheetData sheetId="2"/>
    </sheetDataSet>
  </externalBook>
</externalLink>
</file>

<file path=xl/externalLinks/externalLink3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일위"/>
      <sheetName val="수량산출"/>
      <sheetName val="각형맨홀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0.0"/>
    <col customWidth="1" min="3" max="3" width="7.71"/>
    <col customWidth="1" min="4" max="4" width="19.71"/>
    <col customWidth="1" min="5" max="5" width="7.71"/>
    <col customWidth="1" min="6" max="6" width="19.71"/>
    <col customWidth="1" min="7" max="7" width="7.71"/>
    <col customWidth="1" min="8" max="8" width="19.71"/>
    <col customWidth="1" min="9" max="9" width="7.71"/>
    <col customWidth="1" min="10" max="10" width="19.71"/>
    <col customWidth="1" min="11" max="16" width="8.86"/>
    <col customWidth="1" min="17" max="26" width="8.71"/>
  </cols>
  <sheetData>
    <row r="1" ht="24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7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4.7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7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4.75" customHeight="1">
      <c r="A4" s="8" t="s">
        <v>0</v>
      </c>
      <c r="L4" s="9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69.75" customHeight="1">
      <c r="A5" s="10" t="s">
        <v>1</v>
      </c>
      <c r="L5" s="9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69.75" customHeight="1">
      <c r="A6" s="11" t="s">
        <v>2</v>
      </c>
      <c r="L6" s="9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7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7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5"/>
      <c r="B9" s="6"/>
      <c r="C9" s="6"/>
      <c r="D9" s="6"/>
      <c r="E9" s="6"/>
      <c r="F9" s="6"/>
      <c r="G9" s="6"/>
      <c r="H9" s="6"/>
      <c r="I9" s="12"/>
      <c r="J9" s="6"/>
      <c r="K9" s="6"/>
      <c r="L9" s="7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7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7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7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7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7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1.5" customHeight="1">
      <c r="A15" s="13" t="s">
        <v>3</v>
      </c>
      <c r="L15" s="9"/>
      <c r="M15" s="4"/>
      <c r="N15" s="4"/>
      <c r="O15" s="4"/>
      <c r="P15" s="12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43.5" customHeight="1">
      <c r="A16" s="5" t="s">
        <v>4</v>
      </c>
      <c r="B16" s="6"/>
      <c r="C16" s="6"/>
      <c r="D16" s="6"/>
      <c r="E16" s="6"/>
      <c r="F16" s="6"/>
      <c r="G16" s="6"/>
      <c r="I16" s="6"/>
      <c r="J16" s="6"/>
      <c r="K16" s="6"/>
      <c r="L16" s="7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7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7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6.25" customHeight="1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7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57.0" customHeight="1">
      <c r="A20" s="14"/>
      <c r="B20" s="15"/>
      <c r="C20" s="15"/>
      <c r="D20" s="15"/>
      <c r="F20" s="16" t="s">
        <v>5</v>
      </c>
      <c r="H20" s="15"/>
      <c r="I20" s="15"/>
      <c r="J20" s="15"/>
      <c r="K20" s="15"/>
      <c r="L20" s="17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6.25" customHeight="1">
      <c r="A21" s="5"/>
      <c r="B21" s="6"/>
      <c r="C21" s="6"/>
      <c r="D21" s="6"/>
      <c r="E21" s="6"/>
      <c r="G21" s="6"/>
      <c r="H21" s="6"/>
      <c r="I21" s="6"/>
      <c r="J21" s="6"/>
      <c r="K21" s="6"/>
      <c r="L21" s="7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6.25" customHeight="1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7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2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6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6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6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6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6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6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6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6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6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6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6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6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6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6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6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6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6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6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6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6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6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6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6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6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6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6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6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6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6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6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6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6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6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6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6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6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6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6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6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6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6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6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6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6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6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6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6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6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6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6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6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6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6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6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6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6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6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6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6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6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6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6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6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6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6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6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6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6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6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6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6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6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6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6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6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6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6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6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6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6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6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6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6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6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6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6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6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6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6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6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6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6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6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6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6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6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6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6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6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6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6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6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6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6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6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6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6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6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6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6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6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6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6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6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6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6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6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6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6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6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6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6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6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6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6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6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6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6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6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6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6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6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6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6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6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6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6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6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6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6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6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6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6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6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6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6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6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6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6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6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6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6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6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6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6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6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6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6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6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6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6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6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6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6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6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6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6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6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6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6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6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6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6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6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6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6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6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6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6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6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6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6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6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6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6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6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6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6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6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6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6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6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6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6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6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6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6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6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6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6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6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6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6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6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6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6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6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6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6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6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6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6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6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6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6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6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6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6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6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6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6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6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6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6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6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6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6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6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6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6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6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6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6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6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6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6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6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6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6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6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6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6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6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6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6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6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6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6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6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6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6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6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6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6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6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6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6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6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6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6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6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6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6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6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6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6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6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6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6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6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6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6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6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6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6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6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6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6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6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6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6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6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6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6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6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6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6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6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6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6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6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6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6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6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6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6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6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6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6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6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6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6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6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6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6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6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6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6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6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6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6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6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6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6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6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6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6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6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6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6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6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6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6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6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6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6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6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6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6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6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6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6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6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6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6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6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6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6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6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6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6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6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6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6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6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6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6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6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6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6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6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6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6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6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6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6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6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6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6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6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6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6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6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6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6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6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6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6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6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6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6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6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6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6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6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6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6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6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6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6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6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6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6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6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6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6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6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6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6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6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6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6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6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6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6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6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6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6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6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6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6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6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6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6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6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6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6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6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6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6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6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6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6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6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6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6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6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6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6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6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6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6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6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6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6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6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6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6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6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6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6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6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6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6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6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6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6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6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6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6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6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6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6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6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6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6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6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6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6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6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6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6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6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6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6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6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6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6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6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6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6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6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6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6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6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6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6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6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6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6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6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6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6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6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6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6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6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6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6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6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6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6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6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6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6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6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6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6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6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6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6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6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6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6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6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6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6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6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6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6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6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6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6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6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6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6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6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6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6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6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6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6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6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6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6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6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6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6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6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6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6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6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6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6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6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6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6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6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6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6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6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6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6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6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6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6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6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6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6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6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6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6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6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6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6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6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6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6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6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6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6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6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6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6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6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6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6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6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6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6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6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6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6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6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6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6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6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6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6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6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6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6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6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6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6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6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6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6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6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6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6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6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6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6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6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6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6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6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6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6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6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6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6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6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6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6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6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6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6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6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6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6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6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6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6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6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6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6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6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6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6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6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6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6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6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6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6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6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6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6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6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6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6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6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6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6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6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6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6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6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6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6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6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6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6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6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6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6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6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6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6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6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6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6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6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6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6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6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6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6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6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6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6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6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6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6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6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6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6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6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6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6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6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6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6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6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6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6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6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6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6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6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6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6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6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6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6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6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6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6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6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6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6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6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6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6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6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6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6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6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6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6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6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6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6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6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6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6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6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6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6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6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6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6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6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6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6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6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6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6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6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6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6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6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6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6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6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6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6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6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6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6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6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6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6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6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6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6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6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6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6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6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6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6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6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6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6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6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6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6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6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6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6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6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6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6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6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6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6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6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6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6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6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6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6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6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6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6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6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6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6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6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6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6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6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6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6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6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6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6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6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6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6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6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6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6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6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6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6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6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6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6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6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6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6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6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6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6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6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6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6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6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6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6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6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6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6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6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6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6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6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6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6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6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6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6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6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6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6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6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6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6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6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6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6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6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6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6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6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6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6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6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6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6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6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6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6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6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6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6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6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6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6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6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6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6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6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6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6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6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6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6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6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6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6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6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6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6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6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6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6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6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6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6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6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6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6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6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6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6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6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6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6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6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6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6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6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6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6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6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6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6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6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6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6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6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6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6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6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6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6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6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6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6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6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6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6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6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6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6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6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6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6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6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6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6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6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6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6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6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6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6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6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6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6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6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6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6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6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6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6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6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6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6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6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6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6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6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6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6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6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6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6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6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6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6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6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6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6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6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6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6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6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6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6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6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6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6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6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6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6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6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6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6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6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6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6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6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6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6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6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6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6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6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6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6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6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6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6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6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6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6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6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6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6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6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6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6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6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6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4:L4"/>
    <mergeCell ref="A5:L5"/>
    <mergeCell ref="A6:L6"/>
    <mergeCell ref="A15:L15"/>
    <mergeCell ref="F20:G20"/>
  </mergeCells>
  <printOptions horizontalCentered="1" verticalCentered="1"/>
  <pageMargins bottom="0.7874015748031497" footer="0.0" header="0.0" left="0.8661417322834646" right="0.4724409448818898" top="0.7874015748031497"/>
  <pageSetup paperSize="9" scale="73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5.71"/>
    <col customWidth="1" min="3" max="3" width="5.71"/>
    <col customWidth="1" min="4" max="4" width="15.71"/>
    <col customWidth="1" min="5" max="5" width="6.43"/>
    <col customWidth="1" min="6" max="6" width="15.71"/>
    <col customWidth="1" min="7" max="7" width="5.71"/>
    <col customWidth="1" min="8" max="8" width="15.71"/>
    <col customWidth="1" min="9" max="9" width="5.71"/>
    <col customWidth="1" min="10" max="10" width="9.71"/>
    <col customWidth="1" min="11" max="11" width="6.0"/>
    <col customWidth="1" min="12" max="12" width="3.86"/>
    <col customWidth="1" min="13" max="26" width="8.86"/>
  </cols>
  <sheetData>
    <row r="1" ht="30.0" customHeight="1">
      <c r="A1" s="21" t="s">
        <v>6</v>
      </c>
      <c r="B1" s="22" t="s">
        <v>7</v>
      </c>
      <c r="C1" s="23" t="s">
        <v>8</v>
      </c>
      <c r="D1" s="23"/>
      <c r="E1" s="23" t="s">
        <v>9</v>
      </c>
      <c r="F1" s="22"/>
      <c r="G1" s="23" t="s">
        <v>10</v>
      </c>
      <c r="H1" s="22"/>
      <c r="I1" s="24" t="s">
        <v>11</v>
      </c>
      <c r="J1" s="24"/>
      <c r="K1" s="25"/>
      <c r="L1" s="26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30.0" customHeight="1">
      <c r="A2" s="28"/>
      <c r="B2" s="29"/>
      <c r="C2" s="29"/>
      <c r="D2" s="29"/>
      <c r="E2" s="29"/>
      <c r="F2" s="29"/>
      <c r="G2" s="29"/>
      <c r="H2" s="29"/>
      <c r="I2" s="30"/>
      <c r="J2" s="30"/>
      <c r="K2" s="31"/>
      <c r="L2" s="32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24.75" customHeight="1">
      <c r="A3" s="33"/>
      <c r="B3" s="27"/>
      <c r="C3" s="27"/>
      <c r="D3" s="27"/>
      <c r="E3" s="27"/>
      <c r="F3" s="27"/>
      <c r="G3" s="27"/>
      <c r="H3" s="27"/>
      <c r="I3" s="27"/>
      <c r="J3" s="27"/>
      <c r="K3" s="27"/>
      <c r="L3" s="34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24.75" customHeight="1">
      <c r="A4" s="33"/>
      <c r="B4" s="35" t="s">
        <v>12</v>
      </c>
      <c r="C4" s="27"/>
      <c r="D4" s="27"/>
      <c r="E4" s="27"/>
      <c r="F4" s="27"/>
      <c r="G4" s="27"/>
      <c r="H4" s="27"/>
      <c r="I4" s="27"/>
      <c r="J4" s="27"/>
      <c r="K4" s="27"/>
      <c r="L4" s="34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58.5" customHeight="1">
      <c r="A5" s="36" t="str">
        <f>'표지'!A5&amp;" 설계서"</f>
        <v>2026년 밀양시 도시계획정보체계(UPIS) 운영장비 유지관리 용역 설계서</v>
      </c>
      <c r="L5" s="3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30.0" customHeight="1">
      <c r="A6" s="33"/>
      <c r="B6" s="38" t="s">
        <v>13</v>
      </c>
      <c r="C6" s="39" t="s">
        <v>14</v>
      </c>
      <c r="D6" s="39"/>
      <c r="E6" s="39"/>
      <c r="F6" s="39"/>
      <c r="G6" s="27"/>
      <c r="H6" s="27"/>
      <c r="I6" s="27"/>
      <c r="J6" s="27"/>
      <c r="K6" s="27"/>
      <c r="L6" s="34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30.0" customHeight="1">
      <c r="A7" s="33"/>
      <c r="B7" s="38" t="s">
        <v>15</v>
      </c>
      <c r="C7" s="39"/>
      <c r="D7" s="39"/>
      <c r="E7" s="39"/>
      <c r="F7" s="39"/>
      <c r="G7" s="27"/>
      <c r="H7" s="27"/>
      <c r="I7" s="27"/>
      <c r="J7" s="27"/>
      <c r="K7" s="27"/>
      <c r="L7" s="34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30.0" customHeight="1">
      <c r="A8" s="33"/>
      <c r="B8" s="39" t="s">
        <v>16</v>
      </c>
      <c r="C8" s="40" t="s">
        <v>17</v>
      </c>
      <c r="J8" s="27"/>
      <c r="K8" s="27"/>
      <c r="L8" s="34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30.0" customHeight="1">
      <c r="A9" s="33"/>
      <c r="B9" s="39" t="s">
        <v>16</v>
      </c>
      <c r="C9" s="40"/>
      <c r="J9" s="27" t="s">
        <v>16</v>
      </c>
      <c r="K9" s="27"/>
      <c r="L9" s="34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30.0" customHeight="1">
      <c r="A10" s="33"/>
      <c r="B10" s="39" t="s">
        <v>16</v>
      </c>
      <c r="C10" s="39"/>
      <c r="D10" s="41"/>
      <c r="E10" s="41"/>
      <c r="F10" s="41"/>
      <c r="G10" s="42"/>
      <c r="H10" s="42"/>
      <c r="I10" s="42"/>
      <c r="J10" s="42"/>
      <c r="K10" s="42"/>
      <c r="L10" s="43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2.0" customHeight="1">
      <c r="A11" s="33"/>
      <c r="B11" s="39"/>
      <c r="C11" s="39"/>
      <c r="D11" s="41"/>
      <c r="E11" s="41"/>
      <c r="F11" s="41"/>
      <c r="G11" s="42"/>
      <c r="H11" s="42"/>
      <c r="I11" s="42"/>
      <c r="J11" s="42"/>
      <c r="K11" s="42"/>
      <c r="L11" s="43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9.5" customHeight="1">
      <c r="A12" s="33"/>
      <c r="B12" s="39"/>
      <c r="C12" s="39"/>
      <c r="D12" s="41"/>
      <c r="E12" s="41"/>
      <c r="F12" s="41"/>
      <c r="G12" s="42"/>
      <c r="H12" s="42"/>
      <c r="I12" s="42"/>
      <c r="J12" s="42"/>
      <c r="K12" s="42"/>
      <c r="L12" s="43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30.0" customHeight="1">
      <c r="A13" s="33"/>
      <c r="B13" s="38" t="s">
        <v>18</v>
      </c>
      <c r="C13" s="44" t="str">
        <f>": 일금"&amp;NUMBERSTRING('총괄표'!H11,1)&amp;"원정"</f>
        <v>#NAME?</v>
      </c>
      <c r="D13" s="45"/>
      <c r="E13" s="46"/>
      <c r="F13" s="46" t="str">
        <f>TEXT('총괄표'!H11,"\    #,###")&amp;"원"</f>
        <v>    14,531,000원</v>
      </c>
      <c r="G13" s="47"/>
      <c r="H13" s="47"/>
      <c r="I13" s="27"/>
      <c r="J13" s="27"/>
      <c r="K13" s="27"/>
      <c r="L13" s="34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9.5" customHeight="1">
      <c r="A14" s="33"/>
      <c r="B14" s="27"/>
      <c r="C14" s="48"/>
      <c r="D14" s="49"/>
      <c r="F14" s="50"/>
      <c r="G14" s="51"/>
      <c r="H14" s="52"/>
      <c r="I14" s="52"/>
      <c r="J14" s="27"/>
      <c r="K14" s="27"/>
      <c r="L14" s="34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9.5" customHeight="1">
      <c r="A15" s="53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5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3.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3.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3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3.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3.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3.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3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3.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3.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3.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3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3.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3.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3.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3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3.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3.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3.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3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3.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3.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3.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3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3.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3.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3.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3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3.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3.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3.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3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3.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3.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3.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3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3.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3.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3.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3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3.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3.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3.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3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3.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3.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3.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3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3.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3.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3.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3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3.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3.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3.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3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3.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3.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3.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3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3.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3.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3.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3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3.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3.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3.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3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3.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3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3.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3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3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3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3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3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3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3.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3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3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3.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3.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3.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3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3.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3.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3.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3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3.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3.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3.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3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3.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3.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3.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3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3.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3.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3.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3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3.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3.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3.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3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3.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3.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3.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3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3.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3.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3.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3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3.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3.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3.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3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3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3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3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3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3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3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3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3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3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3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3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3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3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3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3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3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3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3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3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3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3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3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3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3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3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3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3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3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3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3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3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3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3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3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3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3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3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3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3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3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3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3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3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3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3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3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3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3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3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3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3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3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3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3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3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3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3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3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3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3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3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3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3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3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3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3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3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3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3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3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3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3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3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3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3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3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3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3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3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3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3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3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3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3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3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3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3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3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3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3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3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3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3.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3.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3.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3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3.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3.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3.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3.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3.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3.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3.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3.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3.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3.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3.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3.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3.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3.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3.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3.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3.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3.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3.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3.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3.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3.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3.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3.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3.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3.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3.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3.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3.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3.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3.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3.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3.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3.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3.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3.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3.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3.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3.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3.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3.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3.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3.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3.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3.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3.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3.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3.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3.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3.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3.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3.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3.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3.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3.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3.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3.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3.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3.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3.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3.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3.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3.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3.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3.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3.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3.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3.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3.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3.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3.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3.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3.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3.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3.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3.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3.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3.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3.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3.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3.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3.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3.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3.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3.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3.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3.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3.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3.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3.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3.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3.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3.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3.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3.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3.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3.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3.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3.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3.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3.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3.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3.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3.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3.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3.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3.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3.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3.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3.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3.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3.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3.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3.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3.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3.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3.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3.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3.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3.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3.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3.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3.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3.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3.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3.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3.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3.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3.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3.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3.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3.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3.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3.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3.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3.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3.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3.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3.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3.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3.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3.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3.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3.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3.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3.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3.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3.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3.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3.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3.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3.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3.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3.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3.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3.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3.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3.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3.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3.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3.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3.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3.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3.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3.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3.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3.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3.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3.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3.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3.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3.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3.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3.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3.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3.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3.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3.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3.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3.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3.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3.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3.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3.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3.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3.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3.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3.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3.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3.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3.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3.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3.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3.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3.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3.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3.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3.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3.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3.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3.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3.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3.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3.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3.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3.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3.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3.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3.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3.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3.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3.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3.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3.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3.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3.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3.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3.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3.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3.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3.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3.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3.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3.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3.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3.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3.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3.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3.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3.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3.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3.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3.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3.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3.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3.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3.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3.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3.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3.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3.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3.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3.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3.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3.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3.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3.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3.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3.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3.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3.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3.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3.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3.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3.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3.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3.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3.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3.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3.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3.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3.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3.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3.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3.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3.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3.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3.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3.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3.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3.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3.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3.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3.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3.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3.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3.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3.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3.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3.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3.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3.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3.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3.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3.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3.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3.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3.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3.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3.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3.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3.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3.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3.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3.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3.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3.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3.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3.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3.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3.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3.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3.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3.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3.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3.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3.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3.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3.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3.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3.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3.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3.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3.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3.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3.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3.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3.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3.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3.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3.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3.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3.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3.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3.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3.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3.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3.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3.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3.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3.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3.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3.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3.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3.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3.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3.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3.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3.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3.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3.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3.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3.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3.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3.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3.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3.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3.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3.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3.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3.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3.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3.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3.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3.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3.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3.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3.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3.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3.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3.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3.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3.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3.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3.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3.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3.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3.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3.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3.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3.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3.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3.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3.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3.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3.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3.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3.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3.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3.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3.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3.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3.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3.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3.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3.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3.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3.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3.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3.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3.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3.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3.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3.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3.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3.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3.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3.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3.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3.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3.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3.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3.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3.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3.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3.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3.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3.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3.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3.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3.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3.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3.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3.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3.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3.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3.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3.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3.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3.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3.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3.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3.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3.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3.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3.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3.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3.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3.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3.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3.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3.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3.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3.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3.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3.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3.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3.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3.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3.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3.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3.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3.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3.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3.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3.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3.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3.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3.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3.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3.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3.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3.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3.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3.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3.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3.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3.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3.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3.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3.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3.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3.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3.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3.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3.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3.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3.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3.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3.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3.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3.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3.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3.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3.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3.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3.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3.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3.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3.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3.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3.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3.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3.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3.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3.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3.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3.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3.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3.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3.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3.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3.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3.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3.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3.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3.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3.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3.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3.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3.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3.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3.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3.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3.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3.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3.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3.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3.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3.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3.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3.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3.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3.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3.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3.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3.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3.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3.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3.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3.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3.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3.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3.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3.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3.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3.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3.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3.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3.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3.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3.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3.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3.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3.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3.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3.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3.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3.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3.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3.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3.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3.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3.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3.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3.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3.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3.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3.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3.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3.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3.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3.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3.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3.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3.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3.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3.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3.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3.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3.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3.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3.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3.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3.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3.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3.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3.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3.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3.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3.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3.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3.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3.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3.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3.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3.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3.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3.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3.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3.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3.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3.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3.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3.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3.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3.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3.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3.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3.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3.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3.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3.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3.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3.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3.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3.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3.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3.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3.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3.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3.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3.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3.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3.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3.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3.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3.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3.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3.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3.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3.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3.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3.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3.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3.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3.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3.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3.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3.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3.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3.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3.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3.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3.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3.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3.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3.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3.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3.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3.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3.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3.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3.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3.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3.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3.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3.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3.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3.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3.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3.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3.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3.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3.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3.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3.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3.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3.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3.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3.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3.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3.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3.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3.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3.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3.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3.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3.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3.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3.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3.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3.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3.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3.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3.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3.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3.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3.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3.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3.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3.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3.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3.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3.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3.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3.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3.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3.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3.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3.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3.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3.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3.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3.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3.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3.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3.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3.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3.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3.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3.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3.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3.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3.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3.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3.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3.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3.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3.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3.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3.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3.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3.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3.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3.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3.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3.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3.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3.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3.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3.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3.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3.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3.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3.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3.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3.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3.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3.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3.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3.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3.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3.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3.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3.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3.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3.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3.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3.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3.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3.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3.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3.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3.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3.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3.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3.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3.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3.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3.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3.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3.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3.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3.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3.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3.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3.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3.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3.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3.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3.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3.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3.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3.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3.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3.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3.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3.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3.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3.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3.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3.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3.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3.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3.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3.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3.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3.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3.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3.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3.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3.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3.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14">
    <mergeCell ref="H1:H2"/>
    <mergeCell ref="I1:I2"/>
    <mergeCell ref="J1:L2"/>
    <mergeCell ref="A5:L5"/>
    <mergeCell ref="C8:I8"/>
    <mergeCell ref="C9:I9"/>
    <mergeCell ref="D14:E14"/>
    <mergeCell ref="A1:A2"/>
    <mergeCell ref="B1:B2"/>
    <mergeCell ref="C1:C2"/>
    <mergeCell ref="D1:D2"/>
    <mergeCell ref="E1:E2"/>
    <mergeCell ref="F1:F2"/>
    <mergeCell ref="G1:G2"/>
  </mergeCells>
  <printOptions/>
  <pageMargins bottom="1.0" footer="0.0" header="0.0" left="0.75" right="0.75" top="1.0"/>
  <pageSetup paperSize="9" scale="91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9.71"/>
    <col customWidth="1" min="3" max="3" width="17.71"/>
    <col customWidth="1" min="4" max="4" width="6.71"/>
    <col customWidth="1" min="5" max="7" width="15.71"/>
    <col customWidth="1" min="8" max="8" width="16.14"/>
    <col customWidth="1" min="9" max="9" width="18.29"/>
    <col customWidth="1" min="10" max="10" width="10.71"/>
    <col customWidth="1" min="11" max="11" width="11.71"/>
    <col customWidth="1" min="12" max="12" width="14.71"/>
    <col customWidth="1" min="13" max="13" width="20.29"/>
    <col customWidth="1" min="14" max="14" width="8.86"/>
    <col customWidth="1" min="15" max="26" width="8.71"/>
  </cols>
  <sheetData>
    <row r="1" ht="45.0" customHeight="1">
      <c r="A1" s="56" t="s">
        <v>19</v>
      </c>
      <c r="B1" s="57"/>
      <c r="C1" s="57"/>
      <c r="D1" s="57"/>
      <c r="E1" s="57"/>
      <c r="F1" s="57"/>
      <c r="G1" s="57"/>
      <c r="H1" s="57"/>
      <c r="I1" s="58"/>
      <c r="J1" s="59"/>
      <c r="K1" s="59"/>
      <c r="L1" s="60"/>
      <c r="M1" s="59"/>
      <c r="N1" s="61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ht="45.0" customHeight="1">
      <c r="A2" s="62" t="s">
        <v>20</v>
      </c>
      <c r="B2" s="63"/>
      <c r="C2" s="64" t="s">
        <v>21</v>
      </c>
      <c r="D2" s="65" t="s">
        <v>22</v>
      </c>
      <c r="E2" s="65" t="s">
        <v>23</v>
      </c>
      <c r="F2" s="66" t="s">
        <v>24</v>
      </c>
      <c r="G2" s="67" t="s">
        <v>25</v>
      </c>
      <c r="H2" s="68" t="s">
        <v>26</v>
      </c>
      <c r="I2" s="69" t="s">
        <v>27</v>
      </c>
      <c r="J2" s="70"/>
      <c r="K2" s="70"/>
      <c r="L2" s="71"/>
      <c r="M2" s="70"/>
      <c r="N2" s="72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ht="45.0" customHeight="1">
      <c r="A3" s="73" t="s">
        <v>28</v>
      </c>
      <c r="B3" s="74"/>
      <c r="C3" s="75"/>
      <c r="D3" s="76"/>
      <c r="E3" s="77"/>
      <c r="F3" s="78"/>
      <c r="G3" s="79"/>
      <c r="H3" s="78"/>
      <c r="I3" s="80"/>
      <c r="J3" s="81"/>
      <c r="K3" s="82"/>
      <c r="L3" s="83"/>
      <c r="M3" s="81"/>
      <c r="N3" s="84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ht="45.0" customHeight="1">
      <c r="A4" s="85" t="s">
        <v>29</v>
      </c>
      <c r="B4" s="74"/>
      <c r="C4" s="86"/>
      <c r="D4" s="87"/>
      <c r="E4" s="88">
        <f>E5+E6</f>
        <v>68554120</v>
      </c>
      <c r="F4" s="89">
        <f t="shared" ref="F4:H4" si="1">SUM(F5:F6)</f>
        <v>0</v>
      </c>
      <c r="G4" s="88">
        <f t="shared" si="1"/>
        <v>5484329.6</v>
      </c>
      <c r="H4" s="90">
        <f t="shared" si="1"/>
        <v>5484329.6</v>
      </c>
      <c r="I4" s="91"/>
      <c r="J4" s="92"/>
      <c r="K4" s="82"/>
      <c r="L4" s="60"/>
      <c r="M4" s="92"/>
      <c r="N4" s="93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ht="45.0" customHeight="1">
      <c r="A5" s="94">
        <v>1.0</v>
      </c>
      <c r="B5" s="95" t="s">
        <v>30</v>
      </c>
      <c r="C5" s="96" t="str">
        <f t="shared" ref="C5:C6" si="2">" 기준단가의 "&amp;TEXT(D5,"0%")&amp;"적용"</f>
        <v> 기준단가의 8%적용</v>
      </c>
      <c r="D5" s="97">
        <v>0.08</v>
      </c>
      <c r="E5" s="98">
        <v>3.9201925E7</v>
      </c>
      <c r="F5" s="99">
        <v>0.0</v>
      </c>
      <c r="G5" s="100">
        <f t="shared" ref="G5:G6" si="3">E5*D5</f>
        <v>3136154</v>
      </c>
      <c r="H5" s="101">
        <f t="shared" ref="H5:H6" si="4">SUM(F5:G5)/12*12</f>
        <v>3136154</v>
      </c>
      <c r="I5" s="102" t="s">
        <v>31</v>
      </c>
      <c r="J5" s="103"/>
      <c r="K5" s="104"/>
      <c r="L5" s="105"/>
      <c r="M5" s="106"/>
      <c r="N5" s="61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</row>
    <row r="6" ht="45.0" customHeight="1">
      <c r="A6" s="107">
        <v>2.0</v>
      </c>
      <c r="B6" s="108" t="s">
        <v>32</v>
      </c>
      <c r="C6" s="109" t="str">
        <f t="shared" si="2"/>
        <v> 기준단가의 8%적용</v>
      </c>
      <c r="D6" s="110">
        <v>0.08</v>
      </c>
      <c r="E6" s="111">
        <v>2.9352195E7</v>
      </c>
      <c r="F6" s="112">
        <v>0.0</v>
      </c>
      <c r="G6" s="113">
        <f t="shared" si="3"/>
        <v>2348175.6</v>
      </c>
      <c r="H6" s="114">
        <f t="shared" si="4"/>
        <v>2348175.6</v>
      </c>
      <c r="I6" s="115" t="s">
        <v>31</v>
      </c>
      <c r="J6" s="103"/>
      <c r="K6" s="104"/>
      <c r="L6" s="105"/>
      <c r="M6" s="106"/>
      <c r="N6" s="61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</row>
    <row r="7" ht="45.0" customHeight="1">
      <c r="A7" s="73" t="s">
        <v>33</v>
      </c>
      <c r="B7" s="74"/>
      <c r="C7" s="86"/>
      <c r="D7" s="87"/>
      <c r="E7" s="116"/>
      <c r="F7" s="90"/>
      <c r="G7" s="88"/>
      <c r="H7" s="90"/>
      <c r="I7" s="91"/>
      <c r="J7" s="92"/>
      <c r="K7" s="40"/>
      <c r="L7" s="117"/>
      <c r="M7" s="92"/>
      <c r="N7" s="93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ht="45.0" customHeight="1">
      <c r="A8" s="85" t="s">
        <v>34</v>
      </c>
      <c r="B8" s="74"/>
      <c r="C8" s="86"/>
      <c r="D8" s="87"/>
      <c r="E8" s="118">
        <f>E9+E10</f>
        <v>59393872</v>
      </c>
      <c r="F8" s="90">
        <f>SUM(F9:F10)</f>
        <v>9503019.52</v>
      </c>
      <c r="G8" s="119">
        <v>0.0</v>
      </c>
      <c r="H8" s="90">
        <f>SUM(H9:H10)</f>
        <v>9503019.52</v>
      </c>
      <c r="I8" s="91"/>
      <c r="J8" s="92"/>
      <c r="K8" s="104"/>
      <c r="L8" s="92"/>
      <c r="M8" s="92"/>
      <c r="N8" s="93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ht="45.0" customHeight="1">
      <c r="A9" s="94">
        <v>1.0</v>
      </c>
      <c r="B9" s="95" t="s">
        <v>35</v>
      </c>
      <c r="C9" s="96" t="str">
        <f t="shared" ref="C9:C10" si="5">" 기준단가의 "&amp;TEXT(D9,"0%")&amp;"적용"</f>
        <v> 기준단가의 16%적용</v>
      </c>
      <c r="D9" s="97">
        <v>0.16</v>
      </c>
      <c r="E9" s="98">
        <v>9160249.0</v>
      </c>
      <c r="F9" s="101">
        <f t="shared" ref="F9:F10" si="6">E9*D9</f>
        <v>1465639.84</v>
      </c>
      <c r="G9" s="98">
        <v>0.0</v>
      </c>
      <c r="H9" s="101">
        <f t="shared" ref="H9:H10" si="7">SUM(F9:G9)/12*12</f>
        <v>1465639.84</v>
      </c>
      <c r="I9" s="102"/>
      <c r="J9" s="103"/>
      <c r="K9" s="120"/>
      <c r="L9" s="105"/>
      <c r="M9" s="106"/>
      <c r="N9" s="61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</row>
    <row r="10" ht="45.0" customHeight="1">
      <c r="A10" s="121">
        <v>2.0</v>
      </c>
      <c r="B10" s="122" t="s">
        <v>36</v>
      </c>
      <c r="C10" s="123" t="str">
        <f t="shared" si="5"/>
        <v> 기준단가의 16%적용</v>
      </c>
      <c r="D10" s="124">
        <v>0.16</v>
      </c>
      <c r="E10" s="125">
        <v>5.0233623E7</v>
      </c>
      <c r="F10" s="126">
        <f t="shared" si="6"/>
        <v>8037379.68</v>
      </c>
      <c r="G10" s="125">
        <v>0.0</v>
      </c>
      <c r="H10" s="114">
        <f t="shared" si="7"/>
        <v>8037379.68</v>
      </c>
      <c r="I10" s="127"/>
      <c r="J10" s="103"/>
      <c r="K10" s="120"/>
      <c r="L10" s="105"/>
      <c r="M10" s="106"/>
      <c r="N10" s="61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 ht="45.0" customHeight="1">
      <c r="A11" s="128" t="s">
        <v>37</v>
      </c>
      <c r="B11" s="129"/>
      <c r="C11" s="130" t="s">
        <v>38</v>
      </c>
      <c r="D11" s="131"/>
      <c r="E11" s="132">
        <f>ROUNDDOWN(E4+E8,0)</f>
        <v>127947992</v>
      </c>
      <c r="F11" s="133"/>
      <c r="G11" s="134"/>
      <c r="H11" s="135">
        <f>ROUNDDOWN((H4+H8)*0.9696,-3)</f>
        <v>14531000</v>
      </c>
      <c r="I11" s="136" t="s">
        <v>39</v>
      </c>
      <c r="J11" s="103"/>
      <c r="K11" s="137"/>
      <c r="L11" s="117"/>
      <c r="M11" s="103"/>
      <c r="N11" s="61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</row>
    <row r="12" ht="30.0" customHeight="1">
      <c r="A12" s="103"/>
      <c r="B12" s="103"/>
      <c r="C12" s="103"/>
      <c r="D12" s="103"/>
      <c r="E12" s="103"/>
      <c r="F12" s="103"/>
      <c r="G12" s="103"/>
      <c r="H12" s="103"/>
      <c r="I12" s="103"/>
      <c r="J12" s="103"/>
      <c r="K12" s="138"/>
      <c r="L12" s="60"/>
      <c r="M12" s="103"/>
      <c r="N12" s="61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</row>
    <row r="13" ht="30.0" customHeight="1">
      <c r="A13" s="103"/>
      <c r="B13" s="103"/>
      <c r="C13" s="103"/>
      <c r="D13" s="103"/>
      <c r="E13" s="139"/>
      <c r="F13" s="139"/>
      <c r="G13" s="139"/>
      <c r="H13" s="125"/>
      <c r="I13" s="103"/>
      <c r="J13" s="103"/>
      <c r="K13" s="40"/>
      <c r="L13" s="60"/>
      <c r="M13" s="103"/>
      <c r="N13" s="61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</row>
    <row r="14" ht="30.0" customHeight="1">
      <c r="A14" s="103"/>
      <c r="B14" s="103"/>
      <c r="C14" s="103"/>
      <c r="D14" s="103"/>
      <c r="E14" s="139"/>
      <c r="F14" s="139"/>
      <c r="G14" s="139"/>
      <c r="H14" s="61"/>
      <c r="I14" s="103"/>
      <c r="J14" s="103"/>
      <c r="K14" s="82"/>
      <c r="L14" s="60"/>
      <c r="M14" s="103"/>
      <c r="N14" s="61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</row>
    <row r="15" ht="30.0" customHeight="1">
      <c r="A15" s="103"/>
      <c r="B15" s="103"/>
      <c r="C15" s="103"/>
      <c r="D15" s="103"/>
      <c r="E15" s="139"/>
      <c r="F15" s="139"/>
      <c r="G15" s="139"/>
      <c r="H15" s="103"/>
      <c r="I15" s="103"/>
      <c r="J15" s="103"/>
      <c r="K15" s="82"/>
      <c r="L15" s="60"/>
      <c r="M15" s="103"/>
      <c r="N15" s="61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</row>
    <row r="16" ht="30.0" customHeight="1">
      <c r="A16" s="103"/>
      <c r="B16" s="103"/>
      <c r="C16" s="103"/>
      <c r="D16" s="103"/>
      <c r="E16" s="139"/>
      <c r="F16" s="139"/>
      <c r="G16" s="139"/>
      <c r="H16" s="103"/>
      <c r="I16" s="103"/>
      <c r="J16" s="103"/>
      <c r="K16" s="82"/>
      <c r="L16" s="60"/>
      <c r="M16" s="103"/>
      <c r="N16" s="61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</row>
    <row r="17" ht="30.0" customHeight="1">
      <c r="A17" s="103"/>
      <c r="B17" s="103"/>
      <c r="C17" s="103"/>
      <c r="D17" s="103"/>
      <c r="E17" s="103"/>
      <c r="F17" s="103"/>
      <c r="G17" s="103"/>
      <c r="H17" s="103"/>
      <c r="I17" s="103"/>
      <c r="J17" s="103"/>
      <c r="K17" s="82"/>
      <c r="L17" s="60"/>
      <c r="M17" s="103"/>
      <c r="N17" s="61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 ht="30.0" customHeight="1">
      <c r="A18" s="103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60"/>
      <c r="M18" s="103"/>
      <c r="N18" s="61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</row>
    <row r="19" ht="30.0" customHeight="1">
      <c r="A19" s="103"/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60"/>
      <c r="M19" s="103"/>
      <c r="N19" s="61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</row>
    <row r="20" ht="30.0" customHeight="1">
      <c r="A20" s="103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60"/>
      <c r="M20" s="103"/>
      <c r="N20" s="61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</row>
    <row r="21" ht="30.0" customHeight="1">
      <c r="A21" s="103"/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60"/>
      <c r="M21" s="103"/>
      <c r="N21" s="61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</row>
    <row r="22" ht="30.0" customHeight="1">
      <c r="A22" s="103"/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60"/>
      <c r="M22" s="103"/>
      <c r="N22" s="61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</row>
    <row r="23" ht="30.0" customHeight="1">
      <c r="A23" s="103"/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60"/>
      <c r="M23" s="103"/>
      <c r="N23" s="61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</row>
    <row r="24" ht="30.0" customHeight="1">
      <c r="A24" s="103"/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60"/>
      <c r="M24" s="103"/>
      <c r="N24" s="61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</row>
    <row r="25" ht="30.0" customHeight="1">
      <c r="A25" s="103"/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60"/>
      <c r="M25" s="103"/>
      <c r="N25" s="61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</row>
    <row r="26" ht="30.0" customHeight="1">
      <c r="A26" s="103"/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60"/>
      <c r="M26" s="103"/>
      <c r="N26" s="61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</row>
    <row r="27" ht="30.0" customHeight="1">
      <c r="A27" s="103"/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60"/>
      <c r="M27" s="103"/>
      <c r="N27" s="61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</row>
    <row r="28" ht="30.0" customHeight="1">
      <c r="A28" s="103"/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60"/>
      <c r="M28" s="103"/>
      <c r="N28" s="61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</row>
    <row r="29" ht="30.0" customHeight="1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60"/>
      <c r="M29" s="103"/>
      <c r="N29" s="61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</row>
    <row r="30" ht="30.0" customHeight="1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60"/>
      <c r="M30" s="103"/>
      <c r="N30" s="61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</row>
    <row r="31" ht="30.0" customHeight="1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60"/>
      <c r="M31" s="103"/>
      <c r="N31" s="61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</row>
    <row r="32" ht="30.0" customHeight="1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60"/>
      <c r="M32" s="103"/>
      <c r="N32" s="61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</row>
    <row r="33" ht="30.0" customHeight="1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60"/>
      <c r="M33" s="103"/>
      <c r="N33" s="61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</row>
    <row r="34" ht="30.0" customHeight="1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60"/>
      <c r="M34" s="103"/>
      <c r="N34" s="61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</row>
    <row r="35" ht="30.0" customHeight="1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60"/>
      <c r="M35" s="103"/>
      <c r="N35" s="61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</row>
    <row r="36" ht="30.0" customHeight="1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60"/>
      <c r="M36" s="103"/>
      <c r="N36" s="61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</row>
    <row r="37" ht="30.0" customHeight="1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60"/>
      <c r="M37" s="103"/>
      <c r="N37" s="61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</row>
    <row r="38" ht="30.0" customHeight="1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60"/>
      <c r="M38" s="103"/>
      <c r="N38" s="61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</row>
    <row r="39" ht="30.0" customHeight="1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60"/>
      <c r="M39" s="103"/>
      <c r="N39" s="61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</row>
    <row r="40" ht="30.0" customHeight="1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60"/>
      <c r="M40" s="103"/>
      <c r="N40" s="61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</row>
    <row r="41" ht="30.0" customHeight="1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60"/>
      <c r="M41" s="103"/>
      <c r="N41" s="61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</row>
    <row r="42" ht="30.0" customHeight="1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60"/>
      <c r="M42" s="103"/>
      <c r="N42" s="61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</row>
    <row r="43" ht="30.0" customHeight="1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60"/>
      <c r="M43" s="103"/>
      <c r="N43" s="61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</row>
    <row r="44" ht="30.0" customHeight="1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60"/>
      <c r="M44" s="103"/>
      <c r="N44" s="61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</row>
    <row r="45" ht="30.0" customHeight="1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60"/>
      <c r="M45" s="103"/>
      <c r="N45" s="61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</row>
    <row r="46" ht="30.0" customHeight="1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60"/>
      <c r="M46" s="103"/>
      <c r="N46" s="61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 ht="30.0" customHeight="1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60"/>
      <c r="M47" s="103"/>
      <c r="N47" s="61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</row>
    <row r="48" ht="30.0" customHeight="1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60"/>
      <c r="M48" s="103"/>
      <c r="N48" s="61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</row>
    <row r="49" ht="30.0" customHeight="1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60"/>
      <c r="M49" s="103"/>
      <c r="N49" s="61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</row>
    <row r="50" ht="30.0" customHeight="1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60"/>
      <c r="M50" s="103"/>
      <c r="N50" s="61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</row>
    <row r="51" ht="30.0" customHeight="1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60"/>
      <c r="M51" s="103"/>
      <c r="N51" s="61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</row>
    <row r="52" ht="30.0" customHeight="1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60"/>
      <c r="M52" s="103"/>
      <c r="N52" s="61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</row>
    <row r="53" ht="30.0" customHeight="1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60"/>
      <c r="M53" s="103"/>
      <c r="N53" s="61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</row>
    <row r="54" ht="30.0" customHeight="1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60"/>
      <c r="M54" s="103"/>
      <c r="N54" s="61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</row>
    <row r="55" ht="30.0" customHeight="1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60"/>
      <c r="M55" s="103"/>
      <c r="N55" s="61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</row>
    <row r="56" ht="30.0" customHeight="1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60"/>
      <c r="M56" s="103"/>
      <c r="N56" s="61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</row>
    <row r="57" ht="30.0" customHeight="1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60"/>
      <c r="M57" s="103"/>
      <c r="N57" s="61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</row>
    <row r="58" ht="30.0" customHeight="1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60"/>
      <c r="M58" s="103"/>
      <c r="N58" s="61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</row>
    <row r="59" ht="30.0" customHeight="1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60"/>
      <c r="M59" s="103"/>
      <c r="N59" s="61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</row>
    <row r="60" ht="30.0" customHeight="1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60"/>
      <c r="M60" s="103"/>
      <c r="N60" s="61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</row>
    <row r="61" ht="30.0" customHeight="1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60"/>
      <c r="M61" s="103"/>
      <c r="N61" s="61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 ht="30.0" customHeight="1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60"/>
      <c r="M62" s="103"/>
      <c r="N62" s="61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</row>
    <row r="63" ht="30.0" customHeight="1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60"/>
      <c r="M63" s="103"/>
      <c r="N63" s="61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</row>
    <row r="64" ht="30.0" customHeight="1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60"/>
      <c r="M64" s="103"/>
      <c r="N64" s="61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5" ht="30.0" customHeight="1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60"/>
      <c r="M65" s="103"/>
      <c r="N65" s="61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</row>
    <row r="66" ht="30.0" customHeight="1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60"/>
      <c r="M66" s="103"/>
      <c r="N66" s="61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 ht="30.0" customHeight="1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60"/>
      <c r="M67" s="103"/>
      <c r="N67" s="61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</row>
    <row r="68" ht="30.0" customHeight="1">
      <c r="A68" s="103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60"/>
      <c r="M68" s="103"/>
      <c r="N68" s="61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</row>
    <row r="69" ht="30.0" customHeight="1">
      <c r="A69" s="103"/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60"/>
      <c r="M69" s="103"/>
      <c r="N69" s="61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</row>
    <row r="70" ht="30.0" customHeight="1">
      <c r="A70" s="103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60"/>
      <c r="M70" s="103"/>
      <c r="N70" s="61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</row>
    <row r="71" ht="30.0" customHeight="1">
      <c r="A71" s="103"/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60"/>
      <c r="M71" s="103"/>
      <c r="N71" s="61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</row>
    <row r="72" ht="30.0" customHeight="1">
      <c r="A72" s="103"/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60"/>
      <c r="M72" s="103"/>
      <c r="N72" s="61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</row>
    <row r="73" ht="30.0" customHeight="1">
      <c r="A73" s="103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60"/>
      <c r="M73" s="103"/>
      <c r="N73" s="61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</row>
    <row r="74" ht="30.0" customHeight="1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60"/>
      <c r="M74" s="103"/>
      <c r="N74" s="61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</row>
    <row r="75" ht="30.0" customHeight="1">
      <c r="A75" s="103"/>
      <c r="B75" s="103"/>
      <c r="C75" s="103"/>
      <c r="D75" s="103"/>
      <c r="E75" s="103"/>
      <c r="F75" s="103"/>
      <c r="G75" s="103"/>
      <c r="H75" s="103"/>
      <c r="I75" s="103"/>
      <c r="J75" s="103"/>
      <c r="K75" s="103"/>
      <c r="L75" s="60"/>
      <c r="M75" s="103"/>
      <c r="N75" s="61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</row>
    <row r="76" ht="30.0" customHeight="1">
      <c r="A76" s="103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60"/>
      <c r="M76" s="103"/>
      <c r="N76" s="61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</row>
    <row r="77" ht="30.0" customHeight="1">
      <c r="A77" s="103"/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60"/>
      <c r="M77" s="103"/>
      <c r="N77" s="61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</row>
    <row r="78" ht="30.0" customHeight="1">
      <c r="A78" s="103"/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60"/>
      <c r="M78" s="103"/>
      <c r="N78" s="61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</row>
    <row r="79" ht="30.0" customHeight="1">
      <c r="A79" s="103"/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60"/>
      <c r="M79" s="103"/>
      <c r="N79" s="61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</row>
    <row r="80" ht="30.0" customHeight="1">
      <c r="A80" s="103"/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60"/>
      <c r="M80" s="103"/>
      <c r="N80" s="61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</row>
    <row r="81" ht="30.0" customHeight="1">
      <c r="A81" s="103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60"/>
      <c r="M81" s="103"/>
      <c r="N81" s="61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</row>
    <row r="82" ht="30.0" customHeight="1">
      <c r="A82" s="103"/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60"/>
      <c r="M82" s="103"/>
      <c r="N82" s="61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</row>
    <row r="83" ht="30.0" customHeight="1">
      <c r="A83" s="103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60"/>
      <c r="M83" s="103"/>
      <c r="N83" s="61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</row>
    <row r="84" ht="30.0" customHeight="1">
      <c r="A84" s="103"/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60"/>
      <c r="M84" s="103"/>
      <c r="N84" s="61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</row>
    <row r="85" ht="30.0" customHeight="1">
      <c r="A85" s="103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60"/>
      <c r="M85" s="103"/>
      <c r="N85" s="61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</row>
    <row r="86" ht="30.0" customHeight="1">
      <c r="A86" s="103"/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60"/>
      <c r="M86" s="103"/>
      <c r="N86" s="61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</row>
    <row r="87" ht="30.0" customHeight="1">
      <c r="A87" s="103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60"/>
      <c r="M87" s="103"/>
      <c r="N87" s="61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</row>
    <row r="88" ht="30.0" customHeight="1">
      <c r="A88" s="103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60"/>
      <c r="M88" s="103"/>
      <c r="N88" s="61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</row>
    <row r="89" ht="30.0" customHeight="1">
      <c r="A89" s="103"/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60"/>
      <c r="M89" s="103"/>
      <c r="N89" s="61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</row>
    <row r="90" ht="30.0" customHeight="1">
      <c r="A90" s="103"/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60"/>
      <c r="M90" s="103"/>
      <c r="N90" s="61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</row>
    <row r="91" ht="30.0" customHeight="1">
      <c r="A91" s="103"/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60"/>
      <c r="M91" s="103"/>
      <c r="N91" s="61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</row>
    <row r="92" ht="30.0" customHeight="1">
      <c r="A92" s="103"/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60"/>
      <c r="M92" s="103"/>
      <c r="N92" s="61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</row>
    <row r="93" ht="30.0" customHeight="1">
      <c r="A93" s="103"/>
      <c r="B93" s="103"/>
      <c r="C93" s="103"/>
      <c r="D93" s="103"/>
      <c r="E93" s="103"/>
      <c r="F93" s="103"/>
      <c r="G93" s="103"/>
      <c r="H93" s="103"/>
      <c r="I93" s="103"/>
      <c r="J93" s="103"/>
      <c r="K93" s="103"/>
      <c r="L93" s="60"/>
      <c r="M93" s="103"/>
      <c r="N93" s="61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</row>
    <row r="94" ht="30.0" customHeight="1">
      <c r="A94" s="103"/>
      <c r="B94" s="103"/>
      <c r="C94" s="103"/>
      <c r="D94" s="103"/>
      <c r="E94" s="103"/>
      <c r="F94" s="103"/>
      <c r="G94" s="103"/>
      <c r="H94" s="103"/>
      <c r="I94" s="103"/>
      <c r="J94" s="103"/>
      <c r="K94" s="103"/>
      <c r="L94" s="60"/>
      <c r="M94" s="103"/>
      <c r="N94" s="61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</row>
    <row r="95" ht="30.0" customHeight="1">
      <c r="A95" s="103"/>
      <c r="B95" s="103"/>
      <c r="C95" s="103"/>
      <c r="D95" s="103"/>
      <c r="E95" s="103"/>
      <c r="F95" s="103"/>
      <c r="G95" s="103"/>
      <c r="H95" s="103"/>
      <c r="I95" s="103"/>
      <c r="J95" s="103"/>
      <c r="K95" s="103"/>
      <c r="L95" s="60"/>
      <c r="M95" s="103"/>
      <c r="N95" s="61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</row>
    <row r="96" ht="30.0" customHeight="1">
      <c r="A96" s="103"/>
      <c r="B96" s="103"/>
      <c r="C96" s="103"/>
      <c r="D96" s="103"/>
      <c r="E96" s="103"/>
      <c r="F96" s="103"/>
      <c r="G96" s="103"/>
      <c r="H96" s="103"/>
      <c r="I96" s="103"/>
      <c r="J96" s="103"/>
      <c r="K96" s="103"/>
      <c r="L96" s="60"/>
      <c r="M96" s="103"/>
      <c r="N96" s="61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</row>
    <row r="97" ht="30.0" customHeight="1">
      <c r="A97" s="103"/>
      <c r="B97" s="103"/>
      <c r="C97" s="103"/>
      <c r="D97" s="103"/>
      <c r="E97" s="103"/>
      <c r="F97" s="103"/>
      <c r="G97" s="103"/>
      <c r="H97" s="103"/>
      <c r="I97" s="103"/>
      <c r="J97" s="103"/>
      <c r="K97" s="103"/>
      <c r="L97" s="60"/>
      <c r="M97" s="103"/>
      <c r="N97" s="61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</row>
    <row r="98" ht="30.0" customHeight="1">
      <c r="A98" s="103"/>
      <c r="B98" s="103"/>
      <c r="C98" s="103"/>
      <c r="D98" s="103"/>
      <c r="E98" s="103"/>
      <c r="F98" s="103"/>
      <c r="G98" s="103"/>
      <c r="H98" s="103"/>
      <c r="I98" s="103"/>
      <c r="J98" s="103"/>
      <c r="K98" s="103"/>
      <c r="L98" s="60"/>
      <c r="M98" s="103"/>
      <c r="N98" s="61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</row>
    <row r="99" ht="30.0" customHeight="1">
      <c r="A99" s="103"/>
      <c r="B99" s="103"/>
      <c r="C99" s="103"/>
      <c r="D99" s="103"/>
      <c r="E99" s="103"/>
      <c r="F99" s="103"/>
      <c r="G99" s="103"/>
      <c r="H99" s="103"/>
      <c r="I99" s="103"/>
      <c r="J99" s="103"/>
      <c r="K99" s="103"/>
      <c r="L99" s="60"/>
      <c r="M99" s="103"/>
      <c r="N99" s="61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</row>
    <row r="100" ht="30.0" customHeight="1">
      <c r="A100" s="103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60"/>
      <c r="M100" s="103"/>
      <c r="N100" s="61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</row>
    <row r="101" ht="30.0" customHeight="1">
      <c r="A101" s="103"/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60"/>
      <c r="M101" s="103"/>
      <c r="N101" s="61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</row>
    <row r="102" ht="30.0" customHeight="1">
      <c r="A102" s="103"/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  <c r="L102" s="60"/>
      <c r="M102" s="103"/>
      <c r="N102" s="61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</row>
    <row r="103" ht="30.0" customHeight="1">
      <c r="A103" s="103"/>
      <c r="B103" s="103"/>
      <c r="C103" s="103"/>
      <c r="D103" s="103"/>
      <c r="E103" s="103"/>
      <c r="F103" s="103"/>
      <c r="G103" s="103"/>
      <c r="H103" s="103"/>
      <c r="I103" s="103"/>
      <c r="J103" s="103"/>
      <c r="K103" s="103"/>
      <c r="L103" s="60"/>
      <c r="M103" s="103"/>
      <c r="N103" s="61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</row>
    <row r="104" ht="30.0" customHeight="1">
      <c r="A104" s="103"/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60"/>
      <c r="M104" s="103"/>
      <c r="N104" s="61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</row>
    <row r="105" ht="30.0" customHeight="1">
      <c r="A105" s="103"/>
      <c r="B105" s="103"/>
      <c r="C105" s="103"/>
      <c r="D105" s="103"/>
      <c r="E105" s="103"/>
      <c r="F105" s="103"/>
      <c r="G105" s="103"/>
      <c r="H105" s="103"/>
      <c r="I105" s="103"/>
      <c r="J105" s="103"/>
      <c r="K105" s="103"/>
      <c r="L105" s="60"/>
      <c r="M105" s="103"/>
      <c r="N105" s="61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</row>
    <row r="106" ht="30.0" customHeight="1">
      <c r="A106" s="103"/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60"/>
      <c r="M106" s="103"/>
      <c r="N106" s="61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</row>
    <row r="107" ht="30.0" customHeight="1">
      <c r="A107" s="103"/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60"/>
      <c r="M107" s="103"/>
      <c r="N107" s="61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</row>
    <row r="108" ht="30.0" customHeight="1">
      <c r="A108" s="103"/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60"/>
      <c r="M108" s="103"/>
      <c r="N108" s="61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</row>
    <row r="109" ht="30.0" customHeight="1">
      <c r="A109" s="103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60"/>
      <c r="M109" s="103"/>
      <c r="N109" s="61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</row>
    <row r="110" ht="30.0" customHeight="1">
      <c r="A110" s="103"/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60"/>
      <c r="M110" s="103"/>
      <c r="N110" s="61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</row>
    <row r="111" ht="30.0" customHeight="1">
      <c r="A111" s="103"/>
      <c r="B111" s="103"/>
      <c r="C111" s="103"/>
      <c r="D111" s="103"/>
      <c r="E111" s="103"/>
      <c r="F111" s="103"/>
      <c r="G111" s="103"/>
      <c r="H111" s="103"/>
      <c r="I111" s="103"/>
      <c r="J111" s="103"/>
      <c r="K111" s="103"/>
      <c r="L111" s="60"/>
      <c r="M111" s="103"/>
      <c r="N111" s="61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</row>
    <row r="112" ht="30.0" customHeight="1">
      <c r="A112" s="103"/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60"/>
      <c r="M112" s="103"/>
      <c r="N112" s="61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</row>
    <row r="113" ht="30.0" customHeight="1">
      <c r="A113" s="103"/>
      <c r="B113" s="103"/>
      <c r="C113" s="103"/>
      <c r="D113" s="103"/>
      <c r="E113" s="103"/>
      <c r="F113" s="103"/>
      <c r="G113" s="103"/>
      <c r="H113" s="103"/>
      <c r="I113" s="103"/>
      <c r="J113" s="103"/>
      <c r="K113" s="103"/>
      <c r="L113" s="60"/>
      <c r="M113" s="103"/>
      <c r="N113" s="61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</row>
    <row r="114" ht="30.0" customHeight="1">
      <c r="A114" s="103"/>
      <c r="B114" s="103"/>
      <c r="C114" s="103"/>
      <c r="D114" s="103"/>
      <c r="E114" s="103"/>
      <c r="F114" s="103"/>
      <c r="G114" s="103"/>
      <c r="H114" s="103"/>
      <c r="I114" s="103"/>
      <c r="J114" s="103"/>
      <c r="K114" s="103"/>
      <c r="L114" s="60"/>
      <c r="M114" s="103"/>
      <c r="N114" s="61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</row>
    <row r="115" ht="30.0" customHeight="1">
      <c r="A115" s="103"/>
      <c r="B115" s="103"/>
      <c r="C115" s="103"/>
      <c r="D115" s="103"/>
      <c r="E115" s="103"/>
      <c r="F115" s="103"/>
      <c r="G115" s="103"/>
      <c r="H115" s="103"/>
      <c r="I115" s="103"/>
      <c r="J115" s="103"/>
      <c r="K115" s="103"/>
      <c r="L115" s="60"/>
      <c r="M115" s="103"/>
      <c r="N115" s="61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</row>
    <row r="116" ht="30.0" customHeight="1">
      <c r="A116" s="103"/>
      <c r="B116" s="103"/>
      <c r="C116" s="103"/>
      <c r="D116" s="103"/>
      <c r="E116" s="103"/>
      <c r="F116" s="103"/>
      <c r="G116" s="103"/>
      <c r="H116" s="103"/>
      <c r="I116" s="103"/>
      <c r="J116" s="103"/>
      <c r="K116" s="103"/>
      <c r="L116" s="60"/>
      <c r="M116" s="103"/>
      <c r="N116" s="61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</row>
    <row r="117" ht="30.0" customHeight="1">
      <c r="A117" s="103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60"/>
      <c r="M117" s="103"/>
      <c r="N117" s="61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</row>
    <row r="118" ht="30.0" customHeight="1">
      <c r="A118" s="103"/>
      <c r="B118" s="103"/>
      <c r="C118" s="103"/>
      <c r="D118" s="103"/>
      <c r="E118" s="103"/>
      <c r="F118" s="103"/>
      <c r="G118" s="103"/>
      <c r="H118" s="103"/>
      <c r="I118" s="103"/>
      <c r="J118" s="103"/>
      <c r="K118" s="103"/>
      <c r="L118" s="60"/>
      <c r="M118" s="103"/>
      <c r="N118" s="61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</row>
    <row r="119" ht="30.0" customHeight="1">
      <c r="A119" s="103"/>
      <c r="B119" s="103"/>
      <c r="C119" s="103"/>
      <c r="D119" s="103"/>
      <c r="E119" s="103"/>
      <c r="F119" s="103"/>
      <c r="G119" s="103"/>
      <c r="H119" s="103"/>
      <c r="I119" s="103"/>
      <c r="J119" s="103"/>
      <c r="K119" s="103"/>
      <c r="L119" s="60"/>
      <c r="M119" s="103"/>
      <c r="N119" s="61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</row>
    <row r="120" ht="30.0" customHeight="1">
      <c r="A120" s="103"/>
      <c r="B120" s="103"/>
      <c r="C120" s="103"/>
      <c r="D120" s="103"/>
      <c r="E120" s="103"/>
      <c r="F120" s="103"/>
      <c r="G120" s="103"/>
      <c r="H120" s="103"/>
      <c r="I120" s="103"/>
      <c r="J120" s="103"/>
      <c r="K120" s="103"/>
      <c r="L120" s="60"/>
      <c r="M120" s="103"/>
      <c r="N120" s="61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</row>
    <row r="121" ht="30.0" customHeight="1">
      <c r="A121" s="103"/>
      <c r="B121" s="103"/>
      <c r="C121" s="103"/>
      <c r="D121" s="103"/>
      <c r="E121" s="103"/>
      <c r="F121" s="103"/>
      <c r="G121" s="103"/>
      <c r="H121" s="103"/>
      <c r="I121" s="103"/>
      <c r="J121" s="103"/>
      <c r="K121" s="103"/>
      <c r="L121" s="60"/>
      <c r="M121" s="103"/>
      <c r="N121" s="61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</row>
    <row r="122" ht="30.0" customHeight="1">
      <c r="A122" s="103"/>
      <c r="B122" s="103"/>
      <c r="C122" s="103"/>
      <c r="D122" s="103"/>
      <c r="E122" s="103"/>
      <c r="F122" s="103"/>
      <c r="G122" s="103"/>
      <c r="H122" s="103"/>
      <c r="I122" s="103"/>
      <c r="J122" s="103"/>
      <c r="K122" s="103"/>
      <c r="L122" s="60"/>
      <c r="M122" s="103"/>
      <c r="N122" s="61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</row>
    <row r="123" ht="30.0" customHeight="1">
      <c r="A123" s="103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60"/>
      <c r="M123" s="103"/>
      <c r="N123" s="61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</row>
    <row r="124" ht="30.0" customHeight="1">
      <c r="A124" s="103"/>
      <c r="B124" s="103"/>
      <c r="C124" s="103"/>
      <c r="D124" s="103"/>
      <c r="E124" s="103"/>
      <c r="F124" s="103"/>
      <c r="G124" s="103"/>
      <c r="H124" s="103"/>
      <c r="I124" s="103"/>
      <c r="J124" s="103"/>
      <c r="K124" s="103"/>
      <c r="L124" s="60"/>
      <c r="M124" s="103"/>
      <c r="N124" s="61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</row>
    <row r="125" ht="30.0" customHeight="1">
      <c r="A125" s="103"/>
      <c r="B125" s="103"/>
      <c r="C125" s="103"/>
      <c r="D125" s="103"/>
      <c r="E125" s="103"/>
      <c r="F125" s="103"/>
      <c r="G125" s="103"/>
      <c r="H125" s="103"/>
      <c r="I125" s="103"/>
      <c r="J125" s="103"/>
      <c r="K125" s="103"/>
      <c r="L125" s="60"/>
      <c r="M125" s="103"/>
      <c r="N125" s="61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</row>
    <row r="126" ht="30.0" customHeight="1">
      <c r="A126" s="103"/>
      <c r="B126" s="103"/>
      <c r="C126" s="103"/>
      <c r="D126" s="103"/>
      <c r="E126" s="103"/>
      <c r="F126" s="103"/>
      <c r="G126" s="103"/>
      <c r="H126" s="103"/>
      <c r="I126" s="103"/>
      <c r="J126" s="103"/>
      <c r="K126" s="103"/>
      <c r="L126" s="60"/>
      <c r="M126" s="103"/>
      <c r="N126" s="61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</row>
    <row r="127" ht="30.0" customHeight="1">
      <c r="A127" s="103"/>
      <c r="B127" s="103"/>
      <c r="C127" s="103"/>
      <c r="D127" s="103"/>
      <c r="E127" s="103"/>
      <c r="F127" s="103"/>
      <c r="G127" s="103"/>
      <c r="H127" s="103"/>
      <c r="I127" s="103"/>
      <c r="J127" s="103"/>
      <c r="K127" s="103"/>
      <c r="L127" s="60"/>
      <c r="M127" s="103"/>
      <c r="N127" s="61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</row>
    <row r="128" ht="30.0" customHeight="1">
      <c r="A128" s="103"/>
      <c r="B128" s="103"/>
      <c r="C128" s="103"/>
      <c r="D128" s="103"/>
      <c r="E128" s="103"/>
      <c r="F128" s="103"/>
      <c r="G128" s="103"/>
      <c r="H128" s="103"/>
      <c r="I128" s="103"/>
      <c r="J128" s="103"/>
      <c r="K128" s="103"/>
      <c r="L128" s="60"/>
      <c r="M128" s="103"/>
      <c r="N128" s="61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</row>
    <row r="129" ht="30.0" customHeight="1">
      <c r="A129" s="103"/>
      <c r="B129" s="103"/>
      <c r="C129" s="103"/>
      <c r="D129" s="103"/>
      <c r="E129" s="103"/>
      <c r="F129" s="103"/>
      <c r="G129" s="103"/>
      <c r="H129" s="103"/>
      <c r="I129" s="103"/>
      <c r="J129" s="103"/>
      <c r="K129" s="103"/>
      <c r="L129" s="60"/>
      <c r="M129" s="103"/>
      <c r="N129" s="61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</row>
    <row r="130" ht="30.0" customHeight="1">
      <c r="A130" s="103"/>
      <c r="B130" s="103"/>
      <c r="C130" s="103"/>
      <c r="D130" s="103"/>
      <c r="E130" s="103"/>
      <c r="F130" s="103"/>
      <c r="G130" s="103"/>
      <c r="H130" s="103"/>
      <c r="I130" s="103"/>
      <c r="J130" s="103"/>
      <c r="K130" s="103"/>
      <c r="L130" s="60"/>
      <c r="M130" s="103"/>
      <c r="N130" s="61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</row>
    <row r="131" ht="30.0" customHeight="1">
      <c r="A131" s="103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60"/>
      <c r="M131" s="103"/>
      <c r="N131" s="61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</row>
    <row r="132" ht="30.0" customHeight="1">
      <c r="A132" s="103"/>
      <c r="B132" s="103"/>
      <c r="C132" s="103"/>
      <c r="D132" s="103"/>
      <c r="E132" s="103"/>
      <c r="F132" s="103"/>
      <c r="G132" s="103"/>
      <c r="H132" s="103"/>
      <c r="I132" s="103"/>
      <c r="J132" s="103"/>
      <c r="K132" s="103"/>
      <c r="L132" s="60"/>
      <c r="M132" s="103"/>
      <c r="N132" s="61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</row>
    <row r="133" ht="30.0" customHeight="1">
      <c r="A133" s="103"/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60"/>
      <c r="M133" s="103"/>
      <c r="N133" s="61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</row>
    <row r="134" ht="30.0" customHeight="1">
      <c r="A134" s="103"/>
      <c r="B134" s="103"/>
      <c r="C134" s="103"/>
      <c r="D134" s="103"/>
      <c r="E134" s="103"/>
      <c r="F134" s="103"/>
      <c r="G134" s="103"/>
      <c r="H134" s="103"/>
      <c r="I134" s="103"/>
      <c r="J134" s="103"/>
      <c r="K134" s="103"/>
      <c r="L134" s="60"/>
      <c r="M134" s="103"/>
      <c r="N134" s="61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</row>
    <row r="135" ht="30.0" customHeight="1">
      <c r="A135" s="103"/>
      <c r="B135" s="103"/>
      <c r="C135" s="103"/>
      <c r="D135" s="103"/>
      <c r="E135" s="103"/>
      <c r="F135" s="103"/>
      <c r="G135" s="103"/>
      <c r="H135" s="103"/>
      <c r="I135" s="103"/>
      <c r="J135" s="103"/>
      <c r="K135" s="103"/>
      <c r="L135" s="60"/>
      <c r="M135" s="103"/>
      <c r="N135" s="61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</row>
    <row r="136" ht="30.0" customHeight="1">
      <c r="A136" s="103"/>
      <c r="B136" s="103"/>
      <c r="C136" s="103"/>
      <c r="D136" s="103"/>
      <c r="E136" s="103"/>
      <c r="F136" s="103"/>
      <c r="G136" s="103"/>
      <c r="H136" s="103"/>
      <c r="I136" s="103"/>
      <c r="J136" s="103"/>
      <c r="K136" s="103"/>
      <c r="L136" s="60"/>
      <c r="M136" s="103"/>
      <c r="N136" s="61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</row>
    <row r="137" ht="30.0" customHeight="1">
      <c r="A137" s="103"/>
      <c r="B137" s="103"/>
      <c r="C137" s="103"/>
      <c r="D137" s="103"/>
      <c r="E137" s="103"/>
      <c r="F137" s="103"/>
      <c r="G137" s="103"/>
      <c r="H137" s="103"/>
      <c r="I137" s="103"/>
      <c r="J137" s="103"/>
      <c r="K137" s="103"/>
      <c r="L137" s="60"/>
      <c r="M137" s="103"/>
      <c r="N137" s="61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</row>
    <row r="138" ht="30.0" customHeight="1">
      <c r="A138" s="103"/>
      <c r="B138" s="103"/>
      <c r="C138" s="103"/>
      <c r="D138" s="103"/>
      <c r="E138" s="103"/>
      <c r="F138" s="103"/>
      <c r="G138" s="103"/>
      <c r="H138" s="103"/>
      <c r="I138" s="103"/>
      <c r="J138" s="103"/>
      <c r="K138" s="103"/>
      <c r="L138" s="60"/>
      <c r="M138" s="103"/>
      <c r="N138" s="61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</row>
    <row r="139" ht="30.0" customHeight="1">
      <c r="A139" s="103"/>
      <c r="B139" s="103"/>
      <c r="C139" s="103"/>
      <c r="D139" s="103"/>
      <c r="E139" s="103"/>
      <c r="F139" s="103"/>
      <c r="G139" s="103"/>
      <c r="H139" s="103"/>
      <c r="I139" s="103"/>
      <c r="J139" s="103"/>
      <c r="K139" s="103"/>
      <c r="L139" s="60"/>
      <c r="M139" s="103"/>
      <c r="N139" s="61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</row>
    <row r="140" ht="30.0" customHeight="1">
      <c r="A140" s="103"/>
      <c r="B140" s="103"/>
      <c r="C140" s="103"/>
      <c r="D140" s="103"/>
      <c r="E140" s="103"/>
      <c r="F140" s="103"/>
      <c r="G140" s="103"/>
      <c r="H140" s="103"/>
      <c r="I140" s="103"/>
      <c r="J140" s="103"/>
      <c r="K140" s="103"/>
      <c r="L140" s="60"/>
      <c r="M140" s="103"/>
      <c r="N140" s="61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</row>
    <row r="141" ht="30.0" customHeight="1">
      <c r="A141" s="103"/>
      <c r="B141" s="103"/>
      <c r="C141" s="103"/>
      <c r="D141" s="103"/>
      <c r="E141" s="103"/>
      <c r="F141" s="103"/>
      <c r="G141" s="103"/>
      <c r="H141" s="103"/>
      <c r="I141" s="103"/>
      <c r="J141" s="103"/>
      <c r="K141" s="103"/>
      <c r="L141" s="60"/>
      <c r="M141" s="103"/>
      <c r="N141" s="61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</row>
    <row r="142" ht="30.0" customHeight="1">
      <c r="A142" s="103"/>
      <c r="B142" s="103"/>
      <c r="C142" s="103"/>
      <c r="D142" s="103"/>
      <c r="E142" s="103"/>
      <c r="F142" s="103"/>
      <c r="G142" s="103"/>
      <c r="H142" s="103"/>
      <c r="I142" s="103"/>
      <c r="J142" s="103"/>
      <c r="K142" s="103"/>
      <c r="L142" s="60"/>
      <c r="M142" s="103"/>
      <c r="N142" s="61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</row>
    <row r="143" ht="30.0" customHeight="1">
      <c r="A143" s="103"/>
      <c r="B143" s="103"/>
      <c r="C143" s="103"/>
      <c r="D143" s="103"/>
      <c r="E143" s="103"/>
      <c r="F143" s="103"/>
      <c r="G143" s="103"/>
      <c r="H143" s="103"/>
      <c r="I143" s="103"/>
      <c r="J143" s="103"/>
      <c r="K143" s="103"/>
      <c r="L143" s="60"/>
      <c r="M143" s="103"/>
      <c r="N143" s="61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</row>
    <row r="144" ht="30.0" customHeight="1">
      <c r="A144" s="103"/>
      <c r="B144" s="103"/>
      <c r="C144" s="103"/>
      <c r="D144" s="103"/>
      <c r="E144" s="103"/>
      <c r="F144" s="103"/>
      <c r="G144" s="103"/>
      <c r="H144" s="103"/>
      <c r="I144" s="103"/>
      <c r="J144" s="103"/>
      <c r="K144" s="103"/>
      <c r="L144" s="60"/>
      <c r="M144" s="103"/>
      <c r="N144" s="61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</row>
    <row r="145" ht="30.0" customHeight="1">
      <c r="A145" s="103"/>
      <c r="B145" s="103"/>
      <c r="C145" s="103"/>
      <c r="D145" s="103"/>
      <c r="E145" s="103"/>
      <c r="F145" s="103"/>
      <c r="G145" s="103"/>
      <c r="H145" s="103"/>
      <c r="I145" s="103"/>
      <c r="J145" s="103"/>
      <c r="K145" s="103"/>
      <c r="L145" s="60"/>
      <c r="M145" s="103"/>
      <c r="N145" s="61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</row>
    <row r="146" ht="30.0" customHeight="1">
      <c r="A146" s="103"/>
      <c r="B146" s="103"/>
      <c r="C146" s="103"/>
      <c r="D146" s="103"/>
      <c r="E146" s="103"/>
      <c r="F146" s="103"/>
      <c r="G146" s="103"/>
      <c r="H146" s="103"/>
      <c r="I146" s="103"/>
      <c r="J146" s="103"/>
      <c r="K146" s="103"/>
      <c r="L146" s="60"/>
      <c r="M146" s="103"/>
      <c r="N146" s="61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</row>
    <row r="147" ht="30.0" customHeight="1">
      <c r="A147" s="103"/>
      <c r="B147" s="103"/>
      <c r="C147" s="103"/>
      <c r="D147" s="103"/>
      <c r="E147" s="103"/>
      <c r="F147" s="103"/>
      <c r="G147" s="103"/>
      <c r="H147" s="103"/>
      <c r="I147" s="103"/>
      <c r="J147" s="103"/>
      <c r="K147" s="103"/>
      <c r="L147" s="60"/>
      <c r="M147" s="103"/>
      <c r="N147" s="61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</row>
    <row r="148" ht="30.0" customHeight="1">
      <c r="A148" s="103"/>
      <c r="B148" s="103"/>
      <c r="C148" s="103"/>
      <c r="D148" s="103"/>
      <c r="E148" s="103"/>
      <c r="F148" s="103"/>
      <c r="G148" s="103"/>
      <c r="H148" s="103"/>
      <c r="I148" s="103"/>
      <c r="J148" s="103"/>
      <c r="K148" s="103"/>
      <c r="L148" s="60"/>
      <c r="M148" s="103"/>
      <c r="N148" s="61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</row>
    <row r="149" ht="30.0" customHeight="1">
      <c r="A149" s="103"/>
      <c r="B149" s="103"/>
      <c r="C149" s="103"/>
      <c r="D149" s="103"/>
      <c r="E149" s="103"/>
      <c r="F149" s="103"/>
      <c r="G149" s="103"/>
      <c r="H149" s="103"/>
      <c r="I149" s="103"/>
      <c r="J149" s="103"/>
      <c r="K149" s="103"/>
      <c r="L149" s="60"/>
      <c r="M149" s="103"/>
      <c r="N149" s="61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</row>
    <row r="150" ht="30.0" customHeight="1">
      <c r="A150" s="103"/>
      <c r="B150" s="103"/>
      <c r="C150" s="103"/>
      <c r="D150" s="103"/>
      <c r="E150" s="103"/>
      <c r="F150" s="103"/>
      <c r="G150" s="103"/>
      <c r="H150" s="103"/>
      <c r="I150" s="103"/>
      <c r="J150" s="103"/>
      <c r="K150" s="103"/>
      <c r="L150" s="60"/>
      <c r="M150" s="103"/>
      <c r="N150" s="61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</row>
    <row r="151" ht="30.0" customHeight="1">
      <c r="A151" s="103"/>
      <c r="B151" s="103"/>
      <c r="C151" s="103"/>
      <c r="D151" s="103"/>
      <c r="E151" s="103"/>
      <c r="F151" s="103"/>
      <c r="G151" s="103"/>
      <c r="H151" s="103"/>
      <c r="I151" s="103"/>
      <c r="J151" s="103"/>
      <c r="K151" s="103"/>
      <c r="L151" s="60"/>
      <c r="M151" s="103"/>
      <c r="N151" s="61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</row>
    <row r="152" ht="30.0" customHeight="1">
      <c r="A152" s="103"/>
      <c r="B152" s="103"/>
      <c r="C152" s="103"/>
      <c r="D152" s="103"/>
      <c r="E152" s="103"/>
      <c r="F152" s="103"/>
      <c r="G152" s="103"/>
      <c r="H152" s="103"/>
      <c r="I152" s="103"/>
      <c r="J152" s="103"/>
      <c r="K152" s="103"/>
      <c r="L152" s="60"/>
      <c r="M152" s="103"/>
      <c r="N152" s="61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</row>
    <row r="153" ht="30.0" customHeight="1">
      <c r="A153" s="103"/>
      <c r="B153" s="103"/>
      <c r="C153" s="103"/>
      <c r="D153" s="103"/>
      <c r="E153" s="103"/>
      <c r="F153" s="103"/>
      <c r="G153" s="103"/>
      <c r="H153" s="103"/>
      <c r="I153" s="103"/>
      <c r="J153" s="103"/>
      <c r="K153" s="103"/>
      <c r="L153" s="60"/>
      <c r="M153" s="103"/>
      <c r="N153" s="61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</row>
    <row r="154" ht="30.0" customHeight="1">
      <c r="A154" s="103"/>
      <c r="B154" s="103"/>
      <c r="C154" s="103"/>
      <c r="D154" s="103"/>
      <c r="E154" s="103"/>
      <c r="F154" s="103"/>
      <c r="G154" s="103"/>
      <c r="H154" s="103"/>
      <c r="I154" s="103"/>
      <c r="J154" s="103"/>
      <c r="K154" s="103"/>
      <c r="L154" s="60"/>
      <c r="M154" s="103"/>
      <c r="N154" s="61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</row>
    <row r="155" ht="30.0" customHeight="1">
      <c r="A155" s="103"/>
      <c r="B155" s="103"/>
      <c r="C155" s="103"/>
      <c r="D155" s="103"/>
      <c r="E155" s="103"/>
      <c r="F155" s="103"/>
      <c r="G155" s="103"/>
      <c r="H155" s="103"/>
      <c r="I155" s="103"/>
      <c r="J155" s="103"/>
      <c r="K155" s="103"/>
      <c r="L155" s="60"/>
      <c r="M155" s="103"/>
      <c r="N155" s="61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</row>
    <row r="156" ht="30.0" customHeight="1">
      <c r="A156" s="103"/>
      <c r="B156" s="103"/>
      <c r="C156" s="103"/>
      <c r="D156" s="103"/>
      <c r="E156" s="103"/>
      <c r="F156" s="103"/>
      <c r="G156" s="103"/>
      <c r="H156" s="103"/>
      <c r="I156" s="103"/>
      <c r="J156" s="103"/>
      <c r="K156" s="103"/>
      <c r="L156" s="60"/>
      <c r="M156" s="103"/>
      <c r="N156" s="61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</row>
    <row r="157" ht="30.0" customHeight="1">
      <c r="A157" s="103"/>
      <c r="B157" s="103"/>
      <c r="C157" s="103"/>
      <c r="D157" s="103"/>
      <c r="E157" s="103"/>
      <c r="F157" s="103"/>
      <c r="G157" s="103"/>
      <c r="H157" s="103"/>
      <c r="I157" s="103"/>
      <c r="J157" s="103"/>
      <c r="K157" s="103"/>
      <c r="L157" s="60"/>
      <c r="M157" s="103"/>
      <c r="N157" s="61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</row>
    <row r="158" ht="30.0" customHeight="1">
      <c r="A158" s="103"/>
      <c r="B158" s="103"/>
      <c r="C158" s="103"/>
      <c r="D158" s="103"/>
      <c r="E158" s="103"/>
      <c r="F158" s="103"/>
      <c r="G158" s="103"/>
      <c r="H158" s="103"/>
      <c r="I158" s="103"/>
      <c r="J158" s="103"/>
      <c r="K158" s="103"/>
      <c r="L158" s="60"/>
      <c r="M158" s="103"/>
      <c r="N158" s="61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</row>
    <row r="159" ht="30.0" customHeight="1">
      <c r="A159" s="103"/>
      <c r="B159" s="103"/>
      <c r="C159" s="103"/>
      <c r="D159" s="103"/>
      <c r="E159" s="103"/>
      <c r="F159" s="103"/>
      <c r="G159" s="103"/>
      <c r="H159" s="103"/>
      <c r="I159" s="103"/>
      <c r="J159" s="103"/>
      <c r="K159" s="103"/>
      <c r="L159" s="60"/>
      <c r="M159" s="103"/>
      <c r="N159" s="61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</row>
    <row r="160" ht="30.0" customHeight="1">
      <c r="A160" s="103"/>
      <c r="B160" s="103"/>
      <c r="C160" s="103"/>
      <c r="D160" s="103"/>
      <c r="E160" s="103"/>
      <c r="F160" s="103"/>
      <c r="G160" s="103"/>
      <c r="H160" s="103"/>
      <c r="I160" s="103"/>
      <c r="J160" s="103"/>
      <c r="K160" s="103"/>
      <c r="L160" s="60"/>
      <c r="M160" s="103"/>
      <c r="N160" s="61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</row>
    <row r="161" ht="30.0" customHeight="1">
      <c r="A161" s="103"/>
      <c r="B161" s="103"/>
      <c r="C161" s="103"/>
      <c r="D161" s="103"/>
      <c r="E161" s="103"/>
      <c r="F161" s="103"/>
      <c r="G161" s="103"/>
      <c r="H161" s="103"/>
      <c r="I161" s="103"/>
      <c r="J161" s="103"/>
      <c r="K161" s="103"/>
      <c r="L161" s="60"/>
      <c r="M161" s="103"/>
      <c r="N161" s="61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</row>
    <row r="162" ht="30.0" customHeight="1">
      <c r="A162" s="103"/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60"/>
      <c r="M162" s="103"/>
      <c r="N162" s="61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</row>
    <row r="163" ht="30.0" customHeight="1">
      <c r="A163" s="103"/>
      <c r="B163" s="103"/>
      <c r="C163" s="103"/>
      <c r="D163" s="103"/>
      <c r="E163" s="103"/>
      <c r="F163" s="103"/>
      <c r="G163" s="103"/>
      <c r="H163" s="103"/>
      <c r="I163" s="103"/>
      <c r="J163" s="103"/>
      <c r="K163" s="103"/>
      <c r="L163" s="60"/>
      <c r="M163" s="103"/>
      <c r="N163" s="61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</row>
    <row r="164" ht="30.0" customHeight="1">
      <c r="A164" s="103"/>
      <c r="B164" s="103"/>
      <c r="C164" s="103"/>
      <c r="D164" s="103"/>
      <c r="E164" s="103"/>
      <c r="F164" s="103"/>
      <c r="G164" s="103"/>
      <c r="H164" s="103"/>
      <c r="I164" s="103"/>
      <c r="J164" s="103"/>
      <c r="K164" s="103"/>
      <c r="L164" s="60"/>
      <c r="M164" s="103"/>
      <c r="N164" s="61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</row>
    <row r="165" ht="30.0" customHeight="1">
      <c r="A165" s="103"/>
      <c r="B165" s="103"/>
      <c r="C165" s="103"/>
      <c r="D165" s="103"/>
      <c r="E165" s="103"/>
      <c r="F165" s="103"/>
      <c r="G165" s="103"/>
      <c r="H165" s="103"/>
      <c r="I165" s="103"/>
      <c r="J165" s="103"/>
      <c r="K165" s="103"/>
      <c r="L165" s="60"/>
      <c r="M165" s="103"/>
      <c r="N165" s="61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</row>
    <row r="166" ht="30.0" customHeight="1">
      <c r="A166" s="103"/>
      <c r="B166" s="103"/>
      <c r="C166" s="103"/>
      <c r="D166" s="103"/>
      <c r="E166" s="103"/>
      <c r="F166" s="103"/>
      <c r="G166" s="103"/>
      <c r="H166" s="103"/>
      <c r="I166" s="103"/>
      <c r="J166" s="103"/>
      <c r="K166" s="103"/>
      <c r="L166" s="60"/>
      <c r="M166" s="103"/>
      <c r="N166" s="61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</row>
    <row r="167" ht="30.0" customHeight="1">
      <c r="A167" s="103"/>
      <c r="B167" s="103"/>
      <c r="C167" s="103"/>
      <c r="D167" s="103"/>
      <c r="E167" s="103"/>
      <c r="F167" s="103"/>
      <c r="G167" s="103"/>
      <c r="H167" s="103"/>
      <c r="I167" s="103"/>
      <c r="J167" s="103"/>
      <c r="K167" s="103"/>
      <c r="L167" s="60"/>
      <c r="M167" s="103"/>
      <c r="N167" s="61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</row>
    <row r="168" ht="30.0" customHeight="1">
      <c r="A168" s="103"/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60"/>
      <c r="M168" s="103"/>
      <c r="N168" s="61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</row>
    <row r="169" ht="30.0" customHeight="1">
      <c r="A169" s="103"/>
      <c r="B169" s="103"/>
      <c r="C169" s="103"/>
      <c r="D169" s="103"/>
      <c r="E169" s="103"/>
      <c r="F169" s="103"/>
      <c r="G169" s="103"/>
      <c r="H169" s="103"/>
      <c r="I169" s="103"/>
      <c r="J169" s="103"/>
      <c r="K169" s="103"/>
      <c r="L169" s="60"/>
      <c r="M169" s="103"/>
      <c r="N169" s="61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</row>
    <row r="170" ht="30.0" customHeight="1">
      <c r="A170" s="103"/>
      <c r="B170" s="103"/>
      <c r="C170" s="103"/>
      <c r="D170" s="103"/>
      <c r="E170" s="103"/>
      <c r="F170" s="103"/>
      <c r="G170" s="103"/>
      <c r="H170" s="103"/>
      <c r="I170" s="103"/>
      <c r="J170" s="103"/>
      <c r="K170" s="103"/>
      <c r="L170" s="60"/>
      <c r="M170" s="103"/>
      <c r="N170" s="61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</row>
    <row r="171" ht="30.0" customHeight="1">
      <c r="A171" s="103"/>
      <c r="B171" s="103"/>
      <c r="C171" s="103"/>
      <c r="D171" s="103"/>
      <c r="E171" s="103"/>
      <c r="F171" s="103"/>
      <c r="G171" s="103"/>
      <c r="H171" s="103"/>
      <c r="I171" s="103"/>
      <c r="J171" s="103"/>
      <c r="K171" s="103"/>
      <c r="L171" s="60"/>
      <c r="M171" s="103"/>
      <c r="N171" s="61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</row>
    <row r="172" ht="30.0" customHeight="1">
      <c r="A172" s="103"/>
      <c r="B172" s="103"/>
      <c r="C172" s="103"/>
      <c r="D172" s="103"/>
      <c r="E172" s="103"/>
      <c r="F172" s="103"/>
      <c r="G172" s="103"/>
      <c r="H172" s="103"/>
      <c r="I172" s="103"/>
      <c r="J172" s="103"/>
      <c r="K172" s="103"/>
      <c r="L172" s="60"/>
      <c r="M172" s="103"/>
      <c r="N172" s="61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</row>
    <row r="173" ht="30.0" customHeight="1">
      <c r="A173" s="103"/>
      <c r="B173" s="103"/>
      <c r="C173" s="103"/>
      <c r="D173" s="103"/>
      <c r="E173" s="103"/>
      <c r="F173" s="103"/>
      <c r="G173" s="103"/>
      <c r="H173" s="103"/>
      <c r="I173" s="103"/>
      <c r="J173" s="103"/>
      <c r="K173" s="103"/>
      <c r="L173" s="60"/>
      <c r="M173" s="103"/>
      <c r="N173" s="61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</row>
    <row r="174" ht="30.0" customHeight="1">
      <c r="A174" s="103"/>
      <c r="B174" s="103"/>
      <c r="C174" s="103"/>
      <c r="D174" s="103"/>
      <c r="E174" s="103"/>
      <c r="F174" s="103"/>
      <c r="G174" s="103"/>
      <c r="H174" s="103"/>
      <c r="I174" s="103"/>
      <c r="J174" s="103"/>
      <c r="K174" s="103"/>
      <c r="L174" s="60"/>
      <c r="M174" s="103"/>
      <c r="N174" s="61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</row>
    <row r="175" ht="30.0" customHeight="1">
      <c r="A175" s="103"/>
      <c r="B175" s="103"/>
      <c r="C175" s="103"/>
      <c r="D175" s="103"/>
      <c r="E175" s="103"/>
      <c r="F175" s="103"/>
      <c r="G175" s="103"/>
      <c r="H175" s="103"/>
      <c r="I175" s="103"/>
      <c r="J175" s="103"/>
      <c r="K175" s="103"/>
      <c r="L175" s="60"/>
      <c r="M175" s="103"/>
      <c r="N175" s="61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</row>
    <row r="176" ht="30.0" customHeight="1">
      <c r="A176" s="103"/>
      <c r="B176" s="103"/>
      <c r="C176" s="103"/>
      <c r="D176" s="103"/>
      <c r="E176" s="103"/>
      <c r="F176" s="103"/>
      <c r="G176" s="103"/>
      <c r="H176" s="103"/>
      <c r="I176" s="103"/>
      <c r="J176" s="103"/>
      <c r="K176" s="103"/>
      <c r="L176" s="60"/>
      <c r="M176" s="103"/>
      <c r="N176" s="61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</row>
    <row r="177" ht="30.0" customHeight="1">
      <c r="A177" s="103"/>
      <c r="B177" s="103"/>
      <c r="C177" s="103"/>
      <c r="D177" s="103"/>
      <c r="E177" s="103"/>
      <c r="F177" s="103"/>
      <c r="G177" s="103"/>
      <c r="H177" s="103"/>
      <c r="I177" s="103"/>
      <c r="J177" s="103"/>
      <c r="K177" s="103"/>
      <c r="L177" s="60"/>
      <c r="M177" s="103"/>
      <c r="N177" s="61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</row>
    <row r="178" ht="30.0" customHeight="1">
      <c r="A178" s="103"/>
      <c r="B178" s="103"/>
      <c r="C178" s="103"/>
      <c r="D178" s="103"/>
      <c r="E178" s="103"/>
      <c r="F178" s="103"/>
      <c r="G178" s="103"/>
      <c r="H178" s="103"/>
      <c r="I178" s="103"/>
      <c r="J178" s="103"/>
      <c r="K178" s="103"/>
      <c r="L178" s="60"/>
      <c r="M178" s="103"/>
      <c r="N178" s="61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</row>
    <row r="179" ht="30.0" customHeight="1">
      <c r="A179" s="103"/>
      <c r="B179" s="103"/>
      <c r="C179" s="103"/>
      <c r="D179" s="103"/>
      <c r="E179" s="103"/>
      <c r="F179" s="103"/>
      <c r="G179" s="103"/>
      <c r="H179" s="103"/>
      <c r="I179" s="103"/>
      <c r="J179" s="103"/>
      <c r="K179" s="103"/>
      <c r="L179" s="60"/>
      <c r="M179" s="103"/>
      <c r="N179" s="61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</row>
    <row r="180" ht="30.0" customHeight="1">
      <c r="A180" s="103"/>
      <c r="B180" s="103"/>
      <c r="C180" s="103"/>
      <c r="D180" s="103"/>
      <c r="E180" s="103"/>
      <c r="F180" s="103"/>
      <c r="G180" s="103"/>
      <c r="H180" s="103"/>
      <c r="I180" s="103"/>
      <c r="J180" s="103"/>
      <c r="K180" s="103"/>
      <c r="L180" s="60"/>
      <c r="M180" s="103"/>
      <c r="N180" s="61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</row>
    <row r="181" ht="30.0" customHeight="1">
      <c r="A181" s="103"/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60"/>
      <c r="M181" s="103"/>
      <c r="N181" s="61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</row>
    <row r="182" ht="30.0" customHeight="1">
      <c r="A182" s="103"/>
      <c r="B182" s="103"/>
      <c r="C182" s="103"/>
      <c r="D182" s="103"/>
      <c r="E182" s="103"/>
      <c r="F182" s="103"/>
      <c r="G182" s="103"/>
      <c r="H182" s="103"/>
      <c r="I182" s="103"/>
      <c r="J182" s="103"/>
      <c r="K182" s="103"/>
      <c r="L182" s="60"/>
      <c r="M182" s="103"/>
      <c r="N182" s="61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</row>
    <row r="183" ht="30.0" customHeight="1">
      <c r="A183" s="103"/>
      <c r="B183" s="103"/>
      <c r="C183" s="103"/>
      <c r="D183" s="103"/>
      <c r="E183" s="103"/>
      <c r="F183" s="103"/>
      <c r="G183" s="103"/>
      <c r="H183" s="103"/>
      <c r="I183" s="103"/>
      <c r="J183" s="103"/>
      <c r="K183" s="103"/>
      <c r="L183" s="60"/>
      <c r="M183" s="103"/>
      <c r="N183" s="61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</row>
    <row r="184" ht="30.0" customHeight="1">
      <c r="A184" s="103"/>
      <c r="B184" s="103"/>
      <c r="C184" s="103"/>
      <c r="D184" s="103"/>
      <c r="E184" s="103"/>
      <c r="F184" s="103"/>
      <c r="G184" s="103"/>
      <c r="H184" s="103"/>
      <c r="I184" s="103"/>
      <c r="J184" s="103"/>
      <c r="K184" s="103"/>
      <c r="L184" s="60"/>
      <c r="M184" s="103"/>
      <c r="N184" s="61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</row>
    <row r="185" ht="30.0" customHeight="1">
      <c r="A185" s="103"/>
      <c r="B185" s="103"/>
      <c r="C185" s="103"/>
      <c r="D185" s="103"/>
      <c r="E185" s="103"/>
      <c r="F185" s="103"/>
      <c r="G185" s="103"/>
      <c r="H185" s="103"/>
      <c r="I185" s="103"/>
      <c r="J185" s="103"/>
      <c r="K185" s="103"/>
      <c r="L185" s="60"/>
      <c r="M185" s="103"/>
      <c r="N185" s="61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</row>
    <row r="186" ht="30.0" customHeight="1">
      <c r="A186" s="103"/>
      <c r="B186" s="103"/>
      <c r="C186" s="103"/>
      <c r="D186" s="103"/>
      <c r="E186" s="103"/>
      <c r="F186" s="103"/>
      <c r="G186" s="103"/>
      <c r="H186" s="103"/>
      <c r="I186" s="103"/>
      <c r="J186" s="103"/>
      <c r="K186" s="103"/>
      <c r="L186" s="60"/>
      <c r="M186" s="103"/>
      <c r="N186" s="61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</row>
    <row r="187" ht="30.0" customHeight="1">
      <c r="A187" s="103"/>
      <c r="B187" s="103"/>
      <c r="C187" s="103"/>
      <c r="D187" s="103"/>
      <c r="E187" s="103"/>
      <c r="F187" s="103"/>
      <c r="G187" s="103"/>
      <c r="H187" s="103"/>
      <c r="I187" s="103"/>
      <c r="J187" s="103"/>
      <c r="K187" s="103"/>
      <c r="L187" s="60"/>
      <c r="M187" s="103"/>
      <c r="N187" s="61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</row>
    <row r="188" ht="30.0" customHeight="1">
      <c r="A188" s="103"/>
      <c r="B188" s="103"/>
      <c r="C188" s="103"/>
      <c r="D188" s="103"/>
      <c r="E188" s="103"/>
      <c r="F188" s="103"/>
      <c r="G188" s="103"/>
      <c r="H188" s="103"/>
      <c r="I188" s="103"/>
      <c r="J188" s="103"/>
      <c r="K188" s="103"/>
      <c r="L188" s="60"/>
      <c r="M188" s="103"/>
      <c r="N188" s="61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</row>
    <row r="189" ht="30.0" customHeight="1">
      <c r="A189" s="103"/>
      <c r="B189" s="103"/>
      <c r="C189" s="103"/>
      <c r="D189" s="103"/>
      <c r="E189" s="103"/>
      <c r="F189" s="103"/>
      <c r="G189" s="103"/>
      <c r="H189" s="103"/>
      <c r="I189" s="103"/>
      <c r="J189" s="103"/>
      <c r="K189" s="103"/>
      <c r="L189" s="60"/>
      <c r="M189" s="103"/>
      <c r="N189" s="61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</row>
    <row r="190" ht="30.0" customHeight="1">
      <c r="A190" s="103"/>
      <c r="B190" s="103"/>
      <c r="C190" s="103"/>
      <c r="D190" s="103"/>
      <c r="E190" s="103"/>
      <c r="F190" s="103"/>
      <c r="G190" s="103"/>
      <c r="H190" s="103"/>
      <c r="I190" s="103"/>
      <c r="J190" s="103"/>
      <c r="K190" s="103"/>
      <c r="L190" s="60"/>
      <c r="M190" s="103"/>
      <c r="N190" s="61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</row>
    <row r="191" ht="30.0" customHeight="1">
      <c r="A191" s="103"/>
      <c r="B191" s="103"/>
      <c r="C191" s="103"/>
      <c r="D191" s="103"/>
      <c r="E191" s="103"/>
      <c r="F191" s="103"/>
      <c r="G191" s="103"/>
      <c r="H191" s="103"/>
      <c r="I191" s="103"/>
      <c r="J191" s="103"/>
      <c r="K191" s="103"/>
      <c r="L191" s="60"/>
      <c r="M191" s="103"/>
      <c r="N191" s="61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</row>
    <row r="192" ht="30.0" customHeight="1">
      <c r="A192" s="103"/>
      <c r="B192" s="103"/>
      <c r="C192" s="103"/>
      <c r="D192" s="103"/>
      <c r="E192" s="103"/>
      <c r="F192" s="103"/>
      <c r="G192" s="103"/>
      <c r="H192" s="103"/>
      <c r="I192" s="103"/>
      <c r="J192" s="103"/>
      <c r="K192" s="103"/>
      <c r="L192" s="60"/>
      <c r="M192" s="103"/>
      <c r="N192" s="61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</row>
    <row r="193" ht="30.0" customHeight="1">
      <c r="A193" s="103"/>
      <c r="B193" s="103"/>
      <c r="C193" s="103"/>
      <c r="D193" s="103"/>
      <c r="E193" s="103"/>
      <c r="F193" s="103"/>
      <c r="G193" s="103"/>
      <c r="H193" s="103"/>
      <c r="I193" s="103"/>
      <c r="J193" s="103"/>
      <c r="K193" s="103"/>
      <c r="L193" s="60"/>
      <c r="M193" s="103"/>
      <c r="N193" s="61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</row>
    <row r="194" ht="30.0" customHeight="1">
      <c r="A194" s="103"/>
      <c r="B194" s="103"/>
      <c r="C194" s="103"/>
      <c r="D194" s="103"/>
      <c r="E194" s="103"/>
      <c r="F194" s="103"/>
      <c r="G194" s="103"/>
      <c r="H194" s="103"/>
      <c r="I194" s="103"/>
      <c r="J194" s="103"/>
      <c r="K194" s="103"/>
      <c r="L194" s="60"/>
      <c r="M194" s="103"/>
      <c r="N194" s="61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</row>
    <row r="195" ht="30.0" customHeight="1">
      <c r="A195" s="103"/>
      <c r="B195" s="103"/>
      <c r="C195" s="103"/>
      <c r="D195" s="103"/>
      <c r="E195" s="103"/>
      <c r="F195" s="103"/>
      <c r="G195" s="103"/>
      <c r="H195" s="103"/>
      <c r="I195" s="103"/>
      <c r="J195" s="103"/>
      <c r="K195" s="103"/>
      <c r="L195" s="60"/>
      <c r="M195" s="103"/>
      <c r="N195" s="61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</row>
    <row r="196" ht="30.0" customHeight="1">
      <c r="A196" s="103"/>
      <c r="B196" s="103"/>
      <c r="C196" s="103"/>
      <c r="D196" s="103"/>
      <c r="E196" s="103"/>
      <c r="F196" s="103"/>
      <c r="G196" s="103"/>
      <c r="H196" s="103"/>
      <c r="I196" s="103"/>
      <c r="J196" s="103"/>
      <c r="K196" s="103"/>
      <c r="L196" s="60"/>
      <c r="M196" s="103"/>
      <c r="N196" s="61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</row>
    <row r="197" ht="30.0" customHeight="1">
      <c r="A197" s="103"/>
      <c r="B197" s="103"/>
      <c r="C197" s="103"/>
      <c r="D197" s="103"/>
      <c r="E197" s="103"/>
      <c r="F197" s="103"/>
      <c r="G197" s="103"/>
      <c r="H197" s="103"/>
      <c r="I197" s="103"/>
      <c r="J197" s="103"/>
      <c r="K197" s="103"/>
      <c r="L197" s="60"/>
      <c r="M197" s="103"/>
      <c r="N197" s="61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</row>
    <row r="198" ht="30.0" customHeight="1">
      <c r="A198" s="103"/>
      <c r="B198" s="103"/>
      <c r="C198" s="103"/>
      <c r="D198" s="103"/>
      <c r="E198" s="103"/>
      <c r="F198" s="103"/>
      <c r="G198" s="103"/>
      <c r="H198" s="103"/>
      <c r="I198" s="103"/>
      <c r="J198" s="103"/>
      <c r="K198" s="103"/>
      <c r="L198" s="60"/>
      <c r="M198" s="103"/>
      <c r="N198" s="61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</row>
    <row r="199" ht="30.0" customHeight="1">
      <c r="A199" s="103"/>
      <c r="B199" s="103"/>
      <c r="C199" s="103"/>
      <c r="D199" s="103"/>
      <c r="E199" s="103"/>
      <c r="F199" s="103"/>
      <c r="G199" s="103"/>
      <c r="H199" s="103"/>
      <c r="I199" s="103"/>
      <c r="J199" s="103"/>
      <c r="K199" s="103"/>
      <c r="L199" s="60"/>
      <c r="M199" s="103"/>
      <c r="N199" s="61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</row>
    <row r="200" ht="30.0" customHeight="1">
      <c r="A200" s="103"/>
      <c r="B200" s="103"/>
      <c r="C200" s="103"/>
      <c r="D200" s="103"/>
      <c r="E200" s="103"/>
      <c r="F200" s="103"/>
      <c r="G200" s="103"/>
      <c r="H200" s="103"/>
      <c r="I200" s="103"/>
      <c r="J200" s="103"/>
      <c r="K200" s="103"/>
      <c r="L200" s="60"/>
      <c r="M200" s="103"/>
      <c r="N200" s="61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</row>
    <row r="201" ht="30.0" customHeight="1">
      <c r="A201" s="103"/>
      <c r="B201" s="103"/>
      <c r="C201" s="103"/>
      <c r="D201" s="103"/>
      <c r="E201" s="103"/>
      <c r="F201" s="103"/>
      <c r="G201" s="103"/>
      <c r="H201" s="103"/>
      <c r="I201" s="103"/>
      <c r="J201" s="103"/>
      <c r="K201" s="103"/>
      <c r="L201" s="60"/>
      <c r="M201" s="103"/>
      <c r="N201" s="61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</row>
    <row r="202" ht="30.0" customHeight="1">
      <c r="A202" s="103"/>
      <c r="B202" s="103"/>
      <c r="C202" s="103"/>
      <c r="D202" s="103"/>
      <c r="E202" s="103"/>
      <c r="F202" s="103"/>
      <c r="G202" s="103"/>
      <c r="H202" s="103"/>
      <c r="I202" s="103"/>
      <c r="J202" s="103"/>
      <c r="K202" s="103"/>
      <c r="L202" s="60"/>
      <c r="M202" s="103"/>
      <c r="N202" s="61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</row>
    <row r="203" ht="30.0" customHeight="1">
      <c r="A203" s="103"/>
      <c r="B203" s="103"/>
      <c r="C203" s="103"/>
      <c r="D203" s="103"/>
      <c r="E203" s="103"/>
      <c r="F203" s="103"/>
      <c r="G203" s="103"/>
      <c r="H203" s="103"/>
      <c r="I203" s="103"/>
      <c r="J203" s="103"/>
      <c r="K203" s="103"/>
      <c r="L203" s="60"/>
      <c r="M203" s="103"/>
      <c r="N203" s="61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</row>
    <row r="204" ht="30.0" customHeight="1">
      <c r="A204" s="103"/>
      <c r="B204" s="103"/>
      <c r="C204" s="103"/>
      <c r="D204" s="103"/>
      <c r="E204" s="103"/>
      <c r="F204" s="103"/>
      <c r="G204" s="103"/>
      <c r="H204" s="103"/>
      <c r="I204" s="103"/>
      <c r="J204" s="103"/>
      <c r="K204" s="103"/>
      <c r="L204" s="60"/>
      <c r="M204" s="103"/>
      <c r="N204" s="61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</row>
    <row r="205" ht="30.0" customHeight="1">
      <c r="A205" s="103"/>
      <c r="B205" s="103"/>
      <c r="C205" s="103"/>
      <c r="D205" s="103"/>
      <c r="E205" s="103"/>
      <c r="F205" s="103"/>
      <c r="G205" s="103"/>
      <c r="H205" s="103"/>
      <c r="I205" s="103"/>
      <c r="J205" s="103"/>
      <c r="K205" s="103"/>
      <c r="L205" s="60"/>
      <c r="M205" s="103"/>
      <c r="N205" s="61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</row>
    <row r="206" ht="30.0" customHeight="1">
      <c r="A206" s="103"/>
      <c r="B206" s="103"/>
      <c r="C206" s="103"/>
      <c r="D206" s="103"/>
      <c r="E206" s="103"/>
      <c r="F206" s="103"/>
      <c r="G206" s="103"/>
      <c r="H206" s="103"/>
      <c r="I206" s="103"/>
      <c r="J206" s="103"/>
      <c r="K206" s="103"/>
      <c r="L206" s="60"/>
      <c r="M206" s="103"/>
      <c r="N206" s="61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</row>
    <row r="207" ht="30.0" customHeight="1">
      <c r="A207" s="103"/>
      <c r="B207" s="103"/>
      <c r="C207" s="103"/>
      <c r="D207" s="103"/>
      <c r="E207" s="103"/>
      <c r="F207" s="103"/>
      <c r="G207" s="103"/>
      <c r="H207" s="103"/>
      <c r="I207" s="103"/>
      <c r="J207" s="103"/>
      <c r="K207" s="103"/>
      <c r="L207" s="60"/>
      <c r="M207" s="103"/>
      <c r="N207" s="61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</row>
    <row r="208" ht="30.0" customHeight="1">
      <c r="A208" s="103"/>
      <c r="B208" s="103"/>
      <c r="C208" s="103"/>
      <c r="D208" s="103"/>
      <c r="E208" s="103"/>
      <c r="F208" s="103"/>
      <c r="G208" s="103"/>
      <c r="H208" s="103"/>
      <c r="I208" s="103"/>
      <c r="J208" s="103"/>
      <c r="K208" s="103"/>
      <c r="L208" s="60"/>
      <c r="M208" s="103"/>
      <c r="N208" s="61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</row>
    <row r="209" ht="30.0" customHeight="1">
      <c r="A209" s="103"/>
      <c r="B209" s="103"/>
      <c r="C209" s="103"/>
      <c r="D209" s="103"/>
      <c r="E209" s="103"/>
      <c r="F209" s="103"/>
      <c r="G209" s="103"/>
      <c r="H209" s="103"/>
      <c r="I209" s="103"/>
      <c r="J209" s="103"/>
      <c r="K209" s="103"/>
      <c r="L209" s="60"/>
      <c r="M209" s="103"/>
      <c r="N209" s="61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</row>
    <row r="210" ht="30.0" customHeight="1">
      <c r="A210" s="103"/>
      <c r="B210" s="103"/>
      <c r="C210" s="103"/>
      <c r="D210" s="103"/>
      <c r="E210" s="103"/>
      <c r="F210" s="103"/>
      <c r="G210" s="103"/>
      <c r="H210" s="103"/>
      <c r="I210" s="103"/>
      <c r="J210" s="103"/>
      <c r="K210" s="103"/>
      <c r="L210" s="60"/>
      <c r="M210" s="103"/>
      <c r="N210" s="61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</row>
    <row r="211" ht="30.0" customHeight="1">
      <c r="A211" s="103"/>
      <c r="B211" s="103"/>
      <c r="C211" s="103"/>
      <c r="D211" s="103"/>
      <c r="E211" s="103"/>
      <c r="F211" s="103"/>
      <c r="G211" s="103"/>
      <c r="H211" s="103"/>
      <c r="I211" s="103"/>
      <c r="J211" s="103"/>
      <c r="K211" s="103"/>
      <c r="L211" s="60"/>
      <c r="M211" s="103"/>
      <c r="N211" s="61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</row>
    <row r="212" ht="30.0" customHeight="1">
      <c r="A212" s="103"/>
      <c r="B212" s="103"/>
      <c r="C212" s="103"/>
      <c r="D212" s="103"/>
      <c r="E212" s="103"/>
      <c r="F212" s="103"/>
      <c r="G212" s="103"/>
      <c r="H212" s="103"/>
      <c r="I212" s="103"/>
      <c r="J212" s="103"/>
      <c r="K212" s="103"/>
      <c r="L212" s="60"/>
      <c r="M212" s="103"/>
      <c r="N212" s="61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</row>
    <row r="213" ht="30.0" customHeight="1">
      <c r="A213" s="103"/>
      <c r="B213" s="103"/>
      <c r="C213" s="103"/>
      <c r="D213" s="103"/>
      <c r="E213" s="103"/>
      <c r="F213" s="103"/>
      <c r="G213" s="103"/>
      <c r="H213" s="103"/>
      <c r="I213" s="103"/>
      <c r="J213" s="103"/>
      <c r="K213" s="103"/>
      <c r="L213" s="60"/>
      <c r="M213" s="103"/>
      <c r="N213" s="61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</row>
    <row r="214" ht="30.0" customHeight="1">
      <c r="A214" s="103"/>
      <c r="B214" s="103"/>
      <c r="C214" s="103"/>
      <c r="D214" s="103"/>
      <c r="E214" s="103"/>
      <c r="F214" s="103"/>
      <c r="G214" s="103"/>
      <c r="H214" s="103"/>
      <c r="I214" s="103"/>
      <c r="J214" s="103"/>
      <c r="K214" s="103"/>
      <c r="L214" s="60"/>
      <c r="M214" s="103"/>
      <c r="N214" s="61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</row>
    <row r="215" ht="30.0" customHeight="1">
      <c r="A215" s="103"/>
      <c r="B215" s="103"/>
      <c r="C215" s="103"/>
      <c r="D215" s="103"/>
      <c r="E215" s="103"/>
      <c r="F215" s="103"/>
      <c r="G215" s="103"/>
      <c r="H215" s="103"/>
      <c r="I215" s="103"/>
      <c r="J215" s="103"/>
      <c r="K215" s="103"/>
      <c r="L215" s="60"/>
      <c r="M215" s="103"/>
      <c r="N215" s="61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</row>
    <row r="216" ht="30.0" customHeight="1">
      <c r="A216" s="103"/>
      <c r="B216" s="103"/>
      <c r="C216" s="103"/>
      <c r="D216" s="103"/>
      <c r="E216" s="103"/>
      <c r="F216" s="103"/>
      <c r="G216" s="103"/>
      <c r="H216" s="103"/>
      <c r="I216" s="103"/>
      <c r="J216" s="103"/>
      <c r="K216" s="103"/>
      <c r="L216" s="60"/>
      <c r="M216" s="103"/>
      <c r="N216" s="61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</row>
    <row r="217" ht="30.0" customHeight="1">
      <c r="A217" s="103"/>
      <c r="B217" s="103"/>
      <c r="C217" s="103"/>
      <c r="D217" s="103"/>
      <c r="E217" s="103"/>
      <c r="F217" s="103"/>
      <c r="G217" s="103"/>
      <c r="H217" s="103"/>
      <c r="I217" s="103"/>
      <c r="J217" s="103"/>
      <c r="K217" s="103"/>
      <c r="L217" s="60"/>
      <c r="M217" s="103"/>
      <c r="N217" s="61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</row>
    <row r="218" ht="30.0" customHeight="1">
      <c r="A218" s="103"/>
      <c r="B218" s="103"/>
      <c r="C218" s="103"/>
      <c r="D218" s="103"/>
      <c r="E218" s="103"/>
      <c r="F218" s="103"/>
      <c r="G218" s="103"/>
      <c r="H218" s="103"/>
      <c r="I218" s="103"/>
      <c r="J218" s="103"/>
      <c r="K218" s="103"/>
      <c r="L218" s="60"/>
      <c r="M218" s="103"/>
      <c r="N218" s="61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</row>
    <row r="219" ht="30.0" customHeight="1">
      <c r="A219" s="103"/>
      <c r="B219" s="103"/>
      <c r="C219" s="103"/>
      <c r="D219" s="103"/>
      <c r="E219" s="103"/>
      <c r="F219" s="103"/>
      <c r="G219" s="103"/>
      <c r="H219" s="103"/>
      <c r="I219" s="103"/>
      <c r="J219" s="103"/>
      <c r="K219" s="103"/>
      <c r="L219" s="60"/>
      <c r="M219" s="103"/>
      <c r="N219" s="61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</row>
    <row r="220" ht="30.0" customHeight="1">
      <c r="A220" s="103"/>
      <c r="B220" s="103"/>
      <c r="C220" s="103"/>
      <c r="D220" s="103"/>
      <c r="E220" s="103"/>
      <c r="F220" s="103"/>
      <c r="G220" s="103"/>
      <c r="H220" s="103"/>
      <c r="I220" s="103"/>
      <c r="J220" s="103"/>
      <c r="K220" s="103"/>
      <c r="L220" s="60"/>
      <c r="M220" s="103"/>
      <c r="N220" s="61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</row>
    <row r="221" ht="30.0" customHeight="1">
      <c r="A221" s="103"/>
      <c r="B221" s="103"/>
      <c r="C221" s="103"/>
      <c r="D221" s="103"/>
      <c r="E221" s="103"/>
      <c r="F221" s="103"/>
      <c r="G221" s="103"/>
      <c r="H221" s="103"/>
      <c r="I221" s="103"/>
      <c r="J221" s="103"/>
      <c r="K221" s="103"/>
      <c r="L221" s="60"/>
      <c r="M221" s="103"/>
      <c r="N221" s="61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</row>
    <row r="222" ht="30.0" customHeight="1">
      <c r="A222" s="103"/>
      <c r="B222" s="103"/>
      <c r="C222" s="103"/>
      <c r="D222" s="103"/>
      <c r="E222" s="103"/>
      <c r="F222" s="103"/>
      <c r="G222" s="103"/>
      <c r="H222" s="103"/>
      <c r="I222" s="103"/>
      <c r="J222" s="103"/>
      <c r="K222" s="103"/>
      <c r="L222" s="60"/>
      <c r="M222" s="103"/>
      <c r="N222" s="61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</row>
    <row r="223" ht="30.0" customHeight="1">
      <c r="A223" s="103"/>
      <c r="B223" s="103"/>
      <c r="C223" s="103"/>
      <c r="D223" s="103"/>
      <c r="E223" s="103"/>
      <c r="F223" s="103"/>
      <c r="G223" s="103"/>
      <c r="H223" s="103"/>
      <c r="I223" s="103"/>
      <c r="J223" s="103"/>
      <c r="K223" s="103"/>
      <c r="L223" s="60"/>
      <c r="M223" s="103"/>
      <c r="N223" s="61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</row>
    <row r="224" ht="30.0" customHeight="1">
      <c r="A224" s="103"/>
      <c r="B224" s="103"/>
      <c r="C224" s="103"/>
      <c r="D224" s="103"/>
      <c r="E224" s="103"/>
      <c r="F224" s="103"/>
      <c r="G224" s="103"/>
      <c r="H224" s="103"/>
      <c r="I224" s="103"/>
      <c r="J224" s="103"/>
      <c r="K224" s="103"/>
      <c r="L224" s="60"/>
      <c r="M224" s="103"/>
      <c r="N224" s="61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</row>
    <row r="225" ht="30.0" customHeight="1">
      <c r="A225" s="103"/>
      <c r="B225" s="103"/>
      <c r="C225" s="103"/>
      <c r="D225" s="103"/>
      <c r="E225" s="103"/>
      <c r="F225" s="103"/>
      <c r="G225" s="103"/>
      <c r="H225" s="103"/>
      <c r="I225" s="103"/>
      <c r="J225" s="103"/>
      <c r="K225" s="103"/>
      <c r="L225" s="60"/>
      <c r="M225" s="103"/>
      <c r="N225" s="61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</row>
    <row r="226" ht="30.0" customHeight="1">
      <c r="A226" s="103"/>
      <c r="B226" s="103"/>
      <c r="C226" s="103"/>
      <c r="D226" s="103"/>
      <c r="E226" s="103"/>
      <c r="F226" s="103"/>
      <c r="G226" s="103"/>
      <c r="H226" s="103"/>
      <c r="I226" s="103"/>
      <c r="J226" s="103"/>
      <c r="K226" s="103"/>
      <c r="L226" s="60"/>
      <c r="M226" s="103"/>
      <c r="N226" s="61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</row>
    <row r="227" ht="30.0" customHeight="1">
      <c r="A227" s="103"/>
      <c r="B227" s="103"/>
      <c r="C227" s="103"/>
      <c r="D227" s="103"/>
      <c r="E227" s="103"/>
      <c r="F227" s="103"/>
      <c r="G227" s="103"/>
      <c r="H227" s="103"/>
      <c r="I227" s="103"/>
      <c r="J227" s="103"/>
      <c r="K227" s="103"/>
      <c r="L227" s="60"/>
      <c r="M227" s="103"/>
      <c r="N227" s="61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</row>
    <row r="228" ht="30.0" customHeight="1">
      <c r="A228" s="103"/>
      <c r="B228" s="103"/>
      <c r="C228" s="103"/>
      <c r="D228" s="103"/>
      <c r="E228" s="103"/>
      <c r="F228" s="103"/>
      <c r="G228" s="103"/>
      <c r="H228" s="103"/>
      <c r="I228" s="103"/>
      <c r="J228" s="103"/>
      <c r="K228" s="103"/>
      <c r="L228" s="60"/>
      <c r="M228" s="103"/>
      <c r="N228" s="61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</row>
    <row r="229" ht="30.0" customHeight="1">
      <c r="A229" s="103"/>
      <c r="B229" s="103"/>
      <c r="C229" s="103"/>
      <c r="D229" s="103"/>
      <c r="E229" s="103"/>
      <c r="F229" s="103"/>
      <c r="G229" s="103"/>
      <c r="H229" s="103"/>
      <c r="I229" s="103"/>
      <c r="J229" s="103"/>
      <c r="K229" s="103"/>
      <c r="L229" s="60"/>
      <c r="M229" s="103"/>
      <c r="N229" s="61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</row>
    <row r="230" ht="30.0" customHeight="1">
      <c r="A230" s="103"/>
      <c r="B230" s="103"/>
      <c r="C230" s="103"/>
      <c r="D230" s="103"/>
      <c r="E230" s="103"/>
      <c r="F230" s="103"/>
      <c r="G230" s="103"/>
      <c r="H230" s="103"/>
      <c r="I230" s="103"/>
      <c r="J230" s="103"/>
      <c r="K230" s="103"/>
      <c r="L230" s="60"/>
      <c r="M230" s="103"/>
      <c r="N230" s="61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</row>
    <row r="231" ht="30.0" customHeight="1">
      <c r="A231" s="103"/>
      <c r="B231" s="103"/>
      <c r="C231" s="103"/>
      <c r="D231" s="103"/>
      <c r="E231" s="103"/>
      <c r="F231" s="103"/>
      <c r="G231" s="103"/>
      <c r="H231" s="103"/>
      <c r="I231" s="103"/>
      <c r="J231" s="103"/>
      <c r="K231" s="103"/>
      <c r="L231" s="60"/>
      <c r="M231" s="103"/>
      <c r="N231" s="61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</row>
    <row r="232" ht="30.0" customHeight="1">
      <c r="A232" s="103"/>
      <c r="B232" s="103"/>
      <c r="C232" s="103"/>
      <c r="D232" s="103"/>
      <c r="E232" s="103"/>
      <c r="F232" s="103"/>
      <c r="G232" s="103"/>
      <c r="H232" s="103"/>
      <c r="I232" s="103"/>
      <c r="J232" s="103"/>
      <c r="K232" s="103"/>
      <c r="L232" s="60"/>
      <c r="M232" s="103"/>
      <c r="N232" s="61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</row>
    <row r="233" ht="30.0" customHeight="1">
      <c r="A233" s="103"/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60"/>
      <c r="M233" s="103"/>
      <c r="N233" s="61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</row>
    <row r="234" ht="30.0" customHeight="1">
      <c r="A234" s="103"/>
      <c r="B234" s="103"/>
      <c r="C234" s="103"/>
      <c r="D234" s="103"/>
      <c r="E234" s="103"/>
      <c r="F234" s="103"/>
      <c r="G234" s="103"/>
      <c r="H234" s="103"/>
      <c r="I234" s="103"/>
      <c r="J234" s="103"/>
      <c r="K234" s="103"/>
      <c r="L234" s="60"/>
      <c r="M234" s="103"/>
      <c r="N234" s="61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</row>
    <row r="235" ht="30.0" customHeight="1">
      <c r="A235" s="103"/>
      <c r="B235" s="103"/>
      <c r="C235" s="103"/>
      <c r="D235" s="103"/>
      <c r="E235" s="103"/>
      <c r="F235" s="103"/>
      <c r="G235" s="103"/>
      <c r="H235" s="103"/>
      <c r="I235" s="103"/>
      <c r="J235" s="103"/>
      <c r="K235" s="103"/>
      <c r="L235" s="60"/>
      <c r="M235" s="103"/>
      <c r="N235" s="61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</row>
    <row r="236" ht="30.0" customHeight="1">
      <c r="A236" s="103"/>
      <c r="B236" s="103"/>
      <c r="C236" s="103"/>
      <c r="D236" s="103"/>
      <c r="E236" s="103"/>
      <c r="F236" s="103"/>
      <c r="G236" s="103"/>
      <c r="H236" s="103"/>
      <c r="I236" s="103"/>
      <c r="J236" s="103"/>
      <c r="K236" s="103"/>
      <c r="L236" s="60"/>
      <c r="M236" s="103"/>
      <c r="N236" s="61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</row>
    <row r="237" ht="30.0" customHeight="1">
      <c r="A237" s="103"/>
      <c r="B237" s="103"/>
      <c r="C237" s="103"/>
      <c r="D237" s="103"/>
      <c r="E237" s="103"/>
      <c r="F237" s="103"/>
      <c r="G237" s="103"/>
      <c r="H237" s="103"/>
      <c r="I237" s="103"/>
      <c r="J237" s="103"/>
      <c r="K237" s="103"/>
      <c r="L237" s="60"/>
      <c r="M237" s="103"/>
      <c r="N237" s="61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</row>
    <row r="238" ht="30.0" customHeight="1">
      <c r="A238" s="103"/>
      <c r="B238" s="103"/>
      <c r="C238" s="103"/>
      <c r="D238" s="103"/>
      <c r="E238" s="103"/>
      <c r="F238" s="103"/>
      <c r="G238" s="103"/>
      <c r="H238" s="103"/>
      <c r="I238" s="103"/>
      <c r="J238" s="103"/>
      <c r="K238" s="103"/>
      <c r="L238" s="60"/>
      <c r="M238" s="103"/>
      <c r="N238" s="61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</row>
    <row r="239" ht="30.0" customHeight="1">
      <c r="A239" s="103"/>
      <c r="B239" s="103"/>
      <c r="C239" s="103"/>
      <c r="D239" s="103"/>
      <c r="E239" s="103"/>
      <c r="F239" s="103"/>
      <c r="G239" s="103"/>
      <c r="H239" s="103"/>
      <c r="I239" s="103"/>
      <c r="J239" s="103"/>
      <c r="K239" s="103"/>
      <c r="L239" s="60"/>
      <c r="M239" s="103"/>
      <c r="N239" s="61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</row>
    <row r="240" ht="30.0" customHeight="1">
      <c r="A240" s="103"/>
      <c r="B240" s="103"/>
      <c r="C240" s="103"/>
      <c r="D240" s="103"/>
      <c r="E240" s="103"/>
      <c r="F240" s="103"/>
      <c r="G240" s="103"/>
      <c r="H240" s="103"/>
      <c r="I240" s="103"/>
      <c r="J240" s="103"/>
      <c r="K240" s="103"/>
      <c r="L240" s="60"/>
      <c r="M240" s="103"/>
      <c r="N240" s="61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</row>
    <row r="241" ht="30.0" customHeight="1">
      <c r="A241" s="103"/>
      <c r="B241" s="103"/>
      <c r="C241" s="103"/>
      <c r="D241" s="103"/>
      <c r="E241" s="103"/>
      <c r="F241" s="103"/>
      <c r="G241" s="103"/>
      <c r="H241" s="103"/>
      <c r="I241" s="103"/>
      <c r="J241" s="103"/>
      <c r="K241" s="103"/>
      <c r="L241" s="60"/>
      <c r="M241" s="103"/>
      <c r="N241" s="61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</row>
    <row r="242" ht="30.0" customHeight="1">
      <c r="A242" s="103"/>
      <c r="B242" s="103"/>
      <c r="C242" s="103"/>
      <c r="D242" s="103"/>
      <c r="E242" s="103"/>
      <c r="F242" s="103"/>
      <c r="G242" s="103"/>
      <c r="H242" s="103"/>
      <c r="I242" s="103"/>
      <c r="J242" s="103"/>
      <c r="K242" s="103"/>
      <c r="L242" s="60"/>
      <c r="M242" s="103"/>
      <c r="N242" s="61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</row>
    <row r="243" ht="30.0" customHeight="1">
      <c r="A243" s="103"/>
      <c r="B243" s="103"/>
      <c r="C243" s="103"/>
      <c r="D243" s="103"/>
      <c r="E243" s="103"/>
      <c r="F243" s="103"/>
      <c r="G243" s="103"/>
      <c r="H243" s="103"/>
      <c r="I243" s="103"/>
      <c r="J243" s="103"/>
      <c r="K243" s="103"/>
      <c r="L243" s="60"/>
      <c r="M243" s="103"/>
      <c r="N243" s="61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</row>
    <row r="244" ht="30.0" customHeight="1">
      <c r="A244" s="103"/>
      <c r="B244" s="103"/>
      <c r="C244" s="103"/>
      <c r="D244" s="103"/>
      <c r="E244" s="103"/>
      <c r="F244" s="103"/>
      <c r="G244" s="103"/>
      <c r="H244" s="103"/>
      <c r="I244" s="103"/>
      <c r="J244" s="103"/>
      <c r="K244" s="103"/>
      <c r="L244" s="60"/>
      <c r="M244" s="103"/>
      <c r="N244" s="61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</row>
    <row r="245" ht="30.0" customHeight="1">
      <c r="A245" s="103"/>
      <c r="B245" s="103"/>
      <c r="C245" s="103"/>
      <c r="D245" s="103"/>
      <c r="E245" s="103"/>
      <c r="F245" s="103"/>
      <c r="G245" s="103"/>
      <c r="H245" s="103"/>
      <c r="I245" s="103"/>
      <c r="J245" s="103"/>
      <c r="K245" s="103"/>
      <c r="L245" s="60"/>
      <c r="M245" s="103"/>
      <c r="N245" s="61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</row>
    <row r="246" ht="30.0" customHeight="1">
      <c r="A246" s="103"/>
      <c r="B246" s="103"/>
      <c r="C246" s="103"/>
      <c r="D246" s="103"/>
      <c r="E246" s="103"/>
      <c r="F246" s="103"/>
      <c r="G246" s="103"/>
      <c r="H246" s="103"/>
      <c r="I246" s="103"/>
      <c r="J246" s="103"/>
      <c r="K246" s="103"/>
      <c r="L246" s="60"/>
      <c r="M246" s="103"/>
      <c r="N246" s="61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</row>
    <row r="247" ht="30.0" customHeight="1">
      <c r="A247" s="103"/>
      <c r="B247" s="103"/>
      <c r="C247" s="103"/>
      <c r="D247" s="103"/>
      <c r="E247" s="103"/>
      <c r="F247" s="103"/>
      <c r="G247" s="103"/>
      <c r="H247" s="103"/>
      <c r="I247" s="103"/>
      <c r="J247" s="103"/>
      <c r="K247" s="103"/>
      <c r="L247" s="60"/>
      <c r="M247" s="103"/>
      <c r="N247" s="61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</row>
    <row r="248" ht="30.0" customHeight="1">
      <c r="A248" s="103"/>
      <c r="B248" s="103"/>
      <c r="C248" s="103"/>
      <c r="D248" s="103"/>
      <c r="E248" s="103"/>
      <c r="F248" s="103"/>
      <c r="G248" s="103"/>
      <c r="H248" s="103"/>
      <c r="I248" s="103"/>
      <c r="J248" s="103"/>
      <c r="K248" s="103"/>
      <c r="L248" s="60"/>
      <c r="M248" s="103"/>
      <c r="N248" s="61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</row>
    <row r="249" ht="30.0" customHeight="1">
      <c r="A249" s="103"/>
      <c r="B249" s="103"/>
      <c r="C249" s="103"/>
      <c r="D249" s="103"/>
      <c r="E249" s="103"/>
      <c r="F249" s="103"/>
      <c r="G249" s="103"/>
      <c r="H249" s="103"/>
      <c r="I249" s="103"/>
      <c r="J249" s="103"/>
      <c r="K249" s="103"/>
      <c r="L249" s="60"/>
      <c r="M249" s="103"/>
      <c r="N249" s="61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</row>
    <row r="250" ht="30.0" customHeight="1">
      <c r="A250" s="103"/>
      <c r="B250" s="103"/>
      <c r="C250" s="103"/>
      <c r="D250" s="103"/>
      <c r="E250" s="103"/>
      <c r="F250" s="103"/>
      <c r="G250" s="103"/>
      <c r="H250" s="103"/>
      <c r="I250" s="103"/>
      <c r="J250" s="103"/>
      <c r="K250" s="103"/>
      <c r="L250" s="60"/>
      <c r="M250" s="103"/>
      <c r="N250" s="61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</row>
    <row r="251" ht="30.0" customHeight="1">
      <c r="A251" s="103"/>
      <c r="B251" s="103"/>
      <c r="C251" s="103"/>
      <c r="D251" s="103"/>
      <c r="E251" s="103"/>
      <c r="F251" s="103"/>
      <c r="G251" s="103"/>
      <c r="H251" s="103"/>
      <c r="I251" s="103"/>
      <c r="J251" s="103"/>
      <c r="K251" s="103"/>
      <c r="L251" s="60"/>
      <c r="M251" s="103"/>
      <c r="N251" s="61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</row>
    <row r="252" ht="30.0" customHeight="1">
      <c r="A252" s="103"/>
      <c r="B252" s="103"/>
      <c r="C252" s="103"/>
      <c r="D252" s="103"/>
      <c r="E252" s="103"/>
      <c r="F252" s="103"/>
      <c r="G252" s="103"/>
      <c r="H252" s="103"/>
      <c r="I252" s="103"/>
      <c r="J252" s="103"/>
      <c r="K252" s="103"/>
      <c r="L252" s="60"/>
      <c r="M252" s="103"/>
      <c r="N252" s="61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</row>
    <row r="253" ht="30.0" customHeight="1">
      <c r="A253" s="103"/>
      <c r="B253" s="103"/>
      <c r="C253" s="103"/>
      <c r="D253" s="103"/>
      <c r="E253" s="103"/>
      <c r="F253" s="103"/>
      <c r="G253" s="103"/>
      <c r="H253" s="103"/>
      <c r="I253" s="103"/>
      <c r="J253" s="103"/>
      <c r="K253" s="103"/>
      <c r="L253" s="60"/>
      <c r="M253" s="103"/>
      <c r="N253" s="61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</row>
    <row r="254" ht="30.0" customHeight="1">
      <c r="A254" s="103"/>
      <c r="B254" s="103"/>
      <c r="C254" s="103"/>
      <c r="D254" s="103"/>
      <c r="E254" s="103"/>
      <c r="F254" s="103"/>
      <c r="G254" s="103"/>
      <c r="H254" s="103"/>
      <c r="I254" s="103"/>
      <c r="J254" s="103"/>
      <c r="K254" s="103"/>
      <c r="L254" s="60"/>
      <c r="M254" s="103"/>
      <c r="N254" s="61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</row>
    <row r="255" ht="30.0" customHeight="1">
      <c r="A255" s="103"/>
      <c r="B255" s="103"/>
      <c r="C255" s="103"/>
      <c r="D255" s="103"/>
      <c r="E255" s="103"/>
      <c r="F255" s="103"/>
      <c r="G255" s="103"/>
      <c r="H255" s="103"/>
      <c r="I255" s="103"/>
      <c r="J255" s="103"/>
      <c r="K255" s="103"/>
      <c r="L255" s="60"/>
      <c r="M255" s="103"/>
      <c r="N255" s="61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</row>
    <row r="256" ht="30.0" customHeight="1">
      <c r="A256" s="103"/>
      <c r="B256" s="103"/>
      <c r="C256" s="103"/>
      <c r="D256" s="103"/>
      <c r="E256" s="103"/>
      <c r="F256" s="103"/>
      <c r="G256" s="103"/>
      <c r="H256" s="103"/>
      <c r="I256" s="103"/>
      <c r="J256" s="103"/>
      <c r="K256" s="103"/>
      <c r="L256" s="60"/>
      <c r="M256" s="103"/>
      <c r="N256" s="61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</row>
    <row r="257" ht="30.0" customHeight="1">
      <c r="A257" s="103"/>
      <c r="B257" s="103"/>
      <c r="C257" s="103"/>
      <c r="D257" s="103"/>
      <c r="E257" s="103"/>
      <c r="F257" s="103"/>
      <c r="G257" s="103"/>
      <c r="H257" s="103"/>
      <c r="I257" s="103"/>
      <c r="J257" s="103"/>
      <c r="K257" s="103"/>
      <c r="L257" s="60"/>
      <c r="M257" s="103"/>
      <c r="N257" s="61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</row>
    <row r="258" ht="30.0" customHeight="1">
      <c r="A258" s="103"/>
      <c r="B258" s="103"/>
      <c r="C258" s="103"/>
      <c r="D258" s="103"/>
      <c r="E258" s="103"/>
      <c r="F258" s="103"/>
      <c r="G258" s="103"/>
      <c r="H258" s="103"/>
      <c r="I258" s="103"/>
      <c r="J258" s="103"/>
      <c r="K258" s="103"/>
      <c r="L258" s="60"/>
      <c r="M258" s="103"/>
      <c r="N258" s="61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</row>
    <row r="259" ht="30.0" customHeight="1">
      <c r="A259" s="103"/>
      <c r="B259" s="103"/>
      <c r="C259" s="103"/>
      <c r="D259" s="103"/>
      <c r="E259" s="103"/>
      <c r="F259" s="103"/>
      <c r="G259" s="103"/>
      <c r="H259" s="103"/>
      <c r="I259" s="103"/>
      <c r="J259" s="103"/>
      <c r="K259" s="103"/>
      <c r="L259" s="60"/>
      <c r="M259" s="103"/>
      <c r="N259" s="61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</row>
    <row r="260" ht="30.0" customHeight="1">
      <c r="A260" s="103"/>
      <c r="B260" s="103"/>
      <c r="C260" s="103"/>
      <c r="D260" s="103"/>
      <c r="E260" s="103"/>
      <c r="F260" s="103"/>
      <c r="G260" s="103"/>
      <c r="H260" s="103"/>
      <c r="I260" s="103"/>
      <c r="J260" s="103"/>
      <c r="K260" s="103"/>
      <c r="L260" s="60"/>
      <c r="M260" s="103"/>
      <c r="N260" s="61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</row>
    <row r="261" ht="30.0" customHeight="1">
      <c r="A261" s="103"/>
      <c r="B261" s="103"/>
      <c r="C261" s="103"/>
      <c r="D261" s="103"/>
      <c r="E261" s="103"/>
      <c r="F261" s="103"/>
      <c r="G261" s="103"/>
      <c r="H261" s="103"/>
      <c r="I261" s="103"/>
      <c r="J261" s="103"/>
      <c r="K261" s="103"/>
      <c r="L261" s="60"/>
      <c r="M261" s="103"/>
      <c r="N261" s="61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</row>
    <row r="262" ht="30.0" customHeight="1">
      <c r="A262" s="103"/>
      <c r="B262" s="103"/>
      <c r="C262" s="103"/>
      <c r="D262" s="103"/>
      <c r="E262" s="103"/>
      <c r="F262" s="103"/>
      <c r="G262" s="103"/>
      <c r="H262" s="103"/>
      <c r="I262" s="103"/>
      <c r="J262" s="103"/>
      <c r="K262" s="103"/>
      <c r="L262" s="60"/>
      <c r="M262" s="103"/>
      <c r="N262" s="61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</row>
    <row r="263" ht="30.0" customHeight="1">
      <c r="A263" s="103"/>
      <c r="B263" s="103"/>
      <c r="C263" s="103"/>
      <c r="D263" s="103"/>
      <c r="E263" s="103"/>
      <c r="F263" s="103"/>
      <c r="G263" s="103"/>
      <c r="H263" s="103"/>
      <c r="I263" s="103"/>
      <c r="J263" s="103"/>
      <c r="K263" s="103"/>
      <c r="L263" s="60"/>
      <c r="M263" s="103"/>
      <c r="N263" s="61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</row>
    <row r="264" ht="30.0" customHeight="1">
      <c r="A264" s="103"/>
      <c r="B264" s="103"/>
      <c r="C264" s="103"/>
      <c r="D264" s="103"/>
      <c r="E264" s="103"/>
      <c r="F264" s="103"/>
      <c r="G264" s="103"/>
      <c r="H264" s="103"/>
      <c r="I264" s="103"/>
      <c r="J264" s="103"/>
      <c r="K264" s="103"/>
      <c r="L264" s="60"/>
      <c r="M264" s="103"/>
      <c r="N264" s="61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</row>
    <row r="265" ht="30.0" customHeight="1">
      <c r="A265" s="103"/>
      <c r="B265" s="103"/>
      <c r="C265" s="103"/>
      <c r="D265" s="103"/>
      <c r="E265" s="103"/>
      <c r="F265" s="103"/>
      <c r="G265" s="103"/>
      <c r="H265" s="103"/>
      <c r="I265" s="103"/>
      <c r="J265" s="103"/>
      <c r="K265" s="103"/>
      <c r="L265" s="60"/>
      <c r="M265" s="103"/>
      <c r="N265" s="61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</row>
    <row r="266" ht="30.0" customHeight="1">
      <c r="A266" s="103"/>
      <c r="B266" s="103"/>
      <c r="C266" s="103"/>
      <c r="D266" s="103"/>
      <c r="E266" s="103"/>
      <c r="F266" s="103"/>
      <c r="G266" s="103"/>
      <c r="H266" s="103"/>
      <c r="I266" s="103"/>
      <c r="J266" s="103"/>
      <c r="K266" s="103"/>
      <c r="L266" s="60"/>
      <c r="M266" s="103"/>
      <c r="N266" s="61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</row>
    <row r="267" ht="30.0" customHeight="1">
      <c r="A267" s="103"/>
      <c r="B267" s="103"/>
      <c r="C267" s="103"/>
      <c r="D267" s="103"/>
      <c r="E267" s="103"/>
      <c r="F267" s="103"/>
      <c r="G267" s="103"/>
      <c r="H267" s="103"/>
      <c r="I267" s="103"/>
      <c r="J267" s="103"/>
      <c r="K267" s="103"/>
      <c r="L267" s="60"/>
      <c r="M267" s="103"/>
      <c r="N267" s="61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</row>
    <row r="268" ht="30.0" customHeight="1">
      <c r="A268" s="103"/>
      <c r="B268" s="103"/>
      <c r="C268" s="103"/>
      <c r="D268" s="103"/>
      <c r="E268" s="103"/>
      <c r="F268" s="103"/>
      <c r="G268" s="103"/>
      <c r="H268" s="103"/>
      <c r="I268" s="103"/>
      <c r="J268" s="103"/>
      <c r="K268" s="103"/>
      <c r="L268" s="60"/>
      <c r="M268" s="103"/>
      <c r="N268" s="61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</row>
    <row r="269" ht="30.0" customHeight="1">
      <c r="A269" s="103"/>
      <c r="B269" s="103"/>
      <c r="C269" s="103"/>
      <c r="D269" s="103"/>
      <c r="E269" s="103"/>
      <c r="F269" s="103"/>
      <c r="G269" s="103"/>
      <c r="H269" s="103"/>
      <c r="I269" s="103"/>
      <c r="J269" s="103"/>
      <c r="K269" s="103"/>
      <c r="L269" s="60"/>
      <c r="M269" s="103"/>
      <c r="N269" s="61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</row>
    <row r="270" ht="30.0" customHeight="1">
      <c r="A270" s="103"/>
      <c r="B270" s="103"/>
      <c r="C270" s="103"/>
      <c r="D270" s="103"/>
      <c r="E270" s="103"/>
      <c r="F270" s="103"/>
      <c r="G270" s="103"/>
      <c r="H270" s="103"/>
      <c r="I270" s="103"/>
      <c r="J270" s="103"/>
      <c r="K270" s="103"/>
      <c r="L270" s="60"/>
      <c r="M270" s="103"/>
      <c r="N270" s="61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</row>
    <row r="271" ht="30.0" customHeight="1">
      <c r="A271" s="103"/>
      <c r="B271" s="103"/>
      <c r="C271" s="103"/>
      <c r="D271" s="103"/>
      <c r="E271" s="103"/>
      <c r="F271" s="103"/>
      <c r="G271" s="103"/>
      <c r="H271" s="103"/>
      <c r="I271" s="103"/>
      <c r="J271" s="103"/>
      <c r="K271" s="103"/>
      <c r="L271" s="60"/>
      <c r="M271" s="103"/>
      <c r="N271" s="61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</row>
    <row r="272" ht="30.0" customHeight="1">
      <c r="A272" s="103"/>
      <c r="B272" s="103"/>
      <c r="C272" s="103"/>
      <c r="D272" s="103"/>
      <c r="E272" s="103"/>
      <c r="F272" s="103"/>
      <c r="G272" s="103"/>
      <c r="H272" s="103"/>
      <c r="I272" s="103"/>
      <c r="J272" s="103"/>
      <c r="K272" s="103"/>
      <c r="L272" s="60"/>
      <c r="M272" s="103"/>
      <c r="N272" s="61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</row>
    <row r="273" ht="30.0" customHeight="1">
      <c r="A273" s="103"/>
      <c r="B273" s="103"/>
      <c r="C273" s="103"/>
      <c r="D273" s="103"/>
      <c r="E273" s="103"/>
      <c r="F273" s="103"/>
      <c r="G273" s="103"/>
      <c r="H273" s="103"/>
      <c r="I273" s="103"/>
      <c r="J273" s="103"/>
      <c r="K273" s="103"/>
      <c r="L273" s="60"/>
      <c r="M273" s="103"/>
      <c r="N273" s="61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</row>
    <row r="274" ht="30.0" customHeight="1">
      <c r="A274" s="103"/>
      <c r="B274" s="103"/>
      <c r="C274" s="103"/>
      <c r="D274" s="103"/>
      <c r="E274" s="103"/>
      <c r="F274" s="103"/>
      <c r="G274" s="103"/>
      <c r="H274" s="103"/>
      <c r="I274" s="103"/>
      <c r="J274" s="103"/>
      <c r="K274" s="103"/>
      <c r="L274" s="60"/>
      <c r="M274" s="103"/>
      <c r="N274" s="61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</row>
    <row r="275" ht="30.0" customHeight="1">
      <c r="A275" s="103"/>
      <c r="B275" s="103"/>
      <c r="C275" s="103"/>
      <c r="D275" s="103"/>
      <c r="E275" s="103"/>
      <c r="F275" s="103"/>
      <c r="G275" s="103"/>
      <c r="H275" s="103"/>
      <c r="I275" s="103"/>
      <c r="J275" s="103"/>
      <c r="K275" s="103"/>
      <c r="L275" s="60"/>
      <c r="M275" s="103"/>
      <c r="N275" s="61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</row>
    <row r="276" ht="30.0" customHeight="1">
      <c r="A276" s="103"/>
      <c r="B276" s="103"/>
      <c r="C276" s="103"/>
      <c r="D276" s="103"/>
      <c r="E276" s="103"/>
      <c r="F276" s="103"/>
      <c r="G276" s="103"/>
      <c r="H276" s="103"/>
      <c r="I276" s="103"/>
      <c r="J276" s="103"/>
      <c r="K276" s="103"/>
      <c r="L276" s="60"/>
      <c r="M276" s="103"/>
      <c r="N276" s="61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</row>
    <row r="277" ht="30.0" customHeight="1">
      <c r="A277" s="103"/>
      <c r="B277" s="103"/>
      <c r="C277" s="103"/>
      <c r="D277" s="103"/>
      <c r="E277" s="103"/>
      <c r="F277" s="103"/>
      <c r="G277" s="103"/>
      <c r="H277" s="103"/>
      <c r="I277" s="103"/>
      <c r="J277" s="103"/>
      <c r="K277" s="103"/>
      <c r="L277" s="60"/>
      <c r="M277" s="103"/>
      <c r="N277" s="61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</row>
    <row r="278" ht="30.0" customHeight="1">
      <c r="A278" s="103"/>
      <c r="B278" s="103"/>
      <c r="C278" s="103"/>
      <c r="D278" s="103"/>
      <c r="E278" s="103"/>
      <c r="F278" s="103"/>
      <c r="G278" s="103"/>
      <c r="H278" s="103"/>
      <c r="I278" s="103"/>
      <c r="J278" s="103"/>
      <c r="K278" s="103"/>
      <c r="L278" s="60"/>
      <c r="M278" s="103"/>
      <c r="N278" s="61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</row>
    <row r="279" ht="30.0" customHeight="1">
      <c r="A279" s="103"/>
      <c r="B279" s="103"/>
      <c r="C279" s="103"/>
      <c r="D279" s="103"/>
      <c r="E279" s="103"/>
      <c r="F279" s="103"/>
      <c r="G279" s="103"/>
      <c r="H279" s="103"/>
      <c r="I279" s="103"/>
      <c r="J279" s="103"/>
      <c r="K279" s="103"/>
      <c r="L279" s="60"/>
      <c r="M279" s="103"/>
      <c r="N279" s="61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</row>
    <row r="280" ht="30.0" customHeight="1">
      <c r="A280" s="103"/>
      <c r="B280" s="103"/>
      <c r="C280" s="103"/>
      <c r="D280" s="103"/>
      <c r="E280" s="103"/>
      <c r="F280" s="103"/>
      <c r="G280" s="103"/>
      <c r="H280" s="103"/>
      <c r="I280" s="103"/>
      <c r="J280" s="103"/>
      <c r="K280" s="103"/>
      <c r="L280" s="60"/>
      <c r="M280" s="103"/>
      <c r="N280" s="61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</row>
    <row r="281" ht="30.0" customHeight="1">
      <c r="A281" s="103"/>
      <c r="B281" s="103"/>
      <c r="C281" s="103"/>
      <c r="D281" s="103"/>
      <c r="E281" s="103"/>
      <c r="F281" s="103"/>
      <c r="G281" s="103"/>
      <c r="H281" s="103"/>
      <c r="I281" s="103"/>
      <c r="J281" s="103"/>
      <c r="K281" s="103"/>
      <c r="L281" s="60"/>
      <c r="M281" s="103"/>
      <c r="N281" s="61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</row>
    <row r="282" ht="30.0" customHeight="1">
      <c r="A282" s="103"/>
      <c r="B282" s="103"/>
      <c r="C282" s="103"/>
      <c r="D282" s="103"/>
      <c r="E282" s="103"/>
      <c r="F282" s="103"/>
      <c r="G282" s="103"/>
      <c r="H282" s="103"/>
      <c r="I282" s="103"/>
      <c r="J282" s="103"/>
      <c r="K282" s="103"/>
      <c r="L282" s="60"/>
      <c r="M282" s="103"/>
      <c r="N282" s="61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</row>
    <row r="283" ht="30.0" customHeight="1">
      <c r="A283" s="103"/>
      <c r="B283" s="103"/>
      <c r="C283" s="103"/>
      <c r="D283" s="103"/>
      <c r="E283" s="103"/>
      <c r="F283" s="103"/>
      <c r="G283" s="103"/>
      <c r="H283" s="103"/>
      <c r="I283" s="103"/>
      <c r="J283" s="103"/>
      <c r="K283" s="103"/>
      <c r="L283" s="60"/>
      <c r="M283" s="103"/>
      <c r="N283" s="61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</row>
    <row r="284" ht="30.0" customHeight="1">
      <c r="A284" s="103"/>
      <c r="B284" s="103"/>
      <c r="C284" s="103"/>
      <c r="D284" s="103"/>
      <c r="E284" s="103"/>
      <c r="F284" s="103"/>
      <c r="G284" s="103"/>
      <c r="H284" s="103"/>
      <c r="I284" s="103"/>
      <c r="J284" s="103"/>
      <c r="K284" s="103"/>
      <c r="L284" s="60"/>
      <c r="M284" s="103"/>
      <c r="N284" s="61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</row>
    <row r="285" ht="30.0" customHeight="1">
      <c r="A285" s="103"/>
      <c r="B285" s="103"/>
      <c r="C285" s="103"/>
      <c r="D285" s="103"/>
      <c r="E285" s="103"/>
      <c r="F285" s="103"/>
      <c r="G285" s="103"/>
      <c r="H285" s="103"/>
      <c r="I285" s="103"/>
      <c r="J285" s="103"/>
      <c r="K285" s="103"/>
      <c r="L285" s="60"/>
      <c r="M285" s="103"/>
      <c r="N285" s="61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</row>
    <row r="286" ht="30.0" customHeight="1">
      <c r="A286" s="103"/>
      <c r="B286" s="103"/>
      <c r="C286" s="103"/>
      <c r="D286" s="103"/>
      <c r="E286" s="103"/>
      <c r="F286" s="103"/>
      <c r="G286" s="103"/>
      <c r="H286" s="103"/>
      <c r="I286" s="103"/>
      <c r="J286" s="103"/>
      <c r="K286" s="103"/>
      <c r="L286" s="60"/>
      <c r="M286" s="103"/>
      <c r="N286" s="61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</row>
    <row r="287" ht="30.0" customHeight="1">
      <c r="A287" s="103"/>
      <c r="B287" s="103"/>
      <c r="C287" s="103"/>
      <c r="D287" s="103"/>
      <c r="E287" s="103"/>
      <c r="F287" s="103"/>
      <c r="G287" s="103"/>
      <c r="H287" s="103"/>
      <c r="I287" s="103"/>
      <c r="J287" s="103"/>
      <c r="K287" s="103"/>
      <c r="L287" s="60"/>
      <c r="M287" s="103"/>
      <c r="N287" s="61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</row>
    <row r="288" ht="30.0" customHeight="1">
      <c r="A288" s="103"/>
      <c r="B288" s="103"/>
      <c r="C288" s="103"/>
      <c r="D288" s="103"/>
      <c r="E288" s="103"/>
      <c r="F288" s="103"/>
      <c r="G288" s="103"/>
      <c r="H288" s="103"/>
      <c r="I288" s="103"/>
      <c r="J288" s="103"/>
      <c r="K288" s="103"/>
      <c r="L288" s="60"/>
      <c r="M288" s="103"/>
      <c r="N288" s="61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</row>
    <row r="289" ht="30.0" customHeight="1">
      <c r="A289" s="103"/>
      <c r="B289" s="103"/>
      <c r="C289" s="103"/>
      <c r="D289" s="103"/>
      <c r="E289" s="103"/>
      <c r="F289" s="103"/>
      <c r="G289" s="103"/>
      <c r="H289" s="103"/>
      <c r="I289" s="103"/>
      <c r="J289" s="103"/>
      <c r="K289" s="103"/>
      <c r="L289" s="60"/>
      <c r="M289" s="103"/>
      <c r="N289" s="61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</row>
    <row r="290" ht="30.0" customHeight="1">
      <c r="A290" s="103"/>
      <c r="B290" s="103"/>
      <c r="C290" s="103"/>
      <c r="D290" s="103"/>
      <c r="E290" s="103"/>
      <c r="F290" s="103"/>
      <c r="G290" s="103"/>
      <c r="H290" s="103"/>
      <c r="I290" s="103"/>
      <c r="J290" s="103"/>
      <c r="K290" s="103"/>
      <c r="L290" s="60"/>
      <c r="M290" s="103"/>
      <c r="N290" s="61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</row>
    <row r="291" ht="30.0" customHeight="1">
      <c r="A291" s="103"/>
      <c r="B291" s="103"/>
      <c r="C291" s="103"/>
      <c r="D291" s="103"/>
      <c r="E291" s="103"/>
      <c r="F291" s="103"/>
      <c r="G291" s="103"/>
      <c r="H291" s="103"/>
      <c r="I291" s="103"/>
      <c r="J291" s="103"/>
      <c r="K291" s="103"/>
      <c r="L291" s="60"/>
      <c r="M291" s="103"/>
      <c r="N291" s="61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</row>
    <row r="292" ht="30.0" customHeight="1">
      <c r="A292" s="103"/>
      <c r="B292" s="103"/>
      <c r="C292" s="103"/>
      <c r="D292" s="103"/>
      <c r="E292" s="103"/>
      <c r="F292" s="103"/>
      <c r="G292" s="103"/>
      <c r="H292" s="103"/>
      <c r="I292" s="103"/>
      <c r="J292" s="103"/>
      <c r="K292" s="103"/>
      <c r="L292" s="60"/>
      <c r="M292" s="103"/>
      <c r="N292" s="61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</row>
    <row r="293" ht="30.0" customHeight="1">
      <c r="A293" s="103"/>
      <c r="B293" s="103"/>
      <c r="C293" s="103"/>
      <c r="D293" s="103"/>
      <c r="E293" s="103"/>
      <c r="F293" s="103"/>
      <c r="G293" s="103"/>
      <c r="H293" s="103"/>
      <c r="I293" s="103"/>
      <c r="J293" s="103"/>
      <c r="K293" s="103"/>
      <c r="L293" s="60"/>
      <c r="M293" s="103"/>
      <c r="N293" s="61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</row>
    <row r="294" ht="30.0" customHeight="1">
      <c r="A294" s="103"/>
      <c r="B294" s="103"/>
      <c r="C294" s="103"/>
      <c r="D294" s="103"/>
      <c r="E294" s="103"/>
      <c r="F294" s="103"/>
      <c r="G294" s="103"/>
      <c r="H294" s="103"/>
      <c r="I294" s="103"/>
      <c r="J294" s="103"/>
      <c r="K294" s="103"/>
      <c r="L294" s="60"/>
      <c r="M294" s="103"/>
      <c r="N294" s="61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</row>
    <row r="295" ht="30.0" customHeight="1">
      <c r="A295" s="103"/>
      <c r="B295" s="103"/>
      <c r="C295" s="103"/>
      <c r="D295" s="103"/>
      <c r="E295" s="103"/>
      <c r="F295" s="103"/>
      <c r="G295" s="103"/>
      <c r="H295" s="103"/>
      <c r="I295" s="103"/>
      <c r="J295" s="103"/>
      <c r="K295" s="103"/>
      <c r="L295" s="60"/>
      <c r="M295" s="103"/>
      <c r="N295" s="61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</row>
    <row r="296" ht="30.0" customHeight="1">
      <c r="A296" s="103"/>
      <c r="B296" s="103"/>
      <c r="C296" s="103"/>
      <c r="D296" s="103"/>
      <c r="E296" s="103"/>
      <c r="F296" s="103"/>
      <c r="G296" s="103"/>
      <c r="H296" s="103"/>
      <c r="I296" s="103"/>
      <c r="J296" s="103"/>
      <c r="K296" s="103"/>
      <c r="L296" s="60"/>
      <c r="M296" s="103"/>
      <c r="N296" s="61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</row>
    <row r="297" ht="30.0" customHeight="1">
      <c r="A297" s="103"/>
      <c r="B297" s="103"/>
      <c r="C297" s="103"/>
      <c r="D297" s="103"/>
      <c r="E297" s="103"/>
      <c r="F297" s="103"/>
      <c r="G297" s="103"/>
      <c r="H297" s="103"/>
      <c r="I297" s="103"/>
      <c r="J297" s="103"/>
      <c r="K297" s="103"/>
      <c r="L297" s="60"/>
      <c r="M297" s="103"/>
      <c r="N297" s="61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</row>
    <row r="298" ht="30.0" customHeight="1">
      <c r="A298" s="103"/>
      <c r="B298" s="103"/>
      <c r="C298" s="103"/>
      <c r="D298" s="103"/>
      <c r="E298" s="103"/>
      <c r="F298" s="103"/>
      <c r="G298" s="103"/>
      <c r="H298" s="103"/>
      <c r="I298" s="103"/>
      <c r="J298" s="103"/>
      <c r="K298" s="103"/>
      <c r="L298" s="60"/>
      <c r="M298" s="103"/>
      <c r="N298" s="61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</row>
    <row r="299" ht="30.0" customHeight="1">
      <c r="A299" s="103"/>
      <c r="B299" s="103"/>
      <c r="C299" s="103"/>
      <c r="D299" s="103"/>
      <c r="E299" s="103"/>
      <c r="F299" s="103"/>
      <c r="G299" s="103"/>
      <c r="H299" s="103"/>
      <c r="I299" s="103"/>
      <c r="J299" s="103"/>
      <c r="K299" s="103"/>
      <c r="L299" s="60"/>
      <c r="M299" s="103"/>
      <c r="N299" s="61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</row>
    <row r="300" ht="30.0" customHeight="1">
      <c r="A300" s="103"/>
      <c r="B300" s="103"/>
      <c r="C300" s="103"/>
      <c r="D300" s="103"/>
      <c r="E300" s="103"/>
      <c r="F300" s="103"/>
      <c r="G300" s="103"/>
      <c r="H300" s="103"/>
      <c r="I300" s="103"/>
      <c r="J300" s="103"/>
      <c r="K300" s="103"/>
      <c r="L300" s="60"/>
      <c r="M300" s="103"/>
      <c r="N300" s="61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</row>
    <row r="301" ht="30.0" customHeight="1">
      <c r="A301" s="103"/>
      <c r="B301" s="103"/>
      <c r="C301" s="103"/>
      <c r="D301" s="103"/>
      <c r="E301" s="103"/>
      <c r="F301" s="103"/>
      <c r="G301" s="103"/>
      <c r="H301" s="103"/>
      <c r="I301" s="103"/>
      <c r="J301" s="103"/>
      <c r="K301" s="103"/>
      <c r="L301" s="60"/>
      <c r="M301" s="103"/>
      <c r="N301" s="61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</row>
    <row r="302" ht="30.0" customHeight="1">
      <c r="A302" s="103"/>
      <c r="B302" s="103"/>
      <c r="C302" s="103"/>
      <c r="D302" s="103"/>
      <c r="E302" s="103"/>
      <c r="F302" s="103"/>
      <c r="G302" s="103"/>
      <c r="H302" s="103"/>
      <c r="I302" s="103"/>
      <c r="J302" s="103"/>
      <c r="K302" s="103"/>
      <c r="L302" s="60"/>
      <c r="M302" s="103"/>
      <c r="N302" s="61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</row>
    <row r="303" ht="30.0" customHeight="1">
      <c r="A303" s="103"/>
      <c r="B303" s="103"/>
      <c r="C303" s="103"/>
      <c r="D303" s="103"/>
      <c r="E303" s="103"/>
      <c r="F303" s="103"/>
      <c r="G303" s="103"/>
      <c r="H303" s="103"/>
      <c r="I303" s="103"/>
      <c r="J303" s="103"/>
      <c r="K303" s="103"/>
      <c r="L303" s="60"/>
      <c r="M303" s="103"/>
      <c r="N303" s="61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</row>
    <row r="304" ht="30.0" customHeight="1">
      <c r="A304" s="103"/>
      <c r="B304" s="103"/>
      <c r="C304" s="103"/>
      <c r="D304" s="103"/>
      <c r="E304" s="103"/>
      <c r="F304" s="103"/>
      <c r="G304" s="103"/>
      <c r="H304" s="103"/>
      <c r="I304" s="103"/>
      <c r="J304" s="103"/>
      <c r="K304" s="103"/>
      <c r="L304" s="60"/>
      <c r="M304" s="103"/>
      <c r="N304" s="61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</row>
    <row r="305" ht="30.0" customHeight="1">
      <c r="A305" s="103"/>
      <c r="B305" s="103"/>
      <c r="C305" s="103"/>
      <c r="D305" s="103"/>
      <c r="E305" s="103"/>
      <c r="F305" s="103"/>
      <c r="G305" s="103"/>
      <c r="H305" s="103"/>
      <c r="I305" s="103"/>
      <c r="J305" s="103"/>
      <c r="K305" s="103"/>
      <c r="L305" s="60"/>
      <c r="M305" s="103"/>
      <c r="N305" s="61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</row>
    <row r="306" ht="30.0" customHeight="1">
      <c r="A306" s="103"/>
      <c r="B306" s="103"/>
      <c r="C306" s="103"/>
      <c r="D306" s="103"/>
      <c r="E306" s="103"/>
      <c r="F306" s="103"/>
      <c r="G306" s="103"/>
      <c r="H306" s="103"/>
      <c r="I306" s="103"/>
      <c r="J306" s="103"/>
      <c r="K306" s="103"/>
      <c r="L306" s="60"/>
      <c r="M306" s="103"/>
      <c r="N306" s="61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</row>
    <row r="307" ht="30.0" customHeight="1">
      <c r="A307" s="103"/>
      <c r="B307" s="103"/>
      <c r="C307" s="103"/>
      <c r="D307" s="103"/>
      <c r="E307" s="103"/>
      <c r="F307" s="103"/>
      <c r="G307" s="103"/>
      <c r="H307" s="103"/>
      <c r="I307" s="103"/>
      <c r="J307" s="103"/>
      <c r="K307" s="103"/>
      <c r="L307" s="60"/>
      <c r="M307" s="103"/>
      <c r="N307" s="61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</row>
    <row r="308" ht="30.0" customHeight="1">
      <c r="A308" s="103"/>
      <c r="B308" s="103"/>
      <c r="C308" s="103"/>
      <c r="D308" s="103"/>
      <c r="E308" s="103"/>
      <c r="F308" s="103"/>
      <c r="G308" s="103"/>
      <c r="H308" s="103"/>
      <c r="I308" s="103"/>
      <c r="J308" s="103"/>
      <c r="K308" s="103"/>
      <c r="L308" s="60"/>
      <c r="M308" s="103"/>
      <c r="N308" s="61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</row>
    <row r="309" ht="30.0" customHeight="1">
      <c r="A309" s="103"/>
      <c r="B309" s="103"/>
      <c r="C309" s="103"/>
      <c r="D309" s="103"/>
      <c r="E309" s="103"/>
      <c r="F309" s="103"/>
      <c r="G309" s="103"/>
      <c r="H309" s="103"/>
      <c r="I309" s="103"/>
      <c r="J309" s="103"/>
      <c r="K309" s="103"/>
      <c r="L309" s="60"/>
      <c r="M309" s="103"/>
      <c r="N309" s="61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</row>
    <row r="310" ht="30.0" customHeight="1">
      <c r="A310" s="103"/>
      <c r="B310" s="103"/>
      <c r="C310" s="103"/>
      <c r="D310" s="103"/>
      <c r="E310" s="103"/>
      <c r="F310" s="103"/>
      <c r="G310" s="103"/>
      <c r="H310" s="103"/>
      <c r="I310" s="103"/>
      <c r="J310" s="103"/>
      <c r="K310" s="103"/>
      <c r="L310" s="60"/>
      <c r="M310" s="103"/>
      <c r="N310" s="61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</row>
    <row r="311" ht="30.0" customHeight="1">
      <c r="A311" s="103"/>
      <c r="B311" s="103"/>
      <c r="C311" s="103"/>
      <c r="D311" s="103"/>
      <c r="E311" s="103"/>
      <c r="F311" s="103"/>
      <c r="G311" s="103"/>
      <c r="H311" s="103"/>
      <c r="I311" s="103"/>
      <c r="J311" s="103"/>
      <c r="K311" s="103"/>
      <c r="L311" s="60"/>
      <c r="M311" s="103"/>
      <c r="N311" s="61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</row>
    <row r="312" ht="30.0" customHeight="1">
      <c r="A312" s="103"/>
      <c r="B312" s="103"/>
      <c r="C312" s="103"/>
      <c r="D312" s="103"/>
      <c r="E312" s="103"/>
      <c r="F312" s="103"/>
      <c r="G312" s="103"/>
      <c r="H312" s="103"/>
      <c r="I312" s="103"/>
      <c r="J312" s="103"/>
      <c r="K312" s="103"/>
      <c r="L312" s="60"/>
      <c r="M312" s="103"/>
      <c r="N312" s="61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</row>
    <row r="313" ht="30.0" customHeight="1">
      <c r="A313" s="103"/>
      <c r="B313" s="103"/>
      <c r="C313" s="103"/>
      <c r="D313" s="103"/>
      <c r="E313" s="103"/>
      <c r="F313" s="103"/>
      <c r="G313" s="103"/>
      <c r="H313" s="103"/>
      <c r="I313" s="103"/>
      <c r="J313" s="103"/>
      <c r="K313" s="103"/>
      <c r="L313" s="60"/>
      <c r="M313" s="103"/>
      <c r="N313" s="61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</row>
    <row r="314" ht="30.0" customHeight="1">
      <c r="A314" s="103"/>
      <c r="B314" s="103"/>
      <c r="C314" s="103"/>
      <c r="D314" s="103"/>
      <c r="E314" s="103"/>
      <c r="F314" s="103"/>
      <c r="G314" s="103"/>
      <c r="H314" s="103"/>
      <c r="I314" s="103"/>
      <c r="J314" s="103"/>
      <c r="K314" s="103"/>
      <c r="L314" s="60"/>
      <c r="M314" s="103"/>
      <c r="N314" s="61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</row>
    <row r="315" ht="30.0" customHeight="1">
      <c r="A315" s="103"/>
      <c r="B315" s="103"/>
      <c r="C315" s="103"/>
      <c r="D315" s="103"/>
      <c r="E315" s="103"/>
      <c r="F315" s="103"/>
      <c r="G315" s="103"/>
      <c r="H315" s="103"/>
      <c r="I315" s="103"/>
      <c r="J315" s="103"/>
      <c r="K315" s="103"/>
      <c r="L315" s="60"/>
      <c r="M315" s="103"/>
      <c r="N315" s="61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</row>
    <row r="316" ht="30.0" customHeight="1">
      <c r="A316" s="103"/>
      <c r="B316" s="103"/>
      <c r="C316" s="103"/>
      <c r="D316" s="103"/>
      <c r="E316" s="103"/>
      <c r="F316" s="103"/>
      <c r="G316" s="103"/>
      <c r="H316" s="103"/>
      <c r="I316" s="103"/>
      <c r="J316" s="103"/>
      <c r="K316" s="103"/>
      <c r="L316" s="60"/>
      <c r="M316" s="103"/>
      <c r="N316" s="61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</row>
    <row r="317" ht="30.0" customHeight="1">
      <c r="A317" s="103"/>
      <c r="B317" s="103"/>
      <c r="C317" s="103"/>
      <c r="D317" s="103"/>
      <c r="E317" s="103"/>
      <c r="F317" s="103"/>
      <c r="G317" s="103"/>
      <c r="H317" s="103"/>
      <c r="I317" s="103"/>
      <c r="J317" s="103"/>
      <c r="K317" s="103"/>
      <c r="L317" s="60"/>
      <c r="M317" s="103"/>
      <c r="N317" s="61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</row>
    <row r="318" ht="30.0" customHeight="1">
      <c r="A318" s="103"/>
      <c r="B318" s="103"/>
      <c r="C318" s="103"/>
      <c r="D318" s="103"/>
      <c r="E318" s="103"/>
      <c r="F318" s="103"/>
      <c r="G318" s="103"/>
      <c r="H318" s="103"/>
      <c r="I318" s="103"/>
      <c r="J318" s="103"/>
      <c r="K318" s="103"/>
      <c r="L318" s="60"/>
      <c r="M318" s="103"/>
      <c r="N318" s="61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</row>
    <row r="319" ht="30.0" customHeight="1">
      <c r="A319" s="103"/>
      <c r="B319" s="103"/>
      <c r="C319" s="103"/>
      <c r="D319" s="103"/>
      <c r="E319" s="103"/>
      <c r="F319" s="103"/>
      <c r="G319" s="103"/>
      <c r="H319" s="103"/>
      <c r="I319" s="103"/>
      <c r="J319" s="103"/>
      <c r="K319" s="103"/>
      <c r="L319" s="60"/>
      <c r="M319" s="103"/>
      <c r="N319" s="61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</row>
    <row r="320" ht="30.0" customHeight="1">
      <c r="A320" s="103"/>
      <c r="B320" s="103"/>
      <c r="C320" s="103"/>
      <c r="D320" s="103"/>
      <c r="E320" s="103"/>
      <c r="F320" s="103"/>
      <c r="G320" s="103"/>
      <c r="H320" s="103"/>
      <c r="I320" s="103"/>
      <c r="J320" s="103"/>
      <c r="K320" s="103"/>
      <c r="L320" s="60"/>
      <c r="M320" s="103"/>
      <c r="N320" s="61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</row>
    <row r="321" ht="30.0" customHeight="1">
      <c r="A321" s="103"/>
      <c r="B321" s="103"/>
      <c r="C321" s="103"/>
      <c r="D321" s="103"/>
      <c r="E321" s="103"/>
      <c r="F321" s="103"/>
      <c r="G321" s="103"/>
      <c r="H321" s="103"/>
      <c r="I321" s="103"/>
      <c r="J321" s="103"/>
      <c r="K321" s="103"/>
      <c r="L321" s="60"/>
      <c r="M321" s="103"/>
      <c r="N321" s="61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</row>
    <row r="322" ht="30.0" customHeight="1">
      <c r="A322" s="103"/>
      <c r="B322" s="103"/>
      <c r="C322" s="103"/>
      <c r="D322" s="103"/>
      <c r="E322" s="103"/>
      <c r="F322" s="103"/>
      <c r="G322" s="103"/>
      <c r="H322" s="103"/>
      <c r="I322" s="103"/>
      <c r="J322" s="103"/>
      <c r="K322" s="103"/>
      <c r="L322" s="60"/>
      <c r="M322" s="103"/>
      <c r="N322" s="61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</row>
    <row r="323" ht="30.0" customHeight="1">
      <c r="A323" s="103"/>
      <c r="B323" s="103"/>
      <c r="C323" s="103"/>
      <c r="D323" s="103"/>
      <c r="E323" s="103"/>
      <c r="F323" s="103"/>
      <c r="G323" s="103"/>
      <c r="H323" s="103"/>
      <c r="I323" s="103"/>
      <c r="J323" s="103"/>
      <c r="K323" s="103"/>
      <c r="L323" s="60"/>
      <c r="M323" s="103"/>
      <c r="N323" s="61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</row>
    <row r="324" ht="30.0" customHeight="1">
      <c r="A324" s="103"/>
      <c r="B324" s="103"/>
      <c r="C324" s="103"/>
      <c r="D324" s="103"/>
      <c r="E324" s="103"/>
      <c r="F324" s="103"/>
      <c r="G324" s="103"/>
      <c r="H324" s="103"/>
      <c r="I324" s="103"/>
      <c r="J324" s="103"/>
      <c r="K324" s="103"/>
      <c r="L324" s="60"/>
      <c r="M324" s="103"/>
      <c r="N324" s="61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</row>
    <row r="325" ht="30.0" customHeight="1">
      <c r="A325" s="103"/>
      <c r="B325" s="103"/>
      <c r="C325" s="103"/>
      <c r="D325" s="103"/>
      <c r="E325" s="103"/>
      <c r="F325" s="103"/>
      <c r="G325" s="103"/>
      <c r="H325" s="103"/>
      <c r="I325" s="103"/>
      <c r="J325" s="103"/>
      <c r="K325" s="103"/>
      <c r="L325" s="60"/>
      <c r="M325" s="103"/>
      <c r="N325" s="61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</row>
    <row r="326" ht="30.0" customHeight="1">
      <c r="A326" s="103"/>
      <c r="B326" s="103"/>
      <c r="C326" s="103"/>
      <c r="D326" s="103"/>
      <c r="E326" s="103"/>
      <c r="F326" s="103"/>
      <c r="G326" s="103"/>
      <c r="H326" s="103"/>
      <c r="I326" s="103"/>
      <c r="J326" s="103"/>
      <c r="K326" s="103"/>
      <c r="L326" s="60"/>
      <c r="M326" s="103"/>
      <c r="N326" s="61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</row>
    <row r="327" ht="30.0" customHeight="1">
      <c r="A327" s="103"/>
      <c r="B327" s="103"/>
      <c r="C327" s="103"/>
      <c r="D327" s="103"/>
      <c r="E327" s="103"/>
      <c r="F327" s="103"/>
      <c r="G327" s="103"/>
      <c r="H327" s="103"/>
      <c r="I327" s="103"/>
      <c r="J327" s="103"/>
      <c r="K327" s="103"/>
      <c r="L327" s="60"/>
      <c r="M327" s="103"/>
      <c r="N327" s="61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</row>
    <row r="328" ht="30.0" customHeight="1">
      <c r="A328" s="103"/>
      <c r="B328" s="103"/>
      <c r="C328" s="103"/>
      <c r="D328" s="103"/>
      <c r="E328" s="103"/>
      <c r="F328" s="103"/>
      <c r="G328" s="103"/>
      <c r="H328" s="103"/>
      <c r="I328" s="103"/>
      <c r="J328" s="103"/>
      <c r="K328" s="103"/>
      <c r="L328" s="60"/>
      <c r="M328" s="103"/>
      <c r="N328" s="61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</row>
    <row r="329" ht="30.0" customHeight="1">
      <c r="A329" s="103"/>
      <c r="B329" s="103"/>
      <c r="C329" s="103"/>
      <c r="D329" s="103"/>
      <c r="E329" s="103"/>
      <c r="F329" s="103"/>
      <c r="G329" s="103"/>
      <c r="H329" s="103"/>
      <c r="I329" s="103"/>
      <c r="J329" s="103"/>
      <c r="K329" s="103"/>
      <c r="L329" s="60"/>
      <c r="M329" s="103"/>
      <c r="N329" s="61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</row>
    <row r="330" ht="30.0" customHeight="1">
      <c r="A330" s="103"/>
      <c r="B330" s="103"/>
      <c r="C330" s="103"/>
      <c r="D330" s="103"/>
      <c r="E330" s="103"/>
      <c r="F330" s="103"/>
      <c r="G330" s="103"/>
      <c r="H330" s="103"/>
      <c r="I330" s="103"/>
      <c r="J330" s="103"/>
      <c r="K330" s="103"/>
      <c r="L330" s="60"/>
      <c r="M330" s="103"/>
      <c r="N330" s="61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</row>
    <row r="331" ht="30.0" customHeight="1">
      <c r="A331" s="103"/>
      <c r="B331" s="103"/>
      <c r="C331" s="103"/>
      <c r="D331" s="103"/>
      <c r="E331" s="103"/>
      <c r="F331" s="103"/>
      <c r="G331" s="103"/>
      <c r="H331" s="103"/>
      <c r="I331" s="103"/>
      <c r="J331" s="103"/>
      <c r="K331" s="103"/>
      <c r="L331" s="60"/>
      <c r="M331" s="103"/>
      <c r="N331" s="61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</row>
    <row r="332" ht="30.0" customHeight="1">
      <c r="A332" s="103"/>
      <c r="B332" s="103"/>
      <c r="C332" s="103"/>
      <c r="D332" s="103"/>
      <c r="E332" s="103"/>
      <c r="F332" s="103"/>
      <c r="G332" s="103"/>
      <c r="H332" s="103"/>
      <c r="I332" s="103"/>
      <c r="J332" s="103"/>
      <c r="K332" s="103"/>
      <c r="L332" s="60"/>
      <c r="M332" s="103"/>
      <c r="N332" s="61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</row>
    <row r="333" ht="30.0" customHeight="1">
      <c r="A333" s="103"/>
      <c r="B333" s="103"/>
      <c r="C333" s="103"/>
      <c r="D333" s="103"/>
      <c r="E333" s="103"/>
      <c r="F333" s="103"/>
      <c r="G333" s="103"/>
      <c r="H333" s="103"/>
      <c r="I333" s="103"/>
      <c r="J333" s="103"/>
      <c r="K333" s="103"/>
      <c r="L333" s="60"/>
      <c r="M333" s="103"/>
      <c r="N333" s="61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</row>
    <row r="334" ht="30.0" customHeight="1">
      <c r="A334" s="103"/>
      <c r="B334" s="103"/>
      <c r="C334" s="103"/>
      <c r="D334" s="103"/>
      <c r="E334" s="103"/>
      <c r="F334" s="103"/>
      <c r="G334" s="103"/>
      <c r="H334" s="103"/>
      <c r="I334" s="103"/>
      <c r="J334" s="103"/>
      <c r="K334" s="103"/>
      <c r="L334" s="60"/>
      <c r="M334" s="103"/>
      <c r="N334" s="61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</row>
    <row r="335" ht="30.0" customHeight="1">
      <c r="A335" s="103"/>
      <c r="B335" s="103"/>
      <c r="C335" s="103"/>
      <c r="D335" s="103"/>
      <c r="E335" s="103"/>
      <c r="F335" s="103"/>
      <c r="G335" s="103"/>
      <c r="H335" s="103"/>
      <c r="I335" s="103"/>
      <c r="J335" s="103"/>
      <c r="K335" s="103"/>
      <c r="L335" s="60"/>
      <c r="M335" s="103"/>
      <c r="N335" s="61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</row>
    <row r="336" ht="30.0" customHeight="1">
      <c r="A336" s="103"/>
      <c r="B336" s="103"/>
      <c r="C336" s="103"/>
      <c r="D336" s="103"/>
      <c r="E336" s="103"/>
      <c r="F336" s="103"/>
      <c r="G336" s="103"/>
      <c r="H336" s="103"/>
      <c r="I336" s="103"/>
      <c r="J336" s="103"/>
      <c r="K336" s="103"/>
      <c r="L336" s="60"/>
      <c r="M336" s="103"/>
      <c r="N336" s="61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</row>
    <row r="337" ht="30.0" customHeight="1">
      <c r="A337" s="103"/>
      <c r="B337" s="103"/>
      <c r="C337" s="103"/>
      <c r="D337" s="103"/>
      <c r="E337" s="103"/>
      <c r="F337" s="103"/>
      <c r="G337" s="103"/>
      <c r="H337" s="103"/>
      <c r="I337" s="103"/>
      <c r="J337" s="103"/>
      <c r="K337" s="103"/>
      <c r="L337" s="60"/>
      <c r="M337" s="103"/>
      <c r="N337" s="61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</row>
    <row r="338" ht="30.0" customHeight="1">
      <c r="A338" s="103"/>
      <c r="B338" s="103"/>
      <c r="C338" s="103"/>
      <c r="D338" s="103"/>
      <c r="E338" s="103"/>
      <c r="F338" s="103"/>
      <c r="G338" s="103"/>
      <c r="H338" s="103"/>
      <c r="I338" s="103"/>
      <c r="J338" s="103"/>
      <c r="K338" s="103"/>
      <c r="L338" s="60"/>
      <c r="M338" s="103"/>
      <c r="N338" s="61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</row>
    <row r="339" ht="30.0" customHeight="1">
      <c r="A339" s="103"/>
      <c r="B339" s="103"/>
      <c r="C339" s="103"/>
      <c r="D339" s="103"/>
      <c r="E339" s="103"/>
      <c r="F339" s="103"/>
      <c r="G339" s="103"/>
      <c r="H339" s="103"/>
      <c r="I339" s="103"/>
      <c r="J339" s="103"/>
      <c r="K339" s="103"/>
      <c r="L339" s="60"/>
      <c r="M339" s="103"/>
      <c r="N339" s="61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</row>
    <row r="340" ht="30.0" customHeight="1">
      <c r="A340" s="103"/>
      <c r="B340" s="103"/>
      <c r="C340" s="103"/>
      <c r="D340" s="103"/>
      <c r="E340" s="103"/>
      <c r="F340" s="103"/>
      <c r="G340" s="103"/>
      <c r="H340" s="103"/>
      <c r="I340" s="103"/>
      <c r="J340" s="103"/>
      <c r="K340" s="103"/>
      <c r="L340" s="60"/>
      <c r="M340" s="103"/>
      <c r="N340" s="61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</row>
    <row r="341" ht="30.0" customHeight="1">
      <c r="A341" s="103"/>
      <c r="B341" s="103"/>
      <c r="C341" s="103"/>
      <c r="D341" s="103"/>
      <c r="E341" s="103"/>
      <c r="F341" s="103"/>
      <c r="G341" s="103"/>
      <c r="H341" s="103"/>
      <c r="I341" s="103"/>
      <c r="J341" s="103"/>
      <c r="K341" s="103"/>
      <c r="L341" s="60"/>
      <c r="M341" s="103"/>
      <c r="N341" s="61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</row>
    <row r="342" ht="30.0" customHeight="1">
      <c r="A342" s="103"/>
      <c r="B342" s="103"/>
      <c r="C342" s="103"/>
      <c r="D342" s="103"/>
      <c r="E342" s="103"/>
      <c r="F342" s="103"/>
      <c r="G342" s="103"/>
      <c r="H342" s="103"/>
      <c r="I342" s="103"/>
      <c r="J342" s="103"/>
      <c r="K342" s="103"/>
      <c r="L342" s="60"/>
      <c r="M342" s="103"/>
      <c r="N342" s="61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</row>
    <row r="343" ht="30.0" customHeight="1">
      <c r="A343" s="103"/>
      <c r="B343" s="103"/>
      <c r="C343" s="103"/>
      <c r="D343" s="103"/>
      <c r="E343" s="103"/>
      <c r="F343" s="103"/>
      <c r="G343" s="103"/>
      <c r="H343" s="103"/>
      <c r="I343" s="103"/>
      <c r="J343" s="103"/>
      <c r="K343" s="103"/>
      <c r="L343" s="60"/>
      <c r="M343" s="103"/>
      <c r="N343" s="61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</row>
    <row r="344" ht="30.0" customHeight="1">
      <c r="A344" s="103"/>
      <c r="B344" s="103"/>
      <c r="C344" s="103"/>
      <c r="D344" s="103"/>
      <c r="E344" s="103"/>
      <c r="F344" s="103"/>
      <c r="G344" s="103"/>
      <c r="H344" s="103"/>
      <c r="I344" s="103"/>
      <c r="J344" s="103"/>
      <c r="K344" s="103"/>
      <c r="L344" s="60"/>
      <c r="M344" s="103"/>
      <c r="N344" s="61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</row>
    <row r="345" ht="30.0" customHeight="1">
      <c r="A345" s="103"/>
      <c r="B345" s="103"/>
      <c r="C345" s="103"/>
      <c r="D345" s="103"/>
      <c r="E345" s="103"/>
      <c r="F345" s="103"/>
      <c r="G345" s="103"/>
      <c r="H345" s="103"/>
      <c r="I345" s="103"/>
      <c r="J345" s="103"/>
      <c r="K345" s="103"/>
      <c r="L345" s="60"/>
      <c r="M345" s="103"/>
      <c r="N345" s="61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</row>
    <row r="346" ht="30.0" customHeight="1">
      <c r="A346" s="103"/>
      <c r="B346" s="103"/>
      <c r="C346" s="103"/>
      <c r="D346" s="103"/>
      <c r="E346" s="103"/>
      <c r="F346" s="103"/>
      <c r="G346" s="103"/>
      <c r="H346" s="103"/>
      <c r="I346" s="103"/>
      <c r="J346" s="103"/>
      <c r="K346" s="103"/>
      <c r="L346" s="60"/>
      <c r="M346" s="103"/>
      <c r="N346" s="61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</row>
    <row r="347" ht="30.0" customHeight="1">
      <c r="A347" s="103"/>
      <c r="B347" s="103"/>
      <c r="C347" s="103"/>
      <c r="D347" s="103"/>
      <c r="E347" s="103"/>
      <c r="F347" s="103"/>
      <c r="G347" s="103"/>
      <c r="H347" s="103"/>
      <c r="I347" s="103"/>
      <c r="J347" s="103"/>
      <c r="K347" s="103"/>
      <c r="L347" s="60"/>
      <c r="M347" s="103"/>
      <c r="N347" s="61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</row>
    <row r="348" ht="30.0" customHeight="1">
      <c r="A348" s="103"/>
      <c r="B348" s="103"/>
      <c r="C348" s="103"/>
      <c r="D348" s="103"/>
      <c r="E348" s="103"/>
      <c r="F348" s="103"/>
      <c r="G348" s="103"/>
      <c r="H348" s="103"/>
      <c r="I348" s="103"/>
      <c r="J348" s="103"/>
      <c r="K348" s="103"/>
      <c r="L348" s="60"/>
      <c r="M348" s="103"/>
      <c r="N348" s="61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</row>
    <row r="349" ht="30.0" customHeight="1">
      <c r="A349" s="103"/>
      <c r="B349" s="103"/>
      <c r="C349" s="103"/>
      <c r="D349" s="103"/>
      <c r="E349" s="103"/>
      <c r="F349" s="103"/>
      <c r="G349" s="103"/>
      <c r="H349" s="103"/>
      <c r="I349" s="103"/>
      <c r="J349" s="103"/>
      <c r="K349" s="103"/>
      <c r="L349" s="60"/>
      <c r="M349" s="103"/>
      <c r="N349" s="61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</row>
    <row r="350" ht="30.0" customHeight="1">
      <c r="A350" s="103"/>
      <c r="B350" s="103"/>
      <c r="C350" s="103"/>
      <c r="D350" s="103"/>
      <c r="E350" s="103"/>
      <c r="F350" s="103"/>
      <c r="G350" s="103"/>
      <c r="H350" s="103"/>
      <c r="I350" s="103"/>
      <c r="J350" s="103"/>
      <c r="K350" s="103"/>
      <c r="L350" s="60"/>
      <c r="M350" s="103"/>
      <c r="N350" s="61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</row>
    <row r="351" ht="30.0" customHeight="1">
      <c r="A351" s="103"/>
      <c r="B351" s="103"/>
      <c r="C351" s="103"/>
      <c r="D351" s="103"/>
      <c r="E351" s="103"/>
      <c r="F351" s="103"/>
      <c r="G351" s="103"/>
      <c r="H351" s="103"/>
      <c r="I351" s="103"/>
      <c r="J351" s="103"/>
      <c r="K351" s="103"/>
      <c r="L351" s="60"/>
      <c r="M351" s="103"/>
      <c r="N351" s="61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</row>
    <row r="352" ht="30.0" customHeight="1">
      <c r="A352" s="103"/>
      <c r="B352" s="103"/>
      <c r="C352" s="103"/>
      <c r="D352" s="103"/>
      <c r="E352" s="103"/>
      <c r="F352" s="103"/>
      <c r="G352" s="103"/>
      <c r="H352" s="103"/>
      <c r="I352" s="103"/>
      <c r="J352" s="103"/>
      <c r="K352" s="103"/>
      <c r="L352" s="60"/>
      <c r="M352" s="103"/>
      <c r="N352" s="61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</row>
    <row r="353" ht="30.0" customHeight="1">
      <c r="A353" s="103"/>
      <c r="B353" s="103"/>
      <c r="C353" s="103"/>
      <c r="D353" s="103"/>
      <c r="E353" s="103"/>
      <c r="F353" s="103"/>
      <c r="G353" s="103"/>
      <c r="H353" s="103"/>
      <c r="I353" s="103"/>
      <c r="J353" s="103"/>
      <c r="K353" s="103"/>
      <c r="L353" s="60"/>
      <c r="M353" s="103"/>
      <c r="N353" s="61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</row>
    <row r="354" ht="30.0" customHeight="1">
      <c r="A354" s="103"/>
      <c r="B354" s="103"/>
      <c r="C354" s="103"/>
      <c r="D354" s="103"/>
      <c r="E354" s="103"/>
      <c r="F354" s="103"/>
      <c r="G354" s="103"/>
      <c r="H354" s="103"/>
      <c r="I354" s="103"/>
      <c r="J354" s="103"/>
      <c r="K354" s="103"/>
      <c r="L354" s="60"/>
      <c r="M354" s="103"/>
      <c r="N354" s="61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</row>
    <row r="355" ht="30.0" customHeight="1">
      <c r="A355" s="103"/>
      <c r="B355" s="103"/>
      <c r="C355" s="103"/>
      <c r="D355" s="103"/>
      <c r="E355" s="103"/>
      <c r="F355" s="103"/>
      <c r="G355" s="103"/>
      <c r="H355" s="103"/>
      <c r="I355" s="103"/>
      <c r="J355" s="103"/>
      <c r="K355" s="103"/>
      <c r="L355" s="60"/>
      <c r="M355" s="103"/>
      <c r="N355" s="61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</row>
    <row r="356" ht="30.0" customHeight="1">
      <c r="A356" s="103"/>
      <c r="B356" s="103"/>
      <c r="C356" s="103"/>
      <c r="D356" s="103"/>
      <c r="E356" s="103"/>
      <c r="F356" s="103"/>
      <c r="G356" s="103"/>
      <c r="H356" s="103"/>
      <c r="I356" s="103"/>
      <c r="J356" s="103"/>
      <c r="K356" s="103"/>
      <c r="L356" s="60"/>
      <c r="M356" s="103"/>
      <c r="N356" s="61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</row>
    <row r="357" ht="30.0" customHeight="1">
      <c r="A357" s="103"/>
      <c r="B357" s="103"/>
      <c r="C357" s="103"/>
      <c r="D357" s="103"/>
      <c r="E357" s="103"/>
      <c r="F357" s="103"/>
      <c r="G357" s="103"/>
      <c r="H357" s="103"/>
      <c r="I357" s="103"/>
      <c r="J357" s="103"/>
      <c r="K357" s="103"/>
      <c r="L357" s="60"/>
      <c r="M357" s="103"/>
      <c r="N357" s="61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</row>
    <row r="358" ht="30.0" customHeight="1">
      <c r="A358" s="103"/>
      <c r="B358" s="103"/>
      <c r="C358" s="103"/>
      <c r="D358" s="103"/>
      <c r="E358" s="103"/>
      <c r="F358" s="103"/>
      <c r="G358" s="103"/>
      <c r="H358" s="103"/>
      <c r="I358" s="103"/>
      <c r="J358" s="103"/>
      <c r="K358" s="103"/>
      <c r="L358" s="60"/>
      <c r="M358" s="103"/>
      <c r="N358" s="61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</row>
    <row r="359" ht="30.0" customHeight="1">
      <c r="A359" s="103"/>
      <c r="B359" s="103"/>
      <c r="C359" s="103"/>
      <c r="D359" s="103"/>
      <c r="E359" s="103"/>
      <c r="F359" s="103"/>
      <c r="G359" s="103"/>
      <c r="H359" s="103"/>
      <c r="I359" s="103"/>
      <c r="J359" s="103"/>
      <c r="K359" s="103"/>
      <c r="L359" s="60"/>
      <c r="M359" s="103"/>
      <c r="N359" s="61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</row>
    <row r="360" ht="30.0" customHeight="1">
      <c r="A360" s="103"/>
      <c r="B360" s="103"/>
      <c r="C360" s="103"/>
      <c r="D360" s="103"/>
      <c r="E360" s="103"/>
      <c r="F360" s="103"/>
      <c r="G360" s="103"/>
      <c r="H360" s="103"/>
      <c r="I360" s="103"/>
      <c r="J360" s="103"/>
      <c r="K360" s="103"/>
      <c r="L360" s="60"/>
      <c r="M360" s="103"/>
      <c r="N360" s="61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</row>
    <row r="361" ht="30.0" customHeight="1">
      <c r="A361" s="103"/>
      <c r="B361" s="103"/>
      <c r="C361" s="103"/>
      <c r="D361" s="103"/>
      <c r="E361" s="103"/>
      <c r="F361" s="103"/>
      <c r="G361" s="103"/>
      <c r="H361" s="103"/>
      <c r="I361" s="103"/>
      <c r="J361" s="103"/>
      <c r="K361" s="103"/>
      <c r="L361" s="60"/>
      <c r="M361" s="103"/>
      <c r="N361" s="61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</row>
    <row r="362" ht="30.0" customHeight="1">
      <c r="A362" s="103"/>
      <c r="B362" s="103"/>
      <c r="C362" s="103"/>
      <c r="D362" s="103"/>
      <c r="E362" s="103"/>
      <c r="F362" s="103"/>
      <c r="G362" s="103"/>
      <c r="H362" s="103"/>
      <c r="I362" s="103"/>
      <c r="J362" s="103"/>
      <c r="K362" s="103"/>
      <c r="L362" s="60"/>
      <c r="M362" s="103"/>
      <c r="N362" s="61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</row>
    <row r="363" ht="30.0" customHeight="1">
      <c r="A363" s="103"/>
      <c r="B363" s="103"/>
      <c r="C363" s="103"/>
      <c r="D363" s="103"/>
      <c r="E363" s="103"/>
      <c r="F363" s="103"/>
      <c r="G363" s="103"/>
      <c r="H363" s="103"/>
      <c r="I363" s="103"/>
      <c r="J363" s="103"/>
      <c r="K363" s="103"/>
      <c r="L363" s="60"/>
      <c r="M363" s="103"/>
      <c r="N363" s="61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</row>
    <row r="364" ht="30.0" customHeight="1">
      <c r="A364" s="103"/>
      <c r="B364" s="103"/>
      <c r="C364" s="103"/>
      <c r="D364" s="103"/>
      <c r="E364" s="103"/>
      <c r="F364" s="103"/>
      <c r="G364" s="103"/>
      <c r="H364" s="103"/>
      <c r="I364" s="103"/>
      <c r="J364" s="103"/>
      <c r="K364" s="103"/>
      <c r="L364" s="60"/>
      <c r="M364" s="103"/>
      <c r="N364" s="61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</row>
    <row r="365" ht="30.0" customHeight="1">
      <c r="A365" s="103"/>
      <c r="B365" s="103"/>
      <c r="C365" s="103"/>
      <c r="D365" s="103"/>
      <c r="E365" s="103"/>
      <c r="F365" s="103"/>
      <c r="G365" s="103"/>
      <c r="H365" s="103"/>
      <c r="I365" s="103"/>
      <c r="J365" s="103"/>
      <c r="K365" s="103"/>
      <c r="L365" s="60"/>
      <c r="M365" s="103"/>
      <c r="N365" s="61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</row>
    <row r="366" ht="30.0" customHeight="1">
      <c r="A366" s="103"/>
      <c r="B366" s="103"/>
      <c r="C366" s="103"/>
      <c r="D366" s="103"/>
      <c r="E366" s="103"/>
      <c r="F366" s="103"/>
      <c r="G366" s="103"/>
      <c r="H366" s="103"/>
      <c r="I366" s="103"/>
      <c r="J366" s="103"/>
      <c r="K366" s="103"/>
      <c r="L366" s="60"/>
      <c r="M366" s="103"/>
      <c r="N366" s="61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</row>
    <row r="367" ht="30.0" customHeight="1">
      <c r="A367" s="103"/>
      <c r="B367" s="103"/>
      <c r="C367" s="103"/>
      <c r="D367" s="103"/>
      <c r="E367" s="103"/>
      <c r="F367" s="103"/>
      <c r="G367" s="103"/>
      <c r="H367" s="103"/>
      <c r="I367" s="103"/>
      <c r="J367" s="103"/>
      <c r="K367" s="103"/>
      <c r="L367" s="60"/>
      <c r="M367" s="103"/>
      <c r="N367" s="61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</row>
    <row r="368" ht="30.0" customHeight="1">
      <c r="A368" s="103"/>
      <c r="B368" s="103"/>
      <c r="C368" s="103"/>
      <c r="D368" s="103"/>
      <c r="E368" s="103"/>
      <c r="F368" s="103"/>
      <c r="G368" s="103"/>
      <c r="H368" s="103"/>
      <c r="I368" s="103"/>
      <c r="J368" s="103"/>
      <c r="K368" s="103"/>
      <c r="L368" s="60"/>
      <c r="M368" s="103"/>
      <c r="N368" s="61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</row>
    <row r="369" ht="30.0" customHeight="1">
      <c r="A369" s="103"/>
      <c r="B369" s="103"/>
      <c r="C369" s="103"/>
      <c r="D369" s="103"/>
      <c r="E369" s="103"/>
      <c r="F369" s="103"/>
      <c r="G369" s="103"/>
      <c r="H369" s="103"/>
      <c r="I369" s="103"/>
      <c r="J369" s="103"/>
      <c r="K369" s="103"/>
      <c r="L369" s="60"/>
      <c r="M369" s="103"/>
      <c r="N369" s="61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</row>
    <row r="370" ht="30.0" customHeight="1">
      <c r="A370" s="103"/>
      <c r="B370" s="103"/>
      <c r="C370" s="103"/>
      <c r="D370" s="103"/>
      <c r="E370" s="103"/>
      <c r="F370" s="103"/>
      <c r="G370" s="103"/>
      <c r="H370" s="103"/>
      <c r="I370" s="103"/>
      <c r="J370" s="103"/>
      <c r="K370" s="103"/>
      <c r="L370" s="60"/>
      <c r="M370" s="103"/>
      <c r="N370" s="61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</row>
    <row r="371" ht="30.0" customHeight="1">
      <c r="A371" s="103"/>
      <c r="B371" s="103"/>
      <c r="C371" s="103"/>
      <c r="D371" s="103"/>
      <c r="E371" s="103"/>
      <c r="F371" s="103"/>
      <c r="G371" s="103"/>
      <c r="H371" s="103"/>
      <c r="I371" s="103"/>
      <c r="J371" s="103"/>
      <c r="K371" s="103"/>
      <c r="L371" s="60"/>
      <c r="M371" s="103"/>
      <c r="N371" s="61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</row>
    <row r="372" ht="30.0" customHeight="1">
      <c r="A372" s="103"/>
      <c r="B372" s="103"/>
      <c r="C372" s="103"/>
      <c r="D372" s="103"/>
      <c r="E372" s="103"/>
      <c r="F372" s="103"/>
      <c r="G372" s="103"/>
      <c r="H372" s="103"/>
      <c r="I372" s="103"/>
      <c r="J372" s="103"/>
      <c r="K372" s="103"/>
      <c r="L372" s="60"/>
      <c r="M372" s="103"/>
      <c r="N372" s="61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</row>
    <row r="373" ht="30.0" customHeight="1">
      <c r="A373" s="103"/>
      <c r="B373" s="103"/>
      <c r="C373" s="103"/>
      <c r="D373" s="103"/>
      <c r="E373" s="103"/>
      <c r="F373" s="103"/>
      <c r="G373" s="103"/>
      <c r="H373" s="103"/>
      <c r="I373" s="103"/>
      <c r="J373" s="103"/>
      <c r="K373" s="103"/>
      <c r="L373" s="60"/>
      <c r="M373" s="103"/>
      <c r="N373" s="61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</row>
    <row r="374" ht="30.0" customHeight="1">
      <c r="A374" s="103"/>
      <c r="B374" s="103"/>
      <c r="C374" s="103"/>
      <c r="D374" s="103"/>
      <c r="E374" s="103"/>
      <c r="F374" s="103"/>
      <c r="G374" s="103"/>
      <c r="H374" s="103"/>
      <c r="I374" s="103"/>
      <c r="J374" s="103"/>
      <c r="K374" s="103"/>
      <c r="L374" s="60"/>
      <c r="M374" s="103"/>
      <c r="N374" s="61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</row>
    <row r="375" ht="30.0" customHeight="1">
      <c r="A375" s="103"/>
      <c r="B375" s="103"/>
      <c r="C375" s="103"/>
      <c r="D375" s="103"/>
      <c r="E375" s="103"/>
      <c r="F375" s="103"/>
      <c r="G375" s="103"/>
      <c r="H375" s="103"/>
      <c r="I375" s="103"/>
      <c r="J375" s="103"/>
      <c r="K375" s="103"/>
      <c r="L375" s="60"/>
      <c r="M375" s="103"/>
      <c r="N375" s="61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</row>
    <row r="376" ht="30.0" customHeight="1">
      <c r="A376" s="103"/>
      <c r="B376" s="103"/>
      <c r="C376" s="103"/>
      <c r="D376" s="103"/>
      <c r="E376" s="103"/>
      <c r="F376" s="103"/>
      <c r="G376" s="103"/>
      <c r="H376" s="103"/>
      <c r="I376" s="103"/>
      <c r="J376" s="103"/>
      <c r="K376" s="103"/>
      <c r="L376" s="60"/>
      <c r="M376" s="103"/>
      <c r="N376" s="61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</row>
    <row r="377" ht="30.0" customHeight="1">
      <c r="A377" s="103"/>
      <c r="B377" s="103"/>
      <c r="C377" s="103"/>
      <c r="D377" s="103"/>
      <c r="E377" s="103"/>
      <c r="F377" s="103"/>
      <c r="G377" s="103"/>
      <c r="H377" s="103"/>
      <c r="I377" s="103"/>
      <c r="J377" s="103"/>
      <c r="K377" s="103"/>
      <c r="L377" s="60"/>
      <c r="M377" s="103"/>
      <c r="N377" s="61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</row>
    <row r="378" ht="30.0" customHeight="1">
      <c r="A378" s="103"/>
      <c r="B378" s="103"/>
      <c r="C378" s="103"/>
      <c r="D378" s="103"/>
      <c r="E378" s="103"/>
      <c r="F378" s="103"/>
      <c r="G378" s="103"/>
      <c r="H378" s="103"/>
      <c r="I378" s="103"/>
      <c r="J378" s="103"/>
      <c r="K378" s="103"/>
      <c r="L378" s="60"/>
      <c r="M378" s="103"/>
      <c r="N378" s="61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</row>
    <row r="379" ht="30.0" customHeight="1">
      <c r="A379" s="103"/>
      <c r="B379" s="103"/>
      <c r="C379" s="103"/>
      <c r="D379" s="103"/>
      <c r="E379" s="103"/>
      <c r="F379" s="103"/>
      <c r="G379" s="103"/>
      <c r="H379" s="103"/>
      <c r="I379" s="103"/>
      <c r="J379" s="103"/>
      <c r="K379" s="103"/>
      <c r="L379" s="60"/>
      <c r="M379" s="103"/>
      <c r="N379" s="61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</row>
    <row r="380" ht="30.0" customHeight="1">
      <c r="A380" s="103"/>
      <c r="B380" s="103"/>
      <c r="C380" s="103"/>
      <c r="D380" s="103"/>
      <c r="E380" s="103"/>
      <c r="F380" s="103"/>
      <c r="G380" s="103"/>
      <c r="H380" s="103"/>
      <c r="I380" s="103"/>
      <c r="J380" s="103"/>
      <c r="K380" s="103"/>
      <c r="L380" s="60"/>
      <c r="M380" s="103"/>
      <c r="N380" s="61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</row>
    <row r="381" ht="30.0" customHeight="1">
      <c r="A381" s="103"/>
      <c r="B381" s="103"/>
      <c r="C381" s="103"/>
      <c r="D381" s="103"/>
      <c r="E381" s="103"/>
      <c r="F381" s="103"/>
      <c r="G381" s="103"/>
      <c r="H381" s="103"/>
      <c r="I381" s="103"/>
      <c r="J381" s="103"/>
      <c r="K381" s="103"/>
      <c r="L381" s="60"/>
      <c r="M381" s="103"/>
      <c r="N381" s="61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</row>
    <row r="382" ht="30.0" customHeight="1">
      <c r="A382" s="103"/>
      <c r="B382" s="103"/>
      <c r="C382" s="103"/>
      <c r="D382" s="103"/>
      <c r="E382" s="103"/>
      <c r="F382" s="103"/>
      <c r="G382" s="103"/>
      <c r="H382" s="103"/>
      <c r="I382" s="103"/>
      <c r="J382" s="103"/>
      <c r="K382" s="103"/>
      <c r="L382" s="60"/>
      <c r="M382" s="103"/>
      <c r="N382" s="61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</row>
    <row r="383" ht="30.0" customHeight="1">
      <c r="A383" s="103"/>
      <c r="B383" s="103"/>
      <c r="C383" s="103"/>
      <c r="D383" s="103"/>
      <c r="E383" s="103"/>
      <c r="F383" s="103"/>
      <c r="G383" s="103"/>
      <c r="H383" s="103"/>
      <c r="I383" s="103"/>
      <c r="J383" s="103"/>
      <c r="K383" s="103"/>
      <c r="L383" s="60"/>
      <c r="M383" s="103"/>
      <c r="N383" s="61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</row>
    <row r="384" ht="30.0" customHeight="1">
      <c r="A384" s="103"/>
      <c r="B384" s="103"/>
      <c r="C384" s="103"/>
      <c r="D384" s="103"/>
      <c r="E384" s="103"/>
      <c r="F384" s="103"/>
      <c r="G384" s="103"/>
      <c r="H384" s="103"/>
      <c r="I384" s="103"/>
      <c r="J384" s="103"/>
      <c r="K384" s="103"/>
      <c r="L384" s="60"/>
      <c r="M384" s="103"/>
      <c r="N384" s="61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</row>
    <row r="385" ht="30.0" customHeight="1">
      <c r="A385" s="103"/>
      <c r="B385" s="103"/>
      <c r="C385" s="103"/>
      <c r="D385" s="103"/>
      <c r="E385" s="103"/>
      <c r="F385" s="103"/>
      <c r="G385" s="103"/>
      <c r="H385" s="103"/>
      <c r="I385" s="103"/>
      <c r="J385" s="103"/>
      <c r="K385" s="103"/>
      <c r="L385" s="60"/>
      <c r="M385" s="103"/>
      <c r="N385" s="61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</row>
    <row r="386" ht="30.0" customHeight="1">
      <c r="A386" s="103"/>
      <c r="B386" s="103"/>
      <c r="C386" s="103"/>
      <c r="D386" s="103"/>
      <c r="E386" s="103"/>
      <c r="F386" s="103"/>
      <c r="G386" s="103"/>
      <c r="H386" s="103"/>
      <c r="I386" s="103"/>
      <c r="J386" s="103"/>
      <c r="K386" s="103"/>
      <c r="L386" s="60"/>
      <c r="M386" s="103"/>
      <c r="N386" s="61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</row>
    <row r="387" ht="30.0" customHeight="1">
      <c r="A387" s="103"/>
      <c r="B387" s="103"/>
      <c r="C387" s="103"/>
      <c r="D387" s="103"/>
      <c r="E387" s="103"/>
      <c r="F387" s="103"/>
      <c r="G387" s="103"/>
      <c r="H387" s="103"/>
      <c r="I387" s="103"/>
      <c r="J387" s="103"/>
      <c r="K387" s="103"/>
      <c r="L387" s="60"/>
      <c r="M387" s="103"/>
      <c r="N387" s="61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</row>
    <row r="388" ht="30.0" customHeight="1">
      <c r="A388" s="103"/>
      <c r="B388" s="103"/>
      <c r="C388" s="103"/>
      <c r="D388" s="103"/>
      <c r="E388" s="103"/>
      <c r="F388" s="103"/>
      <c r="G388" s="103"/>
      <c r="H388" s="103"/>
      <c r="I388" s="103"/>
      <c r="J388" s="103"/>
      <c r="K388" s="103"/>
      <c r="L388" s="60"/>
      <c r="M388" s="103"/>
      <c r="N388" s="61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</row>
    <row r="389" ht="30.0" customHeight="1">
      <c r="A389" s="103"/>
      <c r="B389" s="103"/>
      <c r="C389" s="103"/>
      <c r="D389" s="103"/>
      <c r="E389" s="103"/>
      <c r="F389" s="103"/>
      <c r="G389" s="103"/>
      <c r="H389" s="103"/>
      <c r="I389" s="103"/>
      <c r="J389" s="103"/>
      <c r="K389" s="103"/>
      <c r="L389" s="60"/>
      <c r="M389" s="103"/>
      <c r="N389" s="61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</row>
    <row r="390" ht="30.0" customHeight="1">
      <c r="A390" s="103"/>
      <c r="B390" s="103"/>
      <c r="C390" s="103"/>
      <c r="D390" s="103"/>
      <c r="E390" s="103"/>
      <c r="F390" s="103"/>
      <c r="G390" s="103"/>
      <c r="H390" s="103"/>
      <c r="I390" s="103"/>
      <c r="J390" s="103"/>
      <c r="K390" s="103"/>
      <c r="L390" s="60"/>
      <c r="M390" s="103"/>
      <c r="N390" s="61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</row>
    <row r="391" ht="30.0" customHeight="1">
      <c r="A391" s="103"/>
      <c r="B391" s="103"/>
      <c r="C391" s="103"/>
      <c r="D391" s="103"/>
      <c r="E391" s="103"/>
      <c r="F391" s="103"/>
      <c r="G391" s="103"/>
      <c r="H391" s="103"/>
      <c r="I391" s="103"/>
      <c r="J391" s="103"/>
      <c r="K391" s="103"/>
      <c r="L391" s="60"/>
      <c r="M391" s="103"/>
      <c r="N391" s="61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</row>
    <row r="392" ht="30.0" customHeight="1">
      <c r="A392" s="103"/>
      <c r="B392" s="103"/>
      <c r="C392" s="103"/>
      <c r="D392" s="103"/>
      <c r="E392" s="103"/>
      <c r="F392" s="103"/>
      <c r="G392" s="103"/>
      <c r="H392" s="103"/>
      <c r="I392" s="103"/>
      <c r="J392" s="103"/>
      <c r="K392" s="103"/>
      <c r="L392" s="60"/>
      <c r="M392" s="103"/>
      <c r="N392" s="61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</row>
    <row r="393" ht="30.0" customHeight="1">
      <c r="A393" s="103"/>
      <c r="B393" s="103"/>
      <c r="C393" s="103"/>
      <c r="D393" s="103"/>
      <c r="E393" s="103"/>
      <c r="F393" s="103"/>
      <c r="G393" s="103"/>
      <c r="H393" s="103"/>
      <c r="I393" s="103"/>
      <c r="J393" s="103"/>
      <c r="K393" s="103"/>
      <c r="L393" s="60"/>
      <c r="M393" s="103"/>
      <c r="N393" s="61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</row>
    <row r="394" ht="30.0" customHeight="1">
      <c r="A394" s="103"/>
      <c r="B394" s="103"/>
      <c r="C394" s="103"/>
      <c r="D394" s="103"/>
      <c r="E394" s="103"/>
      <c r="F394" s="103"/>
      <c r="G394" s="103"/>
      <c r="H394" s="103"/>
      <c r="I394" s="103"/>
      <c r="J394" s="103"/>
      <c r="K394" s="103"/>
      <c r="L394" s="60"/>
      <c r="M394" s="103"/>
      <c r="N394" s="61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</row>
    <row r="395" ht="30.0" customHeight="1">
      <c r="A395" s="103"/>
      <c r="B395" s="103"/>
      <c r="C395" s="103"/>
      <c r="D395" s="103"/>
      <c r="E395" s="103"/>
      <c r="F395" s="103"/>
      <c r="G395" s="103"/>
      <c r="H395" s="103"/>
      <c r="I395" s="103"/>
      <c r="J395" s="103"/>
      <c r="K395" s="103"/>
      <c r="L395" s="60"/>
      <c r="M395" s="103"/>
      <c r="N395" s="61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</row>
    <row r="396" ht="30.0" customHeight="1">
      <c r="A396" s="103"/>
      <c r="B396" s="103"/>
      <c r="C396" s="103"/>
      <c r="D396" s="103"/>
      <c r="E396" s="103"/>
      <c r="F396" s="103"/>
      <c r="G396" s="103"/>
      <c r="H396" s="103"/>
      <c r="I396" s="103"/>
      <c r="J396" s="103"/>
      <c r="K396" s="103"/>
      <c r="L396" s="60"/>
      <c r="M396" s="103"/>
      <c r="N396" s="61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</row>
    <row r="397" ht="30.0" customHeight="1">
      <c r="A397" s="103"/>
      <c r="B397" s="103"/>
      <c r="C397" s="103"/>
      <c r="D397" s="103"/>
      <c r="E397" s="103"/>
      <c r="F397" s="103"/>
      <c r="G397" s="103"/>
      <c r="H397" s="103"/>
      <c r="I397" s="103"/>
      <c r="J397" s="103"/>
      <c r="K397" s="103"/>
      <c r="L397" s="60"/>
      <c r="M397" s="103"/>
      <c r="N397" s="61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</row>
    <row r="398" ht="30.0" customHeight="1">
      <c r="A398" s="103"/>
      <c r="B398" s="103"/>
      <c r="C398" s="103"/>
      <c r="D398" s="103"/>
      <c r="E398" s="103"/>
      <c r="F398" s="103"/>
      <c r="G398" s="103"/>
      <c r="H398" s="103"/>
      <c r="I398" s="103"/>
      <c r="J398" s="103"/>
      <c r="K398" s="103"/>
      <c r="L398" s="60"/>
      <c r="M398" s="103"/>
      <c r="N398" s="61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</row>
    <row r="399" ht="30.0" customHeight="1">
      <c r="A399" s="103"/>
      <c r="B399" s="103"/>
      <c r="C399" s="103"/>
      <c r="D399" s="103"/>
      <c r="E399" s="103"/>
      <c r="F399" s="103"/>
      <c r="G399" s="103"/>
      <c r="H399" s="103"/>
      <c r="I399" s="103"/>
      <c r="J399" s="103"/>
      <c r="K399" s="103"/>
      <c r="L399" s="60"/>
      <c r="M399" s="103"/>
      <c r="N399" s="61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</row>
    <row r="400" ht="30.0" customHeight="1">
      <c r="A400" s="103"/>
      <c r="B400" s="103"/>
      <c r="C400" s="103"/>
      <c r="D400" s="103"/>
      <c r="E400" s="103"/>
      <c r="F400" s="103"/>
      <c r="G400" s="103"/>
      <c r="H400" s="103"/>
      <c r="I400" s="103"/>
      <c r="J400" s="103"/>
      <c r="K400" s="103"/>
      <c r="L400" s="60"/>
      <c r="M400" s="103"/>
      <c r="N400" s="61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</row>
    <row r="401" ht="30.0" customHeight="1">
      <c r="A401" s="103"/>
      <c r="B401" s="103"/>
      <c r="C401" s="103"/>
      <c r="D401" s="103"/>
      <c r="E401" s="103"/>
      <c r="F401" s="103"/>
      <c r="G401" s="103"/>
      <c r="H401" s="103"/>
      <c r="I401" s="103"/>
      <c r="J401" s="103"/>
      <c r="K401" s="103"/>
      <c r="L401" s="60"/>
      <c r="M401" s="103"/>
      <c r="N401" s="61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</row>
    <row r="402" ht="30.0" customHeight="1">
      <c r="A402" s="103"/>
      <c r="B402" s="103"/>
      <c r="C402" s="103"/>
      <c r="D402" s="103"/>
      <c r="E402" s="103"/>
      <c r="F402" s="103"/>
      <c r="G402" s="103"/>
      <c r="H402" s="103"/>
      <c r="I402" s="103"/>
      <c r="J402" s="103"/>
      <c r="K402" s="103"/>
      <c r="L402" s="60"/>
      <c r="M402" s="103"/>
      <c r="N402" s="61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</row>
    <row r="403" ht="30.0" customHeight="1">
      <c r="A403" s="103"/>
      <c r="B403" s="103"/>
      <c r="C403" s="103"/>
      <c r="D403" s="103"/>
      <c r="E403" s="103"/>
      <c r="F403" s="103"/>
      <c r="G403" s="103"/>
      <c r="H403" s="103"/>
      <c r="I403" s="103"/>
      <c r="J403" s="103"/>
      <c r="K403" s="103"/>
      <c r="L403" s="60"/>
      <c r="M403" s="103"/>
      <c r="N403" s="61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</row>
    <row r="404" ht="30.0" customHeight="1">
      <c r="A404" s="103"/>
      <c r="B404" s="103"/>
      <c r="C404" s="103"/>
      <c r="D404" s="103"/>
      <c r="E404" s="103"/>
      <c r="F404" s="103"/>
      <c r="G404" s="103"/>
      <c r="H404" s="103"/>
      <c r="I404" s="103"/>
      <c r="J404" s="103"/>
      <c r="K404" s="103"/>
      <c r="L404" s="60"/>
      <c r="M404" s="103"/>
      <c r="N404" s="61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</row>
    <row r="405" ht="30.0" customHeight="1">
      <c r="A405" s="103"/>
      <c r="B405" s="103"/>
      <c r="C405" s="103"/>
      <c r="D405" s="103"/>
      <c r="E405" s="103"/>
      <c r="F405" s="103"/>
      <c r="G405" s="103"/>
      <c r="H405" s="103"/>
      <c r="I405" s="103"/>
      <c r="J405" s="103"/>
      <c r="K405" s="103"/>
      <c r="L405" s="60"/>
      <c r="M405" s="103"/>
      <c r="N405" s="61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</row>
    <row r="406" ht="30.0" customHeight="1">
      <c r="A406" s="103"/>
      <c r="B406" s="103"/>
      <c r="C406" s="103"/>
      <c r="D406" s="103"/>
      <c r="E406" s="103"/>
      <c r="F406" s="103"/>
      <c r="G406" s="103"/>
      <c r="H406" s="103"/>
      <c r="I406" s="103"/>
      <c r="J406" s="103"/>
      <c r="K406" s="103"/>
      <c r="L406" s="60"/>
      <c r="M406" s="103"/>
      <c r="N406" s="61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</row>
    <row r="407" ht="30.0" customHeight="1">
      <c r="A407" s="103"/>
      <c r="B407" s="103"/>
      <c r="C407" s="103"/>
      <c r="D407" s="103"/>
      <c r="E407" s="103"/>
      <c r="F407" s="103"/>
      <c r="G407" s="103"/>
      <c r="H407" s="103"/>
      <c r="I407" s="103"/>
      <c r="J407" s="103"/>
      <c r="K407" s="103"/>
      <c r="L407" s="60"/>
      <c r="M407" s="103"/>
      <c r="N407" s="61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</row>
    <row r="408" ht="30.0" customHeight="1">
      <c r="A408" s="103"/>
      <c r="B408" s="103"/>
      <c r="C408" s="103"/>
      <c r="D408" s="103"/>
      <c r="E408" s="103"/>
      <c r="F408" s="103"/>
      <c r="G408" s="103"/>
      <c r="H408" s="103"/>
      <c r="I408" s="103"/>
      <c r="J408" s="103"/>
      <c r="K408" s="103"/>
      <c r="L408" s="60"/>
      <c r="M408" s="103"/>
      <c r="N408" s="61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</row>
    <row r="409" ht="30.0" customHeight="1">
      <c r="A409" s="103"/>
      <c r="B409" s="103"/>
      <c r="C409" s="103"/>
      <c r="D409" s="103"/>
      <c r="E409" s="103"/>
      <c r="F409" s="103"/>
      <c r="G409" s="103"/>
      <c r="H409" s="103"/>
      <c r="I409" s="103"/>
      <c r="J409" s="103"/>
      <c r="K409" s="103"/>
      <c r="L409" s="60"/>
      <c r="M409" s="103"/>
      <c r="N409" s="61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</row>
    <row r="410" ht="30.0" customHeight="1">
      <c r="A410" s="103"/>
      <c r="B410" s="103"/>
      <c r="C410" s="103"/>
      <c r="D410" s="103"/>
      <c r="E410" s="103"/>
      <c r="F410" s="103"/>
      <c r="G410" s="103"/>
      <c r="H410" s="103"/>
      <c r="I410" s="103"/>
      <c r="J410" s="103"/>
      <c r="K410" s="103"/>
      <c r="L410" s="60"/>
      <c r="M410" s="103"/>
      <c r="N410" s="61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</row>
    <row r="411" ht="30.0" customHeight="1">
      <c r="A411" s="103"/>
      <c r="B411" s="103"/>
      <c r="C411" s="103"/>
      <c r="D411" s="103"/>
      <c r="E411" s="103"/>
      <c r="F411" s="103"/>
      <c r="G411" s="103"/>
      <c r="H411" s="103"/>
      <c r="I411" s="103"/>
      <c r="J411" s="103"/>
      <c r="K411" s="103"/>
      <c r="L411" s="60"/>
      <c r="M411" s="103"/>
      <c r="N411" s="61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</row>
    <row r="412" ht="30.0" customHeight="1">
      <c r="A412" s="103"/>
      <c r="B412" s="103"/>
      <c r="C412" s="103"/>
      <c r="D412" s="103"/>
      <c r="E412" s="103"/>
      <c r="F412" s="103"/>
      <c r="G412" s="103"/>
      <c r="H412" s="103"/>
      <c r="I412" s="103"/>
      <c r="J412" s="103"/>
      <c r="K412" s="103"/>
      <c r="L412" s="60"/>
      <c r="M412" s="103"/>
      <c r="N412" s="61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</row>
    <row r="413" ht="30.0" customHeight="1">
      <c r="A413" s="103"/>
      <c r="B413" s="103"/>
      <c r="C413" s="103"/>
      <c r="D413" s="103"/>
      <c r="E413" s="103"/>
      <c r="F413" s="103"/>
      <c r="G413" s="103"/>
      <c r="H413" s="103"/>
      <c r="I413" s="103"/>
      <c r="J413" s="103"/>
      <c r="K413" s="103"/>
      <c r="L413" s="60"/>
      <c r="M413" s="103"/>
      <c r="N413" s="61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</row>
    <row r="414" ht="30.0" customHeight="1">
      <c r="A414" s="103"/>
      <c r="B414" s="103"/>
      <c r="C414" s="103"/>
      <c r="D414" s="103"/>
      <c r="E414" s="103"/>
      <c r="F414" s="103"/>
      <c r="G414" s="103"/>
      <c r="H414" s="103"/>
      <c r="I414" s="103"/>
      <c r="J414" s="103"/>
      <c r="K414" s="103"/>
      <c r="L414" s="60"/>
      <c r="M414" s="103"/>
      <c r="N414" s="61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</row>
    <row r="415" ht="30.0" customHeight="1">
      <c r="A415" s="103"/>
      <c r="B415" s="103"/>
      <c r="C415" s="103"/>
      <c r="D415" s="103"/>
      <c r="E415" s="103"/>
      <c r="F415" s="103"/>
      <c r="G415" s="103"/>
      <c r="H415" s="103"/>
      <c r="I415" s="103"/>
      <c r="J415" s="103"/>
      <c r="K415" s="103"/>
      <c r="L415" s="60"/>
      <c r="M415" s="103"/>
      <c r="N415" s="61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</row>
    <row r="416" ht="30.0" customHeight="1">
      <c r="A416" s="103"/>
      <c r="B416" s="103"/>
      <c r="C416" s="103"/>
      <c r="D416" s="103"/>
      <c r="E416" s="103"/>
      <c r="F416" s="103"/>
      <c r="G416" s="103"/>
      <c r="H416" s="103"/>
      <c r="I416" s="103"/>
      <c r="J416" s="103"/>
      <c r="K416" s="103"/>
      <c r="L416" s="60"/>
      <c r="M416" s="103"/>
      <c r="N416" s="61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</row>
    <row r="417" ht="30.0" customHeight="1">
      <c r="A417" s="103"/>
      <c r="B417" s="103"/>
      <c r="C417" s="103"/>
      <c r="D417" s="103"/>
      <c r="E417" s="103"/>
      <c r="F417" s="103"/>
      <c r="G417" s="103"/>
      <c r="H417" s="103"/>
      <c r="I417" s="103"/>
      <c r="J417" s="103"/>
      <c r="K417" s="103"/>
      <c r="L417" s="60"/>
      <c r="M417" s="103"/>
      <c r="N417" s="61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</row>
    <row r="418" ht="30.0" customHeight="1">
      <c r="A418" s="103"/>
      <c r="B418" s="103"/>
      <c r="C418" s="103"/>
      <c r="D418" s="103"/>
      <c r="E418" s="103"/>
      <c r="F418" s="103"/>
      <c r="G418" s="103"/>
      <c r="H418" s="103"/>
      <c r="I418" s="103"/>
      <c r="J418" s="103"/>
      <c r="K418" s="103"/>
      <c r="L418" s="60"/>
      <c r="M418" s="103"/>
      <c r="N418" s="61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</row>
    <row r="419" ht="30.0" customHeight="1">
      <c r="A419" s="103"/>
      <c r="B419" s="103"/>
      <c r="C419" s="103"/>
      <c r="D419" s="103"/>
      <c r="E419" s="103"/>
      <c r="F419" s="103"/>
      <c r="G419" s="103"/>
      <c r="H419" s="103"/>
      <c r="I419" s="103"/>
      <c r="J419" s="103"/>
      <c r="K419" s="103"/>
      <c r="L419" s="60"/>
      <c r="M419" s="103"/>
      <c r="N419" s="61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</row>
    <row r="420" ht="30.0" customHeight="1">
      <c r="A420" s="103"/>
      <c r="B420" s="103"/>
      <c r="C420" s="103"/>
      <c r="D420" s="103"/>
      <c r="E420" s="103"/>
      <c r="F420" s="103"/>
      <c r="G420" s="103"/>
      <c r="H420" s="103"/>
      <c r="I420" s="103"/>
      <c r="J420" s="103"/>
      <c r="K420" s="103"/>
      <c r="L420" s="60"/>
      <c r="M420" s="103"/>
      <c r="N420" s="61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</row>
    <row r="421" ht="30.0" customHeight="1">
      <c r="A421" s="103"/>
      <c r="B421" s="103"/>
      <c r="C421" s="103"/>
      <c r="D421" s="103"/>
      <c r="E421" s="103"/>
      <c r="F421" s="103"/>
      <c r="G421" s="103"/>
      <c r="H421" s="103"/>
      <c r="I421" s="103"/>
      <c r="J421" s="103"/>
      <c r="K421" s="103"/>
      <c r="L421" s="60"/>
      <c r="M421" s="103"/>
      <c r="N421" s="61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</row>
    <row r="422" ht="30.0" customHeight="1">
      <c r="A422" s="103"/>
      <c r="B422" s="103"/>
      <c r="C422" s="103"/>
      <c r="D422" s="103"/>
      <c r="E422" s="103"/>
      <c r="F422" s="103"/>
      <c r="G422" s="103"/>
      <c r="H422" s="103"/>
      <c r="I422" s="103"/>
      <c r="J422" s="103"/>
      <c r="K422" s="103"/>
      <c r="L422" s="60"/>
      <c r="M422" s="103"/>
      <c r="N422" s="61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</row>
    <row r="423" ht="30.0" customHeight="1">
      <c r="A423" s="103"/>
      <c r="B423" s="103"/>
      <c r="C423" s="103"/>
      <c r="D423" s="103"/>
      <c r="E423" s="103"/>
      <c r="F423" s="103"/>
      <c r="G423" s="103"/>
      <c r="H423" s="103"/>
      <c r="I423" s="103"/>
      <c r="J423" s="103"/>
      <c r="K423" s="103"/>
      <c r="L423" s="60"/>
      <c r="M423" s="103"/>
      <c r="N423" s="61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</row>
    <row r="424" ht="30.0" customHeight="1">
      <c r="A424" s="103"/>
      <c r="B424" s="103"/>
      <c r="C424" s="103"/>
      <c r="D424" s="103"/>
      <c r="E424" s="103"/>
      <c r="F424" s="103"/>
      <c r="G424" s="103"/>
      <c r="H424" s="103"/>
      <c r="I424" s="103"/>
      <c r="J424" s="103"/>
      <c r="K424" s="103"/>
      <c r="L424" s="60"/>
      <c r="M424" s="103"/>
      <c r="N424" s="61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</row>
    <row r="425" ht="30.0" customHeight="1">
      <c r="A425" s="103"/>
      <c r="B425" s="103"/>
      <c r="C425" s="103"/>
      <c r="D425" s="103"/>
      <c r="E425" s="103"/>
      <c r="F425" s="103"/>
      <c r="G425" s="103"/>
      <c r="H425" s="103"/>
      <c r="I425" s="103"/>
      <c r="J425" s="103"/>
      <c r="K425" s="103"/>
      <c r="L425" s="60"/>
      <c r="M425" s="103"/>
      <c r="N425" s="61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</row>
    <row r="426" ht="30.0" customHeight="1">
      <c r="A426" s="103"/>
      <c r="B426" s="103"/>
      <c r="C426" s="103"/>
      <c r="D426" s="103"/>
      <c r="E426" s="103"/>
      <c r="F426" s="103"/>
      <c r="G426" s="103"/>
      <c r="H426" s="103"/>
      <c r="I426" s="103"/>
      <c r="J426" s="103"/>
      <c r="K426" s="103"/>
      <c r="L426" s="60"/>
      <c r="M426" s="103"/>
      <c r="N426" s="61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</row>
    <row r="427" ht="30.0" customHeight="1">
      <c r="A427" s="103"/>
      <c r="B427" s="103"/>
      <c r="C427" s="103"/>
      <c r="D427" s="103"/>
      <c r="E427" s="103"/>
      <c r="F427" s="103"/>
      <c r="G427" s="103"/>
      <c r="H427" s="103"/>
      <c r="I427" s="103"/>
      <c r="J427" s="103"/>
      <c r="K427" s="103"/>
      <c r="L427" s="60"/>
      <c r="M427" s="103"/>
      <c r="N427" s="61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</row>
    <row r="428" ht="30.0" customHeight="1">
      <c r="A428" s="103"/>
      <c r="B428" s="103"/>
      <c r="C428" s="103"/>
      <c r="D428" s="103"/>
      <c r="E428" s="103"/>
      <c r="F428" s="103"/>
      <c r="G428" s="103"/>
      <c r="H428" s="103"/>
      <c r="I428" s="103"/>
      <c r="J428" s="103"/>
      <c r="K428" s="103"/>
      <c r="L428" s="60"/>
      <c r="M428" s="103"/>
      <c r="N428" s="61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</row>
    <row r="429" ht="30.0" customHeight="1">
      <c r="A429" s="103"/>
      <c r="B429" s="103"/>
      <c r="C429" s="103"/>
      <c r="D429" s="103"/>
      <c r="E429" s="103"/>
      <c r="F429" s="103"/>
      <c r="G429" s="103"/>
      <c r="H429" s="103"/>
      <c r="I429" s="103"/>
      <c r="J429" s="103"/>
      <c r="K429" s="103"/>
      <c r="L429" s="60"/>
      <c r="M429" s="103"/>
      <c r="N429" s="61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</row>
    <row r="430" ht="30.0" customHeight="1">
      <c r="A430" s="103"/>
      <c r="B430" s="103"/>
      <c r="C430" s="103"/>
      <c r="D430" s="103"/>
      <c r="E430" s="103"/>
      <c r="F430" s="103"/>
      <c r="G430" s="103"/>
      <c r="H430" s="103"/>
      <c r="I430" s="103"/>
      <c r="J430" s="103"/>
      <c r="K430" s="103"/>
      <c r="L430" s="60"/>
      <c r="M430" s="103"/>
      <c r="N430" s="61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</row>
    <row r="431" ht="30.0" customHeight="1">
      <c r="A431" s="103"/>
      <c r="B431" s="103"/>
      <c r="C431" s="103"/>
      <c r="D431" s="103"/>
      <c r="E431" s="103"/>
      <c r="F431" s="103"/>
      <c r="G431" s="103"/>
      <c r="H431" s="103"/>
      <c r="I431" s="103"/>
      <c r="J431" s="103"/>
      <c r="K431" s="103"/>
      <c r="L431" s="60"/>
      <c r="M431" s="103"/>
      <c r="N431" s="61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</row>
    <row r="432" ht="30.0" customHeight="1">
      <c r="A432" s="103"/>
      <c r="B432" s="103"/>
      <c r="C432" s="103"/>
      <c r="D432" s="103"/>
      <c r="E432" s="103"/>
      <c r="F432" s="103"/>
      <c r="G432" s="103"/>
      <c r="H432" s="103"/>
      <c r="I432" s="103"/>
      <c r="J432" s="103"/>
      <c r="K432" s="103"/>
      <c r="L432" s="60"/>
      <c r="M432" s="103"/>
      <c r="N432" s="61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</row>
    <row r="433" ht="30.0" customHeight="1">
      <c r="A433" s="103"/>
      <c r="B433" s="103"/>
      <c r="C433" s="103"/>
      <c r="D433" s="103"/>
      <c r="E433" s="103"/>
      <c r="F433" s="103"/>
      <c r="G433" s="103"/>
      <c r="H433" s="103"/>
      <c r="I433" s="103"/>
      <c r="J433" s="103"/>
      <c r="K433" s="103"/>
      <c r="L433" s="60"/>
      <c r="M433" s="103"/>
      <c r="N433" s="61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</row>
    <row r="434" ht="30.0" customHeight="1">
      <c r="A434" s="103"/>
      <c r="B434" s="103"/>
      <c r="C434" s="103"/>
      <c r="D434" s="103"/>
      <c r="E434" s="103"/>
      <c r="F434" s="103"/>
      <c r="G434" s="103"/>
      <c r="H434" s="103"/>
      <c r="I434" s="103"/>
      <c r="J434" s="103"/>
      <c r="K434" s="103"/>
      <c r="L434" s="60"/>
      <c r="M434" s="103"/>
      <c r="N434" s="61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</row>
    <row r="435" ht="30.0" customHeight="1">
      <c r="A435" s="103"/>
      <c r="B435" s="103"/>
      <c r="C435" s="103"/>
      <c r="D435" s="103"/>
      <c r="E435" s="103"/>
      <c r="F435" s="103"/>
      <c r="G435" s="103"/>
      <c r="H435" s="103"/>
      <c r="I435" s="103"/>
      <c r="J435" s="103"/>
      <c r="K435" s="103"/>
      <c r="L435" s="60"/>
      <c r="M435" s="103"/>
      <c r="N435" s="61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</row>
    <row r="436" ht="30.0" customHeight="1">
      <c r="A436" s="103"/>
      <c r="B436" s="103"/>
      <c r="C436" s="103"/>
      <c r="D436" s="103"/>
      <c r="E436" s="103"/>
      <c r="F436" s="103"/>
      <c r="G436" s="103"/>
      <c r="H436" s="103"/>
      <c r="I436" s="103"/>
      <c r="J436" s="103"/>
      <c r="K436" s="103"/>
      <c r="L436" s="60"/>
      <c r="M436" s="103"/>
      <c r="N436" s="61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</row>
    <row r="437" ht="30.0" customHeight="1">
      <c r="A437" s="103"/>
      <c r="B437" s="103"/>
      <c r="C437" s="103"/>
      <c r="D437" s="103"/>
      <c r="E437" s="103"/>
      <c r="F437" s="103"/>
      <c r="G437" s="103"/>
      <c r="H437" s="103"/>
      <c r="I437" s="103"/>
      <c r="J437" s="103"/>
      <c r="K437" s="103"/>
      <c r="L437" s="60"/>
      <c r="M437" s="103"/>
      <c r="N437" s="61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</row>
    <row r="438" ht="30.0" customHeight="1">
      <c r="A438" s="103"/>
      <c r="B438" s="103"/>
      <c r="C438" s="103"/>
      <c r="D438" s="103"/>
      <c r="E438" s="103"/>
      <c r="F438" s="103"/>
      <c r="G438" s="103"/>
      <c r="H438" s="103"/>
      <c r="I438" s="103"/>
      <c r="J438" s="103"/>
      <c r="K438" s="103"/>
      <c r="L438" s="60"/>
      <c r="M438" s="103"/>
      <c r="N438" s="61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</row>
    <row r="439" ht="30.0" customHeight="1">
      <c r="A439" s="103"/>
      <c r="B439" s="103"/>
      <c r="C439" s="103"/>
      <c r="D439" s="103"/>
      <c r="E439" s="103"/>
      <c r="F439" s="103"/>
      <c r="G439" s="103"/>
      <c r="H439" s="103"/>
      <c r="I439" s="103"/>
      <c r="J439" s="103"/>
      <c r="K439" s="103"/>
      <c r="L439" s="60"/>
      <c r="M439" s="103"/>
      <c r="N439" s="61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</row>
    <row r="440" ht="30.0" customHeight="1">
      <c r="A440" s="103"/>
      <c r="B440" s="103"/>
      <c r="C440" s="103"/>
      <c r="D440" s="103"/>
      <c r="E440" s="103"/>
      <c r="F440" s="103"/>
      <c r="G440" s="103"/>
      <c r="H440" s="103"/>
      <c r="I440" s="103"/>
      <c r="J440" s="103"/>
      <c r="K440" s="103"/>
      <c r="L440" s="60"/>
      <c r="M440" s="103"/>
      <c r="N440" s="61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</row>
    <row r="441" ht="30.0" customHeight="1">
      <c r="A441" s="103"/>
      <c r="B441" s="103"/>
      <c r="C441" s="103"/>
      <c r="D441" s="103"/>
      <c r="E441" s="103"/>
      <c r="F441" s="103"/>
      <c r="G441" s="103"/>
      <c r="H441" s="103"/>
      <c r="I441" s="103"/>
      <c r="J441" s="103"/>
      <c r="K441" s="103"/>
      <c r="L441" s="60"/>
      <c r="M441" s="103"/>
      <c r="N441" s="61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</row>
    <row r="442" ht="30.0" customHeight="1">
      <c r="A442" s="103"/>
      <c r="B442" s="103"/>
      <c r="C442" s="103"/>
      <c r="D442" s="103"/>
      <c r="E442" s="103"/>
      <c r="F442" s="103"/>
      <c r="G442" s="103"/>
      <c r="H442" s="103"/>
      <c r="I442" s="103"/>
      <c r="J442" s="103"/>
      <c r="K442" s="103"/>
      <c r="L442" s="60"/>
      <c r="M442" s="103"/>
      <c r="N442" s="61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</row>
    <row r="443" ht="30.0" customHeight="1">
      <c r="A443" s="103"/>
      <c r="B443" s="103"/>
      <c r="C443" s="103"/>
      <c r="D443" s="103"/>
      <c r="E443" s="103"/>
      <c r="F443" s="103"/>
      <c r="G443" s="103"/>
      <c r="H443" s="103"/>
      <c r="I443" s="103"/>
      <c r="J443" s="103"/>
      <c r="K443" s="103"/>
      <c r="L443" s="60"/>
      <c r="M443" s="103"/>
      <c r="N443" s="61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</row>
    <row r="444" ht="30.0" customHeight="1">
      <c r="A444" s="103"/>
      <c r="B444" s="103"/>
      <c r="C444" s="103"/>
      <c r="D444" s="103"/>
      <c r="E444" s="103"/>
      <c r="F444" s="103"/>
      <c r="G444" s="103"/>
      <c r="H444" s="103"/>
      <c r="I444" s="103"/>
      <c r="J444" s="103"/>
      <c r="K444" s="103"/>
      <c r="L444" s="60"/>
      <c r="M444" s="103"/>
      <c r="N444" s="61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</row>
    <row r="445" ht="30.0" customHeight="1">
      <c r="A445" s="103"/>
      <c r="B445" s="103"/>
      <c r="C445" s="103"/>
      <c r="D445" s="103"/>
      <c r="E445" s="103"/>
      <c r="F445" s="103"/>
      <c r="G445" s="103"/>
      <c r="H445" s="103"/>
      <c r="I445" s="103"/>
      <c r="J445" s="103"/>
      <c r="K445" s="103"/>
      <c r="L445" s="60"/>
      <c r="M445" s="103"/>
      <c r="N445" s="61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</row>
    <row r="446" ht="30.0" customHeight="1">
      <c r="A446" s="103"/>
      <c r="B446" s="103"/>
      <c r="C446" s="103"/>
      <c r="D446" s="103"/>
      <c r="E446" s="103"/>
      <c r="F446" s="103"/>
      <c r="G446" s="103"/>
      <c r="H446" s="103"/>
      <c r="I446" s="103"/>
      <c r="J446" s="103"/>
      <c r="K446" s="103"/>
      <c r="L446" s="60"/>
      <c r="M446" s="103"/>
      <c r="N446" s="61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</row>
    <row r="447" ht="30.0" customHeight="1">
      <c r="A447" s="103"/>
      <c r="B447" s="103"/>
      <c r="C447" s="103"/>
      <c r="D447" s="103"/>
      <c r="E447" s="103"/>
      <c r="F447" s="103"/>
      <c r="G447" s="103"/>
      <c r="H447" s="103"/>
      <c r="I447" s="103"/>
      <c r="J447" s="103"/>
      <c r="K447" s="103"/>
      <c r="L447" s="60"/>
      <c r="M447" s="103"/>
      <c r="N447" s="61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</row>
    <row r="448" ht="30.0" customHeight="1">
      <c r="A448" s="103"/>
      <c r="B448" s="103"/>
      <c r="C448" s="103"/>
      <c r="D448" s="103"/>
      <c r="E448" s="103"/>
      <c r="F448" s="103"/>
      <c r="G448" s="103"/>
      <c r="H448" s="103"/>
      <c r="I448" s="103"/>
      <c r="J448" s="103"/>
      <c r="K448" s="103"/>
      <c r="L448" s="60"/>
      <c r="M448" s="103"/>
      <c r="N448" s="61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</row>
    <row r="449" ht="30.0" customHeight="1">
      <c r="A449" s="103"/>
      <c r="B449" s="103"/>
      <c r="C449" s="103"/>
      <c r="D449" s="103"/>
      <c r="E449" s="103"/>
      <c r="F449" s="103"/>
      <c r="G449" s="103"/>
      <c r="H449" s="103"/>
      <c r="I449" s="103"/>
      <c r="J449" s="103"/>
      <c r="K449" s="103"/>
      <c r="L449" s="60"/>
      <c r="M449" s="103"/>
      <c r="N449" s="61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</row>
    <row r="450" ht="30.0" customHeight="1">
      <c r="A450" s="103"/>
      <c r="B450" s="103"/>
      <c r="C450" s="103"/>
      <c r="D450" s="103"/>
      <c r="E450" s="103"/>
      <c r="F450" s="103"/>
      <c r="G450" s="103"/>
      <c r="H450" s="103"/>
      <c r="I450" s="103"/>
      <c r="J450" s="103"/>
      <c r="K450" s="103"/>
      <c r="L450" s="60"/>
      <c r="M450" s="103"/>
      <c r="N450" s="61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</row>
    <row r="451" ht="30.0" customHeight="1">
      <c r="A451" s="103"/>
      <c r="B451" s="103"/>
      <c r="C451" s="103"/>
      <c r="D451" s="103"/>
      <c r="E451" s="103"/>
      <c r="F451" s="103"/>
      <c r="G451" s="103"/>
      <c r="H451" s="103"/>
      <c r="I451" s="103"/>
      <c r="J451" s="103"/>
      <c r="K451" s="103"/>
      <c r="L451" s="60"/>
      <c r="M451" s="103"/>
      <c r="N451" s="61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</row>
    <row r="452" ht="30.0" customHeight="1">
      <c r="A452" s="103"/>
      <c r="B452" s="103"/>
      <c r="C452" s="103"/>
      <c r="D452" s="103"/>
      <c r="E452" s="103"/>
      <c r="F452" s="103"/>
      <c r="G452" s="103"/>
      <c r="H452" s="103"/>
      <c r="I452" s="103"/>
      <c r="J452" s="103"/>
      <c r="K452" s="103"/>
      <c r="L452" s="60"/>
      <c r="M452" s="103"/>
      <c r="N452" s="61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</row>
    <row r="453" ht="30.0" customHeight="1">
      <c r="A453" s="103"/>
      <c r="B453" s="103"/>
      <c r="C453" s="103"/>
      <c r="D453" s="103"/>
      <c r="E453" s="103"/>
      <c r="F453" s="103"/>
      <c r="G453" s="103"/>
      <c r="H453" s="103"/>
      <c r="I453" s="103"/>
      <c r="J453" s="103"/>
      <c r="K453" s="103"/>
      <c r="L453" s="60"/>
      <c r="M453" s="103"/>
      <c r="N453" s="61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</row>
    <row r="454" ht="30.0" customHeight="1">
      <c r="A454" s="103"/>
      <c r="B454" s="103"/>
      <c r="C454" s="103"/>
      <c r="D454" s="103"/>
      <c r="E454" s="103"/>
      <c r="F454" s="103"/>
      <c r="G454" s="103"/>
      <c r="H454" s="103"/>
      <c r="I454" s="103"/>
      <c r="J454" s="103"/>
      <c r="K454" s="103"/>
      <c r="L454" s="60"/>
      <c r="M454" s="103"/>
      <c r="N454" s="61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</row>
    <row r="455" ht="30.0" customHeight="1">
      <c r="A455" s="103"/>
      <c r="B455" s="103"/>
      <c r="C455" s="103"/>
      <c r="D455" s="103"/>
      <c r="E455" s="103"/>
      <c r="F455" s="103"/>
      <c r="G455" s="103"/>
      <c r="H455" s="103"/>
      <c r="I455" s="103"/>
      <c r="J455" s="103"/>
      <c r="K455" s="103"/>
      <c r="L455" s="60"/>
      <c r="M455" s="103"/>
      <c r="N455" s="61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</row>
    <row r="456" ht="30.0" customHeight="1">
      <c r="A456" s="103"/>
      <c r="B456" s="103"/>
      <c r="C456" s="103"/>
      <c r="D456" s="103"/>
      <c r="E456" s="103"/>
      <c r="F456" s="103"/>
      <c r="G456" s="103"/>
      <c r="H456" s="103"/>
      <c r="I456" s="103"/>
      <c r="J456" s="103"/>
      <c r="K456" s="103"/>
      <c r="L456" s="60"/>
      <c r="M456" s="103"/>
      <c r="N456" s="61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</row>
    <row r="457" ht="30.0" customHeight="1">
      <c r="A457" s="103"/>
      <c r="B457" s="103"/>
      <c r="C457" s="103"/>
      <c r="D457" s="103"/>
      <c r="E457" s="103"/>
      <c r="F457" s="103"/>
      <c r="G457" s="103"/>
      <c r="H457" s="103"/>
      <c r="I457" s="103"/>
      <c r="J457" s="103"/>
      <c r="K457" s="103"/>
      <c r="L457" s="60"/>
      <c r="M457" s="103"/>
      <c r="N457" s="61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</row>
    <row r="458" ht="30.0" customHeight="1">
      <c r="A458" s="103"/>
      <c r="B458" s="103"/>
      <c r="C458" s="103"/>
      <c r="D458" s="103"/>
      <c r="E458" s="103"/>
      <c r="F458" s="103"/>
      <c r="G458" s="103"/>
      <c r="H458" s="103"/>
      <c r="I458" s="103"/>
      <c r="J458" s="103"/>
      <c r="K458" s="103"/>
      <c r="L458" s="60"/>
      <c r="M458" s="103"/>
      <c r="N458" s="61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</row>
    <row r="459" ht="30.0" customHeight="1">
      <c r="A459" s="103"/>
      <c r="B459" s="103"/>
      <c r="C459" s="103"/>
      <c r="D459" s="103"/>
      <c r="E459" s="103"/>
      <c r="F459" s="103"/>
      <c r="G459" s="103"/>
      <c r="H459" s="103"/>
      <c r="I459" s="103"/>
      <c r="J459" s="103"/>
      <c r="K459" s="103"/>
      <c r="L459" s="60"/>
      <c r="M459" s="103"/>
      <c r="N459" s="61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</row>
    <row r="460" ht="30.0" customHeight="1">
      <c r="A460" s="103"/>
      <c r="B460" s="103"/>
      <c r="C460" s="103"/>
      <c r="D460" s="103"/>
      <c r="E460" s="103"/>
      <c r="F460" s="103"/>
      <c r="G460" s="103"/>
      <c r="H460" s="103"/>
      <c r="I460" s="103"/>
      <c r="J460" s="103"/>
      <c r="K460" s="103"/>
      <c r="L460" s="60"/>
      <c r="M460" s="103"/>
      <c r="N460" s="61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</row>
    <row r="461" ht="30.0" customHeight="1">
      <c r="A461" s="103"/>
      <c r="B461" s="103"/>
      <c r="C461" s="103"/>
      <c r="D461" s="103"/>
      <c r="E461" s="103"/>
      <c r="F461" s="103"/>
      <c r="G461" s="103"/>
      <c r="H461" s="103"/>
      <c r="I461" s="103"/>
      <c r="J461" s="103"/>
      <c r="K461" s="103"/>
      <c r="L461" s="60"/>
      <c r="M461" s="103"/>
      <c r="N461" s="61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</row>
    <row r="462" ht="30.0" customHeight="1">
      <c r="A462" s="103"/>
      <c r="B462" s="103"/>
      <c r="C462" s="103"/>
      <c r="D462" s="103"/>
      <c r="E462" s="103"/>
      <c r="F462" s="103"/>
      <c r="G462" s="103"/>
      <c r="H462" s="103"/>
      <c r="I462" s="103"/>
      <c r="J462" s="103"/>
      <c r="K462" s="103"/>
      <c r="L462" s="60"/>
      <c r="M462" s="103"/>
      <c r="N462" s="61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</row>
    <row r="463" ht="30.0" customHeight="1">
      <c r="A463" s="103"/>
      <c r="B463" s="103"/>
      <c r="C463" s="103"/>
      <c r="D463" s="103"/>
      <c r="E463" s="103"/>
      <c r="F463" s="103"/>
      <c r="G463" s="103"/>
      <c r="H463" s="103"/>
      <c r="I463" s="103"/>
      <c r="J463" s="103"/>
      <c r="K463" s="103"/>
      <c r="L463" s="60"/>
      <c r="M463" s="103"/>
      <c r="N463" s="61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</row>
    <row r="464" ht="30.0" customHeight="1">
      <c r="A464" s="103"/>
      <c r="B464" s="103"/>
      <c r="C464" s="103"/>
      <c r="D464" s="103"/>
      <c r="E464" s="103"/>
      <c r="F464" s="103"/>
      <c r="G464" s="103"/>
      <c r="H464" s="103"/>
      <c r="I464" s="103"/>
      <c r="J464" s="103"/>
      <c r="K464" s="103"/>
      <c r="L464" s="60"/>
      <c r="M464" s="103"/>
      <c r="N464" s="61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</row>
    <row r="465" ht="30.0" customHeight="1">
      <c r="A465" s="103"/>
      <c r="B465" s="103"/>
      <c r="C465" s="103"/>
      <c r="D465" s="103"/>
      <c r="E465" s="103"/>
      <c r="F465" s="103"/>
      <c r="G465" s="103"/>
      <c r="H465" s="103"/>
      <c r="I465" s="103"/>
      <c r="J465" s="103"/>
      <c r="K465" s="103"/>
      <c r="L465" s="60"/>
      <c r="M465" s="103"/>
      <c r="N465" s="61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</row>
    <row r="466" ht="30.0" customHeight="1">
      <c r="A466" s="103"/>
      <c r="B466" s="103"/>
      <c r="C466" s="103"/>
      <c r="D466" s="103"/>
      <c r="E466" s="103"/>
      <c r="F466" s="103"/>
      <c r="G466" s="103"/>
      <c r="H466" s="103"/>
      <c r="I466" s="103"/>
      <c r="J466" s="103"/>
      <c r="K466" s="103"/>
      <c r="L466" s="60"/>
      <c r="M466" s="103"/>
      <c r="N466" s="61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</row>
    <row r="467" ht="30.0" customHeight="1">
      <c r="A467" s="103"/>
      <c r="B467" s="103"/>
      <c r="C467" s="103"/>
      <c r="D467" s="103"/>
      <c r="E467" s="103"/>
      <c r="F467" s="103"/>
      <c r="G467" s="103"/>
      <c r="H467" s="103"/>
      <c r="I467" s="103"/>
      <c r="J467" s="103"/>
      <c r="K467" s="103"/>
      <c r="L467" s="60"/>
      <c r="M467" s="103"/>
      <c r="N467" s="61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</row>
    <row r="468" ht="30.0" customHeight="1">
      <c r="A468" s="103"/>
      <c r="B468" s="103"/>
      <c r="C468" s="103"/>
      <c r="D468" s="103"/>
      <c r="E468" s="103"/>
      <c r="F468" s="103"/>
      <c r="G468" s="103"/>
      <c r="H468" s="103"/>
      <c r="I468" s="103"/>
      <c r="J468" s="103"/>
      <c r="K468" s="103"/>
      <c r="L468" s="60"/>
      <c r="M468" s="103"/>
      <c r="N468" s="61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</row>
    <row r="469" ht="30.0" customHeight="1">
      <c r="A469" s="103"/>
      <c r="B469" s="103"/>
      <c r="C469" s="103"/>
      <c r="D469" s="103"/>
      <c r="E469" s="103"/>
      <c r="F469" s="103"/>
      <c r="G469" s="103"/>
      <c r="H469" s="103"/>
      <c r="I469" s="103"/>
      <c r="J469" s="103"/>
      <c r="K469" s="103"/>
      <c r="L469" s="60"/>
      <c r="M469" s="103"/>
      <c r="N469" s="61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</row>
    <row r="470" ht="30.0" customHeight="1">
      <c r="A470" s="103"/>
      <c r="B470" s="103"/>
      <c r="C470" s="103"/>
      <c r="D470" s="103"/>
      <c r="E470" s="103"/>
      <c r="F470" s="103"/>
      <c r="G470" s="103"/>
      <c r="H470" s="103"/>
      <c r="I470" s="103"/>
      <c r="J470" s="103"/>
      <c r="K470" s="103"/>
      <c r="L470" s="60"/>
      <c r="M470" s="103"/>
      <c r="N470" s="61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</row>
    <row r="471" ht="30.0" customHeight="1">
      <c r="A471" s="103"/>
      <c r="B471" s="103"/>
      <c r="C471" s="103"/>
      <c r="D471" s="103"/>
      <c r="E471" s="103"/>
      <c r="F471" s="103"/>
      <c r="G471" s="103"/>
      <c r="H471" s="103"/>
      <c r="I471" s="103"/>
      <c r="J471" s="103"/>
      <c r="K471" s="103"/>
      <c r="L471" s="60"/>
      <c r="M471" s="103"/>
      <c r="N471" s="61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</row>
    <row r="472" ht="30.0" customHeight="1">
      <c r="A472" s="103"/>
      <c r="B472" s="103"/>
      <c r="C472" s="103"/>
      <c r="D472" s="103"/>
      <c r="E472" s="103"/>
      <c r="F472" s="103"/>
      <c r="G472" s="103"/>
      <c r="H472" s="103"/>
      <c r="I472" s="103"/>
      <c r="J472" s="103"/>
      <c r="K472" s="103"/>
      <c r="L472" s="60"/>
      <c r="M472" s="103"/>
      <c r="N472" s="61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</row>
    <row r="473" ht="30.0" customHeight="1">
      <c r="A473" s="103"/>
      <c r="B473" s="103"/>
      <c r="C473" s="103"/>
      <c r="D473" s="103"/>
      <c r="E473" s="103"/>
      <c r="F473" s="103"/>
      <c r="G473" s="103"/>
      <c r="H473" s="103"/>
      <c r="I473" s="103"/>
      <c r="J473" s="103"/>
      <c r="K473" s="103"/>
      <c r="L473" s="60"/>
      <c r="M473" s="103"/>
      <c r="N473" s="61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</row>
    <row r="474" ht="30.0" customHeight="1">
      <c r="A474" s="103"/>
      <c r="B474" s="103"/>
      <c r="C474" s="103"/>
      <c r="D474" s="103"/>
      <c r="E474" s="103"/>
      <c r="F474" s="103"/>
      <c r="G474" s="103"/>
      <c r="H474" s="103"/>
      <c r="I474" s="103"/>
      <c r="J474" s="103"/>
      <c r="K474" s="103"/>
      <c r="L474" s="60"/>
      <c r="M474" s="103"/>
      <c r="N474" s="61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</row>
    <row r="475" ht="30.0" customHeight="1">
      <c r="A475" s="103"/>
      <c r="B475" s="103"/>
      <c r="C475" s="103"/>
      <c r="D475" s="103"/>
      <c r="E475" s="103"/>
      <c r="F475" s="103"/>
      <c r="G475" s="103"/>
      <c r="H475" s="103"/>
      <c r="I475" s="103"/>
      <c r="J475" s="103"/>
      <c r="K475" s="103"/>
      <c r="L475" s="60"/>
      <c r="M475" s="103"/>
      <c r="N475" s="61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</row>
    <row r="476" ht="30.0" customHeight="1">
      <c r="A476" s="103"/>
      <c r="B476" s="103"/>
      <c r="C476" s="103"/>
      <c r="D476" s="103"/>
      <c r="E476" s="103"/>
      <c r="F476" s="103"/>
      <c r="G476" s="103"/>
      <c r="H476" s="103"/>
      <c r="I476" s="103"/>
      <c r="J476" s="103"/>
      <c r="K476" s="103"/>
      <c r="L476" s="60"/>
      <c r="M476" s="103"/>
      <c r="N476" s="61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</row>
    <row r="477" ht="30.0" customHeight="1">
      <c r="A477" s="103"/>
      <c r="B477" s="103"/>
      <c r="C477" s="103"/>
      <c r="D477" s="103"/>
      <c r="E477" s="103"/>
      <c r="F477" s="103"/>
      <c r="G477" s="103"/>
      <c r="H477" s="103"/>
      <c r="I477" s="103"/>
      <c r="J477" s="103"/>
      <c r="K477" s="103"/>
      <c r="L477" s="60"/>
      <c r="M477" s="103"/>
      <c r="N477" s="61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</row>
    <row r="478" ht="30.0" customHeight="1">
      <c r="A478" s="103"/>
      <c r="B478" s="103"/>
      <c r="C478" s="103"/>
      <c r="D478" s="103"/>
      <c r="E478" s="103"/>
      <c r="F478" s="103"/>
      <c r="G478" s="103"/>
      <c r="H478" s="103"/>
      <c r="I478" s="103"/>
      <c r="J478" s="103"/>
      <c r="K478" s="103"/>
      <c r="L478" s="60"/>
      <c r="M478" s="103"/>
      <c r="N478" s="61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</row>
    <row r="479" ht="30.0" customHeight="1">
      <c r="A479" s="103"/>
      <c r="B479" s="103"/>
      <c r="C479" s="103"/>
      <c r="D479" s="103"/>
      <c r="E479" s="103"/>
      <c r="F479" s="103"/>
      <c r="G479" s="103"/>
      <c r="H479" s="103"/>
      <c r="I479" s="103"/>
      <c r="J479" s="103"/>
      <c r="K479" s="103"/>
      <c r="L479" s="60"/>
      <c r="M479" s="103"/>
      <c r="N479" s="61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</row>
    <row r="480" ht="30.0" customHeight="1">
      <c r="A480" s="103"/>
      <c r="B480" s="103"/>
      <c r="C480" s="103"/>
      <c r="D480" s="103"/>
      <c r="E480" s="103"/>
      <c r="F480" s="103"/>
      <c r="G480" s="103"/>
      <c r="H480" s="103"/>
      <c r="I480" s="103"/>
      <c r="J480" s="103"/>
      <c r="K480" s="103"/>
      <c r="L480" s="60"/>
      <c r="M480" s="103"/>
      <c r="N480" s="61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</row>
    <row r="481" ht="30.0" customHeight="1">
      <c r="A481" s="103"/>
      <c r="B481" s="103"/>
      <c r="C481" s="103"/>
      <c r="D481" s="103"/>
      <c r="E481" s="103"/>
      <c r="F481" s="103"/>
      <c r="G481" s="103"/>
      <c r="H481" s="103"/>
      <c r="I481" s="103"/>
      <c r="J481" s="103"/>
      <c r="K481" s="103"/>
      <c r="L481" s="60"/>
      <c r="M481" s="103"/>
      <c r="N481" s="61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</row>
    <row r="482" ht="30.0" customHeight="1">
      <c r="A482" s="103"/>
      <c r="B482" s="103"/>
      <c r="C482" s="103"/>
      <c r="D482" s="103"/>
      <c r="E482" s="103"/>
      <c r="F482" s="103"/>
      <c r="G482" s="103"/>
      <c r="H482" s="103"/>
      <c r="I482" s="103"/>
      <c r="J482" s="103"/>
      <c r="K482" s="103"/>
      <c r="L482" s="60"/>
      <c r="M482" s="103"/>
      <c r="N482" s="61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</row>
    <row r="483" ht="30.0" customHeight="1">
      <c r="A483" s="103"/>
      <c r="B483" s="103"/>
      <c r="C483" s="103"/>
      <c r="D483" s="103"/>
      <c r="E483" s="103"/>
      <c r="F483" s="103"/>
      <c r="G483" s="103"/>
      <c r="H483" s="103"/>
      <c r="I483" s="103"/>
      <c r="J483" s="103"/>
      <c r="K483" s="103"/>
      <c r="L483" s="60"/>
      <c r="M483" s="103"/>
      <c r="N483" s="61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</row>
    <row r="484" ht="30.0" customHeight="1">
      <c r="A484" s="103"/>
      <c r="B484" s="103"/>
      <c r="C484" s="103"/>
      <c r="D484" s="103"/>
      <c r="E484" s="103"/>
      <c r="F484" s="103"/>
      <c r="G484" s="103"/>
      <c r="H484" s="103"/>
      <c r="I484" s="103"/>
      <c r="J484" s="103"/>
      <c r="K484" s="103"/>
      <c r="L484" s="60"/>
      <c r="M484" s="103"/>
      <c r="N484" s="61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</row>
    <row r="485" ht="30.0" customHeight="1">
      <c r="A485" s="103"/>
      <c r="B485" s="103"/>
      <c r="C485" s="103"/>
      <c r="D485" s="103"/>
      <c r="E485" s="103"/>
      <c r="F485" s="103"/>
      <c r="G485" s="103"/>
      <c r="H485" s="103"/>
      <c r="I485" s="103"/>
      <c r="J485" s="103"/>
      <c r="K485" s="103"/>
      <c r="L485" s="60"/>
      <c r="M485" s="103"/>
      <c r="N485" s="61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</row>
    <row r="486" ht="30.0" customHeight="1">
      <c r="A486" s="103"/>
      <c r="B486" s="103"/>
      <c r="C486" s="103"/>
      <c r="D486" s="103"/>
      <c r="E486" s="103"/>
      <c r="F486" s="103"/>
      <c r="G486" s="103"/>
      <c r="H486" s="103"/>
      <c r="I486" s="103"/>
      <c r="J486" s="103"/>
      <c r="K486" s="103"/>
      <c r="L486" s="60"/>
      <c r="M486" s="103"/>
      <c r="N486" s="61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</row>
    <row r="487" ht="30.0" customHeight="1">
      <c r="A487" s="103"/>
      <c r="B487" s="103"/>
      <c r="C487" s="103"/>
      <c r="D487" s="103"/>
      <c r="E487" s="103"/>
      <c r="F487" s="103"/>
      <c r="G487" s="103"/>
      <c r="H487" s="103"/>
      <c r="I487" s="103"/>
      <c r="J487" s="103"/>
      <c r="K487" s="103"/>
      <c r="L487" s="60"/>
      <c r="M487" s="103"/>
      <c r="N487" s="61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</row>
    <row r="488" ht="30.0" customHeight="1">
      <c r="A488" s="103"/>
      <c r="B488" s="103"/>
      <c r="C488" s="103"/>
      <c r="D488" s="103"/>
      <c r="E488" s="103"/>
      <c r="F488" s="103"/>
      <c r="G488" s="103"/>
      <c r="H488" s="103"/>
      <c r="I488" s="103"/>
      <c r="J488" s="103"/>
      <c r="K488" s="103"/>
      <c r="L488" s="60"/>
      <c r="M488" s="103"/>
      <c r="N488" s="61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</row>
    <row r="489" ht="30.0" customHeight="1">
      <c r="A489" s="103"/>
      <c r="B489" s="103"/>
      <c r="C489" s="103"/>
      <c r="D489" s="103"/>
      <c r="E489" s="103"/>
      <c r="F489" s="103"/>
      <c r="G489" s="103"/>
      <c r="H489" s="103"/>
      <c r="I489" s="103"/>
      <c r="J489" s="103"/>
      <c r="K489" s="103"/>
      <c r="L489" s="60"/>
      <c r="M489" s="103"/>
      <c r="N489" s="61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</row>
    <row r="490" ht="30.0" customHeight="1">
      <c r="A490" s="103"/>
      <c r="B490" s="103"/>
      <c r="C490" s="103"/>
      <c r="D490" s="103"/>
      <c r="E490" s="103"/>
      <c r="F490" s="103"/>
      <c r="G490" s="103"/>
      <c r="H490" s="103"/>
      <c r="I490" s="103"/>
      <c r="J490" s="103"/>
      <c r="K490" s="103"/>
      <c r="L490" s="60"/>
      <c r="M490" s="103"/>
      <c r="N490" s="61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</row>
    <row r="491" ht="30.0" customHeight="1">
      <c r="A491" s="103"/>
      <c r="B491" s="103"/>
      <c r="C491" s="103"/>
      <c r="D491" s="103"/>
      <c r="E491" s="103"/>
      <c r="F491" s="103"/>
      <c r="G491" s="103"/>
      <c r="H491" s="103"/>
      <c r="I491" s="103"/>
      <c r="J491" s="103"/>
      <c r="K491" s="103"/>
      <c r="L491" s="60"/>
      <c r="M491" s="103"/>
      <c r="N491" s="61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</row>
    <row r="492" ht="30.0" customHeight="1">
      <c r="A492" s="103"/>
      <c r="B492" s="103"/>
      <c r="C492" s="103"/>
      <c r="D492" s="103"/>
      <c r="E492" s="103"/>
      <c r="F492" s="103"/>
      <c r="G492" s="103"/>
      <c r="H492" s="103"/>
      <c r="I492" s="103"/>
      <c r="J492" s="103"/>
      <c r="K492" s="103"/>
      <c r="L492" s="60"/>
      <c r="M492" s="103"/>
      <c r="N492" s="61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</row>
    <row r="493" ht="30.0" customHeight="1">
      <c r="A493" s="103"/>
      <c r="B493" s="103"/>
      <c r="C493" s="103"/>
      <c r="D493" s="103"/>
      <c r="E493" s="103"/>
      <c r="F493" s="103"/>
      <c r="G493" s="103"/>
      <c r="H493" s="103"/>
      <c r="I493" s="103"/>
      <c r="J493" s="103"/>
      <c r="K493" s="103"/>
      <c r="L493" s="60"/>
      <c r="M493" s="103"/>
      <c r="N493" s="61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</row>
    <row r="494" ht="30.0" customHeight="1">
      <c r="A494" s="103"/>
      <c r="B494" s="103"/>
      <c r="C494" s="103"/>
      <c r="D494" s="103"/>
      <c r="E494" s="103"/>
      <c r="F494" s="103"/>
      <c r="G494" s="103"/>
      <c r="H494" s="103"/>
      <c r="I494" s="103"/>
      <c r="J494" s="103"/>
      <c r="K494" s="103"/>
      <c r="L494" s="60"/>
      <c r="M494" s="103"/>
      <c r="N494" s="61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</row>
    <row r="495" ht="30.0" customHeight="1">
      <c r="A495" s="103"/>
      <c r="B495" s="103"/>
      <c r="C495" s="103"/>
      <c r="D495" s="103"/>
      <c r="E495" s="103"/>
      <c r="F495" s="103"/>
      <c r="G495" s="103"/>
      <c r="H495" s="103"/>
      <c r="I495" s="103"/>
      <c r="J495" s="103"/>
      <c r="K495" s="103"/>
      <c r="L495" s="60"/>
      <c r="M495" s="103"/>
      <c r="N495" s="61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</row>
    <row r="496" ht="30.0" customHeight="1">
      <c r="A496" s="103"/>
      <c r="B496" s="103"/>
      <c r="C496" s="103"/>
      <c r="D496" s="103"/>
      <c r="E496" s="103"/>
      <c r="F496" s="103"/>
      <c r="G496" s="103"/>
      <c r="H496" s="103"/>
      <c r="I496" s="103"/>
      <c r="J496" s="103"/>
      <c r="K496" s="103"/>
      <c r="L496" s="60"/>
      <c r="M496" s="103"/>
      <c r="N496" s="61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</row>
    <row r="497" ht="30.0" customHeight="1">
      <c r="A497" s="103"/>
      <c r="B497" s="103"/>
      <c r="C497" s="103"/>
      <c r="D497" s="103"/>
      <c r="E497" s="103"/>
      <c r="F497" s="103"/>
      <c r="G497" s="103"/>
      <c r="H497" s="103"/>
      <c r="I497" s="103"/>
      <c r="J497" s="103"/>
      <c r="K497" s="103"/>
      <c r="L497" s="60"/>
      <c r="M497" s="103"/>
      <c r="N497" s="61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</row>
    <row r="498" ht="30.0" customHeight="1">
      <c r="A498" s="103"/>
      <c r="B498" s="103"/>
      <c r="C498" s="103"/>
      <c r="D498" s="103"/>
      <c r="E498" s="103"/>
      <c r="F498" s="103"/>
      <c r="G498" s="103"/>
      <c r="H498" s="103"/>
      <c r="I498" s="103"/>
      <c r="J498" s="103"/>
      <c r="K498" s="103"/>
      <c r="L498" s="60"/>
      <c r="M498" s="103"/>
      <c r="N498" s="61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</row>
    <row r="499" ht="30.0" customHeight="1">
      <c r="A499" s="103"/>
      <c r="B499" s="103"/>
      <c r="C499" s="103"/>
      <c r="D499" s="103"/>
      <c r="E499" s="103"/>
      <c r="F499" s="103"/>
      <c r="G499" s="103"/>
      <c r="H499" s="103"/>
      <c r="I499" s="103"/>
      <c r="J499" s="103"/>
      <c r="K499" s="103"/>
      <c r="L499" s="60"/>
      <c r="M499" s="103"/>
      <c r="N499" s="61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</row>
    <row r="500" ht="30.0" customHeight="1">
      <c r="A500" s="103"/>
      <c r="B500" s="103"/>
      <c r="C500" s="103"/>
      <c r="D500" s="103"/>
      <c r="E500" s="103"/>
      <c r="F500" s="103"/>
      <c r="G500" s="103"/>
      <c r="H500" s="103"/>
      <c r="I500" s="103"/>
      <c r="J500" s="103"/>
      <c r="K500" s="103"/>
      <c r="L500" s="60"/>
      <c r="M500" s="103"/>
      <c r="N500" s="61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</row>
    <row r="501" ht="30.0" customHeight="1">
      <c r="A501" s="103"/>
      <c r="B501" s="103"/>
      <c r="C501" s="103"/>
      <c r="D501" s="103"/>
      <c r="E501" s="103"/>
      <c r="F501" s="103"/>
      <c r="G501" s="103"/>
      <c r="H501" s="103"/>
      <c r="I501" s="103"/>
      <c r="J501" s="103"/>
      <c r="K501" s="103"/>
      <c r="L501" s="60"/>
      <c r="M501" s="103"/>
      <c r="N501" s="61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</row>
    <row r="502" ht="30.0" customHeight="1">
      <c r="A502" s="103"/>
      <c r="B502" s="103"/>
      <c r="C502" s="103"/>
      <c r="D502" s="103"/>
      <c r="E502" s="103"/>
      <c r="F502" s="103"/>
      <c r="G502" s="103"/>
      <c r="H502" s="103"/>
      <c r="I502" s="103"/>
      <c r="J502" s="103"/>
      <c r="K502" s="103"/>
      <c r="L502" s="60"/>
      <c r="M502" s="103"/>
      <c r="N502" s="61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</row>
    <row r="503" ht="30.0" customHeight="1">
      <c r="A503" s="103"/>
      <c r="B503" s="103"/>
      <c r="C503" s="103"/>
      <c r="D503" s="103"/>
      <c r="E503" s="103"/>
      <c r="F503" s="103"/>
      <c r="G503" s="103"/>
      <c r="H503" s="103"/>
      <c r="I503" s="103"/>
      <c r="J503" s="103"/>
      <c r="K503" s="103"/>
      <c r="L503" s="60"/>
      <c r="M503" s="103"/>
      <c r="N503" s="61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</row>
    <row r="504" ht="30.0" customHeight="1">
      <c r="A504" s="103"/>
      <c r="B504" s="103"/>
      <c r="C504" s="103"/>
      <c r="D504" s="103"/>
      <c r="E504" s="103"/>
      <c r="F504" s="103"/>
      <c r="G504" s="103"/>
      <c r="H504" s="103"/>
      <c r="I504" s="103"/>
      <c r="J504" s="103"/>
      <c r="K504" s="103"/>
      <c r="L504" s="60"/>
      <c r="M504" s="103"/>
      <c r="N504" s="61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</row>
    <row r="505" ht="30.0" customHeight="1">
      <c r="A505" s="103"/>
      <c r="B505" s="103"/>
      <c r="C505" s="103"/>
      <c r="D505" s="103"/>
      <c r="E505" s="103"/>
      <c r="F505" s="103"/>
      <c r="G505" s="103"/>
      <c r="H505" s="103"/>
      <c r="I505" s="103"/>
      <c r="J505" s="103"/>
      <c r="K505" s="103"/>
      <c r="L505" s="60"/>
      <c r="M505" s="103"/>
      <c r="N505" s="61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</row>
    <row r="506" ht="30.0" customHeight="1">
      <c r="A506" s="103"/>
      <c r="B506" s="103"/>
      <c r="C506" s="103"/>
      <c r="D506" s="103"/>
      <c r="E506" s="103"/>
      <c r="F506" s="103"/>
      <c r="G506" s="103"/>
      <c r="H506" s="103"/>
      <c r="I506" s="103"/>
      <c r="J506" s="103"/>
      <c r="K506" s="103"/>
      <c r="L506" s="60"/>
      <c r="M506" s="103"/>
      <c r="N506" s="61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</row>
    <row r="507" ht="30.0" customHeight="1">
      <c r="A507" s="103"/>
      <c r="B507" s="103"/>
      <c r="C507" s="103"/>
      <c r="D507" s="103"/>
      <c r="E507" s="103"/>
      <c r="F507" s="103"/>
      <c r="G507" s="103"/>
      <c r="H507" s="103"/>
      <c r="I507" s="103"/>
      <c r="J507" s="103"/>
      <c r="K507" s="103"/>
      <c r="L507" s="60"/>
      <c r="M507" s="103"/>
      <c r="N507" s="61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</row>
    <row r="508" ht="30.0" customHeight="1">
      <c r="A508" s="103"/>
      <c r="B508" s="103"/>
      <c r="C508" s="103"/>
      <c r="D508" s="103"/>
      <c r="E508" s="103"/>
      <c r="F508" s="103"/>
      <c r="G508" s="103"/>
      <c r="H508" s="103"/>
      <c r="I508" s="103"/>
      <c r="J508" s="103"/>
      <c r="K508" s="103"/>
      <c r="L508" s="60"/>
      <c r="M508" s="103"/>
      <c r="N508" s="61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</row>
    <row r="509" ht="30.0" customHeight="1">
      <c r="A509" s="103"/>
      <c r="B509" s="103"/>
      <c r="C509" s="103"/>
      <c r="D509" s="103"/>
      <c r="E509" s="103"/>
      <c r="F509" s="103"/>
      <c r="G509" s="103"/>
      <c r="H509" s="103"/>
      <c r="I509" s="103"/>
      <c r="J509" s="103"/>
      <c r="K509" s="103"/>
      <c r="L509" s="60"/>
      <c r="M509" s="103"/>
      <c r="N509" s="61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</row>
    <row r="510" ht="30.0" customHeight="1">
      <c r="A510" s="103"/>
      <c r="B510" s="103"/>
      <c r="C510" s="103"/>
      <c r="D510" s="103"/>
      <c r="E510" s="103"/>
      <c r="F510" s="103"/>
      <c r="G510" s="103"/>
      <c r="H510" s="103"/>
      <c r="I510" s="103"/>
      <c r="J510" s="103"/>
      <c r="K510" s="103"/>
      <c r="L510" s="60"/>
      <c r="M510" s="103"/>
      <c r="N510" s="61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</row>
    <row r="511" ht="30.0" customHeight="1">
      <c r="A511" s="103"/>
      <c r="B511" s="103"/>
      <c r="C511" s="103"/>
      <c r="D511" s="103"/>
      <c r="E511" s="103"/>
      <c r="F511" s="103"/>
      <c r="G511" s="103"/>
      <c r="H511" s="103"/>
      <c r="I511" s="103"/>
      <c r="J511" s="103"/>
      <c r="K511" s="103"/>
      <c r="L511" s="60"/>
      <c r="M511" s="103"/>
      <c r="N511" s="61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</row>
    <row r="512" ht="30.0" customHeight="1">
      <c r="A512" s="103"/>
      <c r="B512" s="103"/>
      <c r="C512" s="103"/>
      <c r="D512" s="103"/>
      <c r="E512" s="103"/>
      <c r="F512" s="103"/>
      <c r="G512" s="103"/>
      <c r="H512" s="103"/>
      <c r="I512" s="103"/>
      <c r="J512" s="103"/>
      <c r="K512" s="103"/>
      <c r="L512" s="60"/>
      <c r="M512" s="103"/>
      <c r="N512" s="61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</row>
    <row r="513" ht="30.0" customHeight="1">
      <c r="A513" s="103"/>
      <c r="B513" s="103"/>
      <c r="C513" s="103"/>
      <c r="D513" s="103"/>
      <c r="E513" s="103"/>
      <c r="F513" s="103"/>
      <c r="G513" s="103"/>
      <c r="H513" s="103"/>
      <c r="I513" s="103"/>
      <c r="J513" s="103"/>
      <c r="K513" s="103"/>
      <c r="L513" s="60"/>
      <c r="M513" s="103"/>
      <c r="N513" s="61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</row>
    <row r="514" ht="30.0" customHeight="1">
      <c r="A514" s="103"/>
      <c r="B514" s="103"/>
      <c r="C514" s="103"/>
      <c r="D514" s="103"/>
      <c r="E514" s="103"/>
      <c r="F514" s="103"/>
      <c r="G514" s="103"/>
      <c r="H514" s="103"/>
      <c r="I514" s="103"/>
      <c r="J514" s="103"/>
      <c r="K514" s="103"/>
      <c r="L514" s="60"/>
      <c r="M514" s="103"/>
      <c r="N514" s="61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</row>
    <row r="515" ht="30.0" customHeight="1">
      <c r="A515" s="103"/>
      <c r="B515" s="103"/>
      <c r="C515" s="103"/>
      <c r="D515" s="103"/>
      <c r="E515" s="103"/>
      <c r="F515" s="103"/>
      <c r="G515" s="103"/>
      <c r="H515" s="103"/>
      <c r="I515" s="103"/>
      <c r="J515" s="103"/>
      <c r="K515" s="103"/>
      <c r="L515" s="60"/>
      <c r="M515" s="103"/>
      <c r="N515" s="61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</row>
    <row r="516" ht="30.0" customHeight="1">
      <c r="A516" s="103"/>
      <c r="B516" s="103"/>
      <c r="C516" s="103"/>
      <c r="D516" s="103"/>
      <c r="E516" s="103"/>
      <c r="F516" s="103"/>
      <c r="G516" s="103"/>
      <c r="H516" s="103"/>
      <c r="I516" s="103"/>
      <c r="J516" s="103"/>
      <c r="K516" s="103"/>
      <c r="L516" s="60"/>
      <c r="M516" s="103"/>
      <c r="N516" s="61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</row>
    <row r="517" ht="30.0" customHeight="1">
      <c r="A517" s="103"/>
      <c r="B517" s="103"/>
      <c r="C517" s="103"/>
      <c r="D517" s="103"/>
      <c r="E517" s="103"/>
      <c r="F517" s="103"/>
      <c r="G517" s="103"/>
      <c r="H517" s="103"/>
      <c r="I517" s="103"/>
      <c r="J517" s="103"/>
      <c r="K517" s="103"/>
      <c r="L517" s="60"/>
      <c r="M517" s="103"/>
      <c r="N517" s="61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</row>
    <row r="518" ht="30.0" customHeight="1">
      <c r="A518" s="103"/>
      <c r="B518" s="103"/>
      <c r="C518" s="103"/>
      <c r="D518" s="103"/>
      <c r="E518" s="103"/>
      <c r="F518" s="103"/>
      <c r="G518" s="103"/>
      <c r="H518" s="103"/>
      <c r="I518" s="103"/>
      <c r="J518" s="103"/>
      <c r="K518" s="103"/>
      <c r="L518" s="60"/>
      <c r="M518" s="103"/>
      <c r="N518" s="61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</row>
    <row r="519" ht="30.0" customHeight="1">
      <c r="A519" s="103"/>
      <c r="B519" s="103"/>
      <c r="C519" s="103"/>
      <c r="D519" s="103"/>
      <c r="E519" s="103"/>
      <c r="F519" s="103"/>
      <c r="G519" s="103"/>
      <c r="H519" s="103"/>
      <c r="I519" s="103"/>
      <c r="J519" s="103"/>
      <c r="K519" s="103"/>
      <c r="L519" s="60"/>
      <c r="M519" s="103"/>
      <c r="N519" s="61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</row>
    <row r="520" ht="30.0" customHeight="1">
      <c r="A520" s="103"/>
      <c r="B520" s="103"/>
      <c r="C520" s="103"/>
      <c r="D520" s="103"/>
      <c r="E520" s="103"/>
      <c r="F520" s="103"/>
      <c r="G520" s="103"/>
      <c r="H520" s="103"/>
      <c r="I520" s="103"/>
      <c r="J520" s="103"/>
      <c r="K520" s="103"/>
      <c r="L520" s="60"/>
      <c r="M520" s="103"/>
      <c r="N520" s="61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</row>
    <row r="521" ht="30.0" customHeight="1">
      <c r="A521" s="103"/>
      <c r="B521" s="103"/>
      <c r="C521" s="103"/>
      <c r="D521" s="103"/>
      <c r="E521" s="103"/>
      <c r="F521" s="103"/>
      <c r="G521" s="103"/>
      <c r="H521" s="103"/>
      <c r="I521" s="103"/>
      <c r="J521" s="103"/>
      <c r="K521" s="103"/>
      <c r="L521" s="60"/>
      <c r="M521" s="103"/>
      <c r="N521" s="61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</row>
    <row r="522" ht="30.0" customHeight="1">
      <c r="A522" s="103"/>
      <c r="B522" s="103"/>
      <c r="C522" s="103"/>
      <c r="D522" s="103"/>
      <c r="E522" s="103"/>
      <c r="F522" s="103"/>
      <c r="G522" s="103"/>
      <c r="H522" s="103"/>
      <c r="I522" s="103"/>
      <c r="J522" s="103"/>
      <c r="K522" s="103"/>
      <c r="L522" s="60"/>
      <c r="M522" s="103"/>
      <c r="N522" s="61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</row>
    <row r="523" ht="30.0" customHeight="1">
      <c r="A523" s="103"/>
      <c r="B523" s="103"/>
      <c r="C523" s="103"/>
      <c r="D523" s="103"/>
      <c r="E523" s="103"/>
      <c r="F523" s="103"/>
      <c r="G523" s="103"/>
      <c r="H523" s="103"/>
      <c r="I523" s="103"/>
      <c r="J523" s="103"/>
      <c r="K523" s="103"/>
      <c r="L523" s="60"/>
      <c r="M523" s="103"/>
      <c r="N523" s="61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</row>
    <row r="524" ht="30.0" customHeight="1">
      <c r="A524" s="103"/>
      <c r="B524" s="103"/>
      <c r="C524" s="103"/>
      <c r="D524" s="103"/>
      <c r="E524" s="103"/>
      <c r="F524" s="103"/>
      <c r="G524" s="103"/>
      <c r="H524" s="103"/>
      <c r="I524" s="103"/>
      <c r="J524" s="103"/>
      <c r="K524" s="103"/>
      <c r="L524" s="60"/>
      <c r="M524" s="103"/>
      <c r="N524" s="61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</row>
    <row r="525" ht="30.0" customHeight="1">
      <c r="A525" s="103"/>
      <c r="B525" s="103"/>
      <c r="C525" s="103"/>
      <c r="D525" s="103"/>
      <c r="E525" s="103"/>
      <c r="F525" s="103"/>
      <c r="G525" s="103"/>
      <c r="H525" s="103"/>
      <c r="I525" s="103"/>
      <c r="J525" s="103"/>
      <c r="K525" s="103"/>
      <c r="L525" s="60"/>
      <c r="M525" s="103"/>
      <c r="N525" s="61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</row>
    <row r="526" ht="30.0" customHeight="1">
      <c r="A526" s="103"/>
      <c r="B526" s="103"/>
      <c r="C526" s="103"/>
      <c r="D526" s="103"/>
      <c r="E526" s="103"/>
      <c r="F526" s="103"/>
      <c r="G526" s="103"/>
      <c r="H526" s="103"/>
      <c r="I526" s="103"/>
      <c r="J526" s="103"/>
      <c r="K526" s="103"/>
      <c r="L526" s="60"/>
      <c r="M526" s="103"/>
      <c r="N526" s="61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</row>
    <row r="527" ht="30.0" customHeight="1">
      <c r="A527" s="103"/>
      <c r="B527" s="103"/>
      <c r="C527" s="103"/>
      <c r="D527" s="103"/>
      <c r="E527" s="103"/>
      <c r="F527" s="103"/>
      <c r="G527" s="103"/>
      <c r="H527" s="103"/>
      <c r="I527" s="103"/>
      <c r="J527" s="103"/>
      <c r="K527" s="103"/>
      <c r="L527" s="60"/>
      <c r="M527" s="103"/>
      <c r="N527" s="61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</row>
    <row r="528" ht="30.0" customHeight="1">
      <c r="A528" s="103"/>
      <c r="B528" s="103"/>
      <c r="C528" s="103"/>
      <c r="D528" s="103"/>
      <c r="E528" s="103"/>
      <c r="F528" s="103"/>
      <c r="G528" s="103"/>
      <c r="H528" s="103"/>
      <c r="I528" s="103"/>
      <c r="J528" s="103"/>
      <c r="K528" s="103"/>
      <c r="L528" s="60"/>
      <c r="M528" s="103"/>
      <c r="N528" s="61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</row>
    <row r="529" ht="30.0" customHeight="1">
      <c r="A529" s="103"/>
      <c r="B529" s="103"/>
      <c r="C529" s="103"/>
      <c r="D529" s="103"/>
      <c r="E529" s="103"/>
      <c r="F529" s="103"/>
      <c r="G529" s="103"/>
      <c r="H529" s="103"/>
      <c r="I529" s="103"/>
      <c r="J529" s="103"/>
      <c r="K529" s="103"/>
      <c r="L529" s="60"/>
      <c r="M529" s="103"/>
      <c r="N529" s="61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</row>
    <row r="530" ht="30.0" customHeight="1">
      <c r="A530" s="103"/>
      <c r="B530" s="103"/>
      <c r="C530" s="103"/>
      <c r="D530" s="103"/>
      <c r="E530" s="103"/>
      <c r="F530" s="103"/>
      <c r="G530" s="103"/>
      <c r="H530" s="103"/>
      <c r="I530" s="103"/>
      <c r="J530" s="103"/>
      <c r="K530" s="103"/>
      <c r="L530" s="60"/>
      <c r="M530" s="103"/>
      <c r="N530" s="61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</row>
    <row r="531" ht="30.0" customHeight="1">
      <c r="A531" s="103"/>
      <c r="B531" s="103"/>
      <c r="C531" s="103"/>
      <c r="D531" s="103"/>
      <c r="E531" s="103"/>
      <c r="F531" s="103"/>
      <c r="G531" s="103"/>
      <c r="H531" s="103"/>
      <c r="I531" s="103"/>
      <c r="J531" s="103"/>
      <c r="K531" s="103"/>
      <c r="L531" s="60"/>
      <c r="M531" s="103"/>
      <c r="N531" s="61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</row>
    <row r="532" ht="30.0" customHeight="1">
      <c r="A532" s="103"/>
      <c r="B532" s="103"/>
      <c r="C532" s="103"/>
      <c r="D532" s="103"/>
      <c r="E532" s="103"/>
      <c r="F532" s="103"/>
      <c r="G532" s="103"/>
      <c r="H532" s="103"/>
      <c r="I532" s="103"/>
      <c r="J532" s="103"/>
      <c r="K532" s="103"/>
      <c r="L532" s="60"/>
      <c r="M532" s="103"/>
      <c r="N532" s="61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</row>
    <row r="533" ht="30.0" customHeight="1">
      <c r="A533" s="103"/>
      <c r="B533" s="103"/>
      <c r="C533" s="103"/>
      <c r="D533" s="103"/>
      <c r="E533" s="103"/>
      <c r="F533" s="103"/>
      <c r="G533" s="103"/>
      <c r="H533" s="103"/>
      <c r="I533" s="103"/>
      <c r="J533" s="103"/>
      <c r="K533" s="103"/>
      <c r="L533" s="60"/>
      <c r="M533" s="103"/>
      <c r="N533" s="61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</row>
    <row r="534" ht="30.0" customHeight="1">
      <c r="A534" s="103"/>
      <c r="B534" s="103"/>
      <c r="C534" s="103"/>
      <c r="D534" s="103"/>
      <c r="E534" s="103"/>
      <c r="F534" s="103"/>
      <c r="G534" s="103"/>
      <c r="H534" s="103"/>
      <c r="I534" s="103"/>
      <c r="J534" s="103"/>
      <c r="K534" s="103"/>
      <c r="L534" s="60"/>
      <c r="M534" s="103"/>
      <c r="N534" s="61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</row>
    <row r="535" ht="30.0" customHeight="1">
      <c r="A535" s="103"/>
      <c r="B535" s="103"/>
      <c r="C535" s="103"/>
      <c r="D535" s="103"/>
      <c r="E535" s="103"/>
      <c r="F535" s="103"/>
      <c r="G535" s="103"/>
      <c r="H535" s="103"/>
      <c r="I535" s="103"/>
      <c r="J535" s="103"/>
      <c r="K535" s="103"/>
      <c r="L535" s="60"/>
      <c r="M535" s="103"/>
      <c r="N535" s="61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</row>
    <row r="536" ht="30.0" customHeight="1">
      <c r="A536" s="103"/>
      <c r="B536" s="103"/>
      <c r="C536" s="103"/>
      <c r="D536" s="103"/>
      <c r="E536" s="103"/>
      <c r="F536" s="103"/>
      <c r="G536" s="103"/>
      <c r="H536" s="103"/>
      <c r="I536" s="103"/>
      <c r="J536" s="103"/>
      <c r="K536" s="103"/>
      <c r="L536" s="60"/>
      <c r="M536" s="103"/>
      <c r="N536" s="61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</row>
    <row r="537" ht="30.0" customHeight="1">
      <c r="A537" s="103"/>
      <c r="B537" s="103"/>
      <c r="C537" s="103"/>
      <c r="D537" s="103"/>
      <c r="E537" s="103"/>
      <c r="F537" s="103"/>
      <c r="G537" s="103"/>
      <c r="H537" s="103"/>
      <c r="I537" s="103"/>
      <c r="J537" s="103"/>
      <c r="K537" s="103"/>
      <c r="L537" s="60"/>
      <c r="M537" s="103"/>
      <c r="N537" s="61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</row>
    <row r="538" ht="30.0" customHeight="1">
      <c r="A538" s="103"/>
      <c r="B538" s="103"/>
      <c r="C538" s="103"/>
      <c r="D538" s="103"/>
      <c r="E538" s="103"/>
      <c r="F538" s="103"/>
      <c r="G538" s="103"/>
      <c r="H538" s="103"/>
      <c r="I538" s="103"/>
      <c r="J538" s="103"/>
      <c r="K538" s="103"/>
      <c r="L538" s="60"/>
      <c r="M538" s="103"/>
      <c r="N538" s="61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</row>
    <row r="539" ht="30.0" customHeight="1">
      <c r="A539" s="103"/>
      <c r="B539" s="103"/>
      <c r="C539" s="103"/>
      <c r="D539" s="103"/>
      <c r="E539" s="103"/>
      <c r="F539" s="103"/>
      <c r="G539" s="103"/>
      <c r="H539" s="103"/>
      <c r="I539" s="103"/>
      <c r="J539" s="103"/>
      <c r="K539" s="103"/>
      <c r="L539" s="60"/>
      <c r="M539" s="103"/>
      <c r="N539" s="61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</row>
    <row r="540" ht="30.0" customHeight="1">
      <c r="A540" s="103"/>
      <c r="B540" s="103"/>
      <c r="C540" s="103"/>
      <c r="D540" s="103"/>
      <c r="E540" s="103"/>
      <c r="F540" s="103"/>
      <c r="G540" s="103"/>
      <c r="H540" s="103"/>
      <c r="I540" s="103"/>
      <c r="J540" s="103"/>
      <c r="K540" s="103"/>
      <c r="L540" s="60"/>
      <c r="M540" s="103"/>
      <c r="N540" s="61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</row>
    <row r="541" ht="30.0" customHeight="1">
      <c r="A541" s="103"/>
      <c r="B541" s="103"/>
      <c r="C541" s="103"/>
      <c r="D541" s="103"/>
      <c r="E541" s="103"/>
      <c r="F541" s="103"/>
      <c r="G541" s="103"/>
      <c r="H541" s="103"/>
      <c r="I541" s="103"/>
      <c r="J541" s="103"/>
      <c r="K541" s="103"/>
      <c r="L541" s="60"/>
      <c r="M541" s="103"/>
      <c r="N541" s="61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</row>
    <row r="542" ht="30.0" customHeight="1">
      <c r="A542" s="103"/>
      <c r="B542" s="103"/>
      <c r="C542" s="103"/>
      <c r="D542" s="103"/>
      <c r="E542" s="103"/>
      <c r="F542" s="103"/>
      <c r="G542" s="103"/>
      <c r="H542" s="103"/>
      <c r="I542" s="103"/>
      <c r="J542" s="103"/>
      <c r="K542" s="103"/>
      <c r="L542" s="60"/>
      <c r="M542" s="103"/>
      <c r="N542" s="61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</row>
    <row r="543" ht="30.0" customHeight="1">
      <c r="A543" s="103"/>
      <c r="B543" s="103"/>
      <c r="C543" s="103"/>
      <c r="D543" s="103"/>
      <c r="E543" s="103"/>
      <c r="F543" s="103"/>
      <c r="G543" s="103"/>
      <c r="H543" s="103"/>
      <c r="I543" s="103"/>
      <c r="J543" s="103"/>
      <c r="K543" s="103"/>
      <c r="L543" s="60"/>
      <c r="M543" s="103"/>
      <c r="N543" s="61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</row>
    <row r="544" ht="30.0" customHeight="1">
      <c r="A544" s="103"/>
      <c r="B544" s="103"/>
      <c r="C544" s="103"/>
      <c r="D544" s="103"/>
      <c r="E544" s="103"/>
      <c r="F544" s="103"/>
      <c r="G544" s="103"/>
      <c r="H544" s="103"/>
      <c r="I544" s="103"/>
      <c r="J544" s="103"/>
      <c r="K544" s="103"/>
      <c r="L544" s="60"/>
      <c r="M544" s="103"/>
      <c r="N544" s="61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</row>
    <row r="545" ht="30.0" customHeight="1">
      <c r="A545" s="103"/>
      <c r="B545" s="103"/>
      <c r="C545" s="103"/>
      <c r="D545" s="103"/>
      <c r="E545" s="103"/>
      <c r="F545" s="103"/>
      <c r="G545" s="103"/>
      <c r="H545" s="103"/>
      <c r="I545" s="103"/>
      <c r="J545" s="103"/>
      <c r="K545" s="103"/>
      <c r="L545" s="60"/>
      <c r="M545" s="103"/>
      <c r="N545" s="61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</row>
    <row r="546" ht="30.0" customHeight="1">
      <c r="A546" s="103"/>
      <c r="B546" s="103"/>
      <c r="C546" s="103"/>
      <c r="D546" s="103"/>
      <c r="E546" s="103"/>
      <c r="F546" s="103"/>
      <c r="G546" s="103"/>
      <c r="H546" s="103"/>
      <c r="I546" s="103"/>
      <c r="J546" s="103"/>
      <c r="K546" s="103"/>
      <c r="L546" s="60"/>
      <c r="M546" s="103"/>
      <c r="N546" s="61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</row>
    <row r="547" ht="30.0" customHeight="1">
      <c r="A547" s="103"/>
      <c r="B547" s="103"/>
      <c r="C547" s="103"/>
      <c r="D547" s="103"/>
      <c r="E547" s="103"/>
      <c r="F547" s="103"/>
      <c r="G547" s="103"/>
      <c r="H547" s="103"/>
      <c r="I547" s="103"/>
      <c r="J547" s="103"/>
      <c r="K547" s="103"/>
      <c r="L547" s="60"/>
      <c r="M547" s="103"/>
      <c r="N547" s="61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</row>
    <row r="548" ht="30.0" customHeight="1">
      <c r="A548" s="103"/>
      <c r="B548" s="103"/>
      <c r="C548" s="103"/>
      <c r="D548" s="103"/>
      <c r="E548" s="103"/>
      <c r="F548" s="103"/>
      <c r="G548" s="103"/>
      <c r="H548" s="103"/>
      <c r="I548" s="103"/>
      <c r="J548" s="103"/>
      <c r="K548" s="103"/>
      <c r="L548" s="60"/>
      <c r="M548" s="103"/>
      <c r="N548" s="61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</row>
    <row r="549" ht="30.0" customHeight="1">
      <c r="A549" s="103"/>
      <c r="B549" s="103"/>
      <c r="C549" s="103"/>
      <c r="D549" s="103"/>
      <c r="E549" s="103"/>
      <c r="F549" s="103"/>
      <c r="G549" s="103"/>
      <c r="H549" s="103"/>
      <c r="I549" s="103"/>
      <c r="J549" s="103"/>
      <c r="K549" s="103"/>
      <c r="L549" s="60"/>
      <c r="M549" s="103"/>
      <c r="N549" s="61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</row>
    <row r="550" ht="30.0" customHeight="1">
      <c r="A550" s="103"/>
      <c r="B550" s="103"/>
      <c r="C550" s="103"/>
      <c r="D550" s="103"/>
      <c r="E550" s="103"/>
      <c r="F550" s="103"/>
      <c r="G550" s="103"/>
      <c r="H550" s="103"/>
      <c r="I550" s="103"/>
      <c r="J550" s="103"/>
      <c r="K550" s="103"/>
      <c r="L550" s="60"/>
      <c r="M550" s="103"/>
      <c r="N550" s="61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</row>
    <row r="551" ht="30.0" customHeight="1">
      <c r="A551" s="103"/>
      <c r="B551" s="103"/>
      <c r="C551" s="103"/>
      <c r="D551" s="103"/>
      <c r="E551" s="103"/>
      <c r="F551" s="103"/>
      <c r="G551" s="103"/>
      <c r="H551" s="103"/>
      <c r="I551" s="103"/>
      <c r="J551" s="103"/>
      <c r="K551" s="103"/>
      <c r="L551" s="60"/>
      <c r="M551" s="103"/>
      <c r="N551" s="61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</row>
    <row r="552" ht="30.0" customHeight="1">
      <c r="A552" s="103"/>
      <c r="B552" s="103"/>
      <c r="C552" s="103"/>
      <c r="D552" s="103"/>
      <c r="E552" s="103"/>
      <c r="F552" s="103"/>
      <c r="G552" s="103"/>
      <c r="H552" s="103"/>
      <c r="I552" s="103"/>
      <c r="J552" s="103"/>
      <c r="K552" s="103"/>
      <c r="L552" s="60"/>
      <c r="M552" s="103"/>
      <c r="N552" s="61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</row>
    <row r="553" ht="30.0" customHeight="1">
      <c r="A553" s="103"/>
      <c r="B553" s="103"/>
      <c r="C553" s="103"/>
      <c r="D553" s="103"/>
      <c r="E553" s="103"/>
      <c r="F553" s="103"/>
      <c r="G553" s="103"/>
      <c r="H553" s="103"/>
      <c r="I553" s="103"/>
      <c r="J553" s="103"/>
      <c r="K553" s="103"/>
      <c r="L553" s="60"/>
      <c r="M553" s="103"/>
      <c r="N553" s="61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</row>
    <row r="554" ht="30.0" customHeight="1">
      <c r="A554" s="103"/>
      <c r="B554" s="103"/>
      <c r="C554" s="103"/>
      <c r="D554" s="103"/>
      <c r="E554" s="103"/>
      <c r="F554" s="103"/>
      <c r="G554" s="103"/>
      <c r="H554" s="103"/>
      <c r="I554" s="103"/>
      <c r="J554" s="103"/>
      <c r="K554" s="103"/>
      <c r="L554" s="60"/>
      <c r="M554" s="103"/>
      <c r="N554" s="61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</row>
    <row r="555" ht="30.0" customHeight="1">
      <c r="A555" s="103"/>
      <c r="B555" s="103"/>
      <c r="C555" s="103"/>
      <c r="D555" s="103"/>
      <c r="E555" s="103"/>
      <c r="F555" s="103"/>
      <c r="G555" s="103"/>
      <c r="H555" s="103"/>
      <c r="I555" s="103"/>
      <c r="J555" s="103"/>
      <c r="K555" s="103"/>
      <c r="L555" s="60"/>
      <c r="M555" s="103"/>
      <c r="N555" s="61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</row>
    <row r="556" ht="30.0" customHeight="1">
      <c r="A556" s="103"/>
      <c r="B556" s="103"/>
      <c r="C556" s="103"/>
      <c r="D556" s="103"/>
      <c r="E556" s="103"/>
      <c r="F556" s="103"/>
      <c r="G556" s="103"/>
      <c r="H556" s="103"/>
      <c r="I556" s="103"/>
      <c r="J556" s="103"/>
      <c r="K556" s="103"/>
      <c r="L556" s="60"/>
      <c r="M556" s="103"/>
      <c r="N556" s="61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</row>
    <row r="557" ht="30.0" customHeight="1">
      <c r="A557" s="103"/>
      <c r="B557" s="103"/>
      <c r="C557" s="103"/>
      <c r="D557" s="103"/>
      <c r="E557" s="103"/>
      <c r="F557" s="103"/>
      <c r="G557" s="103"/>
      <c r="H557" s="103"/>
      <c r="I557" s="103"/>
      <c r="J557" s="103"/>
      <c r="K557" s="103"/>
      <c r="L557" s="60"/>
      <c r="M557" s="103"/>
      <c r="N557" s="61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</row>
    <row r="558" ht="30.0" customHeight="1">
      <c r="A558" s="103"/>
      <c r="B558" s="103"/>
      <c r="C558" s="103"/>
      <c r="D558" s="103"/>
      <c r="E558" s="103"/>
      <c r="F558" s="103"/>
      <c r="G558" s="103"/>
      <c r="H558" s="103"/>
      <c r="I558" s="103"/>
      <c r="J558" s="103"/>
      <c r="K558" s="103"/>
      <c r="L558" s="60"/>
      <c r="M558" s="103"/>
      <c r="N558" s="61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</row>
    <row r="559" ht="30.0" customHeight="1">
      <c r="A559" s="103"/>
      <c r="B559" s="103"/>
      <c r="C559" s="103"/>
      <c r="D559" s="103"/>
      <c r="E559" s="103"/>
      <c r="F559" s="103"/>
      <c r="G559" s="103"/>
      <c r="H559" s="103"/>
      <c r="I559" s="103"/>
      <c r="J559" s="103"/>
      <c r="K559" s="103"/>
      <c r="L559" s="60"/>
      <c r="M559" s="103"/>
      <c r="N559" s="61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</row>
    <row r="560" ht="30.0" customHeight="1">
      <c r="A560" s="103"/>
      <c r="B560" s="103"/>
      <c r="C560" s="103"/>
      <c r="D560" s="103"/>
      <c r="E560" s="103"/>
      <c r="F560" s="103"/>
      <c r="G560" s="103"/>
      <c r="H560" s="103"/>
      <c r="I560" s="103"/>
      <c r="J560" s="103"/>
      <c r="K560" s="103"/>
      <c r="L560" s="60"/>
      <c r="M560" s="103"/>
      <c r="N560" s="61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</row>
    <row r="561" ht="30.0" customHeight="1">
      <c r="A561" s="103"/>
      <c r="B561" s="103"/>
      <c r="C561" s="103"/>
      <c r="D561" s="103"/>
      <c r="E561" s="103"/>
      <c r="F561" s="103"/>
      <c r="G561" s="103"/>
      <c r="H561" s="103"/>
      <c r="I561" s="103"/>
      <c r="J561" s="103"/>
      <c r="K561" s="103"/>
      <c r="L561" s="60"/>
      <c r="M561" s="103"/>
      <c r="N561" s="61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</row>
    <row r="562" ht="30.0" customHeight="1">
      <c r="A562" s="103"/>
      <c r="B562" s="103"/>
      <c r="C562" s="103"/>
      <c r="D562" s="103"/>
      <c r="E562" s="103"/>
      <c r="F562" s="103"/>
      <c r="G562" s="103"/>
      <c r="H562" s="103"/>
      <c r="I562" s="103"/>
      <c r="J562" s="103"/>
      <c r="K562" s="103"/>
      <c r="L562" s="60"/>
      <c r="M562" s="103"/>
      <c r="N562" s="61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</row>
    <row r="563" ht="30.0" customHeight="1">
      <c r="A563" s="103"/>
      <c r="B563" s="103"/>
      <c r="C563" s="103"/>
      <c r="D563" s="103"/>
      <c r="E563" s="103"/>
      <c r="F563" s="103"/>
      <c r="G563" s="103"/>
      <c r="H563" s="103"/>
      <c r="I563" s="103"/>
      <c r="J563" s="103"/>
      <c r="K563" s="103"/>
      <c r="L563" s="60"/>
      <c r="M563" s="103"/>
      <c r="N563" s="61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</row>
    <row r="564" ht="30.0" customHeight="1">
      <c r="A564" s="103"/>
      <c r="B564" s="103"/>
      <c r="C564" s="103"/>
      <c r="D564" s="103"/>
      <c r="E564" s="103"/>
      <c r="F564" s="103"/>
      <c r="G564" s="103"/>
      <c r="H564" s="103"/>
      <c r="I564" s="103"/>
      <c r="J564" s="103"/>
      <c r="K564" s="103"/>
      <c r="L564" s="60"/>
      <c r="M564" s="103"/>
      <c r="N564" s="61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</row>
    <row r="565" ht="30.0" customHeight="1">
      <c r="A565" s="103"/>
      <c r="B565" s="103"/>
      <c r="C565" s="103"/>
      <c r="D565" s="103"/>
      <c r="E565" s="103"/>
      <c r="F565" s="103"/>
      <c r="G565" s="103"/>
      <c r="H565" s="103"/>
      <c r="I565" s="103"/>
      <c r="J565" s="103"/>
      <c r="K565" s="103"/>
      <c r="L565" s="60"/>
      <c r="M565" s="103"/>
      <c r="N565" s="61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</row>
    <row r="566" ht="30.0" customHeight="1">
      <c r="A566" s="103"/>
      <c r="B566" s="103"/>
      <c r="C566" s="103"/>
      <c r="D566" s="103"/>
      <c r="E566" s="103"/>
      <c r="F566" s="103"/>
      <c r="G566" s="103"/>
      <c r="H566" s="103"/>
      <c r="I566" s="103"/>
      <c r="J566" s="103"/>
      <c r="K566" s="103"/>
      <c r="L566" s="60"/>
      <c r="M566" s="103"/>
      <c r="N566" s="61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</row>
    <row r="567" ht="30.0" customHeight="1">
      <c r="A567" s="103"/>
      <c r="B567" s="103"/>
      <c r="C567" s="103"/>
      <c r="D567" s="103"/>
      <c r="E567" s="103"/>
      <c r="F567" s="103"/>
      <c r="G567" s="103"/>
      <c r="H567" s="103"/>
      <c r="I567" s="103"/>
      <c r="J567" s="103"/>
      <c r="K567" s="103"/>
      <c r="L567" s="60"/>
      <c r="M567" s="103"/>
      <c r="N567" s="61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</row>
    <row r="568" ht="30.0" customHeight="1">
      <c r="A568" s="103"/>
      <c r="B568" s="103"/>
      <c r="C568" s="103"/>
      <c r="D568" s="103"/>
      <c r="E568" s="103"/>
      <c r="F568" s="103"/>
      <c r="G568" s="103"/>
      <c r="H568" s="103"/>
      <c r="I568" s="103"/>
      <c r="J568" s="103"/>
      <c r="K568" s="103"/>
      <c r="L568" s="60"/>
      <c r="M568" s="103"/>
      <c r="N568" s="61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</row>
    <row r="569" ht="30.0" customHeight="1">
      <c r="A569" s="103"/>
      <c r="B569" s="103"/>
      <c r="C569" s="103"/>
      <c r="D569" s="103"/>
      <c r="E569" s="103"/>
      <c r="F569" s="103"/>
      <c r="G569" s="103"/>
      <c r="H569" s="103"/>
      <c r="I569" s="103"/>
      <c r="J569" s="103"/>
      <c r="K569" s="103"/>
      <c r="L569" s="60"/>
      <c r="M569" s="103"/>
      <c r="N569" s="61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</row>
    <row r="570" ht="30.0" customHeight="1">
      <c r="A570" s="103"/>
      <c r="B570" s="103"/>
      <c r="C570" s="103"/>
      <c r="D570" s="103"/>
      <c r="E570" s="103"/>
      <c r="F570" s="103"/>
      <c r="G570" s="103"/>
      <c r="H570" s="103"/>
      <c r="I570" s="103"/>
      <c r="J570" s="103"/>
      <c r="K570" s="103"/>
      <c r="L570" s="60"/>
      <c r="M570" s="103"/>
      <c r="N570" s="61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</row>
    <row r="571" ht="30.0" customHeight="1">
      <c r="A571" s="103"/>
      <c r="B571" s="103"/>
      <c r="C571" s="103"/>
      <c r="D571" s="103"/>
      <c r="E571" s="103"/>
      <c r="F571" s="103"/>
      <c r="G571" s="103"/>
      <c r="H571" s="103"/>
      <c r="I571" s="103"/>
      <c r="J571" s="103"/>
      <c r="K571" s="103"/>
      <c r="L571" s="60"/>
      <c r="M571" s="103"/>
      <c r="N571" s="61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</row>
    <row r="572" ht="30.0" customHeight="1">
      <c r="A572" s="103"/>
      <c r="B572" s="103"/>
      <c r="C572" s="103"/>
      <c r="D572" s="103"/>
      <c r="E572" s="103"/>
      <c r="F572" s="103"/>
      <c r="G572" s="103"/>
      <c r="H572" s="103"/>
      <c r="I572" s="103"/>
      <c r="J572" s="103"/>
      <c r="K572" s="103"/>
      <c r="L572" s="60"/>
      <c r="M572" s="103"/>
      <c r="N572" s="61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</row>
    <row r="573" ht="30.0" customHeight="1">
      <c r="A573" s="103"/>
      <c r="B573" s="103"/>
      <c r="C573" s="103"/>
      <c r="D573" s="103"/>
      <c r="E573" s="103"/>
      <c r="F573" s="103"/>
      <c r="G573" s="103"/>
      <c r="H573" s="103"/>
      <c r="I573" s="103"/>
      <c r="J573" s="103"/>
      <c r="K573" s="103"/>
      <c r="L573" s="60"/>
      <c r="M573" s="103"/>
      <c r="N573" s="61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</row>
    <row r="574" ht="30.0" customHeight="1">
      <c r="A574" s="103"/>
      <c r="B574" s="103"/>
      <c r="C574" s="103"/>
      <c r="D574" s="103"/>
      <c r="E574" s="103"/>
      <c r="F574" s="103"/>
      <c r="G574" s="103"/>
      <c r="H574" s="103"/>
      <c r="I574" s="103"/>
      <c r="J574" s="103"/>
      <c r="K574" s="103"/>
      <c r="L574" s="60"/>
      <c r="M574" s="103"/>
      <c r="N574" s="61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</row>
    <row r="575" ht="30.0" customHeight="1">
      <c r="A575" s="103"/>
      <c r="B575" s="103"/>
      <c r="C575" s="103"/>
      <c r="D575" s="103"/>
      <c r="E575" s="103"/>
      <c r="F575" s="103"/>
      <c r="G575" s="103"/>
      <c r="H575" s="103"/>
      <c r="I575" s="103"/>
      <c r="J575" s="103"/>
      <c r="K575" s="103"/>
      <c r="L575" s="60"/>
      <c r="M575" s="103"/>
      <c r="N575" s="61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</row>
    <row r="576" ht="30.0" customHeight="1">
      <c r="A576" s="103"/>
      <c r="B576" s="103"/>
      <c r="C576" s="103"/>
      <c r="D576" s="103"/>
      <c r="E576" s="103"/>
      <c r="F576" s="103"/>
      <c r="G576" s="103"/>
      <c r="H576" s="103"/>
      <c r="I576" s="103"/>
      <c r="J576" s="103"/>
      <c r="K576" s="103"/>
      <c r="L576" s="60"/>
      <c r="M576" s="103"/>
      <c r="N576" s="61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</row>
    <row r="577" ht="30.0" customHeight="1">
      <c r="A577" s="103"/>
      <c r="B577" s="103"/>
      <c r="C577" s="103"/>
      <c r="D577" s="103"/>
      <c r="E577" s="103"/>
      <c r="F577" s="103"/>
      <c r="G577" s="103"/>
      <c r="H577" s="103"/>
      <c r="I577" s="103"/>
      <c r="J577" s="103"/>
      <c r="K577" s="103"/>
      <c r="L577" s="60"/>
      <c r="M577" s="103"/>
      <c r="N577" s="61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</row>
    <row r="578" ht="30.0" customHeight="1">
      <c r="A578" s="103"/>
      <c r="B578" s="103"/>
      <c r="C578" s="103"/>
      <c r="D578" s="103"/>
      <c r="E578" s="103"/>
      <c r="F578" s="103"/>
      <c r="G578" s="103"/>
      <c r="H578" s="103"/>
      <c r="I578" s="103"/>
      <c r="J578" s="103"/>
      <c r="K578" s="103"/>
      <c r="L578" s="60"/>
      <c r="M578" s="103"/>
      <c r="N578" s="61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</row>
    <row r="579" ht="30.0" customHeight="1">
      <c r="A579" s="103"/>
      <c r="B579" s="103"/>
      <c r="C579" s="103"/>
      <c r="D579" s="103"/>
      <c r="E579" s="103"/>
      <c r="F579" s="103"/>
      <c r="G579" s="103"/>
      <c r="H579" s="103"/>
      <c r="I579" s="103"/>
      <c r="J579" s="103"/>
      <c r="K579" s="103"/>
      <c r="L579" s="60"/>
      <c r="M579" s="103"/>
      <c r="N579" s="61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</row>
    <row r="580" ht="30.0" customHeight="1">
      <c r="A580" s="103"/>
      <c r="B580" s="103"/>
      <c r="C580" s="103"/>
      <c r="D580" s="103"/>
      <c r="E580" s="103"/>
      <c r="F580" s="103"/>
      <c r="G580" s="103"/>
      <c r="H580" s="103"/>
      <c r="I580" s="103"/>
      <c r="J580" s="103"/>
      <c r="K580" s="103"/>
      <c r="L580" s="60"/>
      <c r="M580" s="103"/>
      <c r="N580" s="61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</row>
    <row r="581" ht="30.0" customHeight="1">
      <c r="A581" s="103"/>
      <c r="B581" s="103"/>
      <c r="C581" s="103"/>
      <c r="D581" s="103"/>
      <c r="E581" s="103"/>
      <c r="F581" s="103"/>
      <c r="G581" s="103"/>
      <c r="H581" s="103"/>
      <c r="I581" s="103"/>
      <c r="J581" s="103"/>
      <c r="K581" s="103"/>
      <c r="L581" s="60"/>
      <c r="M581" s="103"/>
      <c r="N581" s="61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</row>
    <row r="582" ht="30.0" customHeight="1">
      <c r="A582" s="103"/>
      <c r="B582" s="103"/>
      <c r="C582" s="103"/>
      <c r="D582" s="103"/>
      <c r="E582" s="103"/>
      <c r="F582" s="103"/>
      <c r="G582" s="103"/>
      <c r="H582" s="103"/>
      <c r="I582" s="103"/>
      <c r="J582" s="103"/>
      <c r="K582" s="103"/>
      <c r="L582" s="60"/>
      <c r="M582" s="103"/>
      <c r="N582" s="61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</row>
    <row r="583" ht="30.0" customHeight="1">
      <c r="A583" s="103"/>
      <c r="B583" s="103"/>
      <c r="C583" s="103"/>
      <c r="D583" s="103"/>
      <c r="E583" s="103"/>
      <c r="F583" s="103"/>
      <c r="G583" s="103"/>
      <c r="H583" s="103"/>
      <c r="I583" s="103"/>
      <c r="J583" s="103"/>
      <c r="K583" s="103"/>
      <c r="L583" s="60"/>
      <c r="M583" s="103"/>
      <c r="N583" s="61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</row>
    <row r="584" ht="30.0" customHeight="1">
      <c r="A584" s="103"/>
      <c r="B584" s="103"/>
      <c r="C584" s="103"/>
      <c r="D584" s="103"/>
      <c r="E584" s="103"/>
      <c r="F584" s="103"/>
      <c r="G584" s="103"/>
      <c r="H584" s="103"/>
      <c r="I584" s="103"/>
      <c r="J584" s="103"/>
      <c r="K584" s="103"/>
      <c r="L584" s="60"/>
      <c r="M584" s="103"/>
      <c r="N584" s="61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</row>
    <row r="585" ht="30.0" customHeight="1">
      <c r="A585" s="103"/>
      <c r="B585" s="103"/>
      <c r="C585" s="103"/>
      <c r="D585" s="103"/>
      <c r="E585" s="103"/>
      <c r="F585" s="103"/>
      <c r="G585" s="103"/>
      <c r="H585" s="103"/>
      <c r="I585" s="103"/>
      <c r="J585" s="103"/>
      <c r="K585" s="103"/>
      <c r="L585" s="60"/>
      <c r="M585" s="103"/>
      <c r="N585" s="61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</row>
    <row r="586" ht="30.0" customHeight="1">
      <c r="A586" s="103"/>
      <c r="B586" s="103"/>
      <c r="C586" s="103"/>
      <c r="D586" s="103"/>
      <c r="E586" s="103"/>
      <c r="F586" s="103"/>
      <c r="G586" s="103"/>
      <c r="H586" s="103"/>
      <c r="I586" s="103"/>
      <c r="J586" s="103"/>
      <c r="K586" s="103"/>
      <c r="L586" s="60"/>
      <c r="M586" s="103"/>
      <c r="N586" s="61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</row>
    <row r="587" ht="30.0" customHeight="1">
      <c r="A587" s="103"/>
      <c r="B587" s="103"/>
      <c r="C587" s="103"/>
      <c r="D587" s="103"/>
      <c r="E587" s="103"/>
      <c r="F587" s="103"/>
      <c r="G587" s="103"/>
      <c r="H587" s="103"/>
      <c r="I587" s="103"/>
      <c r="J587" s="103"/>
      <c r="K587" s="103"/>
      <c r="L587" s="60"/>
      <c r="M587" s="103"/>
      <c r="N587" s="61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</row>
    <row r="588" ht="30.0" customHeight="1">
      <c r="A588" s="103"/>
      <c r="B588" s="103"/>
      <c r="C588" s="103"/>
      <c r="D588" s="103"/>
      <c r="E588" s="103"/>
      <c r="F588" s="103"/>
      <c r="G588" s="103"/>
      <c r="H588" s="103"/>
      <c r="I588" s="103"/>
      <c r="J588" s="103"/>
      <c r="K588" s="103"/>
      <c r="L588" s="60"/>
      <c r="M588" s="103"/>
      <c r="N588" s="61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</row>
    <row r="589" ht="30.0" customHeight="1">
      <c r="A589" s="103"/>
      <c r="B589" s="103"/>
      <c r="C589" s="103"/>
      <c r="D589" s="103"/>
      <c r="E589" s="103"/>
      <c r="F589" s="103"/>
      <c r="G589" s="103"/>
      <c r="H589" s="103"/>
      <c r="I589" s="103"/>
      <c r="J589" s="103"/>
      <c r="K589" s="103"/>
      <c r="L589" s="60"/>
      <c r="M589" s="103"/>
      <c r="N589" s="61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</row>
    <row r="590" ht="30.0" customHeight="1">
      <c r="A590" s="103"/>
      <c r="B590" s="103"/>
      <c r="C590" s="103"/>
      <c r="D590" s="103"/>
      <c r="E590" s="103"/>
      <c r="F590" s="103"/>
      <c r="G590" s="103"/>
      <c r="H590" s="103"/>
      <c r="I590" s="103"/>
      <c r="J590" s="103"/>
      <c r="K590" s="103"/>
      <c r="L590" s="60"/>
      <c r="M590" s="103"/>
      <c r="N590" s="61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</row>
    <row r="591" ht="30.0" customHeight="1">
      <c r="A591" s="103"/>
      <c r="B591" s="103"/>
      <c r="C591" s="103"/>
      <c r="D591" s="103"/>
      <c r="E591" s="103"/>
      <c r="F591" s="103"/>
      <c r="G591" s="103"/>
      <c r="H591" s="103"/>
      <c r="I591" s="103"/>
      <c r="J591" s="103"/>
      <c r="K591" s="103"/>
      <c r="L591" s="60"/>
      <c r="M591" s="103"/>
      <c r="N591" s="61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</row>
    <row r="592" ht="30.0" customHeight="1">
      <c r="A592" s="103"/>
      <c r="B592" s="103"/>
      <c r="C592" s="103"/>
      <c r="D592" s="103"/>
      <c r="E592" s="103"/>
      <c r="F592" s="103"/>
      <c r="G592" s="103"/>
      <c r="H592" s="103"/>
      <c r="I592" s="103"/>
      <c r="J592" s="103"/>
      <c r="K592" s="103"/>
      <c r="L592" s="60"/>
      <c r="M592" s="103"/>
      <c r="N592" s="61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</row>
    <row r="593" ht="30.0" customHeight="1">
      <c r="A593" s="103"/>
      <c r="B593" s="103"/>
      <c r="C593" s="103"/>
      <c r="D593" s="103"/>
      <c r="E593" s="103"/>
      <c r="F593" s="103"/>
      <c r="G593" s="103"/>
      <c r="H593" s="103"/>
      <c r="I593" s="103"/>
      <c r="J593" s="103"/>
      <c r="K593" s="103"/>
      <c r="L593" s="60"/>
      <c r="M593" s="103"/>
      <c r="N593" s="61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</row>
    <row r="594" ht="30.0" customHeight="1">
      <c r="A594" s="103"/>
      <c r="B594" s="103"/>
      <c r="C594" s="103"/>
      <c r="D594" s="103"/>
      <c r="E594" s="103"/>
      <c r="F594" s="103"/>
      <c r="G594" s="103"/>
      <c r="H594" s="103"/>
      <c r="I594" s="103"/>
      <c r="J594" s="103"/>
      <c r="K594" s="103"/>
      <c r="L594" s="60"/>
      <c r="M594" s="103"/>
      <c r="N594" s="61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</row>
    <row r="595" ht="30.0" customHeight="1">
      <c r="A595" s="103"/>
      <c r="B595" s="103"/>
      <c r="C595" s="103"/>
      <c r="D595" s="103"/>
      <c r="E595" s="103"/>
      <c r="F595" s="103"/>
      <c r="G595" s="103"/>
      <c r="H595" s="103"/>
      <c r="I595" s="103"/>
      <c r="J595" s="103"/>
      <c r="K595" s="103"/>
      <c r="L595" s="60"/>
      <c r="M595" s="103"/>
      <c r="N595" s="61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</row>
    <row r="596" ht="30.0" customHeight="1">
      <c r="A596" s="103"/>
      <c r="B596" s="103"/>
      <c r="C596" s="103"/>
      <c r="D596" s="103"/>
      <c r="E596" s="103"/>
      <c r="F596" s="103"/>
      <c r="G596" s="103"/>
      <c r="H596" s="103"/>
      <c r="I596" s="103"/>
      <c r="J596" s="103"/>
      <c r="K596" s="103"/>
      <c r="L596" s="60"/>
      <c r="M596" s="103"/>
      <c r="N596" s="61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</row>
    <row r="597" ht="30.0" customHeight="1">
      <c r="A597" s="103"/>
      <c r="B597" s="103"/>
      <c r="C597" s="103"/>
      <c r="D597" s="103"/>
      <c r="E597" s="103"/>
      <c r="F597" s="103"/>
      <c r="G597" s="103"/>
      <c r="H597" s="103"/>
      <c r="I597" s="103"/>
      <c r="J597" s="103"/>
      <c r="K597" s="103"/>
      <c r="L597" s="60"/>
      <c r="M597" s="103"/>
      <c r="N597" s="61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</row>
    <row r="598" ht="30.0" customHeight="1">
      <c r="A598" s="103"/>
      <c r="B598" s="103"/>
      <c r="C598" s="103"/>
      <c r="D598" s="103"/>
      <c r="E598" s="103"/>
      <c r="F598" s="103"/>
      <c r="G598" s="103"/>
      <c r="H598" s="103"/>
      <c r="I598" s="103"/>
      <c r="J598" s="103"/>
      <c r="K598" s="103"/>
      <c r="L598" s="60"/>
      <c r="M598" s="103"/>
      <c r="N598" s="61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</row>
    <row r="599" ht="30.0" customHeight="1">
      <c r="A599" s="103"/>
      <c r="B599" s="103"/>
      <c r="C599" s="103"/>
      <c r="D599" s="103"/>
      <c r="E599" s="103"/>
      <c r="F599" s="103"/>
      <c r="G599" s="103"/>
      <c r="H599" s="103"/>
      <c r="I599" s="103"/>
      <c r="J599" s="103"/>
      <c r="K599" s="103"/>
      <c r="L599" s="60"/>
      <c r="M599" s="103"/>
      <c r="N599" s="61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</row>
    <row r="600" ht="30.0" customHeight="1">
      <c r="A600" s="103"/>
      <c r="B600" s="103"/>
      <c r="C600" s="103"/>
      <c r="D600" s="103"/>
      <c r="E600" s="103"/>
      <c r="F600" s="103"/>
      <c r="G600" s="103"/>
      <c r="H600" s="103"/>
      <c r="I600" s="103"/>
      <c r="J600" s="103"/>
      <c r="K600" s="103"/>
      <c r="L600" s="60"/>
      <c r="M600" s="103"/>
      <c r="N600" s="61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</row>
    <row r="601" ht="30.0" customHeight="1">
      <c r="A601" s="103"/>
      <c r="B601" s="103"/>
      <c r="C601" s="103"/>
      <c r="D601" s="103"/>
      <c r="E601" s="103"/>
      <c r="F601" s="103"/>
      <c r="G601" s="103"/>
      <c r="H601" s="103"/>
      <c r="I601" s="103"/>
      <c r="J601" s="103"/>
      <c r="K601" s="103"/>
      <c r="L601" s="60"/>
      <c r="M601" s="103"/>
      <c r="N601" s="61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</row>
    <row r="602" ht="30.0" customHeight="1">
      <c r="A602" s="103"/>
      <c r="B602" s="103"/>
      <c r="C602" s="103"/>
      <c r="D602" s="103"/>
      <c r="E602" s="103"/>
      <c r="F602" s="103"/>
      <c r="G602" s="103"/>
      <c r="H602" s="103"/>
      <c r="I602" s="103"/>
      <c r="J602" s="103"/>
      <c r="K602" s="103"/>
      <c r="L602" s="60"/>
      <c r="M602" s="103"/>
      <c r="N602" s="61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</row>
    <row r="603" ht="30.0" customHeight="1">
      <c r="A603" s="103"/>
      <c r="B603" s="103"/>
      <c r="C603" s="103"/>
      <c r="D603" s="103"/>
      <c r="E603" s="103"/>
      <c r="F603" s="103"/>
      <c r="G603" s="103"/>
      <c r="H603" s="103"/>
      <c r="I603" s="103"/>
      <c r="J603" s="103"/>
      <c r="K603" s="103"/>
      <c r="L603" s="60"/>
      <c r="M603" s="103"/>
      <c r="N603" s="61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</row>
    <row r="604" ht="30.0" customHeight="1">
      <c r="A604" s="103"/>
      <c r="B604" s="103"/>
      <c r="C604" s="103"/>
      <c r="D604" s="103"/>
      <c r="E604" s="103"/>
      <c r="F604" s="103"/>
      <c r="G604" s="103"/>
      <c r="H604" s="103"/>
      <c r="I604" s="103"/>
      <c r="J604" s="103"/>
      <c r="K604" s="103"/>
      <c r="L604" s="60"/>
      <c r="M604" s="103"/>
      <c r="N604" s="61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</row>
    <row r="605" ht="30.0" customHeight="1">
      <c r="A605" s="103"/>
      <c r="B605" s="103"/>
      <c r="C605" s="103"/>
      <c r="D605" s="103"/>
      <c r="E605" s="103"/>
      <c r="F605" s="103"/>
      <c r="G605" s="103"/>
      <c r="H605" s="103"/>
      <c r="I605" s="103"/>
      <c r="J605" s="103"/>
      <c r="K605" s="103"/>
      <c r="L605" s="60"/>
      <c r="M605" s="103"/>
      <c r="N605" s="61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</row>
    <row r="606" ht="30.0" customHeight="1">
      <c r="A606" s="103"/>
      <c r="B606" s="103"/>
      <c r="C606" s="103"/>
      <c r="D606" s="103"/>
      <c r="E606" s="103"/>
      <c r="F606" s="103"/>
      <c r="G606" s="103"/>
      <c r="H606" s="103"/>
      <c r="I606" s="103"/>
      <c r="J606" s="103"/>
      <c r="K606" s="103"/>
      <c r="L606" s="60"/>
      <c r="M606" s="103"/>
      <c r="N606" s="61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</row>
    <row r="607" ht="30.0" customHeight="1">
      <c r="A607" s="103"/>
      <c r="B607" s="103"/>
      <c r="C607" s="103"/>
      <c r="D607" s="103"/>
      <c r="E607" s="103"/>
      <c r="F607" s="103"/>
      <c r="G607" s="103"/>
      <c r="H607" s="103"/>
      <c r="I607" s="103"/>
      <c r="J607" s="103"/>
      <c r="K607" s="103"/>
      <c r="L607" s="60"/>
      <c r="M607" s="103"/>
      <c r="N607" s="61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</row>
    <row r="608" ht="30.0" customHeight="1">
      <c r="A608" s="103"/>
      <c r="B608" s="103"/>
      <c r="C608" s="103"/>
      <c r="D608" s="103"/>
      <c r="E608" s="103"/>
      <c r="F608" s="103"/>
      <c r="G608" s="103"/>
      <c r="H608" s="103"/>
      <c r="I608" s="103"/>
      <c r="J608" s="103"/>
      <c r="K608" s="103"/>
      <c r="L608" s="60"/>
      <c r="M608" s="103"/>
      <c r="N608" s="61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</row>
    <row r="609" ht="30.0" customHeight="1">
      <c r="A609" s="103"/>
      <c r="B609" s="103"/>
      <c r="C609" s="103"/>
      <c r="D609" s="103"/>
      <c r="E609" s="103"/>
      <c r="F609" s="103"/>
      <c r="G609" s="103"/>
      <c r="H609" s="103"/>
      <c r="I609" s="103"/>
      <c r="J609" s="103"/>
      <c r="K609" s="103"/>
      <c r="L609" s="60"/>
      <c r="M609" s="103"/>
      <c r="N609" s="61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</row>
    <row r="610" ht="30.0" customHeight="1">
      <c r="A610" s="103"/>
      <c r="B610" s="103"/>
      <c r="C610" s="103"/>
      <c r="D610" s="103"/>
      <c r="E610" s="103"/>
      <c r="F610" s="103"/>
      <c r="G610" s="103"/>
      <c r="H610" s="103"/>
      <c r="I610" s="103"/>
      <c r="J610" s="103"/>
      <c r="K610" s="103"/>
      <c r="L610" s="60"/>
      <c r="M610" s="103"/>
      <c r="N610" s="61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</row>
    <row r="611" ht="30.0" customHeight="1">
      <c r="A611" s="103"/>
      <c r="B611" s="103"/>
      <c r="C611" s="103"/>
      <c r="D611" s="103"/>
      <c r="E611" s="103"/>
      <c r="F611" s="103"/>
      <c r="G611" s="103"/>
      <c r="H611" s="103"/>
      <c r="I611" s="103"/>
      <c r="J611" s="103"/>
      <c r="K611" s="103"/>
      <c r="L611" s="60"/>
      <c r="M611" s="103"/>
      <c r="N611" s="61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</row>
    <row r="612" ht="30.0" customHeight="1">
      <c r="A612" s="103"/>
      <c r="B612" s="103"/>
      <c r="C612" s="103"/>
      <c r="D612" s="103"/>
      <c r="E612" s="103"/>
      <c r="F612" s="103"/>
      <c r="G612" s="103"/>
      <c r="H612" s="103"/>
      <c r="I612" s="103"/>
      <c r="J612" s="103"/>
      <c r="K612" s="103"/>
      <c r="L612" s="60"/>
      <c r="M612" s="103"/>
      <c r="N612" s="61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</row>
    <row r="613" ht="30.0" customHeight="1">
      <c r="A613" s="103"/>
      <c r="B613" s="103"/>
      <c r="C613" s="103"/>
      <c r="D613" s="103"/>
      <c r="E613" s="103"/>
      <c r="F613" s="103"/>
      <c r="G613" s="103"/>
      <c r="H613" s="103"/>
      <c r="I613" s="103"/>
      <c r="J613" s="103"/>
      <c r="K613" s="103"/>
      <c r="L613" s="60"/>
      <c r="M613" s="103"/>
      <c r="N613" s="61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</row>
    <row r="614" ht="30.0" customHeight="1">
      <c r="A614" s="103"/>
      <c r="B614" s="103"/>
      <c r="C614" s="103"/>
      <c r="D614" s="103"/>
      <c r="E614" s="103"/>
      <c r="F614" s="103"/>
      <c r="G614" s="103"/>
      <c r="H614" s="103"/>
      <c r="I614" s="103"/>
      <c r="J614" s="103"/>
      <c r="K614" s="103"/>
      <c r="L614" s="60"/>
      <c r="M614" s="103"/>
      <c r="N614" s="61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</row>
    <row r="615" ht="30.0" customHeight="1">
      <c r="A615" s="103"/>
      <c r="B615" s="103"/>
      <c r="C615" s="103"/>
      <c r="D615" s="103"/>
      <c r="E615" s="103"/>
      <c r="F615" s="103"/>
      <c r="G615" s="103"/>
      <c r="H615" s="103"/>
      <c r="I615" s="103"/>
      <c r="J615" s="103"/>
      <c r="K615" s="103"/>
      <c r="L615" s="60"/>
      <c r="M615" s="103"/>
      <c r="N615" s="61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</row>
    <row r="616" ht="30.0" customHeight="1">
      <c r="A616" s="103"/>
      <c r="B616" s="103"/>
      <c r="C616" s="103"/>
      <c r="D616" s="103"/>
      <c r="E616" s="103"/>
      <c r="F616" s="103"/>
      <c r="G616" s="103"/>
      <c r="H616" s="103"/>
      <c r="I616" s="103"/>
      <c r="J616" s="103"/>
      <c r="K616" s="103"/>
      <c r="L616" s="60"/>
      <c r="M616" s="103"/>
      <c r="N616" s="61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</row>
    <row r="617" ht="30.0" customHeight="1">
      <c r="A617" s="103"/>
      <c r="B617" s="103"/>
      <c r="C617" s="103"/>
      <c r="D617" s="103"/>
      <c r="E617" s="103"/>
      <c r="F617" s="103"/>
      <c r="G617" s="103"/>
      <c r="H617" s="103"/>
      <c r="I617" s="103"/>
      <c r="J617" s="103"/>
      <c r="K617" s="103"/>
      <c r="L617" s="60"/>
      <c r="M617" s="103"/>
      <c r="N617" s="61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</row>
    <row r="618" ht="30.0" customHeight="1">
      <c r="A618" s="103"/>
      <c r="B618" s="103"/>
      <c r="C618" s="103"/>
      <c r="D618" s="103"/>
      <c r="E618" s="103"/>
      <c r="F618" s="103"/>
      <c r="G618" s="103"/>
      <c r="H618" s="103"/>
      <c r="I618" s="103"/>
      <c r="J618" s="103"/>
      <c r="K618" s="103"/>
      <c r="L618" s="60"/>
      <c r="M618" s="103"/>
      <c r="N618" s="61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</row>
    <row r="619" ht="30.0" customHeight="1">
      <c r="A619" s="103"/>
      <c r="B619" s="103"/>
      <c r="C619" s="103"/>
      <c r="D619" s="103"/>
      <c r="E619" s="103"/>
      <c r="F619" s="103"/>
      <c r="G619" s="103"/>
      <c r="H619" s="103"/>
      <c r="I619" s="103"/>
      <c r="J619" s="103"/>
      <c r="K619" s="103"/>
      <c r="L619" s="60"/>
      <c r="M619" s="103"/>
      <c r="N619" s="61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</row>
    <row r="620" ht="30.0" customHeight="1">
      <c r="A620" s="103"/>
      <c r="B620" s="103"/>
      <c r="C620" s="103"/>
      <c r="D620" s="103"/>
      <c r="E620" s="103"/>
      <c r="F620" s="103"/>
      <c r="G620" s="103"/>
      <c r="H620" s="103"/>
      <c r="I620" s="103"/>
      <c r="J620" s="103"/>
      <c r="K620" s="103"/>
      <c r="L620" s="60"/>
      <c r="M620" s="103"/>
      <c r="N620" s="61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</row>
    <row r="621" ht="30.0" customHeight="1">
      <c r="A621" s="103"/>
      <c r="B621" s="103"/>
      <c r="C621" s="103"/>
      <c r="D621" s="103"/>
      <c r="E621" s="103"/>
      <c r="F621" s="103"/>
      <c r="G621" s="103"/>
      <c r="H621" s="103"/>
      <c r="I621" s="103"/>
      <c r="J621" s="103"/>
      <c r="K621" s="103"/>
      <c r="L621" s="60"/>
      <c r="M621" s="103"/>
      <c r="N621" s="61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</row>
    <row r="622" ht="30.0" customHeight="1">
      <c r="A622" s="103"/>
      <c r="B622" s="103"/>
      <c r="C622" s="103"/>
      <c r="D622" s="103"/>
      <c r="E622" s="103"/>
      <c r="F622" s="103"/>
      <c r="G622" s="103"/>
      <c r="H622" s="103"/>
      <c r="I622" s="103"/>
      <c r="J622" s="103"/>
      <c r="K622" s="103"/>
      <c r="L622" s="60"/>
      <c r="M622" s="103"/>
      <c r="N622" s="61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</row>
    <row r="623" ht="30.0" customHeight="1">
      <c r="A623" s="103"/>
      <c r="B623" s="103"/>
      <c r="C623" s="103"/>
      <c r="D623" s="103"/>
      <c r="E623" s="103"/>
      <c r="F623" s="103"/>
      <c r="G623" s="103"/>
      <c r="H623" s="103"/>
      <c r="I623" s="103"/>
      <c r="J623" s="103"/>
      <c r="K623" s="103"/>
      <c r="L623" s="60"/>
      <c r="M623" s="103"/>
      <c r="N623" s="61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</row>
    <row r="624" ht="30.0" customHeight="1">
      <c r="A624" s="103"/>
      <c r="B624" s="103"/>
      <c r="C624" s="103"/>
      <c r="D624" s="103"/>
      <c r="E624" s="103"/>
      <c r="F624" s="103"/>
      <c r="G624" s="103"/>
      <c r="H624" s="103"/>
      <c r="I624" s="103"/>
      <c r="J624" s="103"/>
      <c r="K624" s="103"/>
      <c r="L624" s="60"/>
      <c r="M624" s="103"/>
      <c r="N624" s="61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</row>
    <row r="625" ht="30.0" customHeight="1">
      <c r="A625" s="103"/>
      <c r="B625" s="103"/>
      <c r="C625" s="103"/>
      <c r="D625" s="103"/>
      <c r="E625" s="103"/>
      <c r="F625" s="103"/>
      <c r="G625" s="103"/>
      <c r="H625" s="103"/>
      <c r="I625" s="103"/>
      <c r="J625" s="103"/>
      <c r="K625" s="103"/>
      <c r="L625" s="60"/>
      <c r="M625" s="103"/>
      <c r="N625" s="61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</row>
    <row r="626" ht="30.0" customHeight="1">
      <c r="A626" s="103"/>
      <c r="B626" s="103"/>
      <c r="C626" s="103"/>
      <c r="D626" s="103"/>
      <c r="E626" s="103"/>
      <c r="F626" s="103"/>
      <c r="G626" s="103"/>
      <c r="H626" s="103"/>
      <c r="I626" s="103"/>
      <c r="J626" s="103"/>
      <c r="K626" s="103"/>
      <c r="L626" s="60"/>
      <c r="M626" s="103"/>
      <c r="N626" s="61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</row>
    <row r="627" ht="30.0" customHeight="1">
      <c r="A627" s="103"/>
      <c r="B627" s="103"/>
      <c r="C627" s="103"/>
      <c r="D627" s="103"/>
      <c r="E627" s="103"/>
      <c r="F627" s="103"/>
      <c r="G627" s="103"/>
      <c r="H627" s="103"/>
      <c r="I627" s="103"/>
      <c r="J627" s="103"/>
      <c r="K627" s="103"/>
      <c r="L627" s="60"/>
      <c r="M627" s="103"/>
      <c r="N627" s="61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</row>
    <row r="628" ht="30.0" customHeight="1">
      <c r="A628" s="103"/>
      <c r="B628" s="103"/>
      <c r="C628" s="103"/>
      <c r="D628" s="103"/>
      <c r="E628" s="103"/>
      <c r="F628" s="103"/>
      <c r="G628" s="103"/>
      <c r="H628" s="103"/>
      <c r="I628" s="103"/>
      <c r="J628" s="103"/>
      <c r="K628" s="103"/>
      <c r="L628" s="60"/>
      <c r="M628" s="103"/>
      <c r="N628" s="61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</row>
    <row r="629" ht="30.0" customHeight="1">
      <c r="A629" s="103"/>
      <c r="B629" s="103"/>
      <c r="C629" s="103"/>
      <c r="D629" s="103"/>
      <c r="E629" s="103"/>
      <c r="F629" s="103"/>
      <c r="G629" s="103"/>
      <c r="H629" s="103"/>
      <c r="I629" s="103"/>
      <c r="J629" s="103"/>
      <c r="K629" s="103"/>
      <c r="L629" s="60"/>
      <c r="M629" s="103"/>
      <c r="N629" s="61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</row>
    <row r="630" ht="30.0" customHeight="1">
      <c r="A630" s="103"/>
      <c r="B630" s="103"/>
      <c r="C630" s="103"/>
      <c r="D630" s="103"/>
      <c r="E630" s="103"/>
      <c r="F630" s="103"/>
      <c r="G630" s="103"/>
      <c r="H630" s="103"/>
      <c r="I630" s="103"/>
      <c r="J630" s="103"/>
      <c r="K630" s="103"/>
      <c r="L630" s="60"/>
      <c r="M630" s="103"/>
      <c r="N630" s="61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</row>
    <row r="631" ht="30.0" customHeight="1">
      <c r="A631" s="103"/>
      <c r="B631" s="103"/>
      <c r="C631" s="103"/>
      <c r="D631" s="103"/>
      <c r="E631" s="103"/>
      <c r="F631" s="103"/>
      <c r="G631" s="103"/>
      <c r="H631" s="103"/>
      <c r="I631" s="103"/>
      <c r="J631" s="103"/>
      <c r="K631" s="103"/>
      <c r="L631" s="60"/>
      <c r="M631" s="103"/>
      <c r="N631" s="61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</row>
    <row r="632" ht="30.0" customHeight="1">
      <c r="A632" s="103"/>
      <c r="B632" s="103"/>
      <c r="C632" s="103"/>
      <c r="D632" s="103"/>
      <c r="E632" s="103"/>
      <c r="F632" s="103"/>
      <c r="G632" s="103"/>
      <c r="H632" s="103"/>
      <c r="I632" s="103"/>
      <c r="J632" s="103"/>
      <c r="K632" s="103"/>
      <c r="L632" s="60"/>
      <c r="M632" s="103"/>
      <c r="N632" s="61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</row>
    <row r="633" ht="30.0" customHeight="1">
      <c r="A633" s="103"/>
      <c r="B633" s="103"/>
      <c r="C633" s="103"/>
      <c r="D633" s="103"/>
      <c r="E633" s="103"/>
      <c r="F633" s="103"/>
      <c r="G633" s="103"/>
      <c r="H633" s="103"/>
      <c r="I633" s="103"/>
      <c r="J633" s="103"/>
      <c r="K633" s="103"/>
      <c r="L633" s="60"/>
      <c r="M633" s="103"/>
      <c r="N633" s="61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</row>
    <row r="634" ht="30.0" customHeight="1">
      <c r="A634" s="103"/>
      <c r="B634" s="103"/>
      <c r="C634" s="103"/>
      <c r="D634" s="103"/>
      <c r="E634" s="103"/>
      <c r="F634" s="103"/>
      <c r="G634" s="103"/>
      <c r="H634" s="103"/>
      <c r="I634" s="103"/>
      <c r="J634" s="103"/>
      <c r="K634" s="103"/>
      <c r="L634" s="60"/>
      <c r="M634" s="103"/>
      <c r="N634" s="61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</row>
    <row r="635" ht="30.0" customHeight="1">
      <c r="A635" s="103"/>
      <c r="B635" s="103"/>
      <c r="C635" s="103"/>
      <c r="D635" s="103"/>
      <c r="E635" s="103"/>
      <c r="F635" s="103"/>
      <c r="G635" s="103"/>
      <c r="H635" s="103"/>
      <c r="I635" s="103"/>
      <c r="J635" s="103"/>
      <c r="K635" s="103"/>
      <c r="L635" s="60"/>
      <c r="M635" s="103"/>
      <c r="N635" s="61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</row>
    <row r="636" ht="30.0" customHeight="1">
      <c r="A636" s="103"/>
      <c r="B636" s="103"/>
      <c r="C636" s="103"/>
      <c r="D636" s="103"/>
      <c r="E636" s="103"/>
      <c r="F636" s="103"/>
      <c r="G636" s="103"/>
      <c r="H636" s="103"/>
      <c r="I636" s="103"/>
      <c r="J636" s="103"/>
      <c r="K636" s="103"/>
      <c r="L636" s="60"/>
      <c r="M636" s="103"/>
      <c r="N636" s="61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</row>
    <row r="637" ht="30.0" customHeight="1">
      <c r="A637" s="103"/>
      <c r="B637" s="103"/>
      <c r="C637" s="103"/>
      <c r="D637" s="103"/>
      <c r="E637" s="103"/>
      <c r="F637" s="103"/>
      <c r="G637" s="103"/>
      <c r="H637" s="103"/>
      <c r="I637" s="103"/>
      <c r="J637" s="103"/>
      <c r="K637" s="103"/>
      <c r="L637" s="60"/>
      <c r="M637" s="103"/>
      <c r="N637" s="61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</row>
    <row r="638" ht="30.0" customHeight="1">
      <c r="A638" s="103"/>
      <c r="B638" s="103"/>
      <c r="C638" s="103"/>
      <c r="D638" s="103"/>
      <c r="E638" s="103"/>
      <c r="F638" s="103"/>
      <c r="G638" s="103"/>
      <c r="H638" s="103"/>
      <c r="I638" s="103"/>
      <c r="J638" s="103"/>
      <c r="K638" s="103"/>
      <c r="L638" s="60"/>
      <c r="M638" s="103"/>
      <c r="N638" s="61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</row>
    <row r="639" ht="30.0" customHeight="1">
      <c r="A639" s="103"/>
      <c r="B639" s="103"/>
      <c r="C639" s="103"/>
      <c r="D639" s="103"/>
      <c r="E639" s="103"/>
      <c r="F639" s="103"/>
      <c r="G639" s="103"/>
      <c r="H639" s="103"/>
      <c r="I639" s="103"/>
      <c r="J639" s="103"/>
      <c r="K639" s="103"/>
      <c r="L639" s="60"/>
      <c r="M639" s="103"/>
      <c r="N639" s="61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</row>
    <row r="640" ht="30.0" customHeight="1">
      <c r="A640" s="103"/>
      <c r="B640" s="103"/>
      <c r="C640" s="103"/>
      <c r="D640" s="103"/>
      <c r="E640" s="103"/>
      <c r="F640" s="103"/>
      <c r="G640" s="103"/>
      <c r="H640" s="103"/>
      <c r="I640" s="103"/>
      <c r="J640" s="103"/>
      <c r="K640" s="103"/>
      <c r="L640" s="60"/>
      <c r="M640" s="103"/>
      <c r="N640" s="61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</row>
    <row r="641" ht="30.0" customHeight="1">
      <c r="A641" s="103"/>
      <c r="B641" s="103"/>
      <c r="C641" s="103"/>
      <c r="D641" s="103"/>
      <c r="E641" s="103"/>
      <c r="F641" s="103"/>
      <c r="G641" s="103"/>
      <c r="H641" s="103"/>
      <c r="I641" s="103"/>
      <c r="J641" s="103"/>
      <c r="K641" s="103"/>
      <c r="L641" s="60"/>
      <c r="M641" s="103"/>
      <c r="N641" s="61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</row>
    <row r="642" ht="30.0" customHeight="1">
      <c r="A642" s="103"/>
      <c r="B642" s="103"/>
      <c r="C642" s="103"/>
      <c r="D642" s="103"/>
      <c r="E642" s="103"/>
      <c r="F642" s="103"/>
      <c r="G642" s="103"/>
      <c r="H642" s="103"/>
      <c r="I642" s="103"/>
      <c r="J642" s="103"/>
      <c r="K642" s="103"/>
      <c r="L642" s="60"/>
      <c r="M642" s="103"/>
      <c r="N642" s="61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</row>
    <row r="643" ht="30.0" customHeight="1">
      <c r="A643" s="103"/>
      <c r="B643" s="103"/>
      <c r="C643" s="103"/>
      <c r="D643" s="103"/>
      <c r="E643" s="103"/>
      <c r="F643" s="103"/>
      <c r="G643" s="103"/>
      <c r="H643" s="103"/>
      <c r="I643" s="103"/>
      <c r="J643" s="103"/>
      <c r="K643" s="103"/>
      <c r="L643" s="60"/>
      <c r="M643" s="103"/>
      <c r="N643" s="61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</row>
    <row r="644" ht="30.0" customHeight="1">
      <c r="A644" s="103"/>
      <c r="B644" s="103"/>
      <c r="C644" s="103"/>
      <c r="D644" s="103"/>
      <c r="E644" s="103"/>
      <c r="F644" s="103"/>
      <c r="G644" s="103"/>
      <c r="H644" s="103"/>
      <c r="I644" s="103"/>
      <c r="J644" s="103"/>
      <c r="K644" s="103"/>
      <c r="L644" s="60"/>
      <c r="M644" s="103"/>
      <c r="N644" s="61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</row>
    <row r="645" ht="30.0" customHeight="1">
      <c r="A645" s="103"/>
      <c r="B645" s="103"/>
      <c r="C645" s="103"/>
      <c r="D645" s="103"/>
      <c r="E645" s="103"/>
      <c r="F645" s="103"/>
      <c r="G645" s="103"/>
      <c r="H645" s="103"/>
      <c r="I645" s="103"/>
      <c r="J645" s="103"/>
      <c r="K645" s="103"/>
      <c r="L645" s="60"/>
      <c r="M645" s="103"/>
      <c r="N645" s="61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</row>
    <row r="646" ht="30.0" customHeight="1">
      <c r="A646" s="103"/>
      <c r="B646" s="103"/>
      <c r="C646" s="103"/>
      <c r="D646" s="103"/>
      <c r="E646" s="103"/>
      <c r="F646" s="103"/>
      <c r="G646" s="103"/>
      <c r="H646" s="103"/>
      <c r="I646" s="103"/>
      <c r="J646" s="103"/>
      <c r="K646" s="103"/>
      <c r="L646" s="60"/>
      <c r="M646" s="103"/>
      <c r="N646" s="61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</row>
    <row r="647" ht="30.0" customHeight="1">
      <c r="A647" s="103"/>
      <c r="B647" s="103"/>
      <c r="C647" s="103"/>
      <c r="D647" s="103"/>
      <c r="E647" s="103"/>
      <c r="F647" s="103"/>
      <c r="G647" s="103"/>
      <c r="H647" s="103"/>
      <c r="I647" s="103"/>
      <c r="J647" s="103"/>
      <c r="K647" s="103"/>
      <c r="L647" s="60"/>
      <c r="M647" s="103"/>
      <c r="N647" s="61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</row>
    <row r="648" ht="30.0" customHeight="1">
      <c r="A648" s="103"/>
      <c r="B648" s="103"/>
      <c r="C648" s="103"/>
      <c r="D648" s="103"/>
      <c r="E648" s="103"/>
      <c r="F648" s="103"/>
      <c r="G648" s="103"/>
      <c r="H648" s="103"/>
      <c r="I648" s="103"/>
      <c r="J648" s="103"/>
      <c r="K648" s="103"/>
      <c r="L648" s="60"/>
      <c r="M648" s="103"/>
      <c r="N648" s="61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</row>
    <row r="649" ht="30.0" customHeight="1">
      <c r="A649" s="103"/>
      <c r="B649" s="103"/>
      <c r="C649" s="103"/>
      <c r="D649" s="103"/>
      <c r="E649" s="103"/>
      <c r="F649" s="103"/>
      <c r="G649" s="103"/>
      <c r="H649" s="103"/>
      <c r="I649" s="103"/>
      <c r="J649" s="103"/>
      <c r="K649" s="103"/>
      <c r="L649" s="60"/>
      <c r="M649" s="103"/>
      <c r="N649" s="61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</row>
    <row r="650" ht="30.0" customHeight="1">
      <c r="A650" s="103"/>
      <c r="B650" s="103"/>
      <c r="C650" s="103"/>
      <c r="D650" s="103"/>
      <c r="E650" s="103"/>
      <c r="F650" s="103"/>
      <c r="G650" s="103"/>
      <c r="H650" s="103"/>
      <c r="I650" s="103"/>
      <c r="J650" s="103"/>
      <c r="K650" s="103"/>
      <c r="L650" s="60"/>
      <c r="M650" s="103"/>
      <c r="N650" s="61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</row>
    <row r="651" ht="30.0" customHeight="1">
      <c r="A651" s="103"/>
      <c r="B651" s="103"/>
      <c r="C651" s="103"/>
      <c r="D651" s="103"/>
      <c r="E651" s="103"/>
      <c r="F651" s="103"/>
      <c r="G651" s="103"/>
      <c r="H651" s="103"/>
      <c r="I651" s="103"/>
      <c r="J651" s="103"/>
      <c r="K651" s="103"/>
      <c r="L651" s="60"/>
      <c r="M651" s="103"/>
      <c r="N651" s="61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</row>
    <row r="652" ht="30.0" customHeight="1">
      <c r="A652" s="103"/>
      <c r="B652" s="103"/>
      <c r="C652" s="103"/>
      <c r="D652" s="103"/>
      <c r="E652" s="103"/>
      <c r="F652" s="103"/>
      <c r="G652" s="103"/>
      <c r="H652" s="103"/>
      <c r="I652" s="103"/>
      <c r="J652" s="103"/>
      <c r="K652" s="103"/>
      <c r="L652" s="60"/>
      <c r="M652" s="103"/>
      <c r="N652" s="61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</row>
    <row r="653" ht="30.0" customHeight="1">
      <c r="A653" s="103"/>
      <c r="B653" s="103"/>
      <c r="C653" s="103"/>
      <c r="D653" s="103"/>
      <c r="E653" s="103"/>
      <c r="F653" s="103"/>
      <c r="G653" s="103"/>
      <c r="H653" s="103"/>
      <c r="I653" s="103"/>
      <c r="J653" s="103"/>
      <c r="K653" s="103"/>
      <c r="L653" s="60"/>
      <c r="M653" s="103"/>
      <c r="N653" s="61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</row>
    <row r="654" ht="30.0" customHeight="1">
      <c r="A654" s="103"/>
      <c r="B654" s="103"/>
      <c r="C654" s="103"/>
      <c r="D654" s="103"/>
      <c r="E654" s="103"/>
      <c r="F654" s="103"/>
      <c r="G654" s="103"/>
      <c r="H654" s="103"/>
      <c r="I654" s="103"/>
      <c r="J654" s="103"/>
      <c r="K654" s="103"/>
      <c r="L654" s="60"/>
      <c r="M654" s="103"/>
      <c r="N654" s="61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</row>
    <row r="655" ht="30.0" customHeight="1">
      <c r="A655" s="103"/>
      <c r="B655" s="103"/>
      <c r="C655" s="103"/>
      <c r="D655" s="103"/>
      <c r="E655" s="103"/>
      <c r="F655" s="103"/>
      <c r="G655" s="103"/>
      <c r="H655" s="103"/>
      <c r="I655" s="103"/>
      <c r="J655" s="103"/>
      <c r="K655" s="103"/>
      <c r="L655" s="60"/>
      <c r="M655" s="103"/>
      <c r="N655" s="61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</row>
    <row r="656" ht="30.0" customHeight="1">
      <c r="A656" s="103"/>
      <c r="B656" s="103"/>
      <c r="C656" s="103"/>
      <c r="D656" s="103"/>
      <c r="E656" s="103"/>
      <c r="F656" s="103"/>
      <c r="G656" s="103"/>
      <c r="H656" s="103"/>
      <c r="I656" s="103"/>
      <c r="J656" s="103"/>
      <c r="K656" s="103"/>
      <c r="L656" s="60"/>
      <c r="M656" s="103"/>
      <c r="N656" s="61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</row>
    <row r="657" ht="30.0" customHeight="1">
      <c r="A657" s="103"/>
      <c r="B657" s="103"/>
      <c r="C657" s="103"/>
      <c r="D657" s="103"/>
      <c r="E657" s="103"/>
      <c r="F657" s="103"/>
      <c r="G657" s="103"/>
      <c r="H657" s="103"/>
      <c r="I657" s="103"/>
      <c r="J657" s="103"/>
      <c r="K657" s="103"/>
      <c r="L657" s="60"/>
      <c r="M657" s="103"/>
      <c r="N657" s="61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</row>
    <row r="658" ht="30.0" customHeight="1">
      <c r="A658" s="103"/>
      <c r="B658" s="103"/>
      <c r="C658" s="103"/>
      <c r="D658" s="103"/>
      <c r="E658" s="103"/>
      <c r="F658" s="103"/>
      <c r="G658" s="103"/>
      <c r="H658" s="103"/>
      <c r="I658" s="103"/>
      <c r="J658" s="103"/>
      <c r="K658" s="103"/>
      <c r="L658" s="60"/>
      <c r="M658" s="103"/>
      <c r="N658" s="61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</row>
    <row r="659" ht="30.0" customHeight="1">
      <c r="A659" s="103"/>
      <c r="B659" s="103"/>
      <c r="C659" s="103"/>
      <c r="D659" s="103"/>
      <c r="E659" s="103"/>
      <c r="F659" s="103"/>
      <c r="G659" s="103"/>
      <c r="H659" s="103"/>
      <c r="I659" s="103"/>
      <c r="J659" s="103"/>
      <c r="K659" s="103"/>
      <c r="L659" s="60"/>
      <c r="M659" s="103"/>
      <c r="N659" s="61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</row>
    <row r="660" ht="30.0" customHeight="1">
      <c r="A660" s="103"/>
      <c r="B660" s="103"/>
      <c r="C660" s="103"/>
      <c r="D660" s="103"/>
      <c r="E660" s="103"/>
      <c r="F660" s="103"/>
      <c r="G660" s="103"/>
      <c r="H660" s="103"/>
      <c r="I660" s="103"/>
      <c r="J660" s="103"/>
      <c r="K660" s="103"/>
      <c r="L660" s="60"/>
      <c r="M660" s="103"/>
      <c r="N660" s="61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</row>
    <row r="661" ht="30.0" customHeight="1">
      <c r="A661" s="103"/>
      <c r="B661" s="103"/>
      <c r="C661" s="103"/>
      <c r="D661" s="103"/>
      <c r="E661" s="103"/>
      <c r="F661" s="103"/>
      <c r="G661" s="103"/>
      <c r="H661" s="103"/>
      <c r="I661" s="103"/>
      <c r="J661" s="103"/>
      <c r="K661" s="103"/>
      <c r="L661" s="60"/>
      <c r="M661" s="103"/>
      <c r="N661" s="61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</row>
    <row r="662" ht="30.0" customHeight="1">
      <c r="A662" s="103"/>
      <c r="B662" s="103"/>
      <c r="C662" s="103"/>
      <c r="D662" s="103"/>
      <c r="E662" s="103"/>
      <c r="F662" s="103"/>
      <c r="G662" s="103"/>
      <c r="H662" s="103"/>
      <c r="I662" s="103"/>
      <c r="J662" s="103"/>
      <c r="K662" s="103"/>
      <c r="L662" s="60"/>
      <c r="M662" s="103"/>
      <c r="N662" s="61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</row>
    <row r="663" ht="30.0" customHeight="1">
      <c r="A663" s="103"/>
      <c r="B663" s="103"/>
      <c r="C663" s="103"/>
      <c r="D663" s="103"/>
      <c r="E663" s="103"/>
      <c r="F663" s="103"/>
      <c r="G663" s="103"/>
      <c r="H663" s="103"/>
      <c r="I663" s="103"/>
      <c r="J663" s="103"/>
      <c r="K663" s="103"/>
      <c r="L663" s="60"/>
      <c r="M663" s="103"/>
      <c r="N663" s="61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</row>
    <row r="664" ht="30.0" customHeight="1">
      <c r="A664" s="103"/>
      <c r="B664" s="103"/>
      <c r="C664" s="103"/>
      <c r="D664" s="103"/>
      <c r="E664" s="103"/>
      <c r="F664" s="103"/>
      <c r="G664" s="103"/>
      <c r="H664" s="103"/>
      <c r="I664" s="103"/>
      <c r="J664" s="103"/>
      <c r="K664" s="103"/>
      <c r="L664" s="60"/>
      <c r="M664" s="103"/>
      <c r="N664" s="61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</row>
    <row r="665" ht="30.0" customHeight="1">
      <c r="A665" s="103"/>
      <c r="B665" s="103"/>
      <c r="C665" s="103"/>
      <c r="D665" s="103"/>
      <c r="E665" s="103"/>
      <c r="F665" s="103"/>
      <c r="G665" s="103"/>
      <c r="H665" s="103"/>
      <c r="I665" s="103"/>
      <c r="J665" s="103"/>
      <c r="K665" s="103"/>
      <c r="L665" s="60"/>
      <c r="M665" s="103"/>
      <c r="N665" s="61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</row>
    <row r="666" ht="30.0" customHeight="1">
      <c r="A666" s="103"/>
      <c r="B666" s="103"/>
      <c r="C666" s="103"/>
      <c r="D666" s="103"/>
      <c r="E666" s="103"/>
      <c r="F666" s="103"/>
      <c r="G666" s="103"/>
      <c r="H666" s="103"/>
      <c r="I666" s="103"/>
      <c r="J666" s="103"/>
      <c r="K666" s="103"/>
      <c r="L666" s="60"/>
      <c r="M666" s="103"/>
      <c r="N666" s="61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</row>
    <row r="667" ht="30.0" customHeight="1">
      <c r="A667" s="103"/>
      <c r="B667" s="103"/>
      <c r="C667" s="103"/>
      <c r="D667" s="103"/>
      <c r="E667" s="103"/>
      <c r="F667" s="103"/>
      <c r="G667" s="103"/>
      <c r="H667" s="103"/>
      <c r="I667" s="103"/>
      <c r="J667" s="103"/>
      <c r="K667" s="103"/>
      <c r="L667" s="60"/>
      <c r="M667" s="103"/>
      <c r="N667" s="61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</row>
    <row r="668" ht="30.0" customHeight="1">
      <c r="A668" s="103"/>
      <c r="B668" s="103"/>
      <c r="C668" s="103"/>
      <c r="D668" s="103"/>
      <c r="E668" s="103"/>
      <c r="F668" s="103"/>
      <c r="G668" s="103"/>
      <c r="H668" s="103"/>
      <c r="I668" s="103"/>
      <c r="J668" s="103"/>
      <c r="K668" s="103"/>
      <c r="L668" s="60"/>
      <c r="M668" s="103"/>
      <c r="N668" s="61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</row>
    <row r="669" ht="30.0" customHeight="1">
      <c r="A669" s="103"/>
      <c r="B669" s="103"/>
      <c r="C669" s="103"/>
      <c r="D669" s="103"/>
      <c r="E669" s="103"/>
      <c r="F669" s="103"/>
      <c r="G669" s="103"/>
      <c r="H669" s="103"/>
      <c r="I669" s="103"/>
      <c r="J669" s="103"/>
      <c r="K669" s="103"/>
      <c r="L669" s="60"/>
      <c r="M669" s="103"/>
      <c r="N669" s="61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</row>
    <row r="670" ht="30.0" customHeight="1">
      <c r="A670" s="103"/>
      <c r="B670" s="103"/>
      <c r="C670" s="103"/>
      <c r="D670" s="103"/>
      <c r="E670" s="103"/>
      <c r="F670" s="103"/>
      <c r="G670" s="103"/>
      <c r="H670" s="103"/>
      <c r="I670" s="103"/>
      <c r="J670" s="103"/>
      <c r="K670" s="103"/>
      <c r="L670" s="60"/>
      <c r="M670" s="103"/>
      <c r="N670" s="61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</row>
    <row r="671" ht="30.0" customHeight="1">
      <c r="A671" s="103"/>
      <c r="B671" s="103"/>
      <c r="C671" s="103"/>
      <c r="D671" s="103"/>
      <c r="E671" s="103"/>
      <c r="F671" s="103"/>
      <c r="G671" s="103"/>
      <c r="H671" s="103"/>
      <c r="I671" s="103"/>
      <c r="J671" s="103"/>
      <c r="K671" s="103"/>
      <c r="L671" s="60"/>
      <c r="M671" s="103"/>
      <c r="N671" s="61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</row>
    <row r="672" ht="30.0" customHeight="1">
      <c r="A672" s="103"/>
      <c r="B672" s="103"/>
      <c r="C672" s="103"/>
      <c r="D672" s="103"/>
      <c r="E672" s="103"/>
      <c r="F672" s="103"/>
      <c r="G672" s="103"/>
      <c r="H672" s="103"/>
      <c r="I672" s="103"/>
      <c r="J672" s="103"/>
      <c r="K672" s="103"/>
      <c r="L672" s="60"/>
      <c r="M672" s="103"/>
      <c r="N672" s="61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</row>
    <row r="673" ht="30.0" customHeight="1">
      <c r="A673" s="103"/>
      <c r="B673" s="103"/>
      <c r="C673" s="103"/>
      <c r="D673" s="103"/>
      <c r="E673" s="103"/>
      <c r="F673" s="103"/>
      <c r="G673" s="103"/>
      <c r="H673" s="103"/>
      <c r="I673" s="103"/>
      <c r="J673" s="103"/>
      <c r="K673" s="103"/>
      <c r="L673" s="60"/>
      <c r="M673" s="103"/>
      <c r="N673" s="61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</row>
    <row r="674" ht="30.0" customHeight="1">
      <c r="A674" s="103"/>
      <c r="B674" s="103"/>
      <c r="C674" s="103"/>
      <c r="D674" s="103"/>
      <c r="E674" s="103"/>
      <c r="F674" s="103"/>
      <c r="G674" s="103"/>
      <c r="H674" s="103"/>
      <c r="I674" s="103"/>
      <c r="J674" s="103"/>
      <c r="K674" s="103"/>
      <c r="L674" s="60"/>
      <c r="M674" s="103"/>
      <c r="N674" s="61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</row>
    <row r="675" ht="30.0" customHeight="1">
      <c r="A675" s="103"/>
      <c r="B675" s="103"/>
      <c r="C675" s="103"/>
      <c r="D675" s="103"/>
      <c r="E675" s="103"/>
      <c r="F675" s="103"/>
      <c r="G675" s="103"/>
      <c r="H675" s="103"/>
      <c r="I675" s="103"/>
      <c r="J675" s="103"/>
      <c r="K675" s="103"/>
      <c r="L675" s="60"/>
      <c r="M675" s="103"/>
      <c r="N675" s="61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</row>
    <row r="676" ht="30.0" customHeight="1">
      <c r="A676" s="103"/>
      <c r="B676" s="103"/>
      <c r="C676" s="103"/>
      <c r="D676" s="103"/>
      <c r="E676" s="103"/>
      <c r="F676" s="103"/>
      <c r="G676" s="103"/>
      <c r="H676" s="103"/>
      <c r="I676" s="103"/>
      <c r="J676" s="103"/>
      <c r="K676" s="103"/>
      <c r="L676" s="60"/>
      <c r="M676" s="103"/>
      <c r="N676" s="61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</row>
    <row r="677" ht="30.0" customHeight="1">
      <c r="A677" s="103"/>
      <c r="B677" s="103"/>
      <c r="C677" s="103"/>
      <c r="D677" s="103"/>
      <c r="E677" s="103"/>
      <c r="F677" s="103"/>
      <c r="G677" s="103"/>
      <c r="H677" s="103"/>
      <c r="I677" s="103"/>
      <c r="J677" s="103"/>
      <c r="K677" s="103"/>
      <c r="L677" s="60"/>
      <c r="M677" s="103"/>
      <c r="N677" s="61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</row>
    <row r="678" ht="30.0" customHeight="1">
      <c r="A678" s="103"/>
      <c r="B678" s="103"/>
      <c r="C678" s="103"/>
      <c r="D678" s="103"/>
      <c r="E678" s="103"/>
      <c r="F678" s="103"/>
      <c r="G678" s="103"/>
      <c r="H678" s="103"/>
      <c r="I678" s="103"/>
      <c r="J678" s="103"/>
      <c r="K678" s="103"/>
      <c r="L678" s="60"/>
      <c r="M678" s="103"/>
      <c r="N678" s="61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</row>
    <row r="679" ht="30.0" customHeight="1">
      <c r="A679" s="103"/>
      <c r="B679" s="103"/>
      <c r="C679" s="103"/>
      <c r="D679" s="103"/>
      <c r="E679" s="103"/>
      <c r="F679" s="103"/>
      <c r="G679" s="103"/>
      <c r="H679" s="103"/>
      <c r="I679" s="103"/>
      <c r="J679" s="103"/>
      <c r="K679" s="103"/>
      <c r="L679" s="60"/>
      <c r="M679" s="103"/>
      <c r="N679" s="61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</row>
    <row r="680" ht="30.0" customHeight="1">
      <c r="A680" s="103"/>
      <c r="B680" s="103"/>
      <c r="C680" s="103"/>
      <c r="D680" s="103"/>
      <c r="E680" s="103"/>
      <c r="F680" s="103"/>
      <c r="G680" s="103"/>
      <c r="H680" s="103"/>
      <c r="I680" s="103"/>
      <c r="J680" s="103"/>
      <c r="K680" s="103"/>
      <c r="L680" s="60"/>
      <c r="M680" s="103"/>
      <c r="N680" s="61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</row>
    <row r="681" ht="30.0" customHeight="1">
      <c r="A681" s="103"/>
      <c r="B681" s="103"/>
      <c r="C681" s="103"/>
      <c r="D681" s="103"/>
      <c r="E681" s="103"/>
      <c r="F681" s="103"/>
      <c r="G681" s="103"/>
      <c r="H681" s="103"/>
      <c r="I681" s="103"/>
      <c r="J681" s="103"/>
      <c r="K681" s="103"/>
      <c r="L681" s="60"/>
      <c r="M681" s="103"/>
      <c r="N681" s="61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</row>
    <row r="682" ht="30.0" customHeight="1">
      <c r="A682" s="103"/>
      <c r="B682" s="103"/>
      <c r="C682" s="103"/>
      <c r="D682" s="103"/>
      <c r="E682" s="103"/>
      <c r="F682" s="103"/>
      <c r="G682" s="103"/>
      <c r="H682" s="103"/>
      <c r="I682" s="103"/>
      <c r="J682" s="103"/>
      <c r="K682" s="103"/>
      <c r="L682" s="60"/>
      <c r="M682" s="103"/>
      <c r="N682" s="61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</row>
    <row r="683" ht="30.0" customHeight="1">
      <c r="A683" s="103"/>
      <c r="B683" s="103"/>
      <c r="C683" s="103"/>
      <c r="D683" s="103"/>
      <c r="E683" s="103"/>
      <c r="F683" s="103"/>
      <c r="G683" s="103"/>
      <c r="H683" s="103"/>
      <c r="I683" s="103"/>
      <c r="J683" s="103"/>
      <c r="K683" s="103"/>
      <c r="L683" s="60"/>
      <c r="M683" s="103"/>
      <c r="N683" s="61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</row>
    <row r="684" ht="30.0" customHeight="1">
      <c r="A684" s="103"/>
      <c r="B684" s="103"/>
      <c r="C684" s="103"/>
      <c r="D684" s="103"/>
      <c r="E684" s="103"/>
      <c r="F684" s="103"/>
      <c r="G684" s="103"/>
      <c r="H684" s="103"/>
      <c r="I684" s="103"/>
      <c r="J684" s="103"/>
      <c r="K684" s="103"/>
      <c r="L684" s="60"/>
      <c r="M684" s="103"/>
      <c r="N684" s="61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</row>
    <row r="685" ht="30.0" customHeight="1">
      <c r="A685" s="103"/>
      <c r="B685" s="103"/>
      <c r="C685" s="103"/>
      <c r="D685" s="103"/>
      <c r="E685" s="103"/>
      <c r="F685" s="103"/>
      <c r="G685" s="103"/>
      <c r="H685" s="103"/>
      <c r="I685" s="103"/>
      <c r="J685" s="103"/>
      <c r="K685" s="103"/>
      <c r="L685" s="60"/>
      <c r="M685" s="103"/>
      <c r="N685" s="61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</row>
    <row r="686" ht="30.0" customHeight="1">
      <c r="A686" s="103"/>
      <c r="B686" s="103"/>
      <c r="C686" s="103"/>
      <c r="D686" s="103"/>
      <c r="E686" s="103"/>
      <c r="F686" s="103"/>
      <c r="G686" s="103"/>
      <c r="H686" s="103"/>
      <c r="I686" s="103"/>
      <c r="J686" s="103"/>
      <c r="K686" s="103"/>
      <c r="L686" s="60"/>
      <c r="M686" s="103"/>
      <c r="N686" s="61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</row>
    <row r="687" ht="30.0" customHeight="1">
      <c r="A687" s="103"/>
      <c r="B687" s="103"/>
      <c r="C687" s="103"/>
      <c r="D687" s="103"/>
      <c r="E687" s="103"/>
      <c r="F687" s="103"/>
      <c r="G687" s="103"/>
      <c r="H687" s="103"/>
      <c r="I687" s="103"/>
      <c r="J687" s="103"/>
      <c r="K687" s="103"/>
      <c r="L687" s="60"/>
      <c r="M687" s="103"/>
      <c r="N687" s="61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</row>
    <row r="688" ht="30.0" customHeight="1">
      <c r="A688" s="103"/>
      <c r="B688" s="103"/>
      <c r="C688" s="103"/>
      <c r="D688" s="103"/>
      <c r="E688" s="103"/>
      <c r="F688" s="103"/>
      <c r="G688" s="103"/>
      <c r="H688" s="103"/>
      <c r="I688" s="103"/>
      <c r="J688" s="103"/>
      <c r="K688" s="103"/>
      <c r="L688" s="60"/>
      <c r="M688" s="103"/>
      <c r="N688" s="61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</row>
    <row r="689" ht="30.0" customHeight="1">
      <c r="A689" s="103"/>
      <c r="B689" s="103"/>
      <c r="C689" s="103"/>
      <c r="D689" s="103"/>
      <c r="E689" s="103"/>
      <c r="F689" s="103"/>
      <c r="G689" s="103"/>
      <c r="H689" s="103"/>
      <c r="I689" s="103"/>
      <c r="J689" s="103"/>
      <c r="K689" s="103"/>
      <c r="L689" s="60"/>
      <c r="M689" s="103"/>
      <c r="N689" s="61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</row>
    <row r="690" ht="30.0" customHeight="1">
      <c r="A690" s="103"/>
      <c r="B690" s="103"/>
      <c r="C690" s="103"/>
      <c r="D690" s="103"/>
      <c r="E690" s="103"/>
      <c r="F690" s="103"/>
      <c r="G690" s="103"/>
      <c r="H690" s="103"/>
      <c r="I690" s="103"/>
      <c r="J690" s="103"/>
      <c r="K690" s="103"/>
      <c r="L690" s="60"/>
      <c r="M690" s="103"/>
      <c r="N690" s="61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</row>
    <row r="691" ht="30.0" customHeight="1">
      <c r="A691" s="103"/>
      <c r="B691" s="103"/>
      <c r="C691" s="103"/>
      <c r="D691" s="103"/>
      <c r="E691" s="103"/>
      <c r="F691" s="103"/>
      <c r="G691" s="103"/>
      <c r="H691" s="103"/>
      <c r="I691" s="103"/>
      <c r="J691" s="103"/>
      <c r="K691" s="103"/>
      <c r="L691" s="60"/>
      <c r="M691" s="103"/>
      <c r="N691" s="61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</row>
    <row r="692" ht="30.0" customHeight="1">
      <c r="A692" s="103"/>
      <c r="B692" s="103"/>
      <c r="C692" s="103"/>
      <c r="D692" s="103"/>
      <c r="E692" s="103"/>
      <c r="F692" s="103"/>
      <c r="G692" s="103"/>
      <c r="H692" s="103"/>
      <c r="I692" s="103"/>
      <c r="J692" s="103"/>
      <c r="K692" s="103"/>
      <c r="L692" s="60"/>
      <c r="M692" s="103"/>
      <c r="N692" s="61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</row>
    <row r="693" ht="30.0" customHeight="1">
      <c r="A693" s="103"/>
      <c r="B693" s="103"/>
      <c r="C693" s="103"/>
      <c r="D693" s="103"/>
      <c r="E693" s="103"/>
      <c r="F693" s="103"/>
      <c r="G693" s="103"/>
      <c r="H693" s="103"/>
      <c r="I693" s="103"/>
      <c r="J693" s="103"/>
      <c r="K693" s="103"/>
      <c r="L693" s="60"/>
      <c r="M693" s="103"/>
      <c r="N693" s="61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</row>
    <row r="694" ht="30.0" customHeight="1">
      <c r="A694" s="103"/>
      <c r="B694" s="103"/>
      <c r="C694" s="103"/>
      <c r="D694" s="103"/>
      <c r="E694" s="103"/>
      <c r="F694" s="103"/>
      <c r="G694" s="103"/>
      <c r="H694" s="103"/>
      <c r="I694" s="103"/>
      <c r="J694" s="103"/>
      <c r="K694" s="103"/>
      <c r="L694" s="60"/>
      <c r="M694" s="103"/>
      <c r="N694" s="61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</row>
    <row r="695" ht="30.0" customHeight="1">
      <c r="A695" s="103"/>
      <c r="B695" s="103"/>
      <c r="C695" s="103"/>
      <c r="D695" s="103"/>
      <c r="E695" s="103"/>
      <c r="F695" s="103"/>
      <c r="G695" s="103"/>
      <c r="H695" s="103"/>
      <c r="I695" s="103"/>
      <c r="J695" s="103"/>
      <c r="K695" s="103"/>
      <c r="L695" s="60"/>
      <c r="M695" s="103"/>
      <c r="N695" s="61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</row>
    <row r="696" ht="30.0" customHeight="1">
      <c r="A696" s="103"/>
      <c r="B696" s="103"/>
      <c r="C696" s="103"/>
      <c r="D696" s="103"/>
      <c r="E696" s="103"/>
      <c r="F696" s="103"/>
      <c r="G696" s="103"/>
      <c r="H696" s="103"/>
      <c r="I696" s="103"/>
      <c r="J696" s="103"/>
      <c r="K696" s="103"/>
      <c r="L696" s="60"/>
      <c r="M696" s="103"/>
      <c r="N696" s="61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</row>
    <row r="697" ht="30.0" customHeight="1">
      <c r="A697" s="103"/>
      <c r="B697" s="103"/>
      <c r="C697" s="103"/>
      <c r="D697" s="103"/>
      <c r="E697" s="103"/>
      <c r="F697" s="103"/>
      <c r="G697" s="103"/>
      <c r="H697" s="103"/>
      <c r="I697" s="103"/>
      <c r="J697" s="103"/>
      <c r="K697" s="103"/>
      <c r="L697" s="60"/>
      <c r="M697" s="103"/>
      <c r="N697" s="61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</row>
    <row r="698" ht="30.0" customHeight="1">
      <c r="A698" s="103"/>
      <c r="B698" s="103"/>
      <c r="C698" s="103"/>
      <c r="D698" s="103"/>
      <c r="E698" s="103"/>
      <c r="F698" s="103"/>
      <c r="G698" s="103"/>
      <c r="H698" s="103"/>
      <c r="I698" s="103"/>
      <c r="J698" s="103"/>
      <c r="K698" s="103"/>
      <c r="L698" s="60"/>
      <c r="M698" s="103"/>
      <c r="N698" s="61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</row>
    <row r="699" ht="30.0" customHeight="1">
      <c r="A699" s="103"/>
      <c r="B699" s="103"/>
      <c r="C699" s="103"/>
      <c r="D699" s="103"/>
      <c r="E699" s="103"/>
      <c r="F699" s="103"/>
      <c r="G699" s="103"/>
      <c r="H699" s="103"/>
      <c r="I699" s="103"/>
      <c r="J699" s="103"/>
      <c r="K699" s="103"/>
      <c r="L699" s="60"/>
      <c r="M699" s="103"/>
      <c r="N699" s="61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</row>
    <row r="700" ht="30.0" customHeight="1">
      <c r="A700" s="103"/>
      <c r="B700" s="103"/>
      <c r="C700" s="103"/>
      <c r="D700" s="103"/>
      <c r="E700" s="103"/>
      <c r="F700" s="103"/>
      <c r="G700" s="103"/>
      <c r="H700" s="103"/>
      <c r="I700" s="103"/>
      <c r="J700" s="103"/>
      <c r="K700" s="103"/>
      <c r="L700" s="60"/>
      <c r="M700" s="103"/>
      <c r="N700" s="61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</row>
    <row r="701" ht="30.0" customHeight="1">
      <c r="A701" s="103"/>
      <c r="B701" s="103"/>
      <c r="C701" s="103"/>
      <c r="D701" s="103"/>
      <c r="E701" s="103"/>
      <c r="F701" s="103"/>
      <c r="G701" s="103"/>
      <c r="H701" s="103"/>
      <c r="I701" s="103"/>
      <c r="J701" s="103"/>
      <c r="K701" s="103"/>
      <c r="L701" s="60"/>
      <c r="M701" s="103"/>
      <c r="N701" s="61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</row>
    <row r="702" ht="30.0" customHeight="1">
      <c r="A702" s="103"/>
      <c r="B702" s="103"/>
      <c r="C702" s="103"/>
      <c r="D702" s="103"/>
      <c r="E702" s="103"/>
      <c r="F702" s="103"/>
      <c r="G702" s="103"/>
      <c r="H702" s="103"/>
      <c r="I702" s="103"/>
      <c r="J702" s="103"/>
      <c r="K702" s="103"/>
      <c r="L702" s="60"/>
      <c r="M702" s="103"/>
      <c r="N702" s="61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</row>
    <row r="703" ht="30.0" customHeight="1">
      <c r="A703" s="103"/>
      <c r="B703" s="103"/>
      <c r="C703" s="103"/>
      <c r="D703" s="103"/>
      <c r="E703" s="103"/>
      <c r="F703" s="103"/>
      <c r="G703" s="103"/>
      <c r="H703" s="103"/>
      <c r="I703" s="103"/>
      <c r="J703" s="103"/>
      <c r="K703" s="103"/>
      <c r="L703" s="60"/>
      <c r="M703" s="103"/>
      <c r="N703" s="61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</row>
    <row r="704" ht="30.0" customHeight="1">
      <c r="A704" s="103"/>
      <c r="B704" s="103"/>
      <c r="C704" s="103"/>
      <c r="D704" s="103"/>
      <c r="E704" s="103"/>
      <c r="F704" s="103"/>
      <c r="G704" s="103"/>
      <c r="H704" s="103"/>
      <c r="I704" s="103"/>
      <c r="J704" s="103"/>
      <c r="K704" s="103"/>
      <c r="L704" s="60"/>
      <c r="M704" s="103"/>
      <c r="N704" s="61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</row>
    <row r="705" ht="30.0" customHeight="1">
      <c r="A705" s="103"/>
      <c r="B705" s="103"/>
      <c r="C705" s="103"/>
      <c r="D705" s="103"/>
      <c r="E705" s="103"/>
      <c r="F705" s="103"/>
      <c r="G705" s="103"/>
      <c r="H705" s="103"/>
      <c r="I705" s="103"/>
      <c r="J705" s="103"/>
      <c r="K705" s="103"/>
      <c r="L705" s="60"/>
      <c r="M705" s="103"/>
      <c r="N705" s="61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</row>
    <row r="706" ht="30.0" customHeight="1">
      <c r="A706" s="103"/>
      <c r="B706" s="103"/>
      <c r="C706" s="103"/>
      <c r="D706" s="103"/>
      <c r="E706" s="103"/>
      <c r="F706" s="103"/>
      <c r="G706" s="103"/>
      <c r="H706" s="103"/>
      <c r="I706" s="103"/>
      <c r="J706" s="103"/>
      <c r="K706" s="103"/>
      <c r="L706" s="60"/>
      <c r="M706" s="103"/>
      <c r="N706" s="61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</row>
    <row r="707" ht="30.0" customHeight="1">
      <c r="A707" s="103"/>
      <c r="B707" s="103"/>
      <c r="C707" s="103"/>
      <c r="D707" s="103"/>
      <c r="E707" s="103"/>
      <c r="F707" s="103"/>
      <c r="G707" s="103"/>
      <c r="H707" s="103"/>
      <c r="I707" s="103"/>
      <c r="J707" s="103"/>
      <c r="K707" s="103"/>
      <c r="L707" s="60"/>
      <c r="M707" s="103"/>
      <c r="N707" s="61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</row>
    <row r="708" ht="30.0" customHeight="1">
      <c r="A708" s="103"/>
      <c r="B708" s="103"/>
      <c r="C708" s="103"/>
      <c r="D708" s="103"/>
      <c r="E708" s="103"/>
      <c r="F708" s="103"/>
      <c r="G708" s="103"/>
      <c r="H708" s="103"/>
      <c r="I708" s="103"/>
      <c r="J708" s="103"/>
      <c r="K708" s="103"/>
      <c r="L708" s="60"/>
      <c r="M708" s="103"/>
      <c r="N708" s="61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</row>
    <row r="709" ht="30.0" customHeight="1">
      <c r="A709" s="103"/>
      <c r="B709" s="103"/>
      <c r="C709" s="103"/>
      <c r="D709" s="103"/>
      <c r="E709" s="103"/>
      <c r="F709" s="103"/>
      <c r="G709" s="103"/>
      <c r="H709" s="103"/>
      <c r="I709" s="103"/>
      <c r="J709" s="103"/>
      <c r="K709" s="103"/>
      <c r="L709" s="60"/>
      <c r="M709" s="103"/>
      <c r="N709" s="61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</row>
    <row r="710" ht="30.0" customHeight="1">
      <c r="A710" s="103"/>
      <c r="B710" s="103"/>
      <c r="C710" s="103"/>
      <c r="D710" s="103"/>
      <c r="E710" s="103"/>
      <c r="F710" s="103"/>
      <c r="G710" s="103"/>
      <c r="H710" s="103"/>
      <c r="I710" s="103"/>
      <c r="J710" s="103"/>
      <c r="K710" s="103"/>
      <c r="L710" s="60"/>
      <c r="M710" s="103"/>
      <c r="N710" s="61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</row>
    <row r="711" ht="30.0" customHeight="1">
      <c r="A711" s="103"/>
      <c r="B711" s="103"/>
      <c r="C711" s="103"/>
      <c r="D711" s="103"/>
      <c r="E711" s="103"/>
      <c r="F711" s="103"/>
      <c r="G711" s="103"/>
      <c r="H711" s="103"/>
      <c r="I711" s="103"/>
      <c r="J711" s="103"/>
      <c r="K711" s="103"/>
      <c r="L711" s="60"/>
      <c r="M711" s="103"/>
      <c r="N711" s="61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</row>
    <row r="712" ht="30.0" customHeight="1">
      <c r="A712" s="103"/>
      <c r="B712" s="103"/>
      <c r="C712" s="103"/>
      <c r="D712" s="103"/>
      <c r="E712" s="103"/>
      <c r="F712" s="103"/>
      <c r="G712" s="103"/>
      <c r="H712" s="103"/>
      <c r="I712" s="103"/>
      <c r="J712" s="103"/>
      <c r="K712" s="103"/>
      <c r="L712" s="60"/>
      <c r="M712" s="103"/>
      <c r="N712" s="61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</row>
    <row r="713" ht="30.0" customHeight="1">
      <c r="A713" s="103"/>
      <c r="B713" s="103"/>
      <c r="C713" s="103"/>
      <c r="D713" s="103"/>
      <c r="E713" s="103"/>
      <c r="F713" s="103"/>
      <c r="G713" s="103"/>
      <c r="H713" s="103"/>
      <c r="I713" s="103"/>
      <c r="J713" s="103"/>
      <c r="K713" s="103"/>
      <c r="L713" s="60"/>
      <c r="M713" s="103"/>
      <c r="N713" s="61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</row>
    <row r="714" ht="30.0" customHeight="1">
      <c r="A714" s="103"/>
      <c r="B714" s="103"/>
      <c r="C714" s="103"/>
      <c r="D714" s="103"/>
      <c r="E714" s="103"/>
      <c r="F714" s="103"/>
      <c r="G714" s="103"/>
      <c r="H714" s="103"/>
      <c r="I714" s="103"/>
      <c r="J714" s="103"/>
      <c r="K714" s="103"/>
      <c r="L714" s="60"/>
      <c r="M714" s="103"/>
      <c r="N714" s="61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</row>
    <row r="715" ht="30.0" customHeight="1">
      <c r="A715" s="103"/>
      <c r="B715" s="103"/>
      <c r="C715" s="103"/>
      <c r="D715" s="103"/>
      <c r="E715" s="103"/>
      <c r="F715" s="103"/>
      <c r="G715" s="103"/>
      <c r="H715" s="103"/>
      <c r="I715" s="103"/>
      <c r="J715" s="103"/>
      <c r="K715" s="103"/>
      <c r="L715" s="60"/>
      <c r="M715" s="103"/>
      <c r="N715" s="61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</row>
    <row r="716" ht="30.0" customHeight="1">
      <c r="A716" s="103"/>
      <c r="B716" s="103"/>
      <c r="C716" s="103"/>
      <c r="D716" s="103"/>
      <c r="E716" s="103"/>
      <c r="F716" s="103"/>
      <c r="G716" s="103"/>
      <c r="H716" s="103"/>
      <c r="I716" s="103"/>
      <c r="J716" s="103"/>
      <c r="K716" s="103"/>
      <c r="L716" s="60"/>
      <c r="M716" s="103"/>
      <c r="N716" s="61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</row>
    <row r="717" ht="30.0" customHeight="1">
      <c r="A717" s="103"/>
      <c r="B717" s="103"/>
      <c r="C717" s="103"/>
      <c r="D717" s="103"/>
      <c r="E717" s="103"/>
      <c r="F717" s="103"/>
      <c r="G717" s="103"/>
      <c r="H717" s="103"/>
      <c r="I717" s="103"/>
      <c r="J717" s="103"/>
      <c r="K717" s="103"/>
      <c r="L717" s="60"/>
      <c r="M717" s="103"/>
      <c r="N717" s="61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</row>
    <row r="718" ht="30.0" customHeight="1">
      <c r="A718" s="103"/>
      <c r="B718" s="103"/>
      <c r="C718" s="103"/>
      <c r="D718" s="103"/>
      <c r="E718" s="103"/>
      <c r="F718" s="103"/>
      <c r="G718" s="103"/>
      <c r="H718" s="103"/>
      <c r="I718" s="103"/>
      <c r="J718" s="103"/>
      <c r="K718" s="103"/>
      <c r="L718" s="60"/>
      <c r="M718" s="103"/>
      <c r="N718" s="61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</row>
    <row r="719" ht="30.0" customHeight="1">
      <c r="A719" s="103"/>
      <c r="B719" s="103"/>
      <c r="C719" s="103"/>
      <c r="D719" s="103"/>
      <c r="E719" s="103"/>
      <c r="F719" s="103"/>
      <c r="G719" s="103"/>
      <c r="H719" s="103"/>
      <c r="I719" s="103"/>
      <c r="J719" s="103"/>
      <c r="K719" s="103"/>
      <c r="L719" s="60"/>
      <c r="M719" s="103"/>
      <c r="N719" s="61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</row>
    <row r="720" ht="30.0" customHeight="1">
      <c r="A720" s="103"/>
      <c r="B720" s="103"/>
      <c r="C720" s="103"/>
      <c r="D720" s="103"/>
      <c r="E720" s="103"/>
      <c r="F720" s="103"/>
      <c r="G720" s="103"/>
      <c r="H720" s="103"/>
      <c r="I720" s="103"/>
      <c r="J720" s="103"/>
      <c r="K720" s="103"/>
      <c r="L720" s="60"/>
      <c r="M720" s="103"/>
      <c r="N720" s="61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</row>
    <row r="721" ht="30.0" customHeight="1">
      <c r="A721" s="103"/>
      <c r="B721" s="103"/>
      <c r="C721" s="103"/>
      <c r="D721" s="103"/>
      <c r="E721" s="103"/>
      <c r="F721" s="103"/>
      <c r="G721" s="103"/>
      <c r="H721" s="103"/>
      <c r="I721" s="103"/>
      <c r="J721" s="103"/>
      <c r="K721" s="103"/>
      <c r="L721" s="60"/>
      <c r="M721" s="103"/>
      <c r="N721" s="61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</row>
    <row r="722" ht="30.0" customHeight="1">
      <c r="A722" s="103"/>
      <c r="B722" s="103"/>
      <c r="C722" s="103"/>
      <c r="D722" s="103"/>
      <c r="E722" s="103"/>
      <c r="F722" s="103"/>
      <c r="G722" s="103"/>
      <c r="H722" s="103"/>
      <c r="I722" s="103"/>
      <c r="J722" s="103"/>
      <c r="K722" s="103"/>
      <c r="L722" s="60"/>
      <c r="M722" s="103"/>
      <c r="N722" s="61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</row>
    <row r="723" ht="30.0" customHeight="1">
      <c r="A723" s="103"/>
      <c r="B723" s="103"/>
      <c r="C723" s="103"/>
      <c r="D723" s="103"/>
      <c r="E723" s="103"/>
      <c r="F723" s="103"/>
      <c r="G723" s="103"/>
      <c r="H723" s="103"/>
      <c r="I723" s="103"/>
      <c r="J723" s="103"/>
      <c r="K723" s="103"/>
      <c r="L723" s="60"/>
      <c r="M723" s="103"/>
      <c r="N723" s="61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</row>
    <row r="724" ht="30.0" customHeight="1">
      <c r="A724" s="103"/>
      <c r="B724" s="103"/>
      <c r="C724" s="103"/>
      <c r="D724" s="103"/>
      <c r="E724" s="103"/>
      <c r="F724" s="103"/>
      <c r="G724" s="103"/>
      <c r="H724" s="103"/>
      <c r="I724" s="103"/>
      <c r="J724" s="103"/>
      <c r="K724" s="103"/>
      <c r="L724" s="60"/>
      <c r="M724" s="103"/>
      <c r="N724" s="61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</row>
    <row r="725" ht="30.0" customHeight="1">
      <c r="A725" s="103"/>
      <c r="B725" s="103"/>
      <c r="C725" s="103"/>
      <c r="D725" s="103"/>
      <c r="E725" s="103"/>
      <c r="F725" s="103"/>
      <c r="G725" s="103"/>
      <c r="H725" s="103"/>
      <c r="I725" s="103"/>
      <c r="J725" s="103"/>
      <c r="K725" s="103"/>
      <c r="L725" s="60"/>
      <c r="M725" s="103"/>
      <c r="N725" s="61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</row>
    <row r="726" ht="30.0" customHeight="1">
      <c r="A726" s="103"/>
      <c r="B726" s="103"/>
      <c r="C726" s="103"/>
      <c r="D726" s="103"/>
      <c r="E726" s="103"/>
      <c r="F726" s="103"/>
      <c r="G726" s="103"/>
      <c r="H726" s="103"/>
      <c r="I726" s="103"/>
      <c r="J726" s="103"/>
      <c r="K726" s="103"/>
      <c r="L726" s="60"/>
      <c r="M726" s="103"/>
      <c r="N726" s="61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</row>
    <row r="727" ht="30.0" customHeight="1">
      <c r="A727" s="103"/>
      <c r="B727" s="103"/>
      <c r="C727" s="103"/>
      <c r="D727" s="103"/>
      <c r="E727" s="103"/>
      <c r="F727" s="103"/>
      <c r="G727" s="103"/>
      <c r="H727" s="103"/>
      <c r="I727" s="103"/>
      <c r="J727" s="103"/>
      <c r="K727" s="103"/>
      <c r="L727" s="60"/>
      <c r="M727" s="103"/>
      <c r="N727" s="61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</row>
    <row r="728" ht="30.0" customHeight="1">
      <c r="A728" s="103"/>
      <c r="B728" s="103"/>
      <c r="C728" s="103"/>
      <c r="D728" s="103"/>
      <c r="E728" s="103"/>
      <c r="F728" s="103"/>
      <c r="G728" s="103"/>
      <c r="H728" s="103"/>
      <c r="I728" s="103"/>
      <c r="J728" s="103"/>
      <c r="K728" s="103"/>
      <c r="L728" s="60"/>
      <c r="M728" s="103"/>
      <c r="N728" s="61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</row>
    <row r="729" ht="30.0" customHeight="1">
      <c r="A729" s="103"/>
      <c r="B729" s="103"/>
      <c r="C729" s="103"/>
      <c r="D729" s="103"/>
      <c r="E729" s="103"/>
      <c r="F729" s="103"/>
      <c r="G729" s="103"/>
      <c r="H729" s="103"/>
      <c r="I729" s="103"/>
      <c r="J729" s="103"/>
      <c r="K729" s="103"/>
      <c r="L729" s="60"/>
      <c r="M729" s="103"/>
      <c r="N729" s="61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</row>
    <row r="730" ht="30.0" customHeight="1">
      <c r="A730" s="103"/>
      <c r="B730" s="103"/>
      <c r="C730" s="103"/>
      <c r="D730" s="103"/>
      <c r="E730" s="103"/>
      <c r="F730" s="103"/>
      <c r="G730" s="103"/>
      <c r="H730" s="103"/>
      <c r="I730" s="103"/>
      <c r="J730" s="103"/>
      <c r="K730" s="103"/>
      <c r="L730" s="60"/>
      <c r="M730" s="103"/>
      <c r="N730" s="61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</row>
    <row r="731" ht="30.0" customHeight="1">
      <c r="A731" s="103"/>
      <c r="B731" s="103"/>
      <c r="C731" s="103"/>
      <c r="D731" s="103"/>
      <c r="E731" s="103"/>
      <c r="F731" s="103"/>
      <c r="G731" s="103"/>
      <c r="H731" s="103"/>
      <c r="I731" s="103"/>
      <c r="J731" s="103"/>
      <c r="K731" s="103"/>
      <c r="L731" s="60"/>
      <c r="M731" s="103"/>
      <c r="N731" s="61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</row>
    <row r="732" ht="30.0" customHeight="1">
      <c r="A732" s="103"/>
      <c r="B732" s="103"/>
      <c r="C732" s="103"/>
      <c r="D732" s="103"/>
      <c r="E732" s="103"/>
      <c r="F732" s="103"/>
      <c r="G732" s="103"/>
      <c r="H732" s="103"/>
      <c r="I732" s="103"/>
      <c r="J732" s="103"/>
      <c r="K732" s="103"/>
      <c r="L732" s="60"/>
      <c r="M732" s="103"/>
      <c r="N732" s="61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</row>
    <row r="733" ht="30.0" customHeight="1">
      <c r="A733" s="103"/>
      <c r="B733" s="103"/>
      <c r="C733" s="103"/>
      <c r="D733" s="103"/>
      <c r="E733" s="103"/>
      <c r="F733" s="103"/>
      <c r="G733" s="103"/>
      <c r="H733" s="103"/>
      <c r="I733" s="103"/>
      <c r="J733" s="103"/>
      <c r="K733" s="103"/>
      <c r="L733" s="60"/>
      <c r="M733" s="103"/>
      <c r="N733" s="61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</row>
    <row r="734" ht="30.0" customHeight="1">
      <c r="A734" s="103"/>
      <c r="B734" s="103"/>
      <c r="C734" s="103"/>
      <c r="D734" s="103"/>
      <c r="E734" s="103"/>
      <c r="F734" s="103"/>
      <c r="G734" s="103"/>
      <c r="H734" s="103"/>
      <c r="I734" s="103"/>
      <c r="J734" s="103"/>
      <c r="K734" s="103"/>
      <c r="L734" s="60"/>
      <c r="M734" s="103"/>
      <c r="N734" s="61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</row>
    <row r="735" ht="30.0" customHeight="1">
      <c r="A735" s="103"/>
      <c r="B735" s="103"/>
      <c r="C735" s="103"/>
      <c r="D735" s="103"/>
      <c r="E735" s="103"/>
      <c r="F735" s="103"/>
      <c r="G735" s="103"/>
      <c r="H735" s="103"/>
      <c r="I735" s="103"/>
      <c r="J735" s="103"/>
      <c r="K735" s="103"/>
      <c r="L735" s="60"/>
      <c r="M735" s="103"/>
      <c r="N735" s="61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</row>
    <row r="736" ht="30.0" customHeight="1">
      <c r="A736" s="103"/>
      <c r="B736" s="103"/>
      <c r="C736" s="103"/>
      <c r="D736" s="103"/>
      <c r="E736" s="103"/>
      <c r="F736" s="103"/>
      <c r="G736" s="103"/>
      <c r="H736" s="103"/>
      <c r="I736" s="103"/>
      <c r="J736" s="103"/>
      <c r="K736" s="103"/>
      <c r="L736" s="60"/>
      <c r="M736" s="103"/>
      <c r="N736" s="61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</row>
    <row r="737" ht="30.0" customHeight="1">
      <c r="A737" s="103"/>
      <c r="B737" s="103"/>
      <c r="C737" s="103"/>
      <c r="D737" s="103"/>
      <c r="E737" s="103"/>
      <c r="F737" s="103"/>
      <c r="G737" s="103"/>
      <c r="H737" s="103"/>
      <c r="I737" s="103"/>
      <c r="J737" s="103"/>
      <c r="K737" s="103"/>
      <c r="L737" s="60"/>
      <c r="M737" s="103"/>
      <c r="N737" s="61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</row>
    <row r="738" ht="30.0" customHeight="1">
      <c r="A738" s="103"/>
      <c r="B738" s="103"/>
      <c r="C738" s="103"/>
      <c r="D738" s="103"/>
      <c r="E738" s="103"/>
      <c r="F738" s="103"/>
      <c r="G738" s="103"/>
      <c r="H738" s="103"/>
      <c r="I738" s="103"/>
      <c r="J738" s="103"/>
      <c r="K738" s="103"/>
      <c r="L738" s="60"/>
      <c r="M738" s="103"/>
      <c r="N738" s="61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</row>
    <row r="739" ht="30.0" customHeight="1">
      <c r="A739" s="103"/>
      <c r="B739" s="103"/>
      <c r="C739" s="103"/>
      <c r="D739" s="103"/>
      <c r="E739" s="103"/>
      <c r="F739" s="103"/>
      <c r="G739" s="103"/>
      <c r="H739" s="103"/>
      <c r="I739" s="103"/>
      <c r="J739" s="103"/>
      <c r="K739" s="103"/>
      <c r="L739" s="60"/>
      <c r="M739" s="103"/>
      <c r="N739" s="61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</row>
    <row r="740" ht="30.0" customHeight="1">
      <c r="A740" s="103"/>
      <c r="B740" s="103"/>
      <c r="C740" s="103"/>
      <c r="D740" s="103"/>
      <c r="E740" s="103"/>
      <c r="F740" s="103"/>
      <c r="G740" s="103"/>
      <c r="H740" s="103"/>
      <c r="I740" s="103"/>
      <c r="J740" s="103"/>
      <c r="K740" s="103"/>
      <c r="L740" s="60"/>
      <c r="M740" s="103"/>
      <c r="N740" s="61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</row>
    <row r="741" ht="30.0" customHeight="1">
      <c r="A741" s="103"/>
      <c r="B741" s="103"/>
      <c r="C741" s="103"/>
      <c r="D741" s="103"/>
      <c r="E741" s="103"/>
      <c r="F741" s="103"/>
      <c r="G741" s="103"/>
      <c r="H741" s="103"/>
      <c r="I741" s="103"/>
      <c r="J741" s="103"/>
      <c r="K741" s="103"/>
      <c r="L741" s="60"/>
      <c r="M741" s="103"/>
      <c r="N741" s="61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</row>
    <row r="742" ht="30.0" customHeight="1">
      <c r="A742" s="103"/>
      <c r="B742" s="103"/>
      <c r="C742" s="103"/>
      <c r="D742" s="103"/>
      <c r="E742" s="103"/>
      <c r="F742" s="103"/>
      <c r="G742" s="103"/>
      <c r="H742" s="103"/>
      <c r="I742" s="103"/>
      <c r="J742" s="103"/>
      <c r="K742" s="103"/>
      <c r="L742" s="60"/>
      <c r="M742" s="103"/>
      <c r="N742" s="61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</row>
    <row r="743" ht="30.0" customHeight="1">
      <c r="A743" s="103"/>
      <c r="B743" s="103"/>
      <c r="C743" s="103"/>
      <c r="D743" s="103"/>
      <c r="E743" s="103"/>
      <c r="F743" s="103"/>
      <c r="G743" s="103"/>
      <c r="H743" s="103"/>
      <c r="I743" s="103"/>
      <c r="J743" s="103"/>
      <c r="K743" s="103"/>
      <c r="L743" s="60"/>
      <c r="M743" s="103"/>
      <c r="N743" s="61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</row>
    <row r="744" ht="30.0" customHeight="1">
      <c r="A744" s="103"/>
      <c r="B744" s="103"/>
      <c r="C744" s="103"/>
      <c r="D744" s="103"/>
      <c r="E744" s="103"/>
      <c r="F744" s="103"/>
      <c r="G744" s="103"/>
      <c r="H744" s="103"/>
      <c r="I744" s="103"/>
      <c r="J744" s="103"/>
      <c r="K744" s="103"/>
      <c r="L744" s="60"/>
      <c r="M744" s="103"/>
      <c r="N744" s="61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</row>
    <row r="745" ht="30.0" customHeight="1">
      <c r="A745" s="103"/>
      <c r="B745" s="103"/>
      <c r="C745" s="103"/>
      <c r="D745" s="103"/>
      <c r="E745" s="103"/>
      <c r="F745" s="103"/>
      <c r="G745" s="103"/>
      <c r="H745" s="103"/>
      <c r="I745" s="103"/>
      <c r="J745" s="103"/>
      <c r="K745" s="103"/>
      <c r="L745" s="60"/>
      <c r="M745" s="103"/>
      <c r="N745" s="61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</row>
    <row r="746" ht="30.0" customHeight="1">
      <c r="A746" s="103"/>
      <c r="B746" s="103"/>
      <c r="C746" s="103"/>
      <c r="D746" s="103"/>
      <c r="E746" s="103"/>
      <c r="F746" s="103"/>
      <c r="G746" s="103"/>
      <c r="H746" s="103"/>
      <c r="I746" s="103"/>
      <c r="J746" s="103"/>
      <c r="K746" s="103"/>
      <c r="L746" s="60"/>
      <c r="M746" s="103"/>
      <c r="N746" s="61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</row>
    <row r="747" ht="30.0" customHeight="1">
      <c r="A747" s="103"/>
      <c r="B747" s="103"/>
      <c r="C747" s="103"/>
      <c r="D747" s="103"/>
      <c r="E747" s="103"/>
      <c r="F747" s="103"/>
      <c r="G747" s="103"/>
      <c r="H747" s="103"/>
      <c r="I747" s="103"/>
      <c r="J747" s="103"/>
      <c r="K747" s="103"/>
      <c r="L747" s="60"/>
      <c r="M747" s="103"/>
      <c r="N747" s="61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</row>
    <row r="748" ht="30.0" customHeight="1">
      <c r="A748" s="103"/>
      <c r="B748" s="103"/>
      <c r="C748" s="103"/>
      <c r="D748" s="103"/>
      <c r="E748" s="103"/>
      <c r="F748" s="103"/>
      <c r="G748" s="103"/>
      <c r="H748" s="103"/>
      <c r="I748" s="103"/>
      <c r="J748" s="103"/>
      <c r="K748" s="103"/>
      <c r="L748" s="60"/>
      <c r="M748" s="103"/>
      <c r="N748" s="61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</row>
    <row r="749" ht="30.0" customHeight="1">
      <c r="A749" s="103"/>
      <c r="B749" s="103"/>
      <c r="C749" s="103"/>
      <c r="D749" s="103"/>
      <c r="E749" s="103"/>
      <c r="F749" s="103"/>
      <c r="G749" s="103"/>
      <c r="H749" s="103"/>
      <c r="I749" s="103"/>
      <c r="J749" s="103"/>
      <c r="K749" s="103"/>
      <c r="L749" s="60"/>
      <c r="M749" s="103"/>
      <c r="N749" s="61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</row>
    <row r="750" ht="30.0" customHeight="1">
      <c r="A750" s="103"/>
      <c r="B750" s="103"/>
      <c r="C750" s="103"/>
      <c r="D750" s="103"/>
      <c r="E750" s="103"/>
      <c r="F750" s="103"/>
      <c r="G750" s="103"/>
      <c r="H750" s="103"/>
      <c r="I750" s="103"/>
      <c r="J750" s="103"/>
      <c r="K750" s="103"/>
      <c r="L750" s="60"/>
      <c r="M750" s="103"/>
      <c r="N750" s="61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</row>
    <row r="751" ht="30.0" customHeight="1">
      <c r="A751" s="103"/>
      <c r="B751" s="103"/>
      <c r="C751" s="103"/>
      <c r="D751" s="103"/>
      <c r="E751" s="103"/>
      <c r="F751" s="103"/>
      <c r="G751" s="103"/>
      <c r="H751" s="103"/>
      <c r="I751" s="103"/>
      <c r="J751" s="103"/>
      <c r="K751" s="103"/>
      <c r="L751" s="60"/>
      <c r="M751" s="103"/>
      <c r="N751" s="61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</row>
    <row r="752" ht="30.0" customHeight="1">
      <c r="A752" s="103"/>
      <c r="B752" s="103"/>
      <c r="C752" s="103"/>
      <c r="D752" s="103"/>
      <c r="E752" s="103"/>
      <c r="F752" s="103"/>
      <c r="G752" s="103"/>
      <c r="H752" s="103"/>
      <c r="I752" s="103"/>
      <c r="J752" s="103"/>
      <c r="K752" s="103"/>
      <c r="L752" s="60"/>
      <c r="M752" s="103"/>
      <c r="N752" s="61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</row>
    <row r="753" ht="30.0" customHeight="1">
      <c r="A753" s="103"/>
      <c r="B753" s="103"/>
      <c r="C753" s="103"/>
      <c r="D753" s="103"/>
      <c r="E753" s="103"/>
      <c r="F753" s="103"/>
      <c r="G753" s="103"/>
      <c r="H753" s="103"/>
      <c r="I753" s="103"/>
      <c r="J753" s="103"/>
      <c r="K753" s="103"/>
      <c r="L753" s="60"/>
      <c r="M753" s="103"/>
      <c r="N753" s="61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</row>
    <row r="754" ht="30.0" customHeight="1">
      <c r="A754" s="103"/>
      <c r="B754" s="103"/>
      <c r="C754" s="103"/>
      <c r="D754" s="103"/>
      <c r="E754" s="103"/>
      <c r="F754" s="103"/>
      <c r="G754" s="103"/>
      <c r="H754" s="103"/>
      <c r="I754" s="103"/>
      <c r="J754" s="103"/>
      <c r="K754" s="103"/>
      <c r="L754" s="60"/>
      <c r="M754" s="103"/>
      <c r="N754" s="61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</row>
    <row r="755" ht="30.0" customHeight="1">
      <c r="A755" s="103"/>
      <c r="B755" s="103"/>
      <c r="C755" s="103"/>
      <c r="D755" s="103"/>
      <c r="E755" s="103"/>
      <c r="F755" s="103"/>
      <c r="G755" s="103"/>
      <c r="H755" s="103"/>
      <c r="I755" s="103"/>
      <c r="J755" s="103"/>
      <c r="K755" s="103"/>
      <c r="L755" s="60"/>
      <c r="M755" s="103"/>
      <c r="N755" s="61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</row>
    <row r="756" ht="30.0" customHeight="1">
      <c r="A756" s="103"/>
      <c r="B756" s="103"/>
      <c r="C756" s="103"/>
      <c r="D756" s="103"/>
      <c r="E756" s="103"/>
      <c r="F756" s="103"/>
      <c r="G756" s="103"/>
      <c r="H756" s="103"/>
      <c r="I756" s="103"/>
      <c r="J756" s="103"/>
      <c r="K756" s="103"/>
      <c r="L756" s="60"/>
      <c r="M756" s="103"/>
      <c r="N756" s="61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</row>
    <row r="757" ht="30.0" customHeight="1">
      <c r="A757" s="103"/>
      <c r="B757" s="103"/>
      <c r="C757" s="103"/>
      <c r="D757" s="103"/>
      <c r="E757" s="103"/>
      <c r="F757" s="103"/>
      <c r="G757" s="103"/>
      <c r="H757" s="103"/>
      <c r="I757" s="103"/>
      <c r="J757" s="103"/>
      <c r="K757" s="103"/>
      <c r="L757" s="60"/>
      <c r="M757" s="103"/>
      <c r="N757" s="61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</row>
    <row r="758" ht="30.0" customHeight="1">
      <c r="A758" s="103"/>
      <c r="B758" s="103"/>
      <c r="C758" s="103"/>
      <c r="D758" s="103"/>
      <c r="E758" s="103"/>
      <c r="F758" s="103"/>
      <c r="G758" s="103"/>
      <c r="H758" s="103"/>
      <c r="I758" s="103"/>
      <c r="J758" s="103"/>
      <c r="K758" s="103"/>
      <c r="L758" s="60"/>
      <c r="M758" s="103"/>
      <c r="N758" s="61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</row>
    <row r="759" ht="30.0" customHeight="1">
      <c r="A759" s="103"/>
      <c r="B759" s="103"/>
      <c r="C759" s="103"/>
      <c r="D759" s="103"/>
      <c r="E759" s="103"/>
      <c r="F759" s="103"/>
      <c r="G759" s="103"/>
      <c r="H759" s="103"/>
      <c r="I759" s="103"/>
      <c r="J759" s="103"/>
      <c r="K759" s="103"/>
      <c r="L759" s="60"/>
      <c r="M759" s="103"/>
      <c r="N759" s="61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</row>
    <row r="760" ht="30.0" customHeight="1">
      <c r="A760" s="103"/>
      <c r="B760" s="103"/>
      <c r="C760" s="103"/>
      <c r="D760" s="103"/>
      <c r="E760" s="103"/>
      <c r="F760" s="103"/>
      <c r="G760" s="103"/>
      <c r="H760" s="103"/>
      <c r="I760" s="103"/>
      <c r="J760" s="103"/>
      <c r="K760" s="103"/>
      <c r="L760" s="60"/>
      <c r="M760" s="103"/>
      <c r="N760" s="61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</row>
    <row r="761" ht="30.0" customHeight="1">
      <c r="A761" s="103"/>
      <c r="B761" s="103"/>
      <c r="C761" s="103"/>
      <c r="D761" s="103"/>
      <c r="E761" s="103"/>
      <c r="F761" s="103"/>
      <c r="G761" s="103"/>
      <c r="H761" s="103"/>
      <c r="I761" s="103"/>
      <c r="J761" s="103"/>
      <c r="K761" s="103"/>
      <c r="L761" s="60"/>
      <c r="M761" s="103"/>
      <c r="N761" s="61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</row>
    <row r="762" ht="30.0" customHeight="1">
      <c r="A762" s="103"/>
      <c r="B762" s="103"/>
      <c r="C762" s="103"/>
      <c r="D762" s="103"/>
      <c r="E762" s="103"/>
      <c r="F762" s="103"/>
      <c r="G762" s="103"/>
      <c r="H762" s="103"/>
      <c r="I762" s="103"/>
      <c r="J762" s="103"/>
      <c r="K762" s="103"/>
      <c r="L762" s="60"/>
      <c r="M762" s="103"/>
      <c r="N762" s="61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</row>
    <row r="763" ht="30.0" customHeight="1">
      <c r="A763" s="103"/>
      <c r="B763" s="103"/>
      <c r="C763" s="103"/>
      <c r="D763" s="103"/>
      <c r="E763" s="103"/>
      <c r="F763" s="103"/>
      <c r="G763" s="103"/>
      <c r="H763" s="103"/>
      <c r="I763" s="103"/>
      <c r="J763" s="103"/>
      <c r="K763" s="103"/>
      <c r="L763" s="60"/>
      <c r="M763" s="103"/>
      <c r="N763" s="61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</row>
    <row r="764" ht="30.0" customHeight="1">
      <c r="A764" s="103"/>
      <c r="B764" s="103"/>
      <c r="C764" s="103"/>
      <c r="D764" s="103"/>
      <c r="E764" s="103"/>
      <c r="F764" s="103"/>
      <c r="G764" s="103"/>
      <c r="H764" s="103"/>
      <c r="I764" s="103"/>
      <c r="J764" s="103"/>
      <c r="K764" s="103"/>
      <c r="L764" s="60"/>
      <c r="M764" s="103"/>
      <c r="N764" s="61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</row>
    <row r="765" ht="30.0" customHeight="1">
      <c r="A765" s="103"/>
      <c r="B765" s="103"/>
      <c r="C765" s="103"/>
      <c r="D765" s="103"/>
      <c r="E765" s="103"/>
      <c r="F765" s="103"/>
      <c r="G765" s="103"/>
      <c r="H765" s="103"/>
      <c r="I765" s="103"/>
      <c r="J765" s="103"/>
      <c r="K765" s="103"/>
      <c r="L765" s="60"/>
      <c r="M765" s="103"/>
      <c r="N765" s="61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</row>
    <row r="766" ht="30.0" customHeight="1">
      <c r="A766" s="103"/>
      <c r="B766" s="103"/>
      <c r="C766" s="103"/>
      <c r="D766" s="103"/>
      <c r="E766" s="103"/>
      <c r="F766" s="103"/>
      <c r="G766" s="103"/>
      <c r="H766" s="103"/>
      <c r="I766" s="103"/>
      <c r="J766" s="103"/>
      <c r="K766" s="103"/>
      <c r="L766" s="60"/>
      <c r="M766" s="103"/>
      <c r="N766" s="61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</row>
    <row r="767" ht="30.0" customHeight="1">
      <c r="A767" s="103"/>
      <c r="B767" s="103"/>
      <c r="C767" s="103"/>
      <c r="D767" s="103"/>
      <c r="E767" s="103"/>
      <c r="F767" s="103"/>
      <c r="G767" s="103"/>
      <c r="H767" s="103"/>
      <c r="I767" s="103"/>
      <c r="J767" s="103"/>
      <c r="K767" s="103"/>
      <c r="L767" s="60"/>
      <c r="M767" s="103"/>
      <c r="N767" s="61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</row>
    <row r="768" ht="30.0" customHeight="1">
      <c r="A768" s="103"/>
      <c r="B768" s="103"/>
      <c r="C768" s="103"/>
      <c r="D768" s="103"/>
      <c r="E768" s="103"/>
      <c r="F768" s="103"/>
      <c r="G768" s="103"/>
      <c r="H768" s="103"/>
      <c r="I768" s="103"/>
      <c r="J768" s="103"/>
      <c r="K768" s="103"/>
      <c r="L768" s="60"/>
      <c r="M768" s="103"/>
      <c r="N768" s="61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</row>
    <row r="769" ht="30.0" customHeight="1">
      <c r="A769" s="103"/>
      <c r="B769" s="103"/>
      <c r="C769" s="103"/>
      <c r="D769" s="103"/>
      <c r="E769" s="103"/>
      <c r="F769" s="103"/>
      <c r="G769" s="103"/>
      <c r="H769" s="103"/>
      <c r="I769" s="103"/>
      <c r="J769" s="103"/>
      <c r="K769" s="103"/>
      <c r="L769" s="60"/>
      <c r="M769" s="103"/>
      <c r="N769" s="61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</row>
    <row r="770" ht="30.0" customHeight="1">
      <c r="A770" s="103"/>
      <c r="B770" s="103"/>
      <c r="C770" s="103"/>
      <c r="D770" s="103"/>
      <c r="E770" s="103"/>
      <c r="F770" s="103"/>
      <c r="G770" s="103"/>
      <c r="H770" s="103"/>
      <c r="I770" s="103"/>
      <c r="J770" s="103"/>
      <c r="K770" s="103"/>
      <c r="L770" s="60"/>
      <c r="M770" s="103"/>
      <c r="N770" s="61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</row>
    <row r="771" ht="30.0" customHeight="1">
      <c r="A771" s="103"/>
      <c r="B771" s="103"/>
      <c r="C771" s="103"/>
      <c r="D771" s="103"/>
      <c r="E771" s="103"/>
      <c r="F771" s="103"/>
      <c r="G771" s="103"/>
      <c r="H771" s="103"/>
      <c r="I771" s="103"/>
      <c r="J771" s="103"/>
      <c r="K771" s="103"/>
      <c r="L771" s="60"/>
      <c r="M771" s="103"/>
      <c r="N771" s="61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</row>
    <row r="772" ht="30.0" customHeight="1">
      <c r="A772" s="103"/>
      <c r="B772" s="103"/>
      <c r="C772" s="103"/>
      <c r="D772" s="103"/>
      <c r="E772" s="103"/>
      <c r="F772" s="103"/>
      <c r="G772" s="103"/>
      <c r="H772" s="103"/>
      <c r="I772" s="103"/>
      <c r="J772" s="103"/>
      <c r="K772" s="103"/>
      <c r="L772" s="60"/>
      <c r="M772" s="103"/>
      <c r="N772" s="61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</row>
    <row r="773" ht="30.0" customHeight="1">
      <c r="A773" s="103"/>
      <c r="B773" s="103"/>
      <c r="C773" s="103"/>
      <c r="D773" s="103"/>
      <c r="E773" s="103"/>
      <c r="F773" s="103"/>
      <c r="G773" s="103"/>
      <c r="H773" s="103"/>
      <c r="I773" s="103"/>
      <c r="J773" s="103"/>
      <c r="K773" s="103"/>
      <c r="L773" s="60"/>
      <c r="M773" s="103"/>
      <c r="N773" s="61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</row>
    <row r="774" ht="30.0" customHeight="1">
      <c r="A774" s="103"/>
      <c r="B774" s="103"/>
      <c r="C774" s="103"/>
      <c r="D774" s="103"/>
      <c r="E774" s="103"/>
      <c r="F774" s="103"/>
      <c r="G774" s="103"/>
      <c r="H774" s="103"/>
      <c r="I774" s="103"/>
      <c r="J774" s="103"/>
      <c r="K774" s="103"/>
      <c r="L774" s="60"/>
      <c r="M774" s="103"/>
      <c r="N774" s="61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</row>
    <row r="775" ht="30.0" customHeight="1">
      <c r="A775" s="103"/>
      <c r="B775" s="103"/>
      <c r="C775" s="103"/>
      <c r="D775" s="103"/>
      <c r="E775" s="103"/>
      <c r="F775" s="103"/>
      <c r="G775" s="103"/>
      <c r="H775" s="103"/>
      <c r="I775" s="103"/>
      <c r="J775" s="103"/>
      <c r="K775" s="103"/>
      <c r="L775" s="60"/>
      <c r="M775" s="103"/>
      <c r="N775" s="61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</row>
    <row r="776" ht="30.0" customHeight="1">
      <c r="A776" s="103"/>
      <c r="B776" s="103"/>
      <c r="C776" s="103"/>
      <c r="D776" s="103"/>
      <c r="E776" s="103"/>
      <c r="F776" s="103"/>
      <c r="G776" s="103"/>
      <c r="H776" s="103"/>
      <c r="I776" s="103"/>
      <c r="J776" s="103"/>
      <c r="K776" s="103"/>
      <c r="L776" s="60"/>
      <c r="M776" s="103"/>
      <c r="N776" s="61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</row>
    <row r="777" ht="30.0" customHeight="1">
      <c r="A777" s="103"/>
      <c r="B777" s="103"/>
      <c r="C777" s="103"/>
      <c r="D777" s="103"/>
      <c r="E777" s="103"/>
      <c r="F777" s="103"/>
      <c r="G777" s="103"/>
      <c r="H777" s="103"/>
      <c r="I777" s="103"/>
      <c r="J777" s="103"/>
      <c r="K777" s="103"/>
      <c r="L777" s="60"/>
      <c r="M777" s="103"/>
      <c r="N777" s="61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</row>
    <row r="778" ht="30.0" customHeight="1">
      <c r="A778" s="103"/>
      <c r="B778" s="103"/>
      <c r="C778" s="103"/>
      <c r="D778" s="103"/>
      <c r="E778" s="103"/>
      <c r="F778" s="103"/>
      <c r="G778" s="103"/>
      <c r="H778" s="103"/>
      <c r="I778" s="103"/>
      <c r="J778" s="103"/>
      <c r="K778" s="103"/>
      <c r="L778" s="60"/>
      <c r="M778" s="103"/>
      <c r="N778" s="61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</row>
    <row r="779" ht="30.0" customHeight="1">
      <c r="A779" s="103"/>
      <c r="B779" s="103"/>
      <c r="C779" s="103"/>
      <c r="D779" s="103"/>
      <c r="E779" s="103"/>
      <c r="F779" s="103"/>
      <c r="G779" s="103"/>
      <c r="H779" s="103"/>
      <c r="I779" s="103"/>
      <c r="J779" s="103"/>
      <c r="K779" s="103"/>
      <c r="L779" s="60"/>
      <c r="M779" s="103"/>
      <c r="N779" s="61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</row>
    <row r="780" ht="30.0" customHeight="1">
      <c r="A780" s="103"/>
      <c r="B780" s="103"/>
      <c r="C780" s="103"/>
      <c r="D780" s="103"/>
      <c r="E780" s="103"/>
      <c r="F780" s="103"/>
      <c r="G780" s="103"/>
      <c r="H780" s="103"/>
      <c r="I780" s="103"/>
      <c r="J780" s="103"/>
      <c r="K780" s="103"/>
      <c r="L780" s="60"/>
      <c r="M780" s="103"/>
      <c r="N780" s="61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</row>
    <row r="781" ht="30.0" customHeight="1">
      <c r="A781" s="103"/>
      <c r="B781" s="103"/>
      <c r="C781" s="103"/>
      <c r="D781" s="103"/>
      <c r="E781" s="103"/>
      <c r="F781" s="103"/>
      <c r="G781" s="103"/>
      <c r="H781" s="103"/>
      <c r="I781" s="103"/>
      <c r="J781" s="103"/>
      <c r="K781" s="103"/>
      <c r="L781" s="60"/>
      <c r="M781" s="103"/>
      <c r="N781" s="61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</row>
    <row r="782" ht="30.0" customHeight="1">
      <c r="A782" s="103"/>
      <c r="B782" s="103"/>
      <c r="C782" s="103"/>
      <c r="D782" s="103"/>
      <c r="E782" s="103"/>
      <c r="F782" s="103"/>
      <c r="G782" s="103"/>
      <c r="H782" s="103"/>
      <c r="I782" s="103"/>
      <c r="J782" s="103"/>
      <c r="K782" s="103"/>
      <c r="L782" s="60"/>
      <c r="M782" s="103"/>
      <c r="N782" s="61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</row>
    <row r="783" ht="30.0" customHeight="1">
      <c r="A783" s="103"/>
      <c r="B783" s="103"/>
      <c r="C783" s="103"/>
      <c r="D783" s="103"/>
      <c r="E783" s="103"/>
      <c r="F783" s="103"/>
      <c r="G783" s="103"/>
      <c r="H783" s="103"/>
      <c r="I783" s="103"/>
      <c r="J783" s="103"/>
      <c r="K783" s="103"/>
      <c r="L783" s="60"/>
      <c r="M783" s="103"/>
      <c r="N783" s="61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</row>
    <row r="784" ht="30.0" customHeight="1">
      <c r="A784" s="103"/>
      <c r="B784" s="103"/>
      <c r="C784" s="103"/>
      <c r="D784" s="103"/>
      <c r="E784" s="103"/>
      <c r="F784" s="103"/>
      <c r="G784" s="103"/>
      <c r="H784" s="103"/>
      <c r="I784" s="103"/>
      <c r="J784" s="103"/>
      <c r="K784" s="103"/>
      <c r="L784" s="60"/>
      <c r="M784" s="103"/>
      <c r="N784" s="61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</row>
    <row r="785" ht="30.0" customHeight="1">
      <c r="A785" s="103"/>
      <c r="B785" s="103"/>
      <c r="C785" s="103"/>
      <c r="D785" s="103"/>
      <c r="E785" s="103"/>
      <c r="F785" s="103"/>
      <c r="G785" s="103"/>
      <c r="H785" s="103"/>
      <c r="I785" s="103"/>
      <c r="J785" s="103"/>
      <c r="K785" s="103"/>
      <c r="L785" s="60"/>
      <c r="M785" s="103"/>
      <c r="N785" s="61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</row>
    <row r="786" ht="30.0" customHeight="1">
      <c r="A786" s="103"/>
      <c r="B786" s="103"/>
      <c r="C786" s="103"/>
      <c r="D786" s="103"/>
      <c r="E786" s="103"/>
      <c r="F786" s="103"/>
      <c r="G786" s="103"/>
      <c r="H786" s="103"/>
      <c r="I786" s="103"/>
      <c r="J786" s="103"/>
      <c r="K786" s="103"/>
      <c r="L786" s="60"/>
      <c r="M786" s="103"/>
      <c r="N786" s="61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</row>
    <row r="787" ht="30.0" customHeight="1">
      <c r="A787" s="103"/>
      <c r="B787" s="103"/>
      <c r="C787" s="103"/>
      <c r="D787" s="103"/>
      <c r="E787" s="103"/>
      <c r="F787" s="103"/>
      <c r="G787" s="103"/>
      <c r="H787" s="103"/>
      <c r="I787" s="103"/>
      <c r="J787" s="103"/>
      <c r="K787" s="103"/>
      <c r="L787" s="60"/>
      <c r="M787" s="103"/>
      <c r="N787" s="61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</row>
    <row r="788" ht="30.0" customHeight="1">
      <c r="A788" s="103"/>
      <c r="B788" s="103"/>
      <c r="C788" s="103"/>
      <c r="D788" s="103"/>
      <c r="E788" s="103"/>
      <c r="F788" s="103"/>
      <c r="G788" s="103"/>
      <c r="H788" s="103"/>
      <c r="I788" s="103"/>
      <c r="J788" s="103"/>
      <c r="K788" s="103"/>
      <c r="L788" s="60"/>
      <c r="M788" s="103"/>
      <c r="N788" s="61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</row>
    <row r="789" ht="30.0" customHeight="1">
      <c r="A789" s="103"/>
      <c r="B789" s="103"/>
      <c r="C789" s="103"/>
      <c r="D789" s="103"/>
      <c r="E789" s="103"/>
      <c r="F789" s="103"/>
      <c r="G789" s="103"/>
      <c r="H789" s="103"/>
      <c r="I789" s="103"/>
      <c r="J789" s="103"/>
      <c r="K789" s="103"/>
      <c r="L789" s="60"/>
      <c r="M789" s="103"/>
      <c r="N789" s="61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</row>
    <row r="790" ht="30.0" customHeight="1">
      <c r="A790" s="103"/>
      <c r="B790" s="103"/>
      <c r="C790" s="103"/>
      <c r="D790" s="103"/>
      <c r="E790" s="103"/>
      <c r="F790" s="103"/>
      <c r="G790" s="103"/>
      <c r="H790" s="103"/>
      <c r="I790" s="103"/>
      <c r="J790" s="103"/>
      <c r="K790" s="103"/>
      <c r="L790" s="60"/>
      <c r="M790" s="103"/>
      <c r="N790" s="61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</row>
    <row r="791" ht="30.0" customHeight="1">
      <c r="A791" s="103"/>
      <c r="B791" s="103"/>
      <c r="C791" s="103"/>
      <c r="D791" s="103"/>
      <c r="E791" s="103"/>
      <c r="F791" s="103"/>
      <c r="G791" s="103"/>
      <c r="H791" s="103"/>
      <c r="I791" s="103"/>
      <c r="J791" s="103"/>
      <c r="K791" s="103"/>
      <c r="L791" s="60"/>
      <c r="M791" s="103"/>
      <c r="N791" s="61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</row>
    <row r="792" ht="30.0" customHeight="1">
      <c r="A792" s="103"/>
      <c r="B792" s="103"/>
      <c r="C792" s="103"/>
      <c r="D792" s="103"/>
      <c r="E792" s="103"/>
      <c r="F792" s="103"/>
      <c r="G792" s="103"/>
      <c r="H792" s="103"/>
      <c r="I792" s="103"/>
      <c r="J792" s="103"/>
      <c r="K792" s="103"/>
      <c r="L792" s="60"/>
      <c r="M792" s="103"/>
      <c r="N792" s="61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</row>
    <row r="793" ht="30.0" customHeight="1">
      <c r="A793" s="103"/>
      <c r="B793" s="103"/>
      <c r="C793" s="103"/>
      <c r="D793" s="103"/>
      <c r="E793" s="103"/>
      <c r="F793" s="103"/>
      <c r="G793" s="103"/>
      <c r="H793" s="103"/>
      <c r="I793" s="103"/>
      <c r="J793" s="103"/>
      <c r="K793" s="103"/>
      <c r="L793" s="60"/>
      <c r="M793" s="103"/>
      <c r="N793" s="61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</row>
    <row r="794" ht="30.0" customHeight="1">
      <c r="A794" s="103"/>
      <c r="B794" s="103"/>
      <c r="C794" s="103"/>
      <c r="D794" s="103"/>
      <c r="E794" s="103"/>
      <c r="F794" s="103"/>
      <c r="G794" s="103"/>
      <c r="H794" s="103"/>
      <c r="I794" s="103"/>
      <c r="J794" s="103"/>
      <c r="K794" s="103"/>
      <c r="L794" s="60"/>
      <c r="M794" s="103"/>
      <c r="N794" s="61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</row>
    <row r="795" ht="30.0" customHeight="1">
      <c r="A795" s="103"/>
      <c r="B795" s="103"/>
      <c r="C795" s="103"/>
      <c r="D795" s="103"/>
      <c r="E795" s="103"/>
      <c r="F795" s="103"/>
      <c r="G795" s="103"/>
      <c r="H795" s="103"/>
      <c r="I795" s="103"/>
      <c r="J795" s="103"/>
      <c r="K795" s="103"/>
      <c r="L795" s="60"/>
      <c r="M795" s="103"/>
      <c r="N795" s="61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</row>
    <row r="796" ht="30.0" customHeight="1">
      <c r="A796" s="103"/>
      <c r="B796" s="103"/>
      <c r="C796" s="103"/>
      <c r="D796" s="103"/>
      <c r="E796" s="103"/>
      <c r="F796" s="103"/>
      <c r="G796" s="103"/>
      <c r="H796" s="103"/>
      <c r="I796" s="103"/>
      <c r="J796" s="103"/>
      <c r="K796" s="103"/>
      <c r="L796" s="60"/>
      <c r="M796" s="103"/>
      <c r="N796" s="61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</row>
    <row r="797" ht="30.0" customHeight="1">
      <c r="A797" s="103"/>
      <c r="B797" s="103"/>
      <c r="C797" s="103"/>
      <c r="D797" s="103"/>
      <c r="E797" s="103"/>
      <c r="F797" s="103"/>
      <c r="G797" s="103"/>
      <c r="H797" s="103"/>
      <c r="I797" s="103"/>
      <c r="J797" s="103"/>
      <c r="K797" s="103"/>
      <c r="L797" s="60"/>
      <c r="M797" s="103"/>
      <c r="N797" s="61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</row>
    <row r="798" ht="30.0" customHeight="1">
      <c r="A798" s="103"/>
      <c r="B798" s="103"/>
      <c r="C798" s="103"/>
      <c r="D798" s="103"/>
      <c r="E798" s="103"/>
      <c r="F798" s="103"/>
      <c r="G798" s="103"/>
      <c r="H798" s="103"/>
      <c r="I798" s="103"/>
      <c r="J798" s="103"/>
      <c r="K798" s="103"/>
      <c r="L798" s="60"/>
      <c r="M798" s="103"/>
      <c r="N798" s="61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</row>
    <row r="799" ht="30.0" customHeight="1">
      <c r="A799" s="103"/>
      <c r="B799" s="103"/>
      <c r="C799" s="103"/>
      <c r="D799" s="103"/>
      <c r="E799" s="103"/>
      <c r="F799" s="103"/>
      <c r="G799" s="103"/>
      <c r="H799" s="103"/>
      <c r="I799" s="103"/>
      <c r="J799" s="103"/>
      <c r="K799" s="103"/>
      <c r="L799" s="60"/>
      <c r="M799" s="103"/>
      <c r="N799" s="61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</row>
    <row r="800" ht="30.0" customHeight="1">
      <c r="A800" s="103"/>
      <c r="B800" s="103"/>
      <c r="C800" s="103"/>
      <c r="D800" s="103"/>
      <c r="E800" s="103"/>
      <c r="F800" s="103"/>
      <c r="G800" s="103"/>
      <c r="H800" s="103"/>
      <c r="I800" s="103"/>
      <c r="J800" s="103"/>
      <c r="K800" s="103"/>
      <c r="L800" s="60"/>
      <c r="M800" s="103"/>
      <c r="N800" s="61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</row>
    <row r="801" ht="30.0" customHeight="1">
      <c r="A801" s="103"/>
      <c r="B801" s="103"/>
      <c r="C801" s="103"/>
      <c r="D801" s="103"/>
      <c r="E801" s="103"/>
      <c r="F801" s="103"/>
      <c r="G801" s="103"/>
      <c r="H801" s="103"/>
      <c r="I801" s="103"/>
      <c r="J801" s="103"/>
      <c r="K801" s="103"/>
      <c r="L801" s="60"/>
      <c r="M801" s="103"/>
      <c r="N801" s="61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</row>
    <row r="802" ht="30.0" customHeight="1">
      <c r="A802" s="103"/>
      <c r="B802" s="103"/>
      <c r="C802" s="103"/>
      <c r="D802" s="103"/>
      <c r="E802" s="103"/>
      <c r="F802" s="103"/>
      <c r="G802" s="103"/>
      <c r="H802" s="103"/>
      <c r="I802" s="103"/>
      <c r="J802" s="103"/>
      <c r="K802" s="103"/>
      <c r="L802" s="60"/>
      <c r="M802" s="103"/>
      <c r="N802" s="61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</row>
    <row r="803" ht="30.0" customHeight="1">
      <c r="A803" s="103"/>
      <c r="B803" s="103"/>
      <c r="C803" s="103"/>
      <c r="D803" s="103"/>
      <c r="E803" s="103"/>
      <c r="F803" s="103"/>
      <c r="G803" s="103"/>
      <c r="H803" s="103"/>
      <c r="I803" s="103"/>
      <c r="J803" s="103"/>
      <c r="K803" s="103"/>
      <c r="L803" s="60"/>
      <c r="M803" s="103"/>
      <c r="N803" s="61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</row>
    <row r="804" ht="30.0" customHeight="1">
      <c r="A804" s="103"/>
      <c r="B804" s="103"/>
      <c r="C804" s="103"/>
      <c r="D804" s="103"/>
      <c r="E804" s="103"/>
      <c r="F804" s="103"/>
      <c r="G804" s="103"/>
      <c r="H804" s="103"/>
      <c r="I804" s="103"/>
      <c r="J804" s="103"/>
      <c r="K804" s="103"/>
      <c r="L804" s="60"/>
      <c r="M804" s="103"/>
      <c r="N804" s="61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</row>
    <row r="805" ht="30.0" customHeight="1">
      <c r="A805" s="103"/>
      <c r="B805" s="103"/>
      <c r="C805" s="103"/>
      <c r="D805" s="103"/>
      <c r="E805" s="103"/>
      <c r="F805" s="103"/>
      <c r="G805" s="103"/>
      <c r="H805" s="103"/>
      <c r="I805" s="103"/>
      <c r="J805" s="103"/>
      <c r="K805" s="103"/>
      <c r="L805" s="60"/>
      <c r="M805" s="103"/>
      <c r="N805" s="61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</row>
    <row r="806" ht="30.0" customHeight="1">
      <c r="A806" s="103"/>
      <c r="B806" s="103"/>
      <c r="C806" s="103"/>
      <c r="D806" s="103"/>
      <c r="E806" s="103"/>
      <c r="F806" s="103"/>
      <c r="G806" s="103"/>
      <c r="H806" s="103"/>
      <c r="I806" s="103"/>
      <c r="J806" s="103"/>
      <c r="K806" s="103"/>
      <c r="L806" s="60"/>
      <c r="M806" s="103"/>
      <c r="N806" s="61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</row>
    <row r="807" ht="30.0" customHeight="1">
      <c r="A807" s="103"/>
      <c r="B807" s="103"/>
      <c r="C807" s="103"/>
      <c r="D807" s="103"/>
      <c r="E807" s="103"/>
      <c r="F807" s="103"/>
      <c r="G807" s="103"/>
      <c r="H807" s="103"/>
      <c r="I807" s="103"/>
      <c r="J807" s="103"/>
      <c r="K807" s="103"/>
      <c r="L807" s="60"/>
      <c r="M807" s="103"/>
      <c r="N807" s="61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</row>
    <row r="808" ht="30.0" customHeight="1">
      <c r="A808" s="103"/>
      <c r="B808" s="103"/>
      <c r="C808" s="103"/>
      <c r="D808" s="103"/>
      <c r="E808" s="103"/>
      <c r="F808" s="103"/>
      <c r="G808" s="103"/>
      <c r="H808" s="103"/>
      <c r="I808" s="103"/>
      <c r="J808" s="103"/>
      <c r="K808" s="103"/>
      <c r="L808" s="60"/>
      <c r="M808" s="103"/>
      <c r="N808" s="61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</row>
    <row r="809" ht="30.0" customHeight="1">
      <c r="A809" s="103"/>
      <c r="B809" s="103"/>
      <c r="C809" s="103"/>
      <c r="D809" s="103"/>
      <c r="E809" s="103"/>
      <c r="F809" s="103"/>
      <c r="G809" s="103"/>
      <c r="H809" s="103"/>
      <c r="I809" s="103"/>
      <c r="J809" s="103"/>
      <c r="K809" s="103"/>
      <c r="L809" s="60"/>
      <c r="M809" s="103"/>
      <c r="N809" s="61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</row>
    <row r="810" ht="30.0" customHeight="1">
      <c r="A810" s="103"/>
      <c r="B810" s="103"/>
      <c r="C810" s="103"/>
      <c r="D810" s="103"/>
      <c r="E810" s="103"/>
      <c r="F810" s="103"/>
      <c r="G810" s="103"/>
      <c r="H810" s="103"/>
      <c r="I810" s="103"/>
      <c r="J810" s="103"/>
      <c r="K810" s="103"/>
      <c r="L810" s="60"/>
      <c r="M810" s="103"/>
      <c r="N810" s="61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</row>
    <row r="811" ht="30.0" customHeight="1">
      <c r="A811" s="103"/>
      <c r="B811" s="103"/>
      <c r="C811" s="103"/>
      <c r="D811" s="103"/>
      <c r="E811" s="103"/>
      <c r="F811" s="103"/>
      <c r="G811" s="103"/>
      <c r="H811" s="103"/>
      <c r="I811" s="103"/>
      <c r="J811" s="103"/>
      <c r="K811" s="103"/>
      <c r="L811" s="60"/>
      <c r="M811" s="103"/>
      <c r="N811" s="61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</row>
    <row r="812" ht="30.0" customHeight="1">
      <c r="A812" s="103"/>
      <c r="B812" s="103"/>
      <c r="C812" s="103"/>
      <c r="D812" s="103"/>
      <c r="E812" s="103"/>
      <c r="F812" s="103"/>
      <c r="G812" s="103"/>
      <c r="H812" s="103"/>
      <c r="I812" s="103"/>
      <c r="J812" s="103"/>
      <c r="K812" s="103"/>
      <c r="L812" s="60"/>
      <c r="M812" s="103"/>
      <c r="N812" s="61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</row>
    <row r="813" ht="30.0" customHeight="1">
      <c r="A813" s="103"/>
      <c r="B813" s="103"/>
      <c r="C813" s="103"/>
      <c r="D813" s="103"/>
      <c r="E813" s="103"/>
      <c r="F813" s="103"/>
      <c r="G813" s="103"/>
      <c r="H813" s="103"/>
      <c r="I813" s="103"/>
      <c r="J813" s="103"/>
      <c r="K813" s="103"/>
      <c r="L813" s="60"/>
      <c r="M813" s="103"/>
      <c r="N813" s="61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</row>
    <row r="814" ht="30.0" customHeight="1">
      <c r="A814" s="103"/>
      <c r="B814" s="103"/>
      <c r="C814" s="103"/>
      <c r="D814" s="103"/>
      <c r="E814" s="103"/>
      <c r="F814" s="103"/>
      <c r="G814" s="103"/>
      <c r="H814" s="103"/>
      <c r="I814" s="103"/>
      <c r="J814" s="103"/>
      <c r="K814" s="103"/>
      <c r="L814" s="60"/>
      <c r="M814" s="103"/>
      <c r="N814" s="61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</row>
    <row r="815" ht="30.0" customHeight="1">
      <c r="A815" s="103"/>
      <c r="B815" s="103"/>
      <c r="C815" s="103"/>
      <c r="D815" s="103"/>
      <c r="E815" s="103"/>
      <c r="F815" s="103"/>
      <c r="G815" s="103"/>
      <c r="H815" s="103"/>
      <c r="I815" s="103"/>
      <c r="J815" s="103"/>
      <c r="K815" s="103"/>
      <c r="L815" s="60"/>
      <c r="M815" s="103"/>
      <c r="N815" s="61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</row>
    <row r="816" ht="30.0" customHeight="1">
      <c r="A816" s="103"/>
      <c r="B816" s="103"/>
      <c r="C816" s="103"/>
      <c r="D816" s="103"/>
      <c r="E816" s="103"/>
      <c r="F816" s="103"/>
      <c r="G816" s="103"/>
      <c r="H816" s="103"/>
      <c r="I816" s="103"/>
      <c r="J816" s="103"/>
      <c r="K816" s="103"/>
      <c r="L816" s="60"/>
      <c r="M816" s="103"/>
      <c r="N816" s="61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</row>
    <row r="817" ht="30.0" customHeight="1">
      <c r="A817" s="103"/>
      <c r="B817" s="103"/>
      <c r="C817" s="103"/>
      <c r="D817" s="103"/>
      <c r="E817" s="103"/>
      <c r="F817" s="103"/>
      <c r="G817" s="103"/>
      <c r="H817" s="103"/>
      <c r="I817" s="103"/>
      <c r="J817" s="103"/>
      <c r="K817" s="103"/>
      <c r="L817" s="60"/>
      <c r="M817" s="103"/>
      <c r="N817" s="61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</row>
    <row r="818" ht="30.0" customHeight="1">
      <c r="A818" s="103"/>
      <c r="B818" s="103"/>
      <c r="C818" s="103"/>
      <c r="D818" s="103"/>
      <c r="E818" s="103"/>
      <c r="F818" s="103"/>
      <c r="G818" s="103"/>
      <c r="H818" s="103"/>
      <c r="I818" s="103"/>
      <c r="J818" s="103"/>
      <c r="K818" s="103"/>
      <c r="L818" s="60"/>
      <c r="M818" s="103"/>
      <c r="N818" s="61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</row>
    <row r="819" ht="30.0" customHeight="1">
      <c r="A819" s="103"/>
      <c r="B819" s="103"/>
      <c r="C819" s="103"/>
      <c r="D819" s="103"/>
      <c r="E819" s="103"/>
      <c r="F819" s="103"/>
      <c r="G819" s="103"/>
      <c r="H819" s="103"/>
      <c r="I819" s="103"/>
      <c r="J819" s="103"/>
      <c r="K819" s="103"/>
      <c r="L819" s="60"/>
      <c r="M819" s="103"/>
      <c r="N819" s="61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</row>
    <row r="820" ht="30.0" customHeight="1">
      <c r="A820" s="103"/>
      <c r="B820" s="103"/>
      <c r="C820" s="103"/>
      <c r="D820" s="103"/>
      <c r="E820" s="103"/>
      <c r="F820" s="103"/>
      <c r="G820" s="103"/>
      <c r="H820" s="103"/>
      <c r="I820" s="103"/>
      <c r="J820" s="103"/>
      <c r="K820" s="103"/>
      <c r="L820" s="60"/>
      <c r="M820" s="103"/>
      <c r="N820" s="61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</row>
    <row r="821" ht="30.0" customHeight="1">
      <c r="A821" s="103"/>
      <c r="B821" s="103"/>
      <c r="C821" s="103"/>
      <c r="D821" s="103"/>
      <c r="E821" s="103"/>
      <c r="F821" s="103"/>
      <c r="G821" s="103"/>
      <c r="H821" s="103"/>
      <c r="I821" s="103"/>
      <c r="J821" s="103"/>
      <c r="K821" s="103"/>
      <c r="L821" s="60"/>
      <c r="M821" s="103"/>
      <c r="N821" s="61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</row>
    <row r="822" ht="30.0" customHeight="1">
      <c r="A822" s="103"/>
      <c r="B822" s="103"/>
      <c r="C822" s="103"/>
      <c r="D822" s="103"/>
      <c r="E822" s="103"/>
      <c r="F822" s="103"/>
      <c r="G822" s="103"/>
      <c r="H822" s="103"/>
      <c r="I822" s="103"/>
      <c r="J822" s="103"/>
      <c r="K822" s="103"/>
      <c r="L822" s="60"/>
      <c r="M822" s="103"/>
      <c r="N822" s="61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</row>
    <row r="823" ht="30.0" customHeight="1">
      <c r="A823" s="103"/>
      <c r="B823" s="103"/>
      <c r="C823" s="103"/>
      <c r="D823" s="103"/>
      <c r="E823" s="103"/>
      <c r="F823" s="103"/>
      <c r="G823" s="103"/>
      <c r="H823" s="103"/>
      <c r="I823" s="103"/>
      <c r="J823" s="103"/>
      <c r="K823" s="103"/>
      <c r="L823" s="60"/>
      <c r="M823" s="103"/>
      <c r="N823" s="61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</row>
    <row r="824" ht="30.0" customHeight="1">
      <c r="A824" s="103"/>
      <c r="B824" s="103"/>
      <c r="C824" s="103"/>
      <c r="D824" s="103"/>
      <c r="E824" s="103"/>
      <c r="F824" s="103"/>
      <c r="G824" s="103"/>
      <c r="H824" s="103"/>
      <c r="I824" s="103"/>
      <c r="J824" s="103"/>
      <c r="K824" s="103"/>
      <c r="L824" s="60"/>
      <c r="M824" s="103"/>
      <c r="N824" s="61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</row>
    <row r="825" ht="30.0" customHeight="1">
      <c r="A825" s="103"/>
      <c r="B825" s="103"/>
      <c r="C825" s="103"/>
      <c r="D825" s="103"/>
      <c r="E825" s="103"/>
      <c r="F825" s="103"/>
      <c r="G825" s="103"/>
      <c r="H825" s="103"/>
      <c r="I825" s="103"/>
      <c r="J825" s="103"/>
      <c r="K825" s="103"/>
      <c r="L825" s="60"/>
      <c r="M825" s="103"/>
      <c r="N825" s="61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</row>
    <row r="826" ht="30.0" customHeight="1">
      <c r="A826" s="103"/>
      <c r="B826" s="103"/>
      <c r="C826" s="103"/>
      <c r="D826" s="103"/>
      <c r="E826" s="103"/>
      <c r="F826" s="103"/>
      <c r="G826" s="103"/>
      <c r="H826" s="103"/>
      <c r="I826" s="103"/>
      <c r="J826" s="103"/>
      <c r="K826" s="103"/>
      <c r="L826" s="60"/>
      <c r="M826" s="103"/>
      <c r="N826" s="61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</row>
    <row r="827" ht="30.0" customHeight="1">
      <c r="A827" s="103"/>
      <c r="B827" s="103"/>
      <c r="C827" s="103"/>
      <c r="D827" s="103"/>
      <c r="E827" s="103"/>
      <c r="F827" s="103"/>
      <c r="G827" s="103"/>
      <c r="H827" s="103"/>
      <c r="I827" s="103"/>
      <c r="J827" s="103"/>
      <c r="K827" s="103"/>
      <c r="L827" s="60"/>
      <c r="M827" s="103"/>
      <c r="N827" s="61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</row>
    <row r="828" ht="30.0" customHeight="1">
      <c r="A828" s="103"/>
      <c r="B828" s="103"/>
      <c r="C828" s="103"/>
      <c r="D828" s="103"/>
      <c r="E828" s="103"/>
      <c r="F828" s="103"/>
      <c r="G828" s="103"/>
      <c r="H828" s="103"/>
      <c r="I828" s="103"/>
      <c r="J828" s="103"/>
      <c r="K828" s="103"/>
      <c r="L828" s="60"/>
      <c r="M828" s="103"/>
      <c r="N828" s="61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</row>
    <row r="829" ht="30.0" customHeight="1">
      <c r="A829" s="103"/>
      <c r="B829" s="103"/>
      <c r="C829" s="103"/>
      <c r="D829" s="103"/>
      <c r="E829" s="103"/>
      <c r="F829" s="103"/>
      <c r="G829" s="103"/>
      <c r="H829" s="103"/>
      <c r="I829" s="103"/>
      <c r="J829" s="103"/>
      <c r="K829" s="103"/>
      <c r="L829" s="60"/>
      <c r="M829" s="103"/>
      <c r="N829" s="61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</row>
    <row r="830" ht="30.0" customHeight="1">
      <c r="A830" s="103"/>
      <c r="B830" s="103"/>
      <c r="C830" s="103"/>
      <c r="D830" s="103"/>
      <c r="E830" s="103"/>
      <c r="F830" s="103"/>
      <c r="G830" s="103"/>
      <c r="H830" s="103"/>
      <c r="I830" s="103"/>
      <c r="J830" s="103"/>
      <c r="K830" s="103"/>
      <c r="L830" s="60"/>
      <c r="M830" s="103"/>
      <c r="N830" s="61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</row>
    <row r="831" ht="30.0" customHeight="1">
      <c r="A831" s="103"/>
      <c r="B831" s="103"/>
      <c r="C831" s="103"/>
      <c r="D831" s="103"/>
      <c r="E831" s="103"/>
      <c r="F831" s="103"/>
      <c r="G831" s="103"/>
      <c r="H831" s="103"/>
      <c r="I831" s="103"/>
      <c r="J831" s="103"/>
      <c r="K831" s="103"/>
      <c r="L831" s="60"/>
      <c r="M831" s="103"/>
      <c r="N831" s="61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</row>
    <row r="832" ht="30.0" customHeight="1">
      <c r="A832" s="103"/>
      <c r="B832" s="103"/>
      <c r="C832" s="103"/>
      <c r="D832" s="103"/>
      <c r="E832" s="103"/>
      <c r="F832" s="103"/>
      <c r="G832" s="103"/>
      <c r="H832" s="103"/>
      <c r="I832" s="103"/>
      <c r="J832" s="103"/>
      <c r="K832" s="103"/>
      <c r="L832" s="60"/>
      <c r="M832" s="103"/>
      <c r="N832" s="61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</row>
    <row r="833" ht="30.0" customHeight="1">
      <c r="A833" s="103"/>
      <c r="B833" s="103"/>
      <c r="C833" s="103"/>
      <c r="D833" s="103"/>
      <c r="E833" s="103"/>
      <c r="F833" s="103"/>
      <c r="G833" s="103"/>
      <c r="H833" s="103"/>
      <c r="I833" s="103"/>
      <c r="J833" s="103"/>
      <c r="K833" s="103"/>
      <c r="L833" s="60"/>
      <c r="M833" s="103"/>
      <c r="N833" s="61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</row>
    <row r="834" ht="30.0" customHeight="1">
      <c r="A834" s="103"/>
      <c r="B834" s="103"/>
      <c r="C834" s="103"/>
      <c r="D834" s="103"/>
      <c r="E834" s="103"/>
      <c r="F834" s="103"/>
      <c r="G834" s="103"/>
      <c r="H834" s="103"/>
      <c r="I834" s="103"/>
      <c r="J834" s="103"/>
      <c r="K834" s="103"/>
      <c r="L834" s="60"/>
      <c r="M834" s="103"/>
      <c r="N834" s="61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</row>
    <row r="835" ht="30.0" customHeight="1">
      <c r="A835" s="103"/>
      <c r="B835" s="103"/>
      <c r="C835" s="103"/>
      <c r="D835" s="103"/>
      <c r="E835" s="103"/>
      <c r="F835" s="103"/>
      <c r="G835" s="103"/>
      <c r="H835" s="103"/>
      <c r="I835" s="103"/>
      <c r="J835" s="103"/>
      <c r="K835" s="103"/>
      <c r="L835" s="60"/>
      <c r="M835" s="103"/>
      <c r="N835" s="61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</row>
    <row r="836" ht="30.0" customHeight="1">
      <c r="A836" s="103"/>
      <c r="B836" s="103"/>
      <c r="C836" s="103"/>
      <c r="D836" s="103"/>
      <c r="E836" s="103"/>
      <c r="F836" s="103"/>
      <c r="G836" s="103"/>
      <c r="H836" s="103"/>
      <c r="I836" s="103"/>
      <c r="J836" s="103"/>
      <c r="K836" s="103"/>
      <c r="L836" s="60"/>
      <c r="M836" s="103"/>
      <c r="N836" s="61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</row>
    <row r="837" ht="30.0" customHeight="1">
      <c r="A837" s="103"/>
      <c r="B837" s="103"/>
      <c r="C837" s="103"/>
      <c r="D837" s="103"/>
      <c r="E837" s="103"/>
      <c r="F837" s="103"/>
      <c r="G837" s="103"/>
      <c r="H837" s="103"/>
      <c r="I837" s="103"/>
      <c r="J837" s="103"/>
      <c r="K837" s="103"/>
      <c r="L837" s="60"/>
      <c r="M837" s="103"/>
      <c r="N837" s="61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</row>
    <row r="838" ht="30.0" customHeight="1">
      <c r="A838" s="103"/>
      <c r="B838" s="103"/>
      <c r="C838" s="103"/>
      <c r="D838" s="103"/>
      <c r="E838" s="103"/>
      <c r="F838" s="103"/>
      <c r="G838" s="103"/>
      <c r="H838" s="103"/>
      <c r="I838" s="103"/>
      <c r="J838" s="103"/>
      <c r="K838" s="103"/>
      <c r="L838" s="60"/>
      <c r="M838" s="103"/>
      <c r="N838" s="61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</row>
    <row r="839" ht="30.0" customHeight="1">
      <c r="A839" s="103"/>
      <c r="B839" s="103"/>
      <c r="C839" s="103"/>
      <c r="D839" s="103"/>
      <c r="E839" s="103"/>
      <c r="F839" s="103"/>
      <c r="G839" s="103"/>
      <c r="H839" s="103"/>
      <c r="I839" s="103"/>
      <c r="J839" s="103"/>
      <c r="K839" s="103"/>
      <c r="L839" s="60"/>
      <c r="M839" s="103"/>
      <c r="N839" s="61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</row>
    <row r="840" ht="30.0" customHeight="1">
      <c r="A840" s="103"/>
      <c r="B840" s="103"/>
      <c r="C840" s="103"/>
      <c r="D840" s="103"/>
      <c r="E840" s="103"/>
      <c r="F840" s="103"/>
      <c r="G840" s="103"/>
      <c r="H840" s="103"/>
      <c r="I840" s="103"/>
      <c r="J840" s="103"/>
      <c r="K840" s="103"/>
      <c r="L840" s="60"/>
      <c r="M840" s="103"/>
      <c r="N840" s="61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</row>
    <row r="841" ht="30.0" customHeight="1">
      <c r="A841" s="103"/>
      <c r="B841" s="103"/>
      <c r="C841" s="103"/>
      <c r="D841" s="103"/>
      <c r="E841" s="103"/>
      <c r="F841" s="103"/>
      <c r="G841" s="103"/>
      <c r="H841" s="103"/>
      <c r="I841" s="103"/>
      <c r="J841" s="103"/>
      <c r="K841" s="103"/>
      <c r="L841" s="60"/>
      <c r="M841" s="103"/>
      <c r="N841" s="61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</row>
    <row r="842" ht="30.0" customHeight="1">
      <c r="A842" s="103"/>
      <c r="B842" s="103"/>
      <c r="C842" s="103"/>
      <c r="D842" s="103"/>
      <c r="E842" s="103"/>
      <c r="F842" s="103"/>
      <c r="G842" s="103"/>
      <c r="H842" s="103"/>
      <c r="I842" s="103"/>
      <c r="J842" s="103"/>
      <c r="K842" s="103"/>
      <c r="L842" s="60"/>
      <c r="M842" s="103"/>
      <c r="N842" s="61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</row>
    <row r="843" ht="30.0" customHeight="1">
      <c r="A843" s="103"/>
      <c r="B843" s="103"/>
      <c r="C843" s="103"/>
      <c r="D843" s="103"/>
      <c r="E843" s="103"/>
      <c r="F843" s="103"/>
      <c r="G843" s="103"/>
      <c r="H843" s="103"/>
      <c r="I843" s="103"/>
      <c r="J843" s="103"/>
      <c r="K843" s="103"/>
      <c r="L843" s="60"/>
      <c r="M843" s="103"/>
      <c r="N843" s="61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</row>
    <row r="844" ht="30.0" customHeight="1">
      <c r="A844" s="103"/>
      <c r="B844" s="103"/>
      <c r="C844" s="103"/>
      <c r="D844" s="103"/>
      <c r="E844" s="103"/>
      <c r="F844" s="103"/>
      <c r="G844" s="103"/>
      <c r="H844" s="103"/>
      <c r="I844" s="103"/>
      <c r="J844" s="103"/>
      <c r="K844" s="103"/>
      <c r="L844" s="60"/>
      <c r="M844" s="103"/>
      <c r="N844" s="61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</row>
    <row r="845" ht="30.0" customHeight="1">
      <c r="A845" s="103"/>
      <c r="B845" s="103"/>
      <c r="C845" s="103"/>
      <c r="D845" s="103"/>
      <c r="E845" s="103"/>
      <c r="F845" s="103"/>
      <c r="G845" s="103"/>
      <c r="H845" s="103"/>
      <c r="I845" s="103"/>
      <c r="J845" s="103"/>
      <c r="K845" s="103"/>
      <c r="L845" s="60"/>
      <c r="M845" s="103"/>
      <c r="N845" s="61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</row>
    <row r="846" ht="30.0" customHeight="1">
      <c r="A846" s="103"/>
      <c r="B846" s="103"/>
      <c r="C846" s="103"/>
      <c r="D846" s="103"/>
      <c r="E846" s="103"/>
      <c r="F846" s="103"/>
      <c r="G846" s="103"/>
      <c r="H846" s="103"/>
      <c r="I846" s="103"/>
      <c r="J846" s="103"/>
      <c r="K846" s="103"/>
      <c r="L846" s="60"/>
      <c r="M846" s="103"/>
      <c r="N846" s="61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</row>
    <row r="847" ht="30.0" customHeight="1">
      <c r="A847" s="103"/>
      <c r="B847" s="103"/>
      <c r="C847" s="103"/>
      <c r="D847" s="103"/>
      <c r="E847" s="103"/>
      <c r="F847" s="103"/>
      <c r="G847" s="103"/>
      <c r="H847" s="103"/>
      <c r="I847" s="103"/>
      <c r="J847" s="103"/>
      <c r="K847" s="103"/>
      <c r="L847" s="60"/>
      <c r="M847" s="103"/>
      <c r="N847" s="61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</row>
    <row r="848" ht="30.0" customHeight="1">
      <c r="A848" s="103"/>
      <c r="B848" s="103"/>
      <c r="C848" s="103"/>
      <c r="D848" s="103"/>
      <c r="E848" s="103"/>
      <c r="F848" s="103"/>
      <c r="G848" s="103"/>
      <c r="H848" s="103"/>
      <c r="I848" s="103"/>
      <c r="J848" s="103"/>
      <c r="K848" s="103"/>
      <c r="L848" s="60"/>
      <c r="M848" s="103"/>
      <c r="N848" s="61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</row>
    <row r="849" ht="30.0" customHeight="1">
      <c r="A849" s="103"/>
      <c r="B849" s="103"/>
      <c r="C849" s="103"/>
      <c r="D849" s="103"/>
      <c r="E849" s="103"/>
      <c r="F849" s="103"/>
      <c r="G849" s="103"/>
      <c r="H849" s="103"/>
      <c r="I849" s="103"/>
      <c r="J849" s="103"/>
      <c r="K849" s="103"/>
      <c r="L849" s="60"/>
      <c r="M849" s="103"/>
      <c r="N849" s="61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</row>
    <row r="850" ht="30.0" customHeight="1">
      <c r="A850" s="103"/>
      <c r="B850" s="103"/>
      <c r="C850" s="103"/>
      <c r="D850" s="103"/>
      <c r="E850" s="103"/>
      <c r="F850" s="103"/>
      <c r="G850" s="103"/>
      <c r="H850" s="103"/>
      <c r="I850" s="103"/>
      <c r="J850" s="103"/>
      <c r="K850" s="103"/>
      <c r="L850" s="60"/>
      <c r="M850" s="103"/>
      <c r="N850" s="61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</row>
    <row r="851" ht="30.0" customHeight="1">
      <c r="A851" s="103"/>
      <c r="B851" s="103"/>
      <c r="C851" s="103"/>
      <c r="D851" s="103"/>
      <c r="E851" s="103"/>
      <c r="F851" s="103"/>
      <c r="G851" s="103"/>
      <c r="H851" s="103"/>
      <c r="I851" s="103"/>
      <c r="J851" s="103"/>
      <c r="K851" s="103"/>
      <c r="L851" s="60"/>
      <c r="M851" s="103"/>
      <c r="N851" s="61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</row>
    <row r="852" ht="30.0" customHeight="1">
      <c r="A852" s="103"/>
      <c r="B852" s="103"/>
      <c r="C852" s="103"/>
      <c r="D852" s="103"/>
      <c r="E852" s="103"/>
      <c r="F852" s="103"/>
      <c r="G852" s="103"/>
      <c r="H852" s="103"/>
      <c r="I852" s="103"/>
      <c r="J852" s="103"/>
      <c r="K852" s="103"/>
      <c r="L852" s="60"/>
      <c r="M852" s="103"/>
      <c r="N852" s="61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</row>
    <row r="853" ht="30.0" customHeight="1">
      <c r="A853" s="103"/>
      <c r="B853" s="103"/>
      <c r="C853" s="103"/>
      <c r="D853" s="103"/>
      <c r="E853" s="103"/>
      <c r="F853" s="103"/>
      <c r="G853" s="103"/>
      <c r="H853" s="103"/>
      <c r="I853" s="103"/>
      <c r="J853" s="103"/>
      <c r="K853" s="103"/>
      <c r="L853" s="60"/>
      <c r="M853" s="103"/>
      <c r="N853" s="61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</row>
    <row r="854" ht="30.0" customHeight="1">
      <c r="A854" s="103"/>
      <c r="B854" s="103"/>
      <c r="C854" s="103"/>
      <c r="D854" s="103"/>
      <c r="E854" s="103"/>
      <c r="F854" s="103"/>
      <c r="G854" s="103"/>
      <c r="H854" s="103"/>
      <c r="I854" s="103"/>
      <c r="J854" s="103"/>
      <c r="K854" s="103"/>
      <c r="L854" s="60"/>
      <c r="M854" s="103"/>
      <c r="N854" s="61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</row>
    <row r="855" ht="30.0" customHeight="1">
      <c r="A855" s="103"/>
      <c r="B855" s="103"/>
      <c r="C855" s="103"/>
      <c r="D855" s="103"/>
      <c r="E855" s="103"/>
      <c r="F855" s="103"/>
      <c r="G855" s="103"/>
      <c r="H855" s="103"/>
      <c r="I855" s="103"/>
      <c r="J855" s="103"/>
      <c r="K855" s="103"/>
      <c r="L855" s="60"/>
      <c r="M855" s="103"/>
      <c r="N855" s="61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</row>
    <row r="856" ht="30.0" customHeight="1">
      <c r="A856" s="103"/>
      <c r="B856" s="103"/>
      <c r="C856" s="103"/>
      <c r="D856" s="103"/>
      <c r="E856" s="103"/>
      <c r="F856" s="103"/>
      <c r="G856" s="103"/>
      <c r="H856" s="103"/>
      <c r="I856" s="103"/>
      <c r="J856" s="103"/>
      <c r="K856" s="103"/>
      <c r="L856" s="60"/>
      <c r="M856" s="103"/>
      <c r="N856" s="61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</row>
    <row r="857" ht="30.0" customHeight="1">
      <c r="A857" s="103"/>
      <c r="B857" s="103"/>
      <c r="C857" s="103"/>
      <c r="D857" s="103"/>
      <c r="E857" s="103"/>
      <c r="F857" s="103"/>
      <c r="G857" s="103"/>
      <c r="H857" s="103"/>
      <c r="I857" s="103"/>
      <c r="J857" s="103"/>
      <c r="K857" s="103"/>
      <c r="L857" s="60"/>
      <c r="M857" s="103"/>
      <c r="N857" s="61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</row>
    <row r="858" ht="30.0" customHeight="1">
      <c r="A858" s="103"/>
      <c r="B858" s="103"/>
      <c r="C858" s="103"/>
      <c r="D858" s="103"/>
      <c r="E858" s="103"/>
      <c r="F858" s="103"/>
      <c r="G858" s="103"/>
      <c r="H858" s="103"/>
      <c r="I858" s="103"/>
      <c r="J858" s="103"/>
      <c r="K858" s="103"/>
      <c r="L858" s="60"/>
      <c r="M858" s="103"/>
      <c r="N858" s="61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</row>
    <row r="859" ht="30.0" customHeight="1">
      <c r="A859" s="103"/>
      <c r="B859" s="103"/>
      <c r="C859" s="103"/>
      <c r="D859" s="103"/>
      <c r="E859" s="103"/>
      <c r="F859" s="103"/>
      <c r="G859" s="103"/>
      <c r="H859" s="103"/>
      <c r="I859" s="103"/>
      <c r="J859" s="103"/>
      <c r="K859" s="103"/>
      <c r="L859" s="60"/>
      <c r="M859" s="103"/>
      <c r="N859" s="61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</row>
    <row r="860" ht="30.0" customHeight="1">
      <c r="A860" s="103"/>
      <c r="B860" s="103"/>
      <c r="C860" s="103"/>
      <c r="D860" s="103"/>
      <c r="E860" s="103"/>
      <c r="F860" s="103"/>
      <c r="G860" s="103"/>
      <c r="H860" s="103"/>
      <c r="I860" s="103"/>
      <c r="J860" s="103"/>
      <c r="K860" s="103"/>
      <c r="L860" s="60"/>
      <c r="M860" s="103"/>
      <c r="N860" s="61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</row>
    <row r="861" ht="30.0" customHeight="1">
      <c r="A861" s="103"/>
      <c r="B861" s="103"/>
      <c r="C861" s="103"/>
      <c r="D861" s="103"/>
      <c r="E861" s="103"/>
      <c r="F861" s="103"/>
      <c r="G861" s="103"/>
      <c r="H861" s="103"/>
      <c r="I861" s="103"/>
      <c r="J861" s="103"/>
      <c r="K861" s="103"/>
      <c r="L861" s="60"/>
      <c r="M861" s="103"/>
      <c r="N861" s="61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</row>
    <row r="862" ht="30.0" customHeight="1">
      <c r="A862" s="103"/>
      <c r="B862" s="103"/>
      <c r="C862" s="103"/>
      <c r="D862" s="103"/>
      <c r="E862" s="103"/>
      <c r="F862" s="103"/>
      <c r="G862" s="103"/>
      <c r="H862" s="103"/>
      <c r="I862" s="103"/>
      <c r="J862" s="103"/>
      <c r="K862" s="103"/>
      <c r="L862" s="60"/>
      <c r="M862" s="103"/>
      <c r="N862" s="61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</row>
    <row r="863" ht="30.0" customHeight="1">
      <c r="A863" s="103"/>
      <c r="B863" s="103"/>
      <c r="C863" s="103"/>
      <c r="D863" s="103"/>
      <c r="E863" s="103"/>
      <c r="F863" s="103"/>
      <c r="G863" s="103"/>
      <c r="H863" s="103"/>
      <c r="I863" s="103"/>
      <c r="J863" s="103"/>
      <c r="K863" s="103"/>
      <c r="L863" s="60"/>
      <c r="M863" s="103"/>
      <c r="N863" s="61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</row>
    <row r="864" ht="30.0" customHeight="1">
      <c r="A864" s="103"/>
      <c r="B864" s="103"/>
      <c r="C864" s="103"/>
      <c r="D864" s="103"/>
      <c r="E864" s="103"/>
      <c r="F864" s="103"/>
      <c r="G864" s="103"/>
      <c r="H864" s="103"/>
      <c r="I864" s="103"/>
      <c r="J864" s="103"/>
      <c r="K864" s="103"/>
      <c r="L864" s="60"/>
      <c r="M864" s="103"/>
      <c r="N864" s="61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</row>
    <row r="865" ht="30.0" customHeight="1">
      <c r="A865" s="103"/>
      <c r="B865" s="103"/>
      <c r="C865" s="103"/>
      <c r="D865" s="103"/>
      <c r="E865" s="103"/>
      <c r="F865" s="103"/>
      <c r="G865" s="103"/>
      <c r="H865" s="103"/>
      <c r="I865" s="103"/>
      <c r="J865" s="103"/>
      <c r="K865" s="103"/>
      <c r="L865" s="60"/>
      <c r="M865" s="103"/>
      <c r="N865" s="61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</row>
    <row r="866" ht="30.0" customHeight="1">
      <c r="A866" s="103"/>
      <c r="B866" s="103"/>
      <c r="C866" s="103"/>
      <c r="D866" s="103"/>
      <c r="E866" s="103"/>
      <c r="F866" s="103"/>
      <c r="G866" s="103"/>
      <c r="H866" s="103"/>
      <c r="I866" s="103"/>
      <c r="J866" s="103"/>
      <c r="K866" s="103"/>
      <c r="L866" s="60"/>
      <c r="M866" s="103"/>
      <c r="N866" s="61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</row>
    <row r="867" ht="30.0" customHeight="1">
      <c r="A867" s="103"/>
      <c r="B867" s="103"/>
      <c r="C867" s="103"/>
      <c r="D867" s="103"/>
      <c r="E867" s="103"/>
      <c r="F867" s="103"/>
      <c r="G867" s="103"/>
      <c r="H867" s="103"/>
      <c r="I867" s="103"/>
      <c r="J867" s="103"/>
      <c r="K867" s="103"/>
      <c r="L867" s="60"/>
      <c r="M867" s="103"/>
      <c r="N867" s="61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</row>
    <row r="868" ht="30.0" customHeight="1">
      <c r="A868" s="103"/>
      <c r="B868" s="103"/>
      <c r="C868" s="103"/>
      <c r="D868" s="103"/>
      <c r="E868" s="103"/>
      <c r="F868" s="103"/>
      <c r="G868" s="103"/>
      <c r="H868" s="103"/>
      <c r="I868" s="103"/>
      <c r="J868" s="103"/>
      <c r="K868" s="103"/>
      <c r="L868" s="60"/>
      <c r="M868" s="103"/>
      <c r="N868" s="61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</row>
    <row r="869" ht="30.0" customHeight="1">
      <c r="A869" s="103"/>
      <c r="B869" s="103"/>
      <c r="C869" s="103"/>
      <c r="D869" s="103"/>
      <c r="E869" s="103"/>
      <c r="F869" s="103"/>
      <c r="G869" s="103"/>
      <c r="H869" s="103"/>
      <c r="I869" s="103"/>
      <c r="J869" s="103"/>
      <c r="K869" s="103"/>
      <c r="L869" s="60"/>
      <c r="M869" s="103"/>
      <c r="N869" s="61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</row>
    <row r="870" ht="30.0" customHeight="1">
      <c r="A870" s="103"/>
      <c r="B870" s="103"/>
      <c r="C870" s="103"/>
      <c r="D870" s="103"/>
      <c r="E870" s="103"/>
      <c r="F870" s="103"/>
      <c r="G870" s="103"/>
      <c r="H870" s="103"/>
      <c r="I870" s="103"/>
      <c r="J870" s="103"/>
      <c r="K870" s="103"/>
      <c r="L870" s="60"/>
      <c r="M870" s="103"/>
      <c r="N870" s="61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</row>
    <row r="871" ht="30.0" customHeight="1">
      <c r="A871" s="103"/>
      <c r="B871" s="103"/>
      <c r="C871" s="103"/>
      <c r="D871" s="103"/>
      <c r="E871" s="103"/>
      <c r="F871" s="103"/>
      <c r="G871" s="103"/>
      <c r="H871" s="103"/>
      <c r="I871" s="103"/>
      <c r="J871" s="103"/>
      <c r="K871" s="103"/>
      <c r="L871" s="60"/>
      <c r="M871" s="103"/>
      <c r="N871" s="61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</row>
    <row r="872" ht="30.0" customHeight="1">
      <c r="A872" s="103"/>
      <c r="B872" s="103"/>
      <c r="C872" s="103"/>
      <c r="D872" s="103"/>
      <c r="E872" s="103"/>
      <c r="F872" s="103"/>
      <c r="G872" s="103"/>
      <c r="H872" s="103"/>
      <c r="I872" s="103"/>
      <c r="J872" s="103"/>
      <c r="K872" s="103"/>
      <c r="L872" s="60"/>
      <c r="M872" s="103"/>
      <c r="N872" s="61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</row>
    <row r="873" ht="30.0" customHeight="1">
      <c r="A873" s="103"/>
      <c r="B873" s="103"/>
      <c r="C873" s="103"/>
      <c r="D873" s="103"/>
      <c r="E873" s="103"/>
      <c r="F873" s="103"/>
      <c r="G873" s="103"/>
      <c r="H873" s="103"/>
      <c r="I873" s="103"/>
      <c r="J873" s="103"/>
      <c r="K873" s="103"/>
      <c r="L873" s="60"/>
      <c r="M873" s="103"/>
      <c r="N873" s="61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</row>
    <row r="874" ht="30.0" customHeight="1">
      <c r="A874" s="103"/>
      <c r="B874" s="103"/>
      <c r="C874" s="103"/>
      <c r="D874" s="103"/>
      <c r="E874" s="103"/>
      <c r="F874" s="103"/>
      <c r="G874" s="103"/>
      <c r="H874" s="103"/>
      <c r="I874" s="103"/>
      <c r="J874" s="103"/>
      <c r="K874" s="103"/>
      <c r="L874" s="60"/>
      <c r="M874" s="103"/>
      <c r="N874" s="61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</row>
    <row r="875" ht="30.0" customHeight="1">
      <c r="A875" s="103"/>
      <c r="B875" s="103"/>
      <c r="C875" s="103"/>
      <c r="D875" s="103"/>
      <c r="E875" s="103"/>
      <c r="F875" s="103"/>
      <c r="G875" s="103"/>
      <c r="H875" s="103"/>
      <c r="I875" s="103"/>
      <c r="J875" s="103"/>
      <c r="K875" s="103"/>
      <c r="L875" s="60"/>
      <c r="M875" s="103"/>
      <c r="N875" s="61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</row>
    <row r="876" ht="30.0" customHeight="1">
      <c r="A876" s="103"/>
      <c r="B876" s="103"/>
      <c r="C876" s="103"/>
      <c r="D876" s="103"/>
      <c r="E876" s="103"/>
      <c r="F876" s="103"/>
      <c r="G876" s="103"/>
      <c r="H876" s="103"/>
      <c r="I876" s="103"/>
      <c r="J876" s="103"/>
      <c r="K876" s="103"/>
      <c r="L876" s="60"/>
      <c r="M876" s="103"/>
      <c r="N876" s="61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</row>
    <row r="877" ht="30.0" customHeight="1">
      <c r="A877" s="103"/>
      <c r="B877" s="103"/>
      <c r="C877" s="103"/>
      <c r="D877" s="103"/>
      <c r="E877" s="103"/>
      <c r="F877" s="103"/>
      <c r="G877" s="103"/>
      <c r="H877" s="103"/>
      <c r="I877" s="103"/>
      <c r="J877" s="103"/>
      <c r="K877" s="103"/>
      <c r="L877" s="60"/>
      <c r="M877" s="103"/>
      <c r="N877" s="61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</row>
    <row r="878" ht="30.0" customHeight="1">
      <c r="A878" s="103"/>
      <c r="B878" s="103"/>
      <c r="C878" s="103"/>
      <c r="D878" s="103"/>
      <c r="E878" s="103"/>
      <c r="F878" s="103"/>
      <c r="G878" s="103"/>
      <c r="H878" s="103"/>
      <c r="I878" s="103"/>
      <c r="J878" s="103"/>
      <c r="K878" s="103"/>
      <c r="L878" s="60"/>
      <c r="M878" s="103"/>
      <c r="N878" s="61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</row>
    <row r="879" ht="30.0" customHeight="1">
      <c r="A879" s="103"/>
      <c r="B879" s="103"/>
      <c r="C879" s="103"/>
      <c r="D879" s="103"/>
      <c r="E879" s="103"/>
      <c r="F879" s="103"/>
      <c r="G879" s="103"/>
      <c r="H879" s="103"/>
      <c r="I879" s="103"/>
      <c r="J879" s="103"/>
      <c r="K879" s="103"/>
      <c r="L879" s="60"/>
      <c r="M879" s="103"/>
      <c r="N879" s="61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</row>
    <row r="880" ht="30.0" customHeight="1">
      <c r="A880" s="103"/>
      <c r="B880" s="103"/>
      <c r="C880" s="103"/>
      <c r="D880" s="103"/>
      <c r="E880" s="103"/>
      <c r="F880" s="103"/>
      <c r="G880" s="103"/>
      <c r="H880" s="103"/>
      <c r="I880" s="103"/>
      <c r="J880" s="103"/>
      <c r="K880" s="103"/>
      <c r="L880" s="60"/>
      <c r="M880" s="103"/>
      <c r="N880" s="61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</row>
    <row r="881" ht="30.0" customHeight="1">
      <c r="A881" s="103"/>
      <c r="B881" s="103"/>
      <c r="C881" s="103"/>
      <c r="D881" s="103"/>
      <c r="E881" s="103"/>
      <c r="F881" s="103"/>
      <c r="G881" s="103"/>
      <c r="H881" s="103"/>
      <c r="I881" s="103"/>
      <c r="J881" s="103"/>
      <c r="K881" s="103"/>
      <c r="L881" s="60"/>
      <c r="M881" s="103"/>
      <c r="N881" s="61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</row>
    <row r="882" ht="30.0" customHeight="1">
      <c r="A882" s="103"/>
      <c r="B882" s="103"/>
      <c r="C882" s="103"/>
      <c r="D882" s="103"/>
      <c r="E882" s="103"/>
      <c r="F882" s="103"/>
      <c r="G882" s="103"/>
      <c r="H882" s="103"/>
      <c r="I882" s="103"/>
      <c r="J882" s="103"/>
      <c r="K882" s="103"/>
      <c r="L882" s="60"/>
      <c r="M882" s="103"/>
      <c r="N882" s="61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</row>
    <row r="883" ht="30.0" customHeight="1">
      <c r="A883" s="103"/>
      <c r="B883" s="103"/>
      <c r="C883" s="103"/>
      <c r="D883" s="103"/>
      <c r="E883" s="103"/>
      <c r="F883" s="103"/>
      <c r="G883" s="103"/>
      <c r="H883" s="103"/>
      <c r="I883" s="103"/>
      <c r="J883" s="103"/>
      <c r="K883" s="103"/>
      <c r="L883" s="60"/>
      <c r="M883" s="103"/>
      <c r="N883" s="61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</row>
    <row r="884" ht="30.0" customHeight="1">
      <c r="A884" s="103"/>
      <c r="B884" s="103"/>
      <c r="C884" s="103"/>
      <c r="D884" s="103"/>
      <c r="E884" s="103"/>
      <c r="F884" s="103"/>
      <c r="G884" s="103"/>
      <c r="H884" s="103"/>
      <c r="I884" s="103"/>
      <c r="J884" s="103"/>
      <c r="K884" s="103"/>
      <c r="L884" s="60"/>
      <c r="M884" s="103"/>
      <c r="N884" s="61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</row>
    <row r="885" ht="30.0" customHeight="1">
      <c r="A885" s="103"/>
      <c r="B885" s="103"/>
      <c r="C885" s="103"/>
      <c r="D885" s="103"/>
      <c r="E885" s="103"/>
      <c r="F885" s="103"/>
      <c r="G885" s="103"/>
      <c r="H885" s="103"/>
      <c r="I885" s="103"/>
      <c r="J885" s="103"/>
      <c r="K885" s="103"/>
      <c r="L885" s="60"/>
      <c r="M885" s="103"/>
      <c r="N885" s="61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</row>
    <row r="886" ht="30.0" customHeight="1">
      <c r="A886" s="103"/>
      <c r="B886" s="103"/>
      <c r="C886" s="103"/>
      <c r="D886" s="103"/>
      <c r="E886" s="103"/>
      <c r="F886" s="103"/>
      <c r="G886" s="103"/>
      <c r="H886" s="103"/>
      <c r="I886" s="103"/>
      <c r="J886" s="103"/>
      <c r="K886" s="103"/>
      <c r="L886" s="60"/>
      <c r="M886" s="103"/>
      <c r="N886" s="61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</row>
    <row r="887" ht="30.0" customHeight="1">
      <c r="A887" s="103"/>
      <c r="B887" s="103"/>
      <c r="C887" s="103"/>
      <c r="D887" s="103"/>
      <c r="E887" s="103"/>
      <c r="F887" s="103"/>
      <c r="G887" s="103"/>
      <c r="H887" s="103"/>
      <c r="I887" s="103"/>
      <c r="J887" s="103"/>
      <c r="K887" s="103"/>
      <c r="L887" s="60"/>
      <c r="M887" s="103"/>
      <c r="N887" s="61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</row>
    <row r="888" ht="30.0" customHeight="1">
      <c r="A888" s="103"/>
      <c r="B888" s="103"/>
      <c r="C888" s="103"/>
      <c r="D888" s="103"/>
      <c r="E888" s="103"/>
      <c r="F888" s="103"/>
      <c r="G888" s="103"/>
      <c r="H888" s="103"/>
      <c r="I888" s="103"/>
      <c r="J888" s="103"/>
      <c r="K888" s="103"/>
      <c r="L888" s="60"/>
      <c r="M888" s="103"/>
      <c r="N888" s="61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</row>
    <row r="889" ht="30.0" customHeight="1">
      <c r="A889" s="103"/>
      <c r="B889" s="103"/>
      <c r="C889" s="103"/>
      <c r="D889" s="103"/>
      <c r="E889" s="103"/>
      <c r="F889" s="103"/>
      <c r="G889" s="103"/>
      <c r="H889" s="103"/>
      <c r="I889" s="103"/>
      <c r="J889" s="103"/>
      <c r="K889" s="103"/>
      <c r="L889" s="60"/>
      <c r="M889" s="103"/>
      <c r="N889" s="61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</row>
    <row r="890" ht="30.0" customHeight="1">
      <c r="A890" s="103"/>
      <c r="B890" s="103"/>
      <c r="C890" s="103"/>
      <c r="D890" s="103"/>
      <c r="E890" s="103"/>
      <c r="F890" s="103"/>
      <c r="G890" s="103"/>
      <c r="H890" s="103"/>
      <c r="I890" s="103"/>
      <c r="J890" s="103"/>
      <c r="K890" s="103"/>
      <c r="L890" s="60"/>
      <c r="M890" s="103"/>
      <c r="N890" s="61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</row>
    <row r="891" ht="30.0" customHeight="1">
      <c r="A891" s="103"/>
      <c r="B891" s="103"/>
      <c r="C891" s="103"/>
      <c r="D891" s="103"/>
      <c r="E891" s="103"/>
      <c r="F891" s="103"/>
      <c r="G891" s="103"/>
      <c r="H891" s="103"/>
      <c r="I891" s="103"/>
      <c r="J891" s="103"/>
      <c r="K891" s="103"/>
      <c r="L891" s="60"/>
      <c r="M891" s="103"/>
      <c r="N891" s="61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</row>
    <row r="892" ht="30.0" customHeight="1">
      <c r="A892" s="103"/>
      <c r="B892" s="103"/>
      <c r="C892" s="103"/>
      <c r="D892" s="103"/>
      <c r="E892" s="103"/>
      <c r="F892" s="103"/>
      <c r="G892" s="103"/>
      <c r="H892" s="103"/>
      <c r="I892" s="103"/>
      <c r="J892" s="103"/>
      <c r="K892" s="103"/>
      <c r="L892" s="60"/>
      <c r="M892" s="103"/>
      <c r="N892" s="61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</row>
    <row r="893" ht="30.0" customHeight="1">
      <c r="A893" s="103"/>
      <c r="B893" s="103"/>
      <c r="C893" s="103"/>
      <c r="D893" s="103"/>
      <c r="E893" s="103"/>
      <c r="F893" s="103"/>
      <c r="G893" s="103"/>
      <c r="H893" s="103"/>
      <c r="I893" s="103"/>
      <c r="J893" s="103"/>
      <c r="K893" s="103"/>
      <c r="L893" s="60"/>
      <c r="M893" s="103"/>
      <c r="N893" s="61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</row>
    <row r="894" ht="30.0" customHeight="1">
      <c r="A894" s="103"/>
      <c r="B894" s="103"/>
      <c r="C894" s="103"/>
      <c r="D894" s="103"/>
      <c r="E894" s="103"/>
      <c r="F894" s="103"/>
      <c r="G894" s="103"/>
      <c r="H894" s="103"/>
      <c r="I894" s="103"/>
      <c r="J894" s="103"/>
      <c r="K894" s="103"/>
      <c r="L894" s="60"/>
      <c r="M894" s="103"/>
      <c r="N894" s="61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</row>
    <row r="895" ht="30.0" customHeight="1">
      <c r="A895" s="103"/>
      <c r="B895" s="103"/>
      <c r="C895" s="103"/>
      <c r="D895" s="103"/>
      <c r="E895" s="103"/>
      <c r="F895" s="103"/>
      <c r="G895" s="103"/>
      <c r="H895" s="103"/>
      <c r="I895" s="103"/>
      <c r="J895" s="103"/>
      <c r="K895" s="103"/>
      <c r="L895" s="60"/>
      <c r="M895" s="103"/>
      <c r="N895" s="61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</row>
    <row r="896" ht="30.0" customHeight="1">
      <c r="A896" s="103"/>
      <c r="B896" s="103"/>
      <c r="C896" s="103"/>
      <c r="D896" s="103"/>
      <c r="E896" s="103"/>
      <c r="F896" s="103"/>
      <c r="G896" s="103"/>
      <c r="H896" s="103"/>
      <c r="I896" s="103"/>
      <c r="J896" s="103"/>
      <c r="K896" s="103"/>
      <c r="L896" s="60"/>
      <c r="M896" s="103"/>
      <c r="N896" s="61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</row>
    <row r="897" ht="30.0" customHeight="1">
      <c r="A897" s="103"/>
      <c r="B897" s="103"/>
      <c r="C897" s="103"/>
      <c r="D897" s="103"/>
      <c r="E897" s="103"/>
      <c r="F897" s="103"/>
      <c r="G897" s="103"/>
      <c r="H897" s="103"/>
      <c r="I897" s="103"/>
      <c r="J897" s="103"/>
      <c r="K897" s="103"/>
      <c r="L897" s="60"/>
      <c r="M897" s="103"/>
      <c r="N897" s="61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</row>
    <row r="898" ht="30.0" customHeight="1">
      <c r="A898" s="103"/>
      <c r="B898" s="103"/>
      <c r="C898" s="103"/>
      <c r="D898" s="103"/>
      <c r="E898" s="103"/>
      <c r="F898" s="103"/>
      <c r="G898" s="103"/>
      <c r="H898" s="103"/>
      <c r="I898" s="103"/>
      <c r="J898" s="103"/>
      <c r="K898" s="103"/>
      <c r="L898" s="60"/>
      <c r="M898" s="103"/>
      <c r="N898" s="61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</row>
    <row r="899" ht="30.0" customHeight="1">
      <c r="A899" s="103"/>
      <c r="B899" s="103"/>
      <c r="C899" s="103"/>
      <c r="D899" s="103"/>
      <c r="E899" s="103"/>
      <c r="F899" s="103"/>
      <c r="G899" s="103"/>
      <c r="H899" s="103"/>
      <c r="I899" s="103"/>
      <c r="J899" s="103"/>
      <c r="K899" s="103"/>
      <c r="L899" s="60"/>
      <c r="M899" s="103"/>
      <c r="N899" s="61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</row>
    <row r="900" ht="30.0" customHeight="1">
      <c r="A900" s="103"/>
      <c r="B900" s="103"/>
      <c r="C900" s="103"/>
      <c r="D900" s="103"/>
      <c r="E900" s="103"/>
      <c r="F900" s="103"/>
      <c r="G900" s="103"/>
      <c r="H900" s="103"/>
      <c r="I900" s="103"/>
      <c r="J900" s="103"/>
      <c r="K900" s="103"/>
      <c r="L900" s="60"/>
      <c r="M900" s="103"/>
      <c r="N900" s="61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</row>
    <row r="901" ht="30.0" customHeight="1">
      <c r="A901" s="103"/>
      <c r="B901" s="103"/>
      <c r="C901" s="103"/>
      <c r="D901" s="103"/>
      <c r="E901" s="103"/>
      <c r="F901" s="103"/>
      <c r="G901" s="103"/>
      <c r="H901" s="103"/>
      <c r="I901" s="103"/>
      <c r="J901" s="103"/>
      <c r="K901" s="103"/>
      <c r="L901" s="60"/>
      <c r="M901" s="103"/>
      <c r="N901" s="61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</row>
    <row r="902" ht="30.0" customHeight="1">
      <c r="A902" s="103"/>
      <c r="B902" s="103"/>
      <c r="C902" s="103"/>
      <c r="D902" s="103"/>
      <c r="E902" s="103"/>
      <c r="F902" s="103"/>
      <c r="G902" s="103"/>
      <c r="H902" s="103"/>
      <c r="I902" s="103"/>
      <c r="J902" s="103"/>
      <c r="K902" s="103"/>
      <c r="L902" s="60"/>
      <c r="M902" s="103"/>
      <c r="N902" s="61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</row>
    <row r="903" ht="30.0" customHeight="1">
      <c r="A903" s="103"/>
      <c r="B903" s="103"/>
      <c r="C903" s="103"/>
      <c r="D903" s="103"/>
      <c r="E903" s="103"/>
      <c r="F903" s="103"/>
      <c r="G903" s="103"/>
      <c r="H903" s="103"/>
      <c r="I903" s="103"/>
      <c r="J903" s="103"/>
      <c r="K903" s="103"/>
      <c r="L903" s="60"/>
      <c r="M903" s="103"/>
      <c r="N903" s="61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</row>
    <row r="904" ht="30.0" customHeight="1">
      <c r="A904" s="103"/>
      <c r="B904" s="103"/>
      <c r="C904" s="103"/>
      <c r="D904" s="103"/>
      <c r="E904" s="103"/>
      <c r="F904" s="103"/>
      <c r="G904" s="103"/>
      <c r="H904" s="103"/>
      <c r="I904" s="103"/>
      <c r="J904" s="103"/>
      <c r="K904" s="103"/>
      <c r="L904" s="60"/>
      <c r="M904" s="103"/>
      <c r="N904" s="61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</row>
    <row r="905" ht="30.0" customHeight="1">
      <c r="A905" s="103"/>
      <c r="B905" s="103"/>
      <c r="C905" s="103"/>
      <c r="D905" s="103"/>
      <c r="E905" s="103"/>
      <c r="F905" s="103"/>
      <c r="G905" s="103"/>
      <c r="H905" s="103"/>
      <c r="I905" s="103"/>
      <c r="J905" s="103"/>
      <c r="K905" s="103"/>
      <c r="L905" s="60"/>
      <c r="M905" s="103"/>
      <c r="N905" s="61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</row>
    <row r="906" ht="30.0" customHeight="1">
      <c r="A906" s="103"/>
      <c r="B906" s="103"/>
      <c r="C906" s="103"/>
      <c r="D906" s="103"/>
      <c r="E906" s="103"/>
      <c r="F906" s="103"/>
      <c r="G906" s="103"/>
      <c r="H906" s="103"/>
      <c r="I906" s="103"/>
      <c r="J906" s="103"/>
      <c r="K906" s="103"/>
      <c r="L906" s="60"/>
      <c r="M906" s="103"/>
      <c r="N906" s="61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</row>
    <row r="907" ht="30.0" customHeight="1">
      <c r="A907" s="103"/>
      <c r="B907" s="103"/>
      <c r="C907" s="103"/>
      <c r="D907" s="103"/>
      <c r="E907" s="103"/>
      <c r="F907" s="103"/>
      <c r="G907" s="103"/>
      <c r="H907" s="103"/>
      <c r="I907" s="103"/>
      <c r="J907" s="103"/>
      <c r="K907" s="103"/>
      <c r="L907" s="60"/>
      <c r="M907" s="103"/>
      <c r="N907" s="61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</row>
    <row r="908" ht="30.0" customHeight="1">
      <c r="A908" s="103"/>
      <c r="B908" s="103"/>
      <c r="C908" s="103"/>
      <c r="D908" s="103"/>
      <c r="E908" s="103"/>
      <c r="F908" s="103"/>
      <c r="G908" s="103"/>
      <c r="H908" s="103"/>
      <c r="I908" s="103"/>
      <c r="J908" s="103"/>
      <c r="K908" s="103"/>
      <c r="L908" s="60"/>
      <c r="M908" s="103"/>
      <c r="N908" s="61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</row>
    <row r="909" ht="30.0" customHeight="1">
      <c r="A909" s="103"/>
      <c r="B909" s="103"/>
      <c r="C909" s="103"/>
      <c r="D909" s="103"/>
      <c r="E909" s="103"/>
      <c r="F909" s="103"/>
      <c r="G909" s="103"/>
      <c r="H909" s="103"/>
      <c r="I909" s="103"/>
      <c r="J909" s="103"/>
      <c r="K909" s="103"/>
      <c r="L909" s="60"/>
      <c r="M909" s="103"/>
      <c r="N909" s="61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</row>
    <row r="910" ht="30.0" customHeight="1">
      <c r="A910" s="103"/>
      <c r="B910" s="103"/>
      <c r="C910" s="103"/>
      <c r="D910" s="103"/>
      <c r="E910" s="103"/>
      <c r="F910" s="103"/>
      <c r="G910" s="103"/>
      <c r="H910" s="103"/>
      <c r="I910" s="103"/>
      <c r="J910" s="103"/>
      <c r="K910" s="103"/>
      <c r="L910" s="60"/>
      <c r="M910" s="103"/>
      <c r="N910" s="61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</row>
    <row r="911" ht="30.0" customHeight="1">
      <c r="A911" s="103"/>
      <c r="B911" s="103"/>
      <c r="C911" s="103"/>
      <c r="D911" s="103"/>
      <c r="E911" s="103"/>
      <c r="F911" s="103"/>
      <c r="G911" s="103"/>
      <c r="H911" s="103"/>
      <c r="I911" s="103"/>
      <c r="J911" s="103"/>
      <c r="K911" s="103"/>
      <c r="L911" s="60"/>
      <c r="M911" s="103"/>
      <c r="N911" s="61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</row>
    <row r="912" ht="30.0" customHeight="1">
      <c r="A912" s="103"/>
      <c r="B912" s="103"/>
      <c r="C912" s="103"/>
      <c r="D912" s="103"/>
      <c r="E912" s="103"/>
      <c r="F912" s="103"/>
      <c r="G912" s="103"/>
      <c r="H912" s="103"/>
      <c r="I912" s="103"/>
      <c r="J912" s="103"/>
      <c r="K912" s="103"/>
      <c r="L912" s="60"/>
      <c r="M912" s="103"/>
      <c r="N912" s="61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</row>
    <row r="913" ht="30.0" customHeight="1">
      <c r="A913" s="103"/>
      <c r="B913" s="103"/>
      <c r="C913" s="103"/>
      <c r="D913" s="103"/>
      <c r="E913" s="103"/>
      <c r="F913" s="103"/>
      <c r="G913" s="103"/>
      <c r="H913" s="103"/>
      <c r="I913" s="103"/>
      <c r="J913" s="103"/>
      <c r="K913" s="103"/>
      <c r="L913" s="60"/>
      <c r="M913" s="103"/>
      <c r="N913" s="61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</row>
    <row r="914" ht="30.0" customHeight="1">
      <c r="A914" s="103"/>
      <c r="B914" s="103"/>
      <c r="C914" s="103"/>
      <c r="D914" s="103"/>
      <c r="E914" s="103"/>
      <c r="F914" s="103"/>
      <c r="G914" s="103"/>
      <c r="H914" s="103"/>
      <c r="I914" s="103"/>
      <c r="J914" s="103"/>
      <c r="K914" s="103"/>
      <c r="L914" s="60"/>
      <c r="M914" s="103"/>
      <c r="N914" s="61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</row>
    <row r="915" ht="30.0" customHeight="1">
      <c r="A915" s="103"/>
      <c r="B915" s="103"/>
      <c r="C915" s="103"/>
      <c r="D915" s="103"/>
      <c r="E915" s="103"/>
      <c r="F915" s="103"/>
      <c r="G915" s="103"/>
      <c r="H915" s="103"/>
      <c r="I915" s="103"/>
      <c r="J915" s="103"/>
      <c r="K915" s="103"/>
      <c r="L915" s="60"/>
      <c r="M915" s="103"/>
      <c r="N915" s="61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</row>
    <row r="916" ht="30.0" customHeight="1">
      <c r="A916" s="103"/>
      <c r="B916" s="103"/>
      <c r="C916" s="103"/>
      <c r="D916" s="103"/>
      <c r="E916" s="103"/>
      <c r="F916" s="103"/>
      <c r="G916" s="103"/>
      <c r="H916" s="103"/>
      <c r="I916" s="103"/>
      <c r="J916" s="103"/>
      <c r="K916" s="103"/>
      <c r="L916" s="60"/>
      <c r="M916" s="103"/>
      <c r="N916" s="61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</row>
    <row r="917" ht="30.0" customHeight="1">
      <c r="A917" s="103"/>
      <c r="B917" s="103"/>
      <c r="C917" s="103"/>
      <c r="D917" s="103"/>
      <c r="E917" s="103"/>
      <c r="F917" s="103"/>
      <c r="G917" s="103"/>
      <c r="H917" s="103"/>
      <c r="I917" s="103"/>
      <c r="J917" s="103"/>
      <c r="K917" s="103"/>
      <c r="L917" s="60"/>
      <c r="M917" s="103"/>
      <c r="N917" s="61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</row>
    <row r="918" ht="30.0" customHeight="1">
      <c r="A918" s="103"/>
      <c r="B918" s="103"/>
      <c r="C918" s="103"/>
      <c r="D918" s="103"/>
      <c r="E918" s="103"/>
      <c r="F918" s="103"/>
      <c r="G918" s="103"/>
      <c r="H918" s="103"/>
      <c r="I918" s="103"/>
      <c r="J918" s="103"/>
      <c r="K918" s="103"/>
      <c r="L918" s="60"/>
      <c r="M918" s="103"/>
      <c r="N918" s="61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</row>
    <row r="919" ht="30.0" customHeight="1">
      <c r="A919" s="103"/>
      <c r="B919" s="103"/>
      <c r="C919" s="103"/>
      <c r="D919" s="103"/>
      <c r="E919" s="103"/>
      <c r="F919" s="103"/>
      <c r="G919" s="103"/>
      <c r="H919" s="103"/>
      <c r="I919" s="103"/>
      <c r="J919" s="103"/>
      <c r="K919" s="103"/>
      <c r="L919" s="60"/>
      <c r="M919" s="103"/>
      <c r="N919" s="61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</row>
    <row r="920" ht="30.0" customHeight="1">
      <c r="A920" s="103"/>
      <c r="B920" s="103"/>
      <c r="C920" s="103"/>
      <c r="D920" s="103"/>
      <c r="E920" s="103"/>
      <c r="F920" s="103"/>
      <c r="G920" s="103"/>
      <c r="H920" s="103"/>
      <c r="I920" s="103"/>
      <c r="J920" s="103"/>
      <c r="K920" s="103"/>
      <c r="L920" s="60"/>
      <c r="M920" s="103"/>
      <c r="N920" s="61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</row>
    <row r="921" ht="30.0" customHeight="1">
      <c r="A921" s="103"/>
      <c r="B921" s="103"/>
      <c r="C921" s="103"/>
      <c r="D921" s="103"/>
      <c r="E921" s="103"/>
      <c r="F921" s="103"/>
      <c r="G921" s="103"/>
      <c r="H921" s="103"/>
      <c r="I921" s="103"/>
      <c r="J921" s="103"/>
      <c r="K921" s="103"/>
      <c r="L921" s="60"/>
      <c r="M921" s="103"/>
      <c r="N921" s="61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</row>
    <row r="922" ht="30.0" customHeight="1">
      <c r="A922" s="103"/>
      <c r="B922" s="103"/>
      <c r="C922" s="103"/>
      <c r="D922" s="103"/>
      <c r="E922" s="103"/>
      <c r="F922" s="103"/>
      <c r="G922" s="103"/>
      <c r="H922" s="103"/>
      <c r="I922" s="103"/>
      <c r="J922" s="103"/>
      <c r="K922" s="103"/>
      <c r="L922" s="60"/>
      <c r="M922" s="103"/>
      <c r="N922" s="61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</row>
    <row r="923" ht="30.0" customHeight="1">
      <c r="A923" s="103"/>
      <c r="B923" s="103"/>
      <c r="C923" s="103"/>
      <c r="D923" s="103"/>
      <c r="E923" s="103"/>
      <c r="F923" s="103"/>
      <c r="G923" s="103"/>
      <c r="H923" s="103"/>
      <c r="I923" s="103"/>
      <c r="J923" s="103"/>
      <c r="K923" s="103"/>
      <c r="L923" s="60"/>
      <c r="M923" s="103"/>
      <c r="N923" s="61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</row>
    <row r="924" ht="30.0" customHeight="1">
      <c r="A924" s="103"/>
      <c r="B924" s="103"/>
      <c r="C924" s="103"/>
      <c r="D924" s="103"/>
      <c r="E924" s="103"/>
      <c r="F924" s="103"/>
      <c r="G924" s="103"/>
      <c r="H924" s="103"/>
      <c r="I924" s="103"/>
      <c r="J924" s="103"/>
      <c r="K924" s="103"/>
      <c r="L924" s="60"/>
      <c r="M924" s="103"/>
      <c r="N924" s="61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</row>
    <row r="925" ht="30.0" customHeight="1">
      <c r="A925" s="103"/>
      <c r="B925" s="103"/>
      <c r="C925" s="103"/>
      <c r="D925" s="103"/>
      <c r="E925" s="103"/>
      <c r="F925" s="103"/>
      <c r="G925" s="103"/>
      <c r="H925" s="103"/>
      <c r="I925" s="103"/>
      <c r="J925" s="103"/>
      <c r="K925" s="103"/>
      <c r="L925" s="60"/>
      <c r="M925" s="103"/>
      <c r="N925" s="61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</row>
    <row r="926" ht="30.0" customHeight="1">
      <c r="A926" s="103"/>
      <c r="B926" s="103"/>
      <c r="C926" s="103"/>
      <c r="D926" s="103"/>
      <c r="E926" s="103"/>
      <c r="F926" s="103"/>
      <c r="G926" s="103"/>
      <c r="H926" s="103"/>
      <c r="I926" s="103"/>
      <c r="J926" s="103"/>
      <c r="K926" s="103"/>
      <c r="L926" s="60"/>
      <c r="M926" s="103"/>
      <c r="N926" s="61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</row>
    <row r="927" ht="30.0" customHeight="1">
      <c r="A927" s="103"/>
      <c r="B927" s="103"/>
      <c r="C927" s="103"/>
      <c r="D927" s="103"/>
      <c r="E927" s="103"/>
      <c r="F927" s="103"/>
      <c r="G927" s="103"/>
      <c r="H927" s="103"/>
      <c r="I927" s="103"/>
      <c r="J927" s="103"/>
      <c r="K927" s="103"/>
      <c r="L927" s="60"/>
      <c r="M927" s="103"/>
      <c r="N927" s="61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</row>
    <row r="928" ht="30.0" customHeight="1">
      <c r="A928" s="103"/>
      <c r="B928" s="103"/>
      <c r="C928" s="103"/>
      <c r="D928" s="103"/>
      <c r="E928" s="103"/>
      <c r="F928" s="103"/>
      <c r="G928" s="103"/>
      <c r="H928" s="103"/>
      <c r="I928" s="103"/>
      <c r="J928" s="103"/>
      <c r="K928" s="103"/>
      <c r="L928" s="60"/>
      <c r="M928" s="103"/>
      <c r="N928" s="61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</row>
    <row r="929" ht="30.0" customHeight="1">
      <c r="A929" s="103"/>
      <c r="B929" s="103"/>
      <c r="C929" s="103"/>
      <c r="D929" s="103"/>
      <c r="E929" s="103"/>
      <c r="F929" s="103"/>
      <c r="G929" s="103"/>
      <c r="H929" s="103"/>
      <c r="I929" s="103"/>
      <c r="J929" s="103"/>
      <c r="K929" s="103"/>
      <c r="L929" s="60"/>
      <c r="M929" s="103"/>
      <c r="N929" s="61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</row>
    <row r="930" ht="30.0" customHeight="1">
      <c r="A930" s="103"/>
      <c r="B930" s="103"/>
      <c r="C930" s="103"/>
      <c r="D930" s="103"/>
      <c r="E930" s="103"/>
      <c r="F930" s="103"/>
      <c r="G930" s="103"/>
      <c r="H930" s="103"/>
      <c r="I930" s="103"/>
      <c r="J930" s="103"/>
      <c r="K930" s="103"/>
      <c r="L930" s="60"/>
      <c r="M930" s="103"/>
      <c r="N930" s="61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</row>
    <row r="931" ht="30.0" customHeight="1">
      <c r="A931" s="103"/>
      <c r="B931" s="103"/>
      <c r="C931" s="103"/>
      <c r="D931" s="103"/>
      <c r="E931" s="103"/>
      <c r="F931" s="103"/>
      <c r="G931" s="103"/>
      <c r="H931" s="103"/>
      <c r="I931" s="103"/>
      <c r="J931" s="103"/>
      <c r="K931" s="103"/>
      <c r="L931" s="60"/>
      <c r="M931" s="103"/>
      <c r="N931" s="61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</row>
    <row r="932" ht="30.0" customHeight="1">
      <c r="A932" s="103"/>
      <c r="B932" s="103"/>
      <c r="C932" s="103"/>
      <c r="D932" s="103"/>
      <c r="E932" s="103"/>
      <c r="F932" s="103"/>
      <c r="G932" s="103"/>
      <c r="H932" s="103"/>
      <c r="I932" s="103"/>
      <c r="J932" s="103"/>
      <c r="K932" s="103"/>
      <c r="L932" s="60"/>
      <c r="M932" s="103"/>
      <c r="N932" s="61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</row>
    <row r="933" ht="30.0" customHeight="1">
      <c r="A933" s="103"/>
      <c r="B933" s="103"/>
      <c r="C933" s="103"/>
      <c r="D933" s="103"/>
      <c r="E933" s="103"/>
      <c r="F933" s="103"/>
      <c r="G933" s="103"/>
      <c r="H933" s="103"/>
      <c r="I933" s="103"/>
      <c r="J933" s="103"/>
      <c r="K933" s="103"/>
      <c r="L933" s="60"/>
      <c r="M933" s="103"/>
      <c r="N933" s="61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</row>
    <row r="934" ht="30.0" customHeight="1">
      <c r="A934" s="103"/>
      <c r="B934" s="103"/>
      <c r="C934" s="103"/>
      <c r="D934" s="103"/>
      <c r="E934" s="103"/>
      <c r="F934" s="103"/>
      <c r="G934" s="103"/>
      <c r="H934" s="103"/>
      <c r="I934" s="103"/>
      <c r="J934" s="103"/>
      <c r="K934" s="103"/>
      <c r="L934" s="60"/>
      <c r="M934" s="103"/>
      <c r="N934" s="61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</row>
    <row r="935" ht="30.0" customHeight="1">
      <c r="A935" s="103"/>
      <c r="B935" s="103"/>
      <c r="C935" s="103"/>
      <c r="D935" s="103"/>
      <c r="E935" s="103"/>
      <c r="F935" s="103"/>
      <c r="G935" s="103"/>
      <c r="H935" s="103"/>
      <c r="I935" s="103"/>
      <c r="J935" s="103"/>
      <c r="K935" s="103"/>
      <c r="L935" s="60"/>
      <c r="M935" s="103"/>
      <c r="N935" s="61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</row>
    <row r="936" ht="30.0" customHeight="1">
      <c r="A936" s="103"/>
      <c r="B936" s="103"/>
      <c r="C936" s="103"/>
      <c r="D936" s="103"/>
      <c r="E936" s="103"/>
      <c r="F936" s="103"/>
      <c r="G936" s="103"/>
      <c r="H936" s="103"/>
      <c r="I936" s="103"/>
      <c r="J936" s="103"/>
      <c r="K936" s="103"/>
      <c r="L936" s="60"/>
      <c r="M936" s="103"/>
      <c r="N936" s="61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</row>
    <row r="937" ht="30.0" customHeight="1">
      <c r="A937" s="103"/>
      <c r="B937" s="103"/>
      <c r="C937" s="103"/>
      <c r="D937" s="103"/>
      <c r="E937" s="103"/>
      <c r="F937" s="103"/>
      <c r="G937" s="103"/>
      <c r="H937" s="103"/>
      <c r="I937" s="103"/>
      <c r="J937" s="103"/>
      <c r="K937" s="103"/>
      <c r="L937" s="60"/>
      <c r="M937" s="103"/>
      <c r="N937" s="61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</row>
    <row r="938" ht="30.0" customHeight="1">
      <c r="A938" s="103"/>
      <c r="B938" s="103"/>
      <c r="C938" s="103"/>
      <c r="D938" s="103"/>
      <c r="E938" s="103"/>
      <c r="F938" s="103"/>
      <c r="G938" s="103"/>
      <c r="H938" s="103"/>
      <c r="I938" s="103"/>
      <c r="J938" s="103"/>
      <c r="K938" s="103"/>
      <c r="L938" s="60"/>
      <c r="M938" s="103"/>
      <c r="N938" s="61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</row>
    <row r="939" ht="30.0" customHeight="1">
      <c r="A939" s="103"/>
      <c r="B939" s="103"/>
      <c r="C939" s="103"/>
      <c r="D939" s="103"/>
      <c r="E939" s="103"/>
      <c r="F939" s="103"/>
      <c r="G939" s="103"/>
      <c r="H939" s="103"/>
      <c r="I939" s="103"/>
      <c r="J939" s="103"/>
      <c r="K939" s="103"/>
      <c r="L939" s="60"/>
      <c r="M939" s="103"/>
      <c r="N939" s="61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</row>
    <row r="940" ht="30.0" customHeight="1">
      <c r="A940" s="103"/>
      <c r="B940" s="103"/>
      <c r="C940" s="103"/>
      <c r="D940" s="103"/>
      <c r="E940" s="103"/>
      <c r="F940" s="103"/>
      <c r="G940" s="103"/>
      <c r="H940" s="103"/>
      <c r="I940" s="103"/>
      <c r="J940" s="103"/>
      <c r="K940" s="103"/>
      <c r="L940" s="60"/>
      <c r="M940" s="103"/>
      <c r="N940" s="61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</row>
    <row r="941" ht="30.0" customHeight="1">
      <c r="A941" s="103"/>
      <c r="B941" s="103"/>
      <c r="C941" s="103"/>
      <c r="D941" s="103"/>
      <c r="E941" s="103"/>
      <c r="F941" s="103"/>
      <c r="G941" s="103"/>
      <c r="H941" s="103"/>
      <c r="I941" s="103"/>
      <c r="J941" s="103"/>
      <c r="K941" s="103"/>
      <c r="L941" s="60"/>
      <c r="M941" s="103"/>
      <c r="N941" s="61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</row>
    <row r="942" ht="30.0" customHeight="1">
      <c r="A942" s="103"/>
      <c r="B942" s="103"/>
      <c r="C942" s="103"/>
      <c r="D942" s="103"/>
      <c r="E942" s="103"/>
      <c r="F942" s="103"/>
      <c r="G942" s="103"/>
      <c r="H942" s="103"/>
      <c r="I942" s="103"/>
      <c r="J942" s="103"/>
      <c r="K942" s="103"/>
      <c r="L942" s="60"/>
      <c r="M942" s="103"/>
      <c r="N942" s="61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</row>
    <row r="943" ht="30.0" customHeight="1">
      <c r="A943" s="103"/>
      <c r="B943" s="103"/>
      <c r="C943" s="103"/>
      <c r="D943" s="103"/>
      <c r="E943" s="103"/>
      <c r="F943" s="103"/>
      <c r="G943" s="103"/>
      <c r="H943" s="103"/>
      <c r="I943" s="103"/>
      <c r="J943" s="103"/>
      <c r="K943" s="103"/>
      <c r="L943" s="60"/>
      <c r="M943" s="103"/>
      <c r="N943" s="61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</row>
    <row r="944" ht="30.0" customHeight="1">
      <c r="A944" s="103"/>
      <c r="B944" s="103"/>
      <c r="C944" s="103"/>
      <c r="D944" s="103"/>
      <c r="E944" s="103"/>
      <c r="F944" s="103"/>
      <c r="G944" s="103"/>
      <c r="H944" s="103"/>
      <c r="I944" s="103"/>
      <c r="J944" s="103"/>
      <c r="K944" s="103"/>
      <c r="L944" s="60"/>
      <c r="M944" s="103"/>
      <c r="N944" s="61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</row>
    <row r="945" ht="30.0" customHeight="1">
      <c r="A945" s="103"/>
      <c r="B945" s="103"/>
      <c r="C945" s="103"/>
      <c r="D945" s="103"/>
      <c r="E945" s="103"/>
      <c r="F945" s="103"/>
      <c r="G945" s="103"/>
      <c r="H945" s="103"/>
      <c r="I945" s="103"/>
      <c r="J945" s="103"/>
      <c r="K945" s="103"/>
      <c r="L945" s="60"/>
      <c r="M945" s="103"/>
      <c r="N945" s="61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</row>
    <row r="946" ht="30.0" customHeight="1">
      <c r="A946" s="103"/>
      <c r="B946" s="103"/>
      <c r="C946" s="103"/>
      <c r="D946" s="103"/>
      <c r="E946" s="103"/>
      <c r="F946" s="103"/>
      <c r="G946" s="103"/>
      <c r="H946" s="103"/>
      <c r="I946" s="103"/>
      <c r="J946" s="103"/>
      <c r="K946" s="103"/>
      <c r="L946" s="60"/>
      <c r="M946" s="103"/>
      <c r="N946" s="61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</row>
    <row r="947" ht="30.0" customHeight="1">
      <c r="A947" s="103"/>
      <c r="B947" s="103"/>
      <c r="C947" s="103"/>
      <c r="D947" s="103"/>
      <c r="E947" s="103"/>
      <c r="F947" s="103"/>
      <c r="G947" s="103"/>
      <c r="H947" s="103"/>
      <c r="I947" s="103"/>
      <c r="J947" s="103"/>
      <c r="K947" s="103"/>
      <c r="L947" s="60"/>
      <c r="M947" s="103"/>
      <c r="N947" s="61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</row>
    <row r="948" ht="30.0" customHeight="1">
      <c r="A948" s="103"/>
      <c r="B948" s="103"/>
      <c r="C948" s="103"/>
      <c r="D948" s="103"/>
      <c r="E948" s="103"/>
      <c r="F948" s="103"/>
      <c r="G948" s="103"/>
      <c r="H948" s="103"/>
      <c r="I948" s="103"/>
      <c r="J948" s="103"/>
      <c r="K948" s="103"/>
      <c r="L948" s="60"/>
      <c r="M948" s="103"/>
      <c r="N948" s="61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</row>
    <row r="949" ht="30.0" customHeight="1">
      <c r="A949" s="103"/>
      <c r="B949" s="103"/>
      <c r="C949" s="103"/>
      <c r="D949" s="103"/>
      <c r="E949" s="103"/>
      <c r="F949" s="103"/>
      <c r="G949" s="103"/>
      <c r="H949" s="103"/>
      <c r="I949" s="103"/>
      <c r="J949" s="103"/>
      <c r="K949" s="103"/>
      <c r="L949" s="60"/>
      <c r="M949" s="103"/>
      <c r="N949" s="61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</row>
    <row r="950" ht="30.0" customHeight="1">
      <c r="A950" s="103"/>
      <c r="B950" s="103"/>
      <c r="C950" s="103"/>
      <c r="D950" s="103"/>
      <c r="E950" s="103"/>
      <c r="F950" s="103"/>
      <c r="G950" s="103"/>
      <c r="H950" s="103"/>
      <c r="I950" s="103"/>
      <c r="J950" s="103"/>
      <c r="K950" s="103"/>
      <c r="L950" s="60"/>
      <c r="M950" s="103"/>
      <c r="N950" s="61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</row>
    <row r="951" ht="30.0" customHeight="1">
      <c r="A951" s="103"/>
      <c r="B951" s="103"/>
      <c r="C951" s="103"/>
      <c r="D951" s="103"/>
      <c r="E951" s="103"/>
      <c r="F951" s="103"/>
      <c r="G951" s="103"/>
      <c r="H951" s="103"/>
      <c r="I951" s="103"/>
      <c r="J951" s="103"/>
      <c r="K951" s="103"/>
      <c r="L951" s="60"/>
      <c r="M951" s="103"/>
      <c r="N951" s="61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</row>
    <row r="952" ht="30.0" customHeight="1">
      <c r="A952" s="103"/>
      <c r="B952" s="103"/>
      <c r="C952" s="103"/>
      <c r="D952" s="103"/>
      <c r="E952" s="103"/>
      <c r="F952" s="103"/>
      <c r="G952" s="103"/>
      <c r="H952" s="103"/>
      <c r="I952" s="103"/>
      <c r="J952" s="103"/>
      <c r="K952" s="103"/>
      <c r="L952" s="60"/>
      <c r="M952" s="103"/>
      <c r="N952" s="61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</row>
    <row r="953" ht="30.0" customHeight="1">
      <c r="A953" s="103"/>
      <c r="B953" s="103"/>
      <c r="C953" s="103"/>
      <c r="D953" s="103"/>
      <c r="E953" s="103"/>
      <c r="F953" s="103"/>
      <c r="G953" s="103"/>
      <c r="H953" s="103"/>
      <c r="I953" s="103"/>
      <c r="J953" s="103"/>
      <c r="K953" s="103"/>
      <c r="L953" s="60"/>
      <c r="M953" s="103"/>
      <c r="N953" s="61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</row>
    <row r="954" ht="30.0" customHeight="1">
      <c r="A954" s="103"/>
      <c r="B954" s="103"/>
      <c r="C954" s="103"/>
      <c r="D954" s="103"/>
      <c r="E954" s="103"/>
      <c r="F954" s="103"/>
      <c r="G954" s="103"/>
      <c r="H954" s="103"/>
      <c r="I954" s="103"/>
      <c r="J954" s="103"/>
      <c r="K954" s="103"/>
      <c r="L954" s="60"/>
      <c r="M954" s="103"/>
      <c r="N954" s="61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</row>
    <row r="955" ht="30.0" customHeight="1">
      <c r="A955" s="103"/>
      <c r="B955" s="103"/>
      <c r="C955" s="103"/>
      <c r="D955" s="103"/>
      <c r="E955" s="103"/>
      <c r="F955" s="103"/>
      <c r="G955" s="103"/>
      <c r="H955" s="103"/>
      <c r="I955" s="103"/>
      <c r="J955" s="103"/>
      <c r="K955" s="103"/>
      <c r="L955" s="60"/>
      <c r="M955" s="103"/>
      <c r="N955" s="61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</row>
    <row r="956" ht="30.0" customHeight="1">
      <c r="A956" s="103"/>
      <c r="B956" s="103"/>
      <c r="C956" s="103"/>
      <c r="D956" s="103"/>
      <c r="E956" s="103"/>
      <c r="F956" s="103"/>
      <c r="G956" s="103"/>
      <c r="H956" s="103"/>
      <c r="I956" s="103"/>
      <c r="J956" s="103"/>
      <c r="K956" s="103"/>
      <c r="L956" s="60"/>
      <c r="M956" s="103"/>
      <c r="N956" s="61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</row>
    <row r="957" ht="30.0" customHeight="1">
      <c r="A957" s="103"/>
      <c r="B957" s="103"/>
      <c r="C957" s="103"/>
      <c r="D957" s="103"/>
      <c r="E957" s="103"/>
      <c r="F957" s="103"/>
      <c r="G957" s="103"/>
      <c r="H957" s="103"/>
      <c r="I957" s="103"/>
      <c r="J957" s="103"/>
      <c r="K957" s="103"/>
      <c r="L957" s="60"/>
      <c r="M957" s="103"/>
      <c r="N957" s="61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</row>
    <row r="958" ht="30.0" customHeight="1">
      <c r="A958" s="103"/>
      <c r="B958" s="103"/>
      <c r="C958" s="103"/>
      <c r="D958" s="103"/>
      <c r="E958" s="103"/>
      <c r="F958" s="103"/>
      <c r="G958" s="103"/>
      <c r="H958" s="103"/>
      <c r="I958" s="103"/>
      <c r="J958" s="103"/>
      <c r="K958" s="103"/>
      <c r="L958" s="60"/>
      <c r="M958" s="103"/>
      <c r="N958" s="61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</row>
    <row r="959" ht="30.0" customHeight="1">
      <c r="A959" s="103"/>
      <c r="B959" s="103"/>
      <c r="C959" s="103"/>
      <c r="D959" s="103"/>
      <c r="E959" s="103"/>
      <c r="F959" s="103"/>
      <c r="G959" s="103"/>
      <c r="H959" s="103"/>
      <c r="I959" s="103"/>
      <c r="J959" s="103"/>
      <c r="K959" s="103"/>
      <c r="L959" s="60"/>
      <c r="M959" s="103"/>
      <c r="N959" s="61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</row>
    <row r="960" ht="30.0" customHeight="1">
      <c r="A960" s="103"/>
      <c r="B960" s="103"/>
      <c r="C960" s="103"/>
      <c r="D960" s="103"/>
      <c r="E960" s="103"/>
      <c r="F960" s="103"/>
      <c r="G960" s="103"/>
      <c r="H960" s="103"/>
      <c r="I960" s="103"/>
      <c r="J960" s="103"/>
      <c r="K960" s="103"/>
      <c r="L960" s="60"/>
      <c r="M960" s="103"/>
      <c r="N960" s="61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</row>
    <row r="961" ht="30.0" customHeight="1">
      <c r="A961" s="103"/>
      <c r="B961" s="103"/>
      <c r="C961" s="103"/>
      <c r="D961" s="103"/>
      <c r="E961" s="103"/>
      <c r="F961" s="103"/>
      <c r="G961" s="103"/>
      <c r="H961" s="103"/>
      <c r="I961" s="103"/>
      <c r="J961" s="103"/>
      <c r="K961" s="103"/>
      <c r="L961" s="60"/>
      <c r="M961" s="103"/>
      <c r="N961" s="61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</row>
    <row r="962" ht="30.0" customHeight="1">
      <c r="A962" s="103"/>
      <c r="B962" s="103"/>
      <c r="C962" s="103"/>
      <c r="D962" s="103"/>
      <c r="E962" s="103"/>
      <c r="F962" s="103"/>
      <c r="G962" s="103"/>
      <c r="H962" s="103"/>
      <c r="I962" s="103"/>
      <c r="J962" s="103"/>
      <c r="K962" s="103"/>
      <c r="L962" s="60"/>
      <c r="M962" s="103"/>
      <c r="N962" s="61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</row>
    <row r="963" ht="30.0" customHeight="1">
      <c r="A963" s="103"/>
      <c r="B963" s="103"/>
      <c r="C963" s="103"/>
      <c r="D963" s="103"/>
      <c r="E963" s="103"/>
      <c r="F963" s="103"/>
      <c r="G963" s="103"/>
      <c r="H963" s="103"/>
      <c r="I963" s="103"/>
      <c r="J963" s="103"/>
      <c r="K963" s="103"/>
      <c r="L963" s="60"/>
      <c r="M963" s="103"/>
      <c r="N963" s="61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</row>
    <row r="964" ht="30.0" customHeight="1">
      <c r="A964" s="103"/>
      <c r="B964" s="103"/>
      <c r="C964" s="103"/>
      <c r="D964" s="103"/>
      <c r="E964" s="103"/>
      <c r="F964" s="103"/>
      <c r="G964" s="103"/>
      <c r="H964" s="103"/>
      <c r="I964" s="103"/>
      <c r="J964" s="103"/>
      <c r="K964" s="103"/>
      <c r="L964" s="60"/>
      <c r="M964" s="103"/>
      <c r="N964" s="61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</row>
    <row r="965" ht="30.0" customHeight="1">
      <c r="A965" s="103"/>
      <c r="B965" s="103"/>
      <c r="C965" s="103"/>
      <c r="D965" s="103"/>
      <c r="E965" s="103"/>
      <c r="F965" s="103"/>
      <c r="G965" s="103"/>
      <c r="H965" s="103"/>
      <c r="I965" s="103"/>
      <c r="J965" s="103"/>
      <c r="K965" s="103"/>
      <c r="L965" s="60"/>
      <c r="M965" s="103"/>
      <c r="N965" s="61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</row>
    <row r="966" ht="30.0" customHeight="1">
      <c r="A966" s="103"/>
      <c r="B966" s="103"/>
      <c r="C966" s="103"/>
      <c r="D966" s="103"/>
      <c r="E966" s="103"/>
      <c r="F966" s="103"/>
      <c r="G966" s="103"/>
      <c r="H966" s="103"/>
      <c r="I966" s="103"/>
      <c r="J966" s="103"/>
      <c r="K966" s="103"/>
      <c r="L966" s="60"/>
      <c r="M966" s="103"/>
      <c r="N966" s="61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</row>
    <row r="967" ht="30.0" customHeight="1">
      <c r="A967" s="103"/>
      <c r="B967" s="103"/>
      <c r="C967" s="103"/>
      <c r="D967" s="103"/>
      <c r="E967" s="103"/>
      <c r="F967" s="103"/>
      <c r="G967" s="103"/>
      <c r="H967" s="103"/>
      <c r="I967" s="103"/>
      <c r="J967" s="103"/>
      <c r="K967" s="103"/>
      <c r="L967" s="60"/>
      <c r="M967" s="103"/>
      <c r="N967" s="61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</row>
    <row r="968" ht="30.0" customHeight="1">
      <c r="A968" s="103"/>
      <c r="B968" s="103"/>
      <c r="C968" s="103"/>
      <c r="D968" s="103"/>
      <c r="E968" s="103"/>
      <c r="F968" s="103"/>
      <c r="G968" s="103"/>
      <c r="H968" s="103"/>
      <c r="I968" s="103"/>
      <c r="J968" s="103"/>
      <c r="K968" s="103"/>
      <c r="L968" s="60"/>
      <c r="M968" s="103"/>
      <c r="N968" s="61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</row>
    <row r="969" ht="30.0" customHeight="1">
      <c r="A969" s="103"/>
      <c r="B969" s="103"/>
      <c r="C969" s="103"/>
      <c r="D969" s="103"/>
      <c r="E969" s="103"/>
      <c r="F969" s="103"/>
      <c r="G969" s="103"/>
      <c r="H969" s="103"/>
      <c r="I969" s="103"/>
      <c r="J969" s="103"/>
      <c r="K969" s="103"/>
      <c r="L969" s="60"/>
      <c r="M969" s="103"/>
      <c r="N969" s="61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</row>
    <row r="970" ht="30.0" customHeight="1">
      <c r="A970" s="103"/>
      <c r="B970" s="103"/>
      <c r="C970" s="103"/>
      <c r="D970" s="103"/>
      <c r="E970" s="103"/>
      <c r="F970" s="103"/>
      <c r="G970" s="103"/>
      <c r="H970" s="103"/>
      <c r="I970" s="103"/>
      <c r="J970" s="103"/>
      <c r="K970" s="103"/>
      <c r="L970" s="60"/>
      <c r="M970" s="103"/>
      <c r="N970" s="61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</row>
    <row r="971" ht="30.0" customHeight="1">
      <c r="A971" s="103"/>
      <c r="B971" s="103"/>
      <c r="C971" s="103"/>
      <c r="D971" s="103"/>
      <c r="E971" s="103"/>
      <c r="F971" s="103"/>
      <c r="G971" s="103"/>
      <c r="H971" s="103"/>
      <c r="I971" s="103"/>
      <c r="J971" s="103"/>
      <c r="K971" s="103"/>
      <c r="L971" s="60"/>
      <c r="M971" s="103"/>
      <c r="N971" s="61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</row>
    <row r="972" ht="30.0" customHeight="1">
      <c r="A972" s="103"/>
      <c r="B972" s="103"/>
      <c r="C972" s="103"/>
      <c r="D972" s="103"/>
      <c r="E972" s="103"/>
      <c r="F972" s="103"/>
      <c r="G972" s="103"/>
      <c r="H972" s="103"/>
      <c r="I972" s="103"/>
      <c r="J972" s="103"/>
      <c r="K972" s="103"/>
      <c r="L972" s="60"/>
      <c r="M972" s="103"/>
      <c r="N972" s="61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</row>
    <row r="973" ht="30.0" customHeight="1">
      <c r="A973" s="103"/>
      <c r="B973" s="103"/>
      <c r="C973" s="103"/>
      <c r="D973" s="103"/>
      <c r="E973" s="103"/>
      <c r="F973" s="103"/>
      <c r="G973" s="103"/>
      <c r="H973" s="103"/>
      <c r="I973" s="103"/>
      <c r="J973" s="103"/>
      <c r="K973" s="103"/>
      <c r="L973" s="60"/>
      <c r="M973" s="103"/>
      <c r="N973" s="61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</row>
    <row r="974" ht="30.0" customHeight="1">
      <c r="A974" s="103"/>
      <c r="B974" s="103"/>
      <c r="C974" s="103"/>
      <c r="D974" s="103"/>
      <c r="E974" s="103"/>
      <c r="F974" s="103"/>
      <c r="G974" s="103"/>
      <c r="H974" s="103"/>
      <c r="I974" s="103"/>
      <c r="J974" s="103"/>
      <c r="K974" s="103"/>
      <c r="L974" s="60"/>
      <c r="M974" s="103"/>
      <c r="N974" s="61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</row>
    <row r="975" ht="30.0" customHeight="1">
      <c r="A975" s="103"/>
      <c r="B975" s="103"/>
      <c r="C975" s="103"/>
      <c r="D975" s="103"/>
      <c r="E975" s="103"/>
      <c r="F975" s="103"/>
      <c r="G975" s="103"/>
      <c r="H975" s="103"/>
      <c r="I975" s="103"/>
      <c r="J975" s="103"/>
      <c r="K975" s="103"/>
      <c r="L975" s="60"/>
      <c r="M975" s="103"/>
      <c r="N975" s="61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</row>
    <row r="976" ht="30.0" customHeight="1">
      <c r="A976" s="103"/>
      <c r="B976" s="103"/>
      <c r="C976" s="103"/>
      <c r="D976" s="103"/>
      <c r="E976" s="103"/>
      <c r="F976" s="103"/>
      <c r="G976" s="103"/>
      <c r="H976" s="103"/>
      <c r="I976" s="103"/>
      <c r="J976" s="103"/>
      <c r="K976" s="103"/>
      <c r="L976" s="60"/>
      <c r="M976" s="103"/>
      <c r="N976" s="61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</row>
    <row r="977" ht="30.0" customHeight="1">
      <c r="A977" s="103"/>
      <c r="B977" s="103"/>
      <c r="C977" s="103"/>
      <c r="D977" s="103"/>
      <c r="E977" s="103"/>
      <c r="F977" s="103"/>
      <c r="G977" s="103"/>
      <c r="H977" s="103"/>
      <c r="I977" s="103"/>
      <c r="J977" s="103"/>
      <c r="K977" s="103"/>
      <c r="L977" s="60"/>
      <c r="M977" s="103"/>
      <c r="N977" s="61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</row>
    <row r="978" ht="30.0" customHeight="1">
      <c r="A978" s="103"/>
      <c r="B978" s="103"/>
      <c r="C978" s="103"/>
      <c r="D978" s="103"/>
      <c r="E978" s="103"/>
      <c r="F978" s="103"/>
      <c r="G978" s="103"/>
      <c r="H978" s="103"/>
      <c r="I978" s="103"/>
      <c r="J978" s="103"/>
      <c r="K978" s="103"/>
      <c r="L978" s="60"/>
      <c r="M978" s="103"/>
      <c r="N978" s="61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</row>
    <row r="979" ht="30.0" customHeight="1">
      <c r="A979" s="103"/>
      <c r="B979" s="103"/>
      <c r="C979" s="103"/>
      <c r="D979" s="103"/>
      <c r="E979" s="103"/>
      <c r="F979" s="103"/>
      <c r="G979" s="103"/>
      <c r="H979" s="103"/>
      <c r="I979" s="103"/>
      <c r="J979" s="103"/>
      <c r="K979" s="103"/>
      <c r="L979" s="60"/>
      <c r="M979" s="103"/>
      <c r="N979" s="61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</row>
    <row r="980" ht="30.0" customHeight="1">
      <c r="A980" s="103"/>
      <c r="B980" s="103"/>
      <c r="C980" s="103"/>
      <c r="D980" s="103"/>
      <c r="E980" s="103"/>
      <c r="F980" s="103"/>
      <c r="G980" s="103"/>
      <c r="H980" s="103"/>
      <c r="I980" s="103"/>
      <c r="J980" s="103"/>
      <c r="K980" s="103"/>
      <c r="L980" s="60"/>
      <c r="M980" s="103"/>
      <c r="N980" s="61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</row>
    <row r="981" ht="30.0" customHeight="1">
      <c r="A981" s="103"/>
      <c r="B981" s="103"/>
      <c r="C981" s="103"/>
      <c r="D981" s="103"/>
      <c r="E981" s="103"/>
      <c r="F981" s="103"/>
      <c r="G981" s="103"/>
      <c r="H981" s="103"/>
      <c r="I981" s="103"/>
      <c r="J981" s="103"/>
      <c r="K981" s="103"/>
      <c r="L981" s="60"/>
      <c r="M981" s="103"/>
      <c r="N981" s="61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</row>
    <row r="982" ht="30.0" customHeight="1">
      <c r="A982" s="103"/>
      <c r="B982" s="103"/>
      <c r="C982" s="103"/>
      <c r="D982" s="103"/>
      <c r="E982" s="103"/>
      <c r="F982" s="103"/>
      <c r="G982" s="103"/>
      <c r="H982" s="103"/>
      <c r="I982" s="103"/>
      <c r="J982" s="103"/>
      <c r="K982" s="103"/>
      <c r="L982" s="60"/>
      <c r="M982" s="103"/>
      <c r="N982" s="61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</row>
    <row r="983" ht="30.0" customHeight="1">
      <c r="A983" s="103"/>
      <c r="B983" s="103"/>
      <c r="C983" s="103"/>
      <c r="D983" s="103"/>
      <c r="E983" s="103"/>
      <c r="F983" s="103"/>
      <c r="G983" s="103"/>
      <c r="H983" s="103"/>
      <c r="I983" s="103"/>
      <c r="J983" s="103"/>
      <c r="K983" s="103"/>
      <c r="L983" s="60"/>
      <c r="M983" s="103"/>
      <c r="N983" s="61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</row>
    <row r="984" ht="30.0" customHeight="1">
      <c r="A984" s="103"/>
      <c r="B984" s="103"/>
      <c r="C984" s="103"/>
      <c r="D984" s="103"/>
      <c r="E984" s="103"/>
      <c r="F984" s="103"/>
      <c r="G984" s="103"/>
      <c r="H984" s="103"/>
      <c r="I984" s="103"/>
      <c r="J984" s="103"/>
      <c r="K984" s="103"/>
      <c r="L984" s="60"/>
      <c r="M984" s="103"/>
      <c r="N984" s="61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</row>
    <row r="985" ht="30.0" customHeight="1">
      <c r="A985" s="103"/>
      <c r="B985" s="103"/>
      <c r="C985" s="103"/>
      <c r="D985" s="103"/>
      <c r="E985" s="103"/>
      <c r="F985" s="103"/>
      <c r="G985" s="103"/>
      <c r="H985" s="103"/>
      <c r="I985" s="103"/>
      <c r="J985" s="103"/>
      <c r="K985" s="103"/>
      <c r="L985" s="60"/>
      <c r="M985" s="103"/>
      <c r="N985" s="61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</row>
    <row r="986" ht="30.0" customHeight="1">
      <c r="A986" s="103"/>
      <c r="B986" s="103"/>
      <c r="C986" s="103"/>
      <c r="D986" s="103"/>
      <c r="E986" s="103"/>
      <c r="F986" s="103"/>
      <c r="G986" s="103"/>
      <c r="H986" s="103"/>
      <c r="I986" s="103"/>
      <c r="J986" s="103"/>
      <c r="K986" s="103"/>
      <c r="L986" s="60"/>
      <c r="M986" s="103"/>
      <c r="N986" s="61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</row>
    <row r="987" ht="30.0" customHeight="1">
      <c r="A987" s="103"/>
      <c r="B987" s="103"/>
      <c r="C987" s="103"/>
      <c r="D987" s="103"/>
      <c r="E987" s="103"/>
      <c r="F987" s="103"/>
      <c r="G987" s="103"/>
      <c r="H987" s="103"/>
      <c r="I987" s="103"/>
      <c r="J987" s="103"/>
      <c r="K987" s="103"/>
      <c r="L987" s="60"/>
      <c r="M987" s="103"/>
      <c r="N987" s="61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</row>
    <row r="988" ht="30.0" customHeight="1">
      <c r="A988" s="103"/>
      <c r="B988" s="103"/>
      <c r="C988" s="103"/>
      <c r="D988" s="103"/>
      <c r="E988" s="103"/>
      <c r="F988" s="103"/>
      <c r="G988" s="103"/>
      <c r="H988" s="103"/>
      <c r="I988" s="103"/>
      <c r="J988" s="103"/>
      <c r="K988" s="103"/>
      <c r="L988" s="60"/>
      <c r="M988" s="103"/>
      <c r="N988" s="61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</row>
    <row r="989" ht="30.0" customHeight="1">
      <c r="A989" s="103"/>
      <c r="B989" s="103"/>
      <c r="C989" s="103"/>
      <c r="D989" s="103"/>
      <c r="E989" s="103"/>
      <c r="F989" s="103"/>
      <c r="G989" s="103"/>
      <c r="H989" s="103"/>
      <c r="I989" s="103"/>
      <c r="J989" s="103"/>
      <c r="K989" s="103"/>
      <c r="L989" s="60"/>
      <c r="M989" s="103"/>
      <c r="N989" s="61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</row>
    <row r="990" ht="30.0" customHeight="1">
      <c r="A990" s="103"/>
      <c r="B990" s="103"/>
      <c r="C990" s="103"/>
      <c r="D990" s="103"/>
      <c r="E990" s="103"/>
      <c r="F990" s="103"/>
      <c r="G990" s="103"/>
      <c r="H990" s="103"/>
      <c r="I990" s="103"/>
      <c r="J990" s="103"/>
      <c r="K990" s="103"/>
      <c r="L990" s="60"/>
      <c r="M990" s="103"/>
      <c r="N990" s="61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</row>
    <row r="991" ht="30.0" customHeight="1">
      <c r="A991" s="103"/>
      <c r="B991" s="103"/>
      <c r="C991" s="103"/>
      <c r="D991" s="103"/>
      <c r="E991" s="103"/>
      <c r="F991" s="103"/>
      <c r="G991" s="103"/>
      <c r="H991" s="103"/>
      <c r="I991" s="103"/>
      <c r="J991" s="103"/>
      <c r="K991" s="103"/>
      <c r="L991" s="60"/>
      <c r="M991" s="103"/>
      <c r="N991" s="61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</row>
    <row r="992" ht="30.0" customHeight="1">
      <c r="A992" s="103"/>
      <c r="B992" s="103"/>
      <c r="C992" s="103"/>
      <c r="D992" s="103"/>
      <c r="E992" s="103"/>
      <c r="F992" s="103"/>
      <c r="G992" s="103"/>
      <c r="H992" s="103"/>
      <c r="I992" s="103"/>
      <c r="J992" s="103"/>
      <c r="K992" s="103"/>
      <c r="L992" s="60"/>
      <c r="M992" s="103"/>
      <c r="N992" s="61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</row>
    <row r="993" ht="30.0" customHeight="1">
      <c r="A993" s="103"/>
      <c r="B993" s="103"/>
      <c r="C993" s="103"/>
      <c r="D993" s="103"/>
      <c r="E993" s="103"/>
      <c r="F993" s="103"/>
      <c r="G993" s="103"/>
      <c r="H993" s="103"/>
      <c r="I993" s="103"/>
      <c r="J993" s="103"/>
      <c r="K993" s="103"/>
      <c r="L993" s="60"/>
      <c r="M993" s="103"/>
      <c r="N993" s="61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</row>
    <row r="994" ht="30.0" customHeight="1">
      <c r="A994" s="103"/>
      <c r="B994" s="103"/>
      <c r="C994" s="103"/>
      <c r="D994" s="103"/>
      <c r="E994" s="103"/>
      <c r="F994" s="103"/>
      <c r="G994" s="103"/>
      <c r="H994" s="103"/>
      <c r="I994" s="103"/>
      <c r="J994" s="103"/>
      <c r="K994" s="103"/>
      <c r="L994" s="60"/>
      <c r="M994" s="103"/>
      <c r="N994" s="61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</row>
    <row r="995" ht="30.0" customHeight="1">
      <c r="A995" s="103"/>
      <c r="B995" s="103"/>
      <c r="C995" s="103"/>
      <c r="D995" s="103"/>
      <c r="E995" s="103"/>
      <c r="F995" s="103"/>
      <c r="G995" s="103"/>
      <c r="H995" s="103"/>
      <c r="I995" s="103"/>
      <c r="J995" s="103"/>
      <c r="K995" s="103"/>
      <c r="L995" s="60"/>
      <c r="M995" s="103"/>
      <c r="N995" s="61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</row>
    <row r="996" ht="30.0" customHeight="1">
      <c r="A996" s="103"/>
      <c r="B996" s="103"/>
      <c r="C996" s="103"/>
      <c r="D996" s="103"/>
      <c r="E996" s="103"/>
      <c r="F996" s="103"/>
      <c r="G996" s="103"/>
      <c r="H996" s="103"/>
      <c r="I996" s="103"/>
      <c r="J996" s="103"/>
      <c r="K996" s="103"/>
      <c r="L996" s="60"/>
      <c r="M996" s="103"/>
      <c r="N996" s="61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</row>
    <row r="997" ht="30.0" customHeight="1">
      <c r="A997" s="103"/>
      <c r="B997" s="103"/>
      <c r="C997" s="103"/>
      <c r="D997" s="103"/>
      <c r="E997" s="103"/>
      <c r="F997" s="103"/>
      <c r="G997" s="103"/>
      <c r="H997" s="103"/>
      <c r="I997" s="103"/>
      <c r="J997" s="103"/>
      <c r="K997" s="103"/>
      <c r="L997" s="60"/>
      <c r="M997" s="103"/>
      <c r="N997" s="61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</row>
    <row r="998" ht="30.0" customHeight="1">
      <c r="A998" s="103"/>
      <c r="B998" s="103"/>
      <c r="C998" s="103"/>
      <c r="D998" s="103"/>
      <c r="E998" s="103"/>
      <c r="F998" s="103"/>
      <c r="G998" s="103"/>
      <c r="H998" s="103"/>
      <c r="I998" s="103"/>
      <c r="J998" s="103"/>
      <c r="K998" s="103"/>
      <c r="L998" s="60"/>
      <c r="M998" s="103"/>
      <c r="N998" s="61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</row>
    <row r="999" ht="30.0" customHeight="1">
      <c r="A999" s="103"/>
      <c r="B999" s="103"/>
      <c r="C999" s="103"/>
      <c r="D999" s="103"/>
      <c r="E999" s="103"/>
      <c r="F999" s="103"/>
      <c r="G999" s="103"/>
      <c r="H999" s="103"/>
      <c r="I999" s="103"/>
      <c r="J999" s="103"/>
      <c r="K999" s="103"/>
      <c r="L999" s="60"/>
      <c r="M999" s="103"/>
      <c r="N999" s="61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</row>
    <row r="1000" ht="30.0" customHeight="1">
      <c r="A1000" s="103"/>
      <c r="B1000" s="103"/>
      <c r="C1000" s="103"/>
      <c r="D1000" s="103"/>
      <c r="E1000" s="103"/>
      <c r="F1000" s="103"/>
      <c r="G1000" s="103"/>
      <c r="H1000" s="103"/>
      <c r="I1000" s="103"/>
      <c r="J1000" s="103"/>
      <c r="K1000" s="103"/>
      <c r="L1000" s="60"/>
      <c r="M1000" s="103"/>
      <c r="N1000" s="61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</row>
  </sheetData>
  <mergeCells count="7">
    <mergeCell ref="A1:I1"/>
    <mergeCell ref="A2:B2"/>
    <mergeCell ref="A3:B3"/>
    <mergeCell ref="A4:B4"/>
    <mergeCell ref="A7:B7"/>
    <mergeCell ref="A8:B8"/>
    <mergeCell ref="A11:B11"/>
  </mergeCells>
  <printOptions horizontalCentered="1" verticalCentered="1"/>
  <pageMargins bottom="0.7874015748031497" footer="0.0" header="0.0" left="0.6692913385826772" right="0.6692913385826772" top="0.7874015748031497"/>
  <pageSetup paperSize="9" scale="74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5B8B7"/>
    <pageSetUpPr fitToPage="1"/>
  </sheetPr>
  <sheetViews>
    <sheetView workbookViewId="0"/>
  </sheetViews>
  <sheetFormatPr customHeight="1" defaultColWidth="14.43" defaultRowHeight="15.0"/>
  <cols>
    <col customWidth="1" min="1" max="26" width="17.71"/>
  </cols>
  <sheetData>
    <row r="1" ht="18.7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</row>
    <row r="2" ht="18.75" customHeight="1">
      <c r="A2" s="140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</row>
    <row r="3" ht="18.75" customHeight="1">
      <c r="A3" s="140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</row>
    <row r="4" ht="18.75" customHeight="1">
      <c r="A4" s="140"/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</row>
    <row r="5" ht="18.75" customHeight="1">
      <c r="A5" s="140"/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</row>
    <row r="6" ht="18.75" customHeight="1">
      <c r="A6" s="140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</row>
    <row r="7" ht="18.75" customHeight="1">
      <c r="A7" s="140"/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</row>
    <row r="8" ht="18.75" customHeight="1">
      <c r="A8" s="140"/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</row>
    <row r="9" ht="18.75" customHeight="1">
      <c r="A9" s="140"/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</row>
    <row r="10" ht="18.75" customHeight="1">
      <c r="A10" s="140"/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</row>
    <row r="11" ht="18.75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</row>
    <row r="12" ht="18.75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</row>
    <row r="13" ht="18.75" customHeight="1">
      <c r="A13" s="140"/>
      <c r="B13" s="140"/>
      <c r="C13" s="140"/>
      <c r="D13" s="140"/>
      <c r="E13" s="140"/>
      <c r="F13" s="140"/>
      <c r="G13" s="140"/>
      <c r="H13" s="141"/>
      <c r="I13" s="140"/>
      <c r="J13" s="140"/>
      <c r="K13" s="140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</row>
    <row r="14" ht="18.75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</row>
    <row r="15" ht="18.75" customHeight="1">
      <c r="A15" s="140"/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</row>
    <row r="16" ht="18.75" customHeight="1">
      <c r="A16" s="140"/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</row>
    <row r="17" ht="18.75" customHeight="1">
      <c r="A17" s="140"/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</row>
    <row r="18" ht="18.75" customHeight="1">
      <c r="A18" s="140"/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</row>
    <row r="19" ht="18.75" customHeight="1">
      <c r="A19" s="140"/>
      <c r="B19" s="140"/>
      <c r="C19" s="140"/>
      <c r="D19" s="140"/>
      <c r="E19" s="140"/>
      <c r="F19" s="140"/>
      <c r="G19" s="140"/>
      <c r="H19" s="140"/>
      <c r="I19" s="140"/>
      <c r="J19" s="140"/>
      <c r="K19" s="140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</row>
    <row r="20" ht="18.75" customHeight="1">
      <c r="A20" s="140"/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</row>
    <row r="21" ht="18.75" customHeight="1">
      <c r="A21" s="140"/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</row>
    <row r="22" ht="18.75" customHeight="1">
      <c r="A22" s="140"/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</row>
    <row r="23" ht="18.75" customHeight="1">
      <c r="A23" s="140"/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</row>
    <row r="24" ht="18.75" customHeight="1">
      <c r="A24" s="140"/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</row>
    <row r="25" ht="18.75" customHeight="1">
      <c r="A25" s="140"/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</row>
    <row r="26" ht="18.75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</row>
    <row r="27" ht="18.75" customHeight="1">
      <c r="A27" s="140"/>
      <c r="B27" s="140"/>
      <c r="C27" s="142"/>
      <c r="D27" s="142"/>
      <c r="E27" s="140"/>
      <c r="F27" s="140"/>
      <c r="G27" s="140"/>
      <c r="H27" s="140"/>
      <c r="I27" s="140"/>
      <c r="J27" s="140"/>
      <c r="K27" s="140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</row>
    <row r="28" ht="18.75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</row>
    <row r="29" ht="18.75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</row>
    <row r="30" ht="18.75" customHeight="1">
      <c r="A30" s="140"/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</row>
    <row r="31" ht="18.75" customHeight="1">
      <c r="A31" s="140"/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</row>
    <row r="32" ht="18.75" customHeight="1">
      <c r="A32" s="140"/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</row>
    <row r="33" ht="18.75" customHeight="1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</row>
    <row r="34" ht="18.75" customHeight="1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</row>
    <row r="35" ht="18.75" customHeight="1">
      <c r="A35" s="140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</row>
    <row r="36" ht="18.75" customHeight="1">
      <c r="A36" s="140"/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</row>
    <row r="37" ht="18.75" customHeight="1">
      <c r="A37" s="140"/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</row>
    <row r="38" ht="18.75" customHeight="1">
      <c r="A38" s="140"/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</row>
    <row r="39" ht="18.75" customHeight="1">
      <c r="A39" s="140"/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</row>
    <row r="40" ht="18.75" customHeight="1">
      <c r="A40" s="140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</row>
    <row r="41" ht="18.75" customHeight="1">
      <c r="A41" s="140"/>
      <c r="B41" s="140"/>
      <c r="C41" s="140"/>
      <c r="D41" s="140"/>
      <c r="E41" s="140"/>
      <c r="F41" s="140"/>
      <c r="G41" s="140"/>
      <c r="H41" s="140"/>
      <c r="I41" s="140"/>
      <c r="J41" s="140"/>
      <c r="K41" s="140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</row>
    <row r="42" ht="18.75" customHeight="1">
      <c r="A42" s="140"/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</row>
    <row r="43" ht="18.75" customHeight="1">
      <c r="A43" s="140"/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</row>
    <row r="44" ht="18.75" customHeight="1">
      <c r="A44" s="140"/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</row>
    <row r="45" ht="18.75" customHeight="1">
      <c r="A45" s="140"/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</row>
    <row r="46" ht="18.75" customHeight="1">
      <c r="A46" s="140"/>
      <c r="B46" s="140"/>
      <c r="C46" s="140"/>
      <c r="D46" s="140"/>
      <c r="E46" s="140"/>
      <c r="F46" s="140"/>
      <c r="G46" s="140"/>
      <c r="H46" s="140"/>
      <c r="I46" s="140"/>
      <c r="J46" s="140"/>
      <c r="K46" s="140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</row>
    <row r="47" ht="18.75" customHeight="1">
      <c r="A47" s="140"/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</row>
    <row r="48" ht="18.75" customHeight="1">
      <c r="A48" s="140"/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</row>
    <row r="49" ht="18.75" customHeight="1">
      <c r="A49" s="140"/>
      <c r="B49" s="140"/>
      <c r="C49" s="140"/>
      <c r="D49" s="140"/>
      <c r="E49" s="140"/>
      <c r="F49" s="140"/>
      <c r="G49" s="140"/>
      <c r="H49" s="140"/>
      <c r="I49" s="140"/>
      <c r="J49" s="140"/>
      <c r="K49" s="140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</row>
    <row r="50" ht="18.75" customHeight="1">
      <c r="A50" s="140"/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</row>
    <row r="51" ht="18.75" customHeight="1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</row>
    <row r="52" ht="18.75" customHeight="1">
      <c r="A52" s="140"/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</row>
    <row r="53" ht="18.75" customHeight="1">
      <c r="A53" s="140"/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</row>
    <row r="54" ht="18.75" customHeight="1">
      <c r="A54" s="140"/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</row>
    <row r="55" ht="18.75" customHeight="1">
      <c r="A55" s="140"/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</row>
    <row r="56" ht="18.75" customHeight="1">
      <c r="A56" s="140"/>
      <c r="B56" s="140"/>
      <c r="C56" s="140"/>
      <c r="D56" s="140"/>
      <c r="E56" s="140"/>
      <c r="F56" s="140"/>
      <c r="G56" s="140"/>
      <c r="H56" s="140"/>
      <c r="I56" s="140"/>
      <c r="J56" s="140"/>
      <c r="K56" s="140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</row>
    <row r="57" ht="18.75" customHeight="1">
      <c r="A57" s="140"/>
      <c r="B57" s="140"/>
      <c r="C57" s="140"/>
      <c r="D57" s="140"/>
      <c r="E57" s="140"/>
      <c r="F57" s="140"/>
      <c r="G57" s="140"/>
      <c r="H57" s="140"/>
      <c r="I57" s="140"/>
      <c r="J57" s="140"/>
      <c r="K57" s="140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</row>
    <row r="58" ht="18.75" customHeight="1">
      <c r="A58" s="140"/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</row>
    <row r="59" ht="18.75" customHeight="1">
      <c r="A59" s="140"/>
      <c r="B59" s="140"/>
      <c r="C59" s="140"/>
      <c r="D59" s="140"/>
      <c r="E59" s="140"/>
      <c r="F59" s="140"/>
      <c r="G59" s="140"/>
      <c r="H59" s="140"/>
      <c r="I59" s="140"/>
      <c r="J59" s="140"/>
      <c r="K59" s="140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</row>
    <row r="60" ht="18.75" customHeight="1">
      <c r="A60" s="140"/>
      <c r="B60" s="140"/>
      <c r="C60" s="140"/>
      <c r="D60" s="140"/>
      <c r="E60" s="140"/>
      <c r="F60" s="140"/>
      <c r="G60" s="140"/>
      <c r="H60" s="140"/>
      <c r="I60" s="140"/>
      <c r="J60" s="140"/>
      <c r="K60" s="140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</row>
    <row r="61" ht="27.75" customHeight="1">
      <c r="A61" s="143"/>
      <c r="B61" s="143"/>
      <c r="C61" s="143"/>
      <c r="D61" s="143"/>
      <c r="E61" s="143"/>
      <c r="F61" s="143"/>
      <c r="G61" s="143"/>
      <c r="H61" s="144"/>
      <c r="I61" s="144"/>
      <c r="J61" s="144"/>
      <c r="K61" s="144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</row>
    <row r="62" ht="27.75" customHeight="1">
      <c r="A62" s="145" t="s">
        <v>40</v>
      </c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</row>
    <row r="63" ht="32.25" customHeight="1">
      <c r="A63" s="141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</row>
    <row r="64" ht="32.25" customHeight="1">
      <c r="A64" s="141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</row>
    <row r="65" ht="32.25" customHeight="1">
      <c r="A65" s="145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</row>
    <row r="66" ht="32.25" customHeight="1">
      <c r="A66" s="141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</row>
    <row r="67" ht="32.25" customHeight="1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</row>
    <row r="68" ht="32.25" customHeight="1">
      <c r="A68" s="141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</row>
    <row r="69" ht="32.25" customHeight="1">
      <c r="A69" s="141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</row>
    <row r="70" ht="32.25" customHeight="1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</row>
    <row r="71" ht="32.25" customHeight="1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</row>
    <row r="72" ht="32.25" customHeight="1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</row>
    <row r="73" ht="32.25" customHeight="1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</row>
    <row r="74" ht="18.75" customHeight="1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</row>
    <row r="75" ht="18.75" customHeight="1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</row>
    <row r="76" ht="18.75" customHeight="1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</row>
    <row r="77" ht="18.75" customHeight="1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</row>
    <row r="78" ht="18.75" customHeight="1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</row>
    <row r="79" ht="18.75" customHeight="1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</row>
    <row r="80" ht="18.75" customHeight="1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</row>
    <row r="81" ht="18.75" customHeight="1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</row>
    <row r="82" ht="18.75" customHeight="1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</row>
    <row r="83" ht="18.75" customHeight="1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</row>
    <row r="84" ht="18.75" customHeight="1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</row>
    <row r="85" ht="18.75" customHeight="1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</row>
    <row r="86" ht="18.75" customHeight="1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</row>
    <row r="87" ht="18.75" customHeight="1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</row>
    <row r="88" ht="18.75" customHeight="1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</row>
    <row r="89" ht="18.75" customHeight="1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</row>
    <row r="90" ht="18.75" customHeight="1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</row>
    <row r="91" ht="18.75" customHeight="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</row>
    <row r="92" ht="18.75" customHeight="1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</row>
    <row r="93" ht="18.75" customHeight="1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</row>
    <row r="94" ht="18.75" customHeight="1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</row>
    <row r="95" ht="18.75" customHeight="1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</row>
    <row r="96" ht="18.75" customHeight="1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</row>
    <row r="97" ht="18.75" customHeight="1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</row>
    <row r="98" ht="18.75" customHeight="1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</row>
    <row r="99" ht="18.75" customHeight="1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</row>
    <row r="100" ht="18.75" customHeight="1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</row>
    <row r="101" ht="18.75" customHeight="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</row>
    <row r="102" ht="18.75" customHeight="1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</row>
    <row r="103" ht="18.75" customHeight="1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</row>
    <row r="104" ht="18.75" customHeigh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</row>
    <row r="105" ht="18.75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</row>
    <row r="106" ht="18.75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</row>
    <row r="107" ht="18.75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</row>
    <row r="108" ht="18.7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</row>
    <row r="109" ht="18.7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</row>
    <row r="110" ht="18.7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</row>
    <row r="111" ht="18.7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</row>
    <row r="112" ht="18.7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</row>
    <row r="113" ht="18.7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</row>
    <row r="114" ht="18.7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</row>
    <row r="115" ht="18.7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</row>
    <row r="116" ht="18.7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</row>
    <row r="117" ht="18.7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</row>
    <row r="118" ht="18.7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</row>
    <row r="119" ht="18.7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</row>
    <row r="120" ht="18.7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</row>
    <row r="121" ht="18.7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</row>
    <row r="122" ht="18.7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</row>
    <row r="123" ht="18.7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</row>
    <row r="124" ht="18.7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</row>
    <row r="125" ht="18.75" customHeight="1">
      <c r="A125" s="141"/>
      <c r="B125" s="141"/>
      <c r="C125" s="146"/>
      <c r="D125" s="146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</row>
    <row r="126" ht="18.7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</row>
    <row r="127" ht="18.7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</row>
    <row r="128" ht="18.7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</row>
    <row r="129" ht="18.7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</row>
    <row r="130" ht="18.7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</row>
    <row r="131" ht="18.75" customHeight="1">
      <c r="A131" s="141"/>
      <c r="B131" s="141"/>
      <c r="C131" s="146"/>
      <c r="D131" s="146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</row>
    <row r="132" ht="18.7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</row>
    <row r="133" ht="18.7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</row>
    <row r="134" ht="18.7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</row>
    <row r="135" ht="18.7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</row>
    <row r="136" ht="18.7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</row>
    <row r="137" ht="18.7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</row>
    <row r="138" ht="18.7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</row>
    <row r="139" ht="18.7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</row>
    <row r="140" ht="18.7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</row>
    <row r="141" ht="18.7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</row>
    <row r="142" ht="18.7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</row>
    <row r="143" ht="18.7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</row>
    <row r="144" ht="18.7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</row>
    <row r="145" ht="18.7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</row>
    <row r="146" ht="18.7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</row>
    <row r="147" ht="18.7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</row>
    <row r="148" ht="18.7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</row>
    <row r="149" ht="18.7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</row>
    <row r="150" ht="18.7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</row>
    <row r="151" ht="18.7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</row>
    <row r="152" ht="18.7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</row>
    <row r="153" ht="18.7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</row>
    <row r="154" ht="18.7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</row>
    <row r="155" ht="18.7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</row>
    <row r="156" ht="18.7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</row>
    <row r="157" ht="18.7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</row>
    <row r="158" ht="18.7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</row>
    <row r="159" ht="18.7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</row>
    <row r="160" ht="18.7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</row>
    <row r="161" ht="18.7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</row>
    <row r="162" ht="18.7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</row>
    <row r="163" ht="18.7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</row>
    <row r="164" ht="18.7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</row>
    <row r="165" ht="18.7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</row>
    <row r="166" ht="18.7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</row>
    <row r="167" ht="18.7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</row>
    <row r="168" ht="18.7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</row>
    <row r="169" ht="18.7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</row>
    <row r="170" ht="18.7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</row>
    <row r="171" ht="18.7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</row>
    <row r="172" ht="18.7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</row>
    <row r="173" ht="18.7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</row>
    <row r="174" ht="18.7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</row>
    <row r="175" ht="18.7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</row>
    <row r="176" ht="18.7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</row>
    <row r="177" ht="18.7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</row>
    <row r="178" ht="18.7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</row>
    <row r="179" ht="18.7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</row>
    <row r="180" ht="18.7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</row>
    <row r="181" ht="18.7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</row>
    <row r="182" ht="18.7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</row>
    <row r="183" ht="18.7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</row>
    <row r="184" ht="18.7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</row>
    <row r="185" ht="18.7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</row>
    <row r="186" ht="18.7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</row>
    <row r="187" ht="18.7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</row>
    <row r="188" ht="18.7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</row>
    <row r="189" ht="18.7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</row>
    <row r="190" ht="18.7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</row>
    <row r="191" ht="18.7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</row>
    <row r="192" ht="18.7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</row>
    <row r="193" ht="18.7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</row>
    <row r="194" ht="18.7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</row>
    <row r="195" ht="18.7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</row>
    <row r="196" ht="18.7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</row>
    <row r="197" ht="18.7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</row>
    <row r="198" ht="18.7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</row>
    <row r="199" ht="18.7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</row>
    <row r="200" ht="18.7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</row>
    <row r="201" ht="18.7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</row>
    <row r="202" ht="18.7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</row>
    <row r="203" ht="18.7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</row>
    <row r="204" ht="18.7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</row>
    <row r="205" ht="18.7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</row>
    <row r="206" ht="18.7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</row>
    <row r="207" ht="18.7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</row>
    <row r="208" ht="18.7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</row>
    <row r="209" ht="18.7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</row>
    <row r="210" ht="18.7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</row>
    <row r="211" ht="18.7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</row>
    <row r="212" ht="18.7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</row>
    <row r="213" ht="18.7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</row>
    <row r="214" ht="18.7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</row>
    <row r="215" ht="18.7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</row>
    <row r="216" ht="18.7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</row>
    <row r="217" ht="18.7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</row>
    <row r="218" ht="18.7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</row>
    <row r="219" ht="18.7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</row>
    <row r="220" ht="18.7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</row>
    <row r="221" ht="18.7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</row>
    <row r="222" ht="18.7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</row>
    <row r="223" ht="18.7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</row>
    <row r="224" ht="18.7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</row>
    <row r="225" ht="18.7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</row>
    <row r="226" ht="18.7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</row>
    <row r="227" ht="18.7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</row>
    <row r="228" ht="18.7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</row>
    <row r="229" ht="18.7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</row>
    <row r="230" ht="18.7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</row>
    <row r="231" ht="18.7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</row>
    <row r="232" ht="18.7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</row>
    <row r="233" ht="18.7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</row>
    <row r="234" ht="18.7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</row>
    <row r="235" ht="18.7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</row>
    <row r="236" ht="18.7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</row>
    <row r="237" ht="18.7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</row>
    <row r="238" ht="18.7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</row>
    <row r="239" ht="18.7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</row>
    <row r="240" ht="18.75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</row>
    <row r="241" ht="18.75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</row>
    <row r="242" ht="18.75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</row>
    <row r="243" ht="18.75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</row>
    <row r="244" ht="18.75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</row>
    <row r="245" ht="18.75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</row>
    <row r="246" ht="18.75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</row>
    <row r="247" ht="18.75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</row>
    <row r="248" ht="18.75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</row>
    <row r="249" ht="18.75" customHeight="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</row>
    <row r="250" ht="18.75" customHeight="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</row>
    <row r="251" ht="18.75" customHeight="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</row>
    <row r="252" ht="18.75" customHeight="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</row>
    <row r="253" ht="18.75" customHeight="1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</row>
    <row r="254" ht="18.75" customHeight="1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</row>
    <row r="255" ht="18.75" customHeight="1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</row>
    <row r="256" ht="18.75" customHeight="1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</row>
    <row r="257" ht="18.75" customHeight="1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</row>
    <row r="258" ht="18.75" customHeight="1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</row>
    <row r="259" ht="18.75" customHeight="1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</row>
    <row r="260" ht="18.75" customHeight="1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</row>
    <row r="261" ht="18.75" customHeight="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</row>
    <row r="262" ht="18.75" customHeight="1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</row>
    <row r="263" ht="18.75" customHeight="1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</row>
    <row r="264" ht="18.75" customHeight="1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</row>
    <row r="265" ht="18.75" customHeight="1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</row>
    <row r="266" ht="18.75" customHeight="1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</row>
    <row r="267" ht="18.75" customHeight="1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</row>
    <row r="268" ht="18.75" customHeight="1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</row>
    <row r="269" ht="18.75" customHeight="1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</row>
    <row r="270" ht="18.75" customHeight="1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</row>
    <row r="271" ht="18.75" customHeight="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</row>
    <row r="272" ht="18.75" customHeight="1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</row>
    <row r="273" ht="18.75" customHeight="1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</row>
    <row r="274" ht="18.75" customHeight="1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</row>
    <row r="275" ht="18.75" customHeight="1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</row>
    <row r="276" ht="18.75" customHeight="1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</row>
    <row r="277" ht="18.75" customHeight="1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</row>
    <row r="278" ht="18.75" customHeight="1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</row>
    <row r="279" ht="18.75" customHeight="1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</row>
    <row r="280" ht="18.75" customHeight="1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</row>
    <row r="281" ht="18.75" customHeight="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</row>
    <row r="282" ht="18.75" customHeight="1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</row>
    <row r="283" ht="18.75" customHeight="1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</row>
    <row r="284" ht="18.75" customHeight="1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</row>
    <row r="285" ht="18.75" customHeight="1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</row>
    <row r="286" ht="18.75" customHeight="1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</row>
    <row r="287" ht="18.75" customHeight="1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</row>
    <row r="288" ht="18.75" customHeight="1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</row>
    <row r="289" ht="18.75" customHeight="1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</row>
    <row r="290" ht="18.75" customHeight="1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</row>
    <row r="291" ht="18.75" customHeight="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</row>
    <row r="292" ht="18.75" customHeight="1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</row>
    <row r="293" ht="18.75" customHeight="1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</row>
    <row r="294" ht="18.75" customHeight="1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</row>
    <row r="295" ht="18.75" customHeight="1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</row>
    <row r="296" ht="18.75" customHeight="1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</row>
    <row r="297" ht="18.75" customHeight="1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</row>
    <row r="298" ht="18.75" customHeight="1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</row>
    <row r="299" ht="18.75" customHeight="1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</row>
    <row r="300" ht="18.75" customHeight="1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</row>
    <row r="301" ht="18.75" customHeight="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</row>
    <row r="302" ht="18.75" customHeight="1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</row>
    <row r="303" ht="18.75" customHeight="1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</row>
    <row r="304" ht="18.75" customHeight="1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</row>
    <row r="305" ht="18.75" customHeight="1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</row>
    <row r="306" ht="18.75" customHeight="1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</row>
    <row r="307" ht="18.75" customHeight="1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</row>
    <row r="308" ht="18.75" customHeight="1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</row>
    <row r="309" ht="18.75" customHeight="1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</row>
    <row r="310" ht="18.75" customHeight="1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</row>
    <row r="311" ht="18.75" customHeight="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</row>
    <row r="312" ht="18.75" customHeight="1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</row>
    <row r="313" ht="18.75" customHeight="1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</row>
    <row r="314" ht="18.75" customHeight="1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</row>
    <row r="315" ht="18.75" customHeight="1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</row>
    <row r="316" ht="18.75" customHeight="1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</row>
    <row r="317" ht="18.75" customHeight="1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</row>
    <row r="318" ht="18.75" customHeight="1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</row>
    <row r="319" ht="18.75" customHeight="1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</row>
    <row r="320" ht="18.75" customHeight="1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</row>
    <row r="321" ht="18.75" customHeight="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</row>
    <row r="322" ht="18.75" customHeight="1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</row>
    <row r="323" ht="18.75" customHeight="1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</row>
    <row r="324" ht="18.75" customHeight="1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</row>
    <row r="325" ht="18.75" customHeight="1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</row>
    <row r="326" ht="18.75" customHeight="1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</row>
    <row r="327" ht="18.75" customHeight="1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</row>
    <row r="328" ht="18.75" customHeight="1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</row>
    <row r="329" ht="18.75" customHeight="1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</row>
    <row r="330" ht="18.75" customHeight="1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</row>
    <row r="331" ht="18.75" customHeight="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</row>
    <row r="332" ht="18.75" customHeight="1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</row>
    <row r="333" ht="18.75" customHeight="1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</row>
    <row r="334" ht="18.75" customHeight="1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</row>
    <row r="335" ht="18.75" customHeight="1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</row>
    <row r="336" ht="18.75" customHeight="1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</row>
    <row r="337" ht="18.75" customHeight="1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</row>
    <row r="338" ht="18.75" customHeight="1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</row>
    <row r="339" ht="18.75" customHeight="1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</row>
    <row r="340" ht="18.75" customHeight="1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</row>
    <row r="341" ht="18.75" customHeight="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</row>
    <row r="342" ht="18.75" customHeight="1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</row>
    <row r="343" ht="18.75" customHeight="1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</row>
    <row r="344" ht="18.75" customHeight="1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</row>
    <row r="345" ht="18.75" customHeight="1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</row>
    <row r="346" ht="18.75" customHeight="1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</row>
    <row r="347" ht="18.75" customHeight="1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</row>
    <row r="348" ht="18.75" customHeight="1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</row>
    <row r="349" ht="18.75" customHeight="1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</row>
    <row r="350" ht="18.75" customHeight="1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</row>
    <row r="351" ht="18.75" customHeight="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</row>
    <row r="352" ht="18.75" customHeight="1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</row>
    <row r="353" ht="18.75" customHeight="1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</row>
    <row r="354" ht="18.75" customHeight="1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</row>
    <row r="355" ht="18.75" customHeight="1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</row>
    <row r="356" ht="18.75" customHeight="1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</row>
    <row r="357" ht="18.75" customHeight="1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</row>
    <row r="358" ht="18.75" customHeight="1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</row>
    <row r="359" ht="18.75" customHeight="1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</row>
    <row r="360" ht="18.75" customHeight="1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</row>
    <row r="361" ht="18.75" customHeight="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</row>
    <row r="362" ht="18.75" customHeight="1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</row>
    <row r="363" ht="18.75" customHeight="1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</row>
    <row r="364" ht="18.75" customHeight="1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</row>
    <row r="365" ht="18.75" customHeight="1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</row>
    <row r="366" ht="18.75" customHeight="1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</row>
    <row r="367" ht="18.75" customHeight="1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</row>
    <row r="368" ht="18.75" customHeight="1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</row>
    <row r="369" ht="18.75" customHeight="1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</row>
    <row r="370" ht="18.75" customHeight="1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</row>
    <row r="371" ht="18.75" customHeight="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</row>
    <row r="372" ht="18.75" customHeight="1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</row>
    <row r="373" ht="18.75" customHeight="1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</row>
    <row r="374" ht="18.75" customHeight="1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</row>
    <row r="375" ht="18.75" customHeight="1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</row>
    <row r="376" ht="18.75" customHeight="1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</row>
    <row r="377" ht="18.75" customHeight="1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</row>
    <row r="378" ht="18.75" customHeight="1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</row>
    <row r="379" ht="18.75" customHeight="1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</row>
    <row r="380" ht="18.75" customHeight="1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</row>
    <row r="381" ht="18.75" customHeight="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</row>
    <row r="382" ht="18.75" customHeight="1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</row>
    <row r="383" ht="18.75" customHeight="1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</row>
    <row r="384" ht="18.75" customHeight="1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</row>
    <row r="385" ht="18.75" customHeight="1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</row>
    <row r="386" ht="18.75" customHeight="1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</row>
    <row r="387" ht="18.75" customHeight="1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</row>
    <row r="388" ht="18.75" customHeight="1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</row>
    <row r="389" ht="18.75" customHeight="1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</row>
    <row r="390" ht="18.75" customHeight="1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</row>
    <row r="391" ht="18.75" customHeight="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</row>
    <row r="392" ht="18.75" customHeight="1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</row>
    <row r="393" ht="18.75" customHeight="1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</row>
    <row r="394" ht="18.75" customHeight="1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</row>
    <row r="395" ht="18.75" customHeight="1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</row>
    <row r="396" ht="18.75" customHeight="1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</row>
    <row r="397" ht="18.75" customHeight="1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</row>
    <row r="398" ht="18.75" customHeight="1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</row>
    <row r="399" ht="18.75" customHeight="1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</row>
    <row r="400" ht="18.75" customHeight="1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</row>
    <row r="401" ht="18.75" customHeight="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</row>
    <row r="402" ht="18.75" customHeight="1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</row>
    <row r="403" ht="18.75" customHeight="1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</row>
    <row r="404" ht="18.75" customHeight="1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</row>
    <row r="405" ht="18.75" customHeight="1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</row>
    <row r="406" ht="18.75" customHeight="1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</row>
    <row r="407" ht="18.75" customHeight="1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</row>
    <row r="408" ht="18.75" customHeight="1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</row>
    <row r="409" ht="18.75" customHeight="1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</row>
    <row r="410" ht="18.75" customHeight="1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</row>
    <row r="411" ht="18.75" customHeight="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</row>
    <row r="412" ht="18.75" customHeight="1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</row>
    <row r="413" ht="18.75" customHeight="1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</row>
    <row r="414" ht="18.75" customHeight="1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</row>
    <row r="415" ht="18.75" customHeight="1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</row>
    <row r="416" ht="18.75" customHeight="1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</row>
    <row r="417" ht="18.75" customHeight="1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</row>
    <row r="418" ht="18.75" customHeight="1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</row>
    <row r="419" ht="18.75" customHeight="1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</row>
    <row r="420" ht="18.75" customHeight="1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</row>
    <row r="421" ht="18.75" customHeight="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</row>
    <row r="422" ht="18.75" customHeight="1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</row>
    <row r="423" ht="18.75" customHeight="1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</row>
    <row r="424" ht="18.75" customHeight="1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</row>
    <row r="425" ht="18.75" customHeight="1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</row>
    <row r="426" ht="18.75" customHeight="1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</row>
    <row r="427" ht="18.75" customHeight="1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</row>
    <row r="428" ht="18.75" customHeight="1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</row>
    <row r="429" ht="18.75" customHeight="1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</row>
    <row r="430" ht="18.75" customHeight="1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</row>
    <row r="431" ht="18.75" customHeight="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</row>
    <row r="432" ht="18.75" customHeight="1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</row>
    <row r="433" ht="18.75" customHeight="1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</row>
    <row r="434" ht="18.75" customHeight="1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</row>
    <row r="435" ht="18.75" customHeight="1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</row>
    <row r="436" ht="18.75" customHeight="1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</row>
    <row r="437" ht="18.75" customHeight="1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</row>
    <row r="438" ht="18.75" customHeight="1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</row>
    <row r="439" ht="18.75" customHeight="1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</row>
    <row r="440" ht="18.75" customHeight="1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</row>
    <row r="441" ht="18.75" customHeight="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</row>
    <row r="442" ht="18.75" customHeight="1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</row>
    <row r="443" ht="18.75" customHeight="1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</row>
    <row r="444" ht="18.75" customHeight="1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</row>
    <row r="445" ht="18.75" customHeight="1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</row>
    <row r="446" ht="18.75" customHeight="1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</row>
    <row r="447" ht="18.75" customHeight="1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</row>
    <row r="448" ht="18.75" customHeight="1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</row>
    <row r="449" ht="18.75" customHeight="1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</row>
    <row r="450" ht="18.75" customHeight="1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</row>
    <row r="451" ht="18.75" customHeight="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</row>
    <row r="452" ht="18.75" customHeight="1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</row>
    <row r="453" ht="18.75" customHeight="1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</row>
    <row r="454" ht="18.75" customHeight="1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</row>
    <row r="455" ht="18.75" customHeight="1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</row>
    <row r="456" ht="18.75" customHeight="1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</row>
    <row r="457" ht="18.75" customHeight="1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</row>
    <row r="458" ht="18.75" customHeight="1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</row>
    <row r="459" ht="18.75" customHeight="1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</row>
    <row r="460" ht="18.75" customHeight="1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</row>
    <row r="461" ht="18.75" customHeight="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</row>
    <row r="462" ht="18.75" customHeight="1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</row>
    <row r="463" ht="18.75" customHeight="1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</row>
    <row r="464" ht="18.75" customHeight="1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</row>
    <row r="465" ht="18.75" customHeight="1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</row>
    <row r="466" ht="18.75" customHeight="1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</row>
    <row r="467" ht="18.75" customHeight="1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</row>
    <row r="468" ht="18.75" customHeight="1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</row>
    <row r="469" ht="18.75" customHeight="1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</row>
    <row r="470" ht="18.75" customHeight="1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</row>
    <row r="471" ht="18.75" customHeight="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</row>
    <row r="472" ht="18.75" customHeight="1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</row>
    <row r="473" ht="18.75" customHeight="1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</row>
    <row r="474" ht="18.75" customHeight="1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</row>
    <row r="475" ht="18.75" customHeight="1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</row>
    <row r="476" ht="18.75" customHeight="1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</row>
    <row r="477" ht="18.75" customHeight="1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</row>
    <row r="478" ht="18.75" customHeight="1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</row>
    <row r="479" ht="18.75" customHeight="1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</row>
    <row r="480" ht="18.75" customHeight="1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</row>
    <row r="481" ht="18.75" customHeight="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</row>
    <row r="482" ht="18.75" customHeight="1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</row>
    <row r="483" ht="18.75" customHeight="1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</row>
    <row r="484" ht="18.75" customHeight="1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</row>
    <row r="485" ht="18.75" customHeight="1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</row>
    <row r="486" ht="18.75" customHeight="1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</row>
    <row r="487" ht="18.75" customHeight="1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</row>
    <row r="488" ht="18.75" customHeight="1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</row>
    <row r="489" ht="18.75" customHeight="1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</row>
    <row r="490" ht="18.75" customHeight="1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</row>
    <row r="491" ht="18.75" customHeight="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</row>
    <row r="492" ht="18.75" customHeight="1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</row>
    <row r="493" ht="18.75" customHeight="1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</row>
    <row r="494" ht="18.75" customHeight="1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</row>
    <row r="495" ht="18.75" customHeight="1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</row>
    <row r="496" ht="18.75" customHeight="1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</row>
    <row r="497" ht="18.75" customHeight="1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</row>
    <row r="498" ht="18.75" customHeight="1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</row>
    <row r="499" ht="18.75" customHeight="1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</row>
    <row r="500" ht="18.75" customHeight="1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</row>
    <row r="501" ht="18.75" customHeight="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</row>
    <row r="502" ht="18.75" customHeight="1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</row>
    <row r="503" ht="18.75" customHeight="1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</row>
    <row r="504" ht="18.75" customHeight="1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</row>
    <row r="505" ht="18.75" customHeight="1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</row>
    <row r="506" ht="18.75" customHeight="1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</row>
    <row r="507" ht="18.75" customHeight="1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</row>
    <row r="508" ht="18.75" customHeight="1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</row>
    <row r="509" ht="18.75" customHeight="1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</row>
    <row r="510" ht="18.75" customHeight="1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</row>
    <row r="511" ht="18.75" customHeight="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</row>
    <row r="512" ht="18.75" customHeight="1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</row>
    <row r="513" ht="18.75" customHeight="1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</row>
    <row r="514" ht="18.75" customHeight="1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</row>
    <row r="515" ht="18.75" customHeight="1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</row>
    <row r="516" ht="18.75" customHeight="1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</row>
    <row r="517" ht="18.75" customHeight="1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</row>
    <row r="518" ht="18.75" customHeight="1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</row>
    <row r="519" ht="18.75" customHeight="1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</row>
    <row r="520" ht="18.75" customHeight="1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</row>
    <row r="521" ht="18.75" customHeight="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</row>
    <row r="522" ht="18.75" customHeight="1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</row>
    <row r="523" ht="18.75" customHeight="1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</row>
    <row r="524" ht="18.75" customHeight="1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</row>
    <row r="525" ht="18.75" customHeight="1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</row>
    <row r="526" ht="18.75" customHeight="1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</row>
    <row r="527" ht="18.75" customHeight="1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</row>
    <row r="528" ht="18.75" customHeight="1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</row>
    <row r="529" ht="18.75" customHeight="1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</row>
    <row r="530" ht="18.75" customHeight="1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</row>
    <row r="531" ht="18.75" customHeight="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</row>
    <row r="532" ht="18.75" customHeight="1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</row>
    <row r="533" ht="18.75" customHeight="1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</row>
    <row r="534" ht="18.75" customHeight="1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</row>
    <row r="535" ht="18.75" customHeight="1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</row>
    <row r="536" ht="18.75" customHeight="1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</row>
    <row r="537" ht="18.75" customHeight="1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</row>
    <row r="538" ht="18.75" customHeight="1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</row>
    <row r="539" ht="18.75" customHeight="1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</row>
    <row r="540" ht="18.75" customHeight="1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</row>
    <row r="541" ht="18.75" customHeight="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</row>
    <row r="542" ht="18.75" customHeight="1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</row>
    <row r="543" ht="18.75" customHeight="1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</row>
    <row r="544" ht="18.75" customHeight="1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</row>
    <row r="545" ht="18.75" customHeight="1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</row>
    <row r="546" ht="18.75" customHeight="1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</row>
    <row r="547" ht="18.75" customHeight="1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</row>
    <row r="548" ht="18.75" customHeight="1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</row>
    <row r="549" ht="18.75" customHeight="1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</row>
    <row r="550" ht="18.75" customHeight="1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</row>
    <row r="551" ht="18.75" customHeight="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</row>
    <row r="552" ht="18.75" customHeight="1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</row>
    <row r="553" ht="18.75" customHeight="1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</row>
    <row r="554" ht="18.75" customHeight="1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</row>
    <row r="555" ht="18.75" customHeight="1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</row>
    <row r="556" ht="18.75" customHeight="1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</row>
    <row r="557" ht="18.75" customHeight="1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</row>
    <row r="558" ht="18.75" customHeight="1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</row>
    <row r="559" ht="18.75" customHeight="1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</row>
    <row r="560" ht="18.75" customHeight="1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</row>
    <row r="561" ht="18.75" customHeight="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</row>
    <row r="562" ht="18.75" customHeight="1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</row>
    <row r="563" ht="18.75" customHeight="1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</row>
    <row r="564" ht="18.75" customHeight="1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</row>
    <row r="565" ht="18.75" customHeight="1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</row>
    <row r="566" ht="18.75" customHeight="1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</row>
    <row r="567" ht="18.75" customHeight="1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</row>
    <row r="568" ht="18.75" customHeight="1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</row>
    <row r="569" ht="18.75" customHeight="1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</row>
    <row r="570" ht="18.75" customHeight="1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</row>
    <row r="571" ht="18.75" customHeight="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</row>
    <row r="572" ht="18.75" customHeight="1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</row>
    <row r="573" ht="18.75" customHeight="1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</row>
    <row r="574" ht="18.75" customHeight="1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</row>
    <row r="575" ht="18.75" customHeight="1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</row>
    <row r="576" ht="18.75" customHeight="1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</row>
    <row r="577" ht="18.75" customHeight="1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</row>
    <row r="578" ht="18.75" customHeight="1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</row>
    <row r="579" ht="18.75" customHeight="1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</row>
    <row r="580" ht="18.75" customHeight="1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</row>
    <row r="581" ht="18.75" customHeight="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</row>
    <row r="582" ht="18.75" customHeight="1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</row>
    <row r="583" ht="18.75" customHeight="1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</row>
    <row r="584" ht="18.75" customHeight="1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</row>
    <row r="585" ht="18.75" customHeight="1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</row>
    <row r="586" ht="18.75" customHeight="1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</row>
    <row r="587" ht="18.75" customHeight="1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</row>
    <row r="588" ht="18.75" customHeight="1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</row>
    <row r="589" ht="18.75" customHeight="1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</row>
    <row r="590" ht="18.75" customHeight="1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</row>
    <row r="591" ht="18.75" customHeight="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</row>
    <row r="592" ht="18.75" customHeight="1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</row>
    <row r="593" ht="18.75" customHeight="1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</row>
    <row r="594" ht="18.75" customHeight="1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</row>
    <row r="595" ht="18.75" customHeight="1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</row>
    <row r="596" ht="18.75" customHeight="1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</row>
    <row r="597" ht="18.75" customHeight="1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</row>
    <row r="598" ht="18.75" customHeight="1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</row>
    <row r="599" ht="18.75" customHeight="1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</row>
    <row r="600" ht="18.75" customHeight="1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</row>
    <row r="601" ht="18.75" customHeight="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</row>
    <row r="602" ht="18.75" customHeight="1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</row>
    <row r="603" ht="18.75" customHeight="1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</row>
    <row r="604" ht="18.75" customHeight="1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</row>
    <row r="605" ht="18.75" customHeight="1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</row>
    <row r="606" ht="18.75" customHeight="1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</row>
    <row r="607" ht="18.75" customHeight="1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</row>
    <row r="608" ht="18.75" customHeight="1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</row>
    <row r="609" ht="18.75" customHeight="1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</row>
    <row r="610" ht="18.75" customHeight="1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</row>
    <row r="611" ht="18.75" customHeight="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</row>
    <row r="612" ht="18.75" customHeight="1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</row>
    <row r="613" ht="18.75" customHeight="1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</row>
    <row r="614" ht="18.75" customHeight="1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</row>
    <row r="615" ht="18.75" customHeight="1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</row>
    <row r="616" ht="18.75" customHeight="1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</row>
    <row r="617" ht="18.75" customHeight="1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</row>
    <row r="618" ht="18.75" customHeight="1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</row>
    <row r="619" ht="18.75" customHeight="1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</row>
    <row r="620" ht="18.75" customHeight="1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</row>
    <row r="621" ht="18.75" customHeight="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</row>
    <row r="622" ht="18.75" customHeight="1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</row>
    <row r="623" ht="18.75" customHeight="1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</row>
    <row r="624" ht="18.75" customHeight="1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</row>
    <row r="625" ht="18.75" customHeight="1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</row>
    <row r="626" ht="18.75" customHeight="1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</row>
    <row r="627" ht="18.75" customHeight="1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</row>
    <row r="628" ht="18.75" customHeight="1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</row>
    <row r="629" ht="18.75" customHeight="1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</row>
    <row r="630" ht="18.75" customHeight="1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</row>
    <row r="631" ht="18.75" customHeight="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</row>
    <row r="632" ht="18.75" customHeight="1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</row>
    <row r="633" ht="18.75" customHeight="1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</row>
    <row r="634" ht="18.75" customHeight="1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</row>
    <row r="635" ht="18.75" customHeight="1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</row>
    <row r="636" ht="18.75" customHeight="1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</row>
    <row r="637" ht="18.75" customHeight="1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</row>
    <row r="638" ht="18.75" customHeight="1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</row>
    <row r="639" ht="18.75" customHeight="1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</row>
    <row r="640" ht="18.75" customHeight="1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</row>
    <row r="641" ht="18.75" customHeight="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</row>
    <row r="642" ht="18.75" customHeight="1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</row>
    <row r="643" ht="18.75" customHeight="1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</row>
    <row r="644" ht="18.75" customHeight="1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</row>
    <row r="645" ht="18.75" customHeight="1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</row>
    <row r="646" ht="18.75" customHeight="1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</row>
    <row r="647" ht="18.75" customHeight="1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</row>
    <row r="648" ht="18.75" customHeight="1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</row>
    <row r="649" ht="18.75" customHeight="1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</row>
    <row r="650" ht="18.75" customHeight="1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</row>
    <row r="651" ht="18.75" customHeight="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</row>
    <row r="652" ht="18.75" customHeight="1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</row>
    <row r="653" ht="18.75" customHeight="1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</row>
    <row r="654" ht="18.75" customHeight="1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</row>
    <row r="655" ht="18.75" customHeight="1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</row>
    <row r="656" ht="18.75" customHeight="1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</row>
    <row r="657" ht="18.75" customHeight="1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</row>
    <row r="658" ht="18.75" customHeight="1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</row>
    <row r="659" ht="18.75" customHeight="1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</row>
    <row r="660" ht="18.75" customHeight="1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</row>
    <row r="661" ht="18.75" customHeight="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</row>
    <row r="662" ht="18.75" customHeight="1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</row>
    <row r="663" ht="18.75" customHeight="1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</row>
    <row r="664" ht="18.75" customHeight="1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</row>
    <row r="665" ht="18.75" customHeight="1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</row>
    <row r="666" ht="18.75" customHeight="1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</row>
    <row r="667" ht="18.75" customHeight="1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</row>
    <row r="668" ht="18.75" customHeight="1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</row>
    <row r="669" ht="18.75" customHeight="1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</row>
    <row r="670" ht="18.75" customHeight="1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</row>
    <row r="671" ht="18.75" customHeight="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</row>
    <row r="672" ht="18.75" customHeight="1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</row>
    <row r="673" ht="18.75" customHeight="1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</row>
    <row r="674" ht="18.75" customHeight="1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</row>
    <row r="675" ht="18.75" customHeight="1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</row>
    <row r="676" ht="18.75" customHeight="1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</row>
    <row r="677" ht="18.75" customHeight="1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</row>
    <row r="678" ht="18.75" customHeight="1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</row>
    <row r="679" ht="18.75" customHeight="1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</row>
    <row r="680" ht="18.75" customHeight="1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</row>
    <row r="681" ht="18.75" customHeight="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</row>
    <row r="682" ht="18.75" customHeight="1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</row>
    <row r="683" ht="18.75" customHeight="1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</row>
    <row r="684" ht="18.75" customHeight="1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</row>
    <row r="685" ht="18.75" customHeight="1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</row>
    <row r="686" ht="18.75" customHeight="1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</row>
    <row r="687" ht="18.75" customHeight="1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</row>
    <row r="688" ht="18.75" customHeight="1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</row>
    <row r="689" ht="18.75" customHeight="1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</row>
    <row r="690" ht="18.75" customHeight="1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</row>
    <row r="691" ht="18.75" customHeight="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</row>
    <row r="692" ht="18.75" customHeight="1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</row>
    <row r="693" ht="18.75" customHeight="1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</row>
    <row r="694" ht="18.75" customHeight="1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</row>
    <row r="695" ht="18.75" customHeight="1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</row>
    <row r="696" ht="18.75" customHeight="1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</row>
    <row r="697" ht="18.75" customHeight="1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</row>
    <row r="698" ht="18.75" customHeight="1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</row>
    <row r="699" ht="18.75" customHeight="1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</row>
    <row r="700" ht="18.75" customHeight="1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</row>
    <row r="701" ht="18.75" customHeight="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</row>
    <row r="702" ht="18.75" customHeight="1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</row>
    <row r="703" ht="18.75" customHeight="1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</row>
    <row r="704" ht="18.75" customHeight="1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</row>
    <row r="705" ht="18.75" customHeight="1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</row>
    <row r="706" ht="18.75" customHeight="1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</row>
    <row r="707" ht="18.75" customHeight="1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</row>
    <row r="708" ht="18.75" customHeight="1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</row>
    <row r="709" ht="18.75" customHeight="1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</row>
    <row r="710" ht="18.75" customHeight="1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</row>
    <row r="711" ht="18.75" customHeight="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</row>
    <row r="712" ht="18.75" customHeight="1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</row>
    <row r="713" ht="18.75" customHeight="1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</row>
    <row r="714" ht="18.75" customHeight="1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</row>
    <row r="715" ht="18.75" customHeight="1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</row>
    <row r="716" ht="18.75" customHeight="1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</row>
    <row r="717" ht="18.75" customHeight="1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</row>
    <row r="718" ht="18.75" customHeight="1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</row>
    <row r="719" ht="18.75" customHeight="1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</row>
    <row r="720" ht="18.75" customHeight="1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</row>
    <row r="721" ht="18.75" customHeight="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</row>
    <row r="722" ht="18.75" customHeight="1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</row>
    <row r="723" ht="18.75" customHeight="1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</row>
    <row r="724" ht="18.75" customHeight="1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</row>
    <row r="725" ht="18.75" customHeight="1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</row>
    <row r="726" ht="18.75" customHeight="1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</row>
    <row r="727" ht="18.75" customHeight="1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</row>
    <row r="728" ht="18.75" customHeight="1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</row>
    <row r="729" ht="18.75" customHeight="1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</row>
    <row r="730" ht="18.75" customHeight="1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</row>
    <row r="731" ht="18.75" customHeight="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</row>
    <row r="732" ht="18.75" customHeight="1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</row>
    <row r="733" ht="18.75" customHeight="1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</row>
    <row r="734" ht="18.75" customHeight="1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</row>
    <row r="735" ht="18.75" customHeight="1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</row>
    <row r="736" ht="18.75" customHeight="1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</row>
    <row r="737" ht="18.75" customHeight="1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</row>
    <row r="738" ht="18.75" customHeight="1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</row>
    <row r="739" ht="18.75" customHeight="1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</row>
    <row r="740" ht="18.75" customHeight="1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</row>
    <row r="741" ht="18.75" customHeight="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</row>
    <row r="742" ht="18.75" customHeight="1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</row>
    <row r="743" ht="18.75" customHeight="1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</row>
    <row r="744" ht="18.75" customHeight="1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</row>
    <row r="745" ht="18.75" customHeight="1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</row>
    <row r="746" ht="18.75" customHeight="1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</row>
    <row r="747" ht="18.75" customHeight="1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</row>
    <row r="748" ht="18.75" customHeight="1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</row>
    <row r="749" ht="18.75" customHeight="1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</row>
    <row r="750" ht="18.75" customHeight="1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</row>
    <row r="751" ht="18.75" customHeight="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</row>
    <row r="752" ht="18.75" customHeight="1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</row>
    <row r="753" ht="18.75" customHeight="1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</row>
    <row r="754" ht="18.75" customHeight="1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</row>
    <row r="755" ht="18.75" customHeight="1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</row>
    <row r="756" ht="18.75" customHeight="1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</row>
    <row r="757" ht="18.75" customHeight="1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</row>
    <row r="758" ht="18.75" customHeight="1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</row>
    <row r="759" ht="18.75" customHeight="1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</row>
    <row r="760" ht="18.75" customHeight="1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</row>
    <row r="761" ht="18.75" customHeight="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</row>
    <row r="762" ht="18.75" customHeight="1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</row>
    <row r="763" ht="18.75" customHeight="1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</row>
    <row r="764" ht="18.75" customHeight="1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</row>
    <row r="765" ht="18.75" customHeight="1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</row>
    <row r="766" ht="18.75" customHeight="1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</row>
    <row r="767" ht="18.75" customHeight="1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</row>
    <row r="768" ht="18.75" customHeight="1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</row>
    <row r="769" ht="18.75" customHeight="1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</row>
    <row r="770" ht="18.75" customHeight="1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</row>
    <row r="771" ht="18.75" customHeight="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</row>
    <row r="772" ht="18.75" customHeight="1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</row>
    <row r="773" ht="18.75" customHeight="1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</row>
    <row r="774" ht="18.75" customHeight="1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</row>
    <row r="775" ht="18.75" customHeight="1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</row>
    <row r="776" ht="18.75" customHeight="1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</row>
    <row r="777" ht="18.75" customHeight="1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</row>
    <row r="778" ht="18.75" customHeight="1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</row>
    <row r="779" ht="18.75" customHeight="1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</row>
    <row r="780" ht="18.75" customHeight="1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</row>
    <row r="781" ht="18.75" customHeight="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</row>
    <row r="782" ht="18.75" customHeight="1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</row>
    <row r="783" ht="18.75" customHeight="1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</row>
    <row r="784" ht="18.75" customHeight="1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</row>
    <row r="785" ht="18.75" customHeight="1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</row>
    <row r="786" ht="18.75" customHeight="1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</row>
    <row r="787" ht="18.75" customHeight="1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</row>
    <row r="788" ht="18.75" customHeight="1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</row>
    <row r="789" ht="18.75" customHeight="1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</row>
    <row r="790" ht="18.75" customHeight="1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</row>
    <row r="791" ht="18.75" customHeight="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</row>
    <row r="792" ht="18.75" customHeight="1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</row>
    <row r="793" ht="18.75" customHeight="1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</row>
    <row r="794" ht="18.75" customHeight="1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</row>
    <row r="795" ht="18.75" customHeight="1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</row>
    <row r="796" ht="18.75" customHeight="1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</row>
    <row r="797" ht="18.75" customHeight="1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</row>
    <row r="798" ht="18.75" customHeight="1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</row>
    <row r="799" ht="18.75" customHeight="1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</row>
    <row r="800" ht="18.75" customHeight="1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</row>
    <row r="801" ht="18.75" customHeight="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</row>
    <row r="802" ht="18.75" customHeight="1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</row>
    <row r="803" ht="18.75" customHeight="1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</row>
    <row r="804" ht="18.75" customHeight="1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</row>
    <row r="805" ht="18.75" customHeight="1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</row>
    <row r="806" ht="18.75" customHeight="1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</row>
    <row r="807" ht="18.75" customHeight="1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</row>
    <row r="808" ht="18.75" customHeight="1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</row>
    <row r="809" ht="18.75" customHeight="1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</row>
    <row r="810" ht="18.75" customHeight="1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</row>
    <row r="811" ht="18.75" customHeight="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</row>
    <row r="812" ht="18.75" customHeight="1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</row>
    <row r="813" ht="18.75" customHeight="1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</row>
    <row r="814" ht="18.75" customHeight="1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</row>
    <row r="815" ht="18.75" customHeight="1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</row>
    <row r="816" ht="18.75" customHeight="1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</row>
    <row r="817" ht="18.75" customHeight="1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</row>
    <row r="818" ht="18.75" customHeight="1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</row>
    <row r="819" ht="18.75" customHeight="1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</row>
    <row r="820" ht="18.75" customHeight="1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</row>
    <row r="821" ht="18.75" customHeight="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</row>
    <row r="822" ht="18.75" customHeight="1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</row>
    <row r="823" ht="18.75" customHeight="1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</row>
    <row r="824" ht="18.75" customHeight="1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</row>
    <row r="825" ht="18.75" customHeight="1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</row>
    <row r="826" ht="18.75" customHeight="1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</row>
    <row r="827" ht="18.75" customHeight="1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</row>
    <row r="828" ht="18.75" customHeight="1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</row>
    <row r="829" ht="18.75" customHeight="1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</row>
    <row r="830" ht="18.75" customHeight="1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</row>
    <row r="831" ht="18.75" customHeight="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</row>
    <row r="832" ht="18.75" customHeight="1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</row>
    <row r="833" ht="18.75" customHeight="1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</row>
    <row r="834" ht="18.75" customHeight="1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</row>
    <row r="835" ht="18.75" customHeight="1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</row>
    <row r="836" ht="18.75" customHeight="1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</row>
    <row r="837" ht="18.75" customHeight="1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</row>
    <row r="838" ht="18.75" customHeight="1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</row>
    <row r="839" ht="18.75" customHeight="1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</row>
    <row r="840" ht="18.75" customHeight="1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</row>
    <row r="841" ht="18.75" customHeight="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</row>
    <row r="842" ht="18.75" customHeight="1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</row>
    <row r="843" ht="18.75" customHeight="1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</row>
    <row r="844" ht="18.75" customHeight="1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</row>
    <row r="845" ht="18.75" customHeight="1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</row>
    <row r="846" ht="18.75" customHeight="1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</row>
    <row r="847" ht="18.75" customHeight="1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</row>
    <row r="848" ht="18.75" customHeight="1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</row>
    <row r="849" ht="18.75" customHeight="1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</row>
    <row r="850" ht="18.75" customHeight="1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</row>
    <row r="851" ht="18.75" customHeight="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</row>
    <row r="852" ht="18.75" customHeight="1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</row>
    <row r="853" ht="18.75" customHeight="1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</row>
    <row r="854" ht="18.75" customHeight="1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</row>
    <row r="855" ht="18.75" customHeight="1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</row>
    <row r="856" ht="18.75" customHeight="1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</row>
    <row r="857" ht="18.75" customHeight="1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</row>
    <row r="858" ht="18.75" customHeight="1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</row>
    <row r="859" ht="18.75" customHeight="1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</row>
    <row r="860" ht="18.75" customHeight="1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</row>
    <row r="861" ht="18.75" customHeight="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</row>
    <row r="862" ht="18.75" customHeight="1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</row>
    <row r="863" ht="18.75" customHeight="1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</row>
    <row r="864" ht="18.75" customHeight="1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</row>
    <row r="865" ht="18.75" customHeight="1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</row>
    <row r="866" ht="18.75" customHeight="1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</row>
    <row r="867" ht="18.75" customHeight="1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</row>
    <row r="868" ht="18.75" customHeight="1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</row>
    <row r="869" ht="18.75" customHeight="1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</row>
    <row r="870" ht="18.75" customHeight="1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</row>
    <row r="871" ht="18.75" customHeight="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</row>
    <row r="872" ht="18.75" customHeight="1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</row>
    <row r="873" ht="18.75" customHeight="1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</row>
    <row r="874" ht="18.75" customHeight="1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</row>
    <row r="875" ht="18.75" customHeight="1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</row>
    <row r="876" ht="18.75" customHeight="1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</row>
    <row r="877" ht="18.75" customHeight="1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</row>
    <row r="878" ht="18.75" customHeight="1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</row>
    <row r="879" ht="18.75" customHeight="1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</row>
    <row r="880" ht="18.75" customHeight="1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</row>
    <row r="881" ht="18.75" customHeight="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</row>
    <row r="882" ht="18.75" customHeight="1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</row>
    <row r="883" ht="18.75" customHeight="1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</row>
    <row r="884" ht="18.75" customHeight="1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</row>
    <row r="885" ht="18.75" customHeight="1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</row>
    <row r="886" ht="18.75" customHeight="1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</row>
    <row r="887" ht="18.75" customHeight="1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</row>
    <row r="888" ht="18.75" customHeight="1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</row>
    <row r="889" ht="18.75" customHeight="1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</row>
    <row r="890" ht="18.75" customHeight="1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</row>
    <row r="891" ht="18.75" customHeight="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</row>
    <row r="892" ht="18.75" customHeight="1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</row>
    <row r="893" ht="18.75" customHeight="1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</row>
    <row r="894" ht="18.75" customHeight="1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</row>
    <row r="895" ht="18.75" customHeight="1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</row>
    <row r="896" ht="18.75" customHeight="1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</row>
    <row r="897" ht="18.75" customHeight="1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</row>
    <row r="898" ht="18.75" customHeight="1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</row>
    <row r="899" ht="18.75" customHeight="1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</row>
    <row r="900" ht="18.75" customHeight="1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</row>
    <row r="901" ht="18.75" customHeight="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</row>
    <row r="902" ht="18.75" customHeight="1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</row>
    <row r="903" ht="18.75" customHeight="1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</row>
    <row r="904" ht="18.75" customHeight="1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</row>
    <row r="905" ht="18.75" customHeight="1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</row>
    <row r="906" ht="18.75" customHeight="1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</row>
    <row r="907" ht="18.75" customHeight="1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</row>
    <row r="908" ht="18.75" customHeight="1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</row>
    <row r="909" ht="18.75" customHeight="1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</row>
    <row r="910" ht="18.75" customHeight="1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</row>
    <row r="911" ht="18.75" customHeight="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</row>
    <row r="912" ht="18.75" customHeight="1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</row>
    <row r="913" ht="18.75" customHeight="1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</row>
    <row r="914" ht="18.75" customHeight="1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</row>
    <row r="915" ht="18.75" customHeight="1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</row>
    <row r="916" ht="18.75" customHeight="1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</row>
    <row r="917" ht="18.75" customHeight="1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</row>
    <row r="918" ht="18.75" customHeight="1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</row>
    <row r="919" ht="18.75" customHeight="1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</row>
    <row r="920" ht="18.75" customHeight="1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</row>
    <row r="921" ht="18.75" customHeight="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</row>
    <row r="922" ht="18.75" customHeight="1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</row>
    <row r="923" ht="18.75" customHeight="1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</row>
    <row r="924" ht="18.75" customHeight="1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</row>
    <row r="925" ht="18.75" customHeight="1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</row>
    <row r="926" ht="18.75" customHeight="1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</row>
    <row r="927" ht="18.75" customHeight="1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</row>
    <row r="928" ht="18.75" customHeight="1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</row>
    <row r="929" ht="18.75" customHeight="1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</row>
    <row r="930" ht="18.75" customHeight="1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</row>
    <row r="931" ht="18.75" customHeight="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</row>
    <row r="932" ht="18.75" customHeight="1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</row>
    <row r="933" ht="18.75" customHeight="1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</row>
    <row r="934" ht="18.75" customHeight="1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</row>
    <row r="935" ht="18.75" customHeight="1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</row>
    <row r="936" ht="18.75" customHeight="1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</row>
    <row r="937" ht="18.75" customHeight="1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</row>
    <row r="938" ht="18.75" customHeight="1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</row>
    <row r="939" ht="18.75" customHeight="1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</row>
    <row r="940" ht="18.75" customHeight="1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</row>
    <row r="941" ht="18.75" customHeight="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</row>
    <row r="942" ht="18.75" customHeight="1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</row>
    <row r="943" ht="18.75" customHeight="1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</row>
    <row r="944" ht="18.75" customHeight="1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</row>
    <row r="945" ht="18.75" customHeight="1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</row>
    <row r="946" ht="18.75" customHeight="1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</row>
    <row r="947" ht="18.75" customHeight="1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</row>
    <row r="948" ht="18.75" customHeight="1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</row>
    <row r="949" ht="18.75" customHeight="1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</row>
    <row r="950" ht="18.75" customHeight="1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</row>
    <row r="951" ht="18.75" customHeight="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</row>
    <row r="952" ht="18.75" customHeight="1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</row>
    <row r="953" ht="18.75" customHeight="1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</row>
    <row r="954" ht="18.75" customHeight="1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</row>
    <row r="955" ht="18.75" customHeight="1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</row>
    <row r="956" ht="18.75" customHeight="1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</row>
    <row r="957" ht="18.75" customHeight="1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</row>
    <row r="958" ht="18.75" customHeight="1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</row>
    <row r="959" ht="18.75" customHeight="1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</row>
    <row r="960" ht="18.75" customHeight="1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</row>
    <row r="961" ht="18.75" customHeight="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</row>
    <row r="962" ht="18.75" customHeight="1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</row>
    <row r="963" ht="18.75" customHeight="1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</row>
    <row r="964" ht="18.75" customHeight="1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</row>
    <row r="965" ht="18.75" customHeight="1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</row>
    <row r="966" ht="18.75" customHeight="1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</row>
    <row r="967" ht="18.75" customHeight="1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</row>
    <row r="968" ht="18.75" customHeight="1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</row>
    <row r="969" ht="18.75" customHeight="1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</row>
    <row r="970" ht="18.75" customHeight="1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</row>
    <row r="971" ht="18.75" customHeight="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</row>
    <row r="972" ht="18.75" customHeight="1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</row>
    <row r="973" ht="18.75" customHeight="1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</row>
    <row r="974" ht="18.75" customHeight="1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</row>
    <row r="975" ht="18.75" customHeight="1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</row>
    <row r="976" ht="18.75" customHeight="1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</row>
    <row r="977" ht="18.75" customHeight="1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</row>
    <row r="978" ht="18.75" customHeight="1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</row>
    <row r="979" ht="18.75" customHeight="1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</row>
    <row r="980" ht="18.75" customHeight="1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</row>
    <row r="981" ht="18.75" customHeight="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</row>
    <row r="982" ht="18.75" customHeight="1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</row>
    <row r="983" ht="18.75" customHeight="1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</row>
    <row r="984" ht="18.75" customHeight="1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</row>
    <row r="985" ht="18.75" customHeight="1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</row>
    <row r="986" ht="18.75" customHeight="1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</row>
    <row r="987" ht="18.75" customHeight="1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</row>
    <row r="988" ht="18.75" customHeight="1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</row>
    <row r="989" ht="18.75" customHeight="1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</row>
    <row r="990" ht="18.75" customHeight="1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</row>
    <row r="991" ht="18.75" customHeight="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</row>
    <row r="992" ht="18.75" customHeight="1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</row>
    <row r="993" ht="18.75" customHeight="1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</row>
    <row r="994" ht="18.75" customHeight="1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</row>
    <row r="995" ht="18.75" customHeight="1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</row>
    <row r="996" ht="18.75" customHeight="1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</row>
    <row r="997" ht="18.75" customHeight="1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</row>
    <row r="998" ht="18.75" customHeight="1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</row>
    <row r="999" ht="18.75" customHeight="1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</row>
    <row r="1000" ht="18.75" customHeight="1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</row>
  </sheetData>
  <mergeCells count="2">
    <mergeCell ref="A62:H62"/>
    <mergeCell ref="A65:H65"/>
  </mergeCells>
  <printOptions/>
  <pageMargins bottom="0.75" footer="0.0" header="0.0" left="0.7" right="0.7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2001-08-23T04:46:54Z</dcterms:created>
  <dc:creator>jyhun</dc:creator>
</cp:coreProperties>
</file>