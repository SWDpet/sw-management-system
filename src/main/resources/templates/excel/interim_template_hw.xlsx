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2840" tabRatio="836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기성내역서" sheetId="2" state="visible" r:id="rId2"/>
    <sheet xmlns:r="http://schemas.openxmlformats.org/officeDocument/2006/relationships" name="설계서" sheetId="3" state="visible" r:id="rId3"/>
    <sheet xmlns:r="http://schemas.openxmlformats.org/officeDocument/2006/relationships" name="참고" sheetId="4" state="hidden" r:id="rId4"/>
  </sheets>
  <externalReferences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  <externalReference xmlns:r="http://schemas.openxmlformats.org/officeDocument/2006/relationships" r:id="rId35"/>
    <externalReference xmlns:r="http://schemas.openxmlformats.org/officeDocument/2006/relationships" r:id="rId36"/>
    <externalReference xmlns:r="http://schemas.openxmlformats.org/officeDocument/2006/relationships" r:id="rId37"/>
    <externalReference xmlns:r="http://schemas.openxmlformats.org/officeDocument/2006/relationships" r:id="rId38"/>
    <externalReference xmlns:r="http://schemas.openxmlformats.org/officeDocument/2006/relationships" r:id="rId39"/>
    <externalReference xmlns:r="http://schemas.openxmlformats.org/officeDocument/2006/relationships" r:id="rId40"/>
    <externalReference xmlns:r="http://schemas.openxmlformats.org/officeDocument/2006/relationships" r:id="rId41"/>
    <externalReference xmlns:r="http://schemas.openxmlformats.org/officeDocument/2006/relationships" r:id="rId42"/>
    <externalReference xmlns:r="http://schemas.openxmlformats.org/officeDocument/2006/relationships" r:id="rId43"/>
    <externalReference xmlns:r="http://schemas.openxmlformats.org/officeDocument/2006/relationships" r:id="rId44"/>
    <externalReference xmlns:r="http://schemas.openxmlformats.org/officeDocument/2006/relationships" r:id="rId45"/>
    <externalReference xmlns:r="http://schemas.openxmlformats.org/officeDocument/2006/relationships" r:id="rId46"/>
    <externalReference xmlns:r="http://schemas.openxmlformats.org/officeDocument/2006/relationships" r:id="rId47"/>
    <externalReference xmlns:r="http://schemas.openxmlformats.org/officeDocument/2006/relationships" r:id="rId48"/>
    <externalReference xmlns:r="http://schemas.openxmlformats.org/officeDocument/2006/relationships" r:id="rId49"/>
    <externalReference xmlns:r="http://schemas.openxmlformats.org/officeDocument/2006/relationships" r:id="rId50"/>
    <externalReference xmlns:r="http://schemas.openxmlformats.org/officeDocument/2006/relationships" r:id="rId51"/>
    <externalReference xmlns:r="http://schemas.openxmlformats.org/officeDocument/2006/relationships" r:id="rId52"/>
    <externalReference xmlns:r="http://schemas.openxmlformats.org/officeDocument/2006/relationships" r:id="rId53"/>
    <externalReference xmlns:r="http://schemas.openxmlformats.org/officeDocument/2006/relationships" r:id="rId54"/>
    <externalReference xmlns:r="http://schemas.openxmlformats.org/officeDocument/2006/relationships" r:id="rId55"/>
    <externalReference xmlns:r="http://schemas.openxmlformats.org/officeDocument/2006/relationships" r:id="rId56"/>
    <externalReference xmlns:r="http://schemas.openxmlformats.org/officeDocument/2006/relationships" r:id="rId57"/>
    <externalReference xmlns:r="http://schemas.openxmlformats.org/officeDocument/2006/relationships" r:id="rId58"/>
    <externalReference xmlns:r="http://schemas.openxmlformats.org/officeDocument/2006/relationships" r:id="rId59"/>
    <externalReference xmlns:r="http://schemas.openxmlformats.org/officeDocument/2006/relationships" r:id="rId60"/>
    <externalReference xmlns:r="http://schemas.openxmlformats.org/officeDocument/2006/relationships" r:id="rId61"/>
    <externalReference xmlns:r="http://schemas.openxmlformats.org/officeDocument/2006/relationships" r:id="rId62"/>
    <externalReference xmlns:r="http://schemas.openxmlformats.org/officeDocument/2006/relationships" r:id="rId63"/>
    <externalReference xmlns:r="http://schemas.openxmlformats.org/officeDocument/2006/relationships" r:id="rId64"/>
    <externalReference xmlns:r="http://schemas.openxmlformats.org/officeDocument/2006/relationships" r:id="rId65"/>
    <externalReference xmlns:r="http://schemas.openxmlformats.org/officeDocument/2006/relationships" r:id="rId66"/>
    <externalReference xmlns:r="http://schemas.openxmlformats.org/officeDocument/2006/relationships" r:id="rId67"/>
    <externalReference xmlns:r="http://schemas.openxmlformats.org/officeDocument/2006/relationships" r:id="rId68"/>
    <externalReference xmlns:r="http://schemas.openxmlformats.org/officeDocument/2006/relationships" r:id="rId69"/>
    <externalReference xmlns:r="http://schemas.openxmlformats.org/officeDocument/2006/relationships" r:id="rId70"/>
    <externalReference xmlns:r="http://schemas.openxmlformats.org/officeDocument/2006/relationships" r:id="rId71"/>
    <externalReference xmlns:r="http://schemas.openxmlformats.org/officeDocument/2006/relationships" r:id="rId72"/>
    <externalReference xmlns:r="http://schemas.openxmlformats.org/officeDocument/2006/relationships" r:id="rId73"/>
    <externalReference xmlns:r="http://schemas.openxmlformats.org/officeDocument/2006/relationships" r:id="rId74"/>
    <externalReference xmlns:r="http://schemas.openxmlformats.org/officeDocument/2006/relationships" r:id="rId75"/>
    <externalReference xmlns:r="http://schemas.openxmlformats.org/officeDocument/2006/relationships" r:id="rId76"/>
    <externalReference xmlns:r="http://schemas.openxmlformats.org/officeDocument/2006/relationships" r:id="rId77"/>
    <externalReference xmlns:r="http://schemas.openxmlformats.org/officeDocument/2006/relationships" r:id="rId78"/>
    <externalReference xmlns:r="http://schemas.openxmlformats.org/officeDocument/2006/relationships" r:id="rId79"/>
    <externalReference xmlns:r="http://schemas.openxmlformats.org/officeDocument/2006/relationships" r:id="rId80"/>
    <externalReference xmlns:r="http://schemas.openxmlformats.org/officeDocument/2006/relationships" r:id="rId81"/>
    <externalReference xmlns:r="http://schemas.openxmlformats.org/officeDocument/2006/relationships" r:id="rId82"/>
    <externalReference xmlns:r="http://schemas.openxmlformats.org/officeDocument/2006/relationships" r:id="rId83"/>
    <externalReference xmlns:r="http://schemas.openxmlformats.org/officeDocument/2006/relationships" r:id="rId84"/>
    <externalReference xmlns:r="http://schemas.openxmlformats.org/officeDocument/2006/relationships" r:id="rId85"/>
    <externalReference xmlns:r="http://schemas.openxmlformats.org/officeDocument/2006/relationships" r:id="rId86"/>
    <externalReference xmlns:r="http://schemas.openxmlformats.org/officeDocument/2006/relationships" r:id="rId87"/>
    <externalReference xmlns:r="http://schemas.openxmlformats.org/officeDocument/2006/relationships" r:id="rId88"/>
    <externalReference xmlns:r="http://schemas.openxmlformats.org/officeDocument/2006/relationships" r:id="rId89"/>
    <externalReference xmlns:r="http://schemas.openxmlformats.org/officeDocument/2006/relationships" r:id="rId90"/>
    <externalReference xmlns:r="http://schemas.openxmlformats.org/officeDocument/2006/relationships" r:id="rId91"/>
    <externalReference xmlns:r="http://schemas.openxmlformats.org/officeDocument/2006/relationships" r:id="rId92"/>
    <externalReference xmlns:r="http://schemas.openxmlformats.org/officeDocument/2006/relationships" r:id="rId93"/>
    <externalReference xmlns:r="http://schemas.openxmlformats.org/officeDocument/2006/relationships" r:id="rId94"/>
    <externalReference xmlns:r="http://schemas.openxmlformats.org/officeDocument/2006/relationships" r:id="rId95"/>
    <externalReference xmlns:r="http://schemas.openxmlformats.org/officeDocument/2006/relationships" r:id="rId96"/>
    <externalReference xmlns:r="http://schemas.openxmlformats.org/officeDocument/2006/relationships" r:id="rId97"/>
    <externalReference xmlns:r="http://schemas.openxmlformats.org/officeDocument/2006/relationships" r:id="rId98"/>
    <externalReference xmlns:r="http://schemas.openxmlformats.org/officeDocument/2006/relationships" r:id="rId99"/>
    <externalReference xmlns:r="http://schemas.openxmlformats.org/officeDocument/2006/relationships" r:id="rId100"/>
    <externalReference xmlns:r="http://schemas.openxmlformats.org/officeDocument/2006/relationships" r:id="rId101"/>
    <externalReference xmlns:r="http://schemas.openxmlformats.org/officeDocument/2006/relationships" r:id="rId102"/>
    <externalReference xmlns:r="http://schemas.openxmlformats.org/officeDocument/2006/relationships" r:id="rId103"/>
    <externalReference xmlns:r="http://schemas.openxmlformats.org/officeDocument/2006/relationships" r:id="rId104"/>
    <externalReference xmlns:r="http://schemas.openxmlformats.org/officeDocument/2006/relationships" r:id="rId105"/>
    <externalReference xmlns:r="http://schemas.openxmlformats.org/officeDocument/2006/relationships" r:id="rId106"/>
    <externalReference xmlns:r="http://schemas.openxmlformats.org/officeDocument/2006/relationships" r:id="rId107"/>
    <externalReference xmlns:r="http://schemas.openxmlformats.org/officeDocument/2006/relationships" r:id="rId108"/>
    <externalReference xmlns:r="http://schemas.openxmlformats.org/officeDocument/2006/relationships" r:id="rId109"/>
    <externalReference xmlns:r="http://schemas.openxmlformats.org/officeDocument/2006/relationships" r:id="rId110"/>
    <externalReference xmlns:r="http://schemas.openxmlformats.org/officeDocument/2006/relationships" r:id="rId111"/>
    <externalReference xmlns:r="http://schemas.openxmlformats.org/officeDocument/2006/relationships" r:id="rId112"/>
    <externalReference xmlns:r="http://schemas.openxmlformats.org/officeDocument/2006/relationships" r:id="rId113"/>
    <externalReference xmlns:r="http://schemas.openxmlformats.org/officeDocument/2006/relationships" r:id="rId114"/>
    <externalReference xmlns:r="http://schemas.openxmlformats.org/officeDocument/2006/relationships" r:id="rId115"/>
    <externalReference xmlns:r="http://schemas.openxmlformats.org/officeDocument/2006/relationships" r:id="rId116"/>
    <externalReference xmlns:r="http://schemas.openxmlformats.org/officeDocument/2006/relationships" r:id="rId117"/>
    <externalReference xmlns:r="http://schemas.openxmlformats.org/officeDocument/2006/relationships" r:id="rId118"/>
    <externalReference xmlns:r="http://schemas.openxmlformats.org/officeDocument/2006/relationships" r:id="rId119"/>
    <externalReference xmlns:r="http://schemas.openxmlformats.org/officeDocument/2006/relationships" r:id="rId120"/>
    <externalReference xmlns:r="http://schemas.openxmlformats.org/officeDocument/2006/relationships" r:id="rId121"/>
    <externalReference xmlns:r="http://schemas.openxmlformats.org/officeDocument/2006/relationships" r:id="rId122"/>
    <externalReference xmlns:r="http://schemas.openxmlformats.org/officeDocument/2006/relationships" r:id="rId123"/>
    <externalReference xmlns:r="http://schemas.openxmlformats.org/officeDocument/2006/relationships" r:id="rId124"/>
    <externalReference xmlns:r="http://schemas.openxmlformats.org/officeDocument/2006/relationships" r:id="rId125"/>
    <externalReference xmlns:r="http://schemas.openxmlformats.org/officeDocument/2006/relationships" r:id="rId126"/>
    <externalReference xmlns:r="http://schemas.openxmlformats.org/officeDocument/2006/relationships" r:id="rId127"/>
    <externalReference xmlns:r="http://schemas.openxmlformats.org/officeDocument/2006/relationships" r:id="rId128"/>
    <externalReference xmlns:r="http://schemas.openxmlformats.org/officeDocument/2006/relationships" r:id="rId129"/>
    <externalReference xmlns:r="http://schemas.openxmlformats.org/officeDocument/2006/relationships" r:id="rId130"/>
    <externalReference xmlns:r="http://schemas.openxmlformats.org/officeDocument/2006/relationships" r:id="rId131"/>
    <externalReference xmlns:r="http://schemas.openxmlformats.org/officeDocument/2006/relationships" r:id="rId132"/>
    <externalReference xmlns:r="http://schemas.openxmlformats.org/officeDocument/2006/relationships" r:id="rId133"/>
    <externalReference xmlns:r="http://schemas.openxmlformats.org/officeDocument/2006/relationships" r:id="rId134"/>
    <externalReference xmlns:r="http://schemas.openxmlformats.org/officeDocument/2006/relationships" r:id="rId135"/>
    <externalReference xmlns:r="http://schemas.openxmlformats.org/officeDocument/2006/relationships" r:id="rId136"/>
    <externalReference xmlns:r="http://schemas.openxmlformats.org/officeDocument/2006/relationships" r:id="rId137"/>
    <externalReference xmlns:r="http://schemas.openxmlformats.org/officeDocument/2006/relationships" r:id="rId138"/>
    <externalReference xmlns:r="http://schemas.openxmlformats.org/officeDocument/2006/relationships" r:id="rId139"/>
    <externalReference xmlns:r="http://schemas.openxmlformats.org/officeDocument/2006/relationships" r:id="rId140"/>
    <externalReference xmlns:r="http://schemas.openxmlformats.org/officeDocument/2006/relationships" r:id="rId141"/>
    <externalReference xmlns:r="http://schemas.openxmlformats.org/officeDocument/2006/relationships" r:id="rId142"/>
    <externalReference xmlns:r="http://schemas.openxmlformats.org/officeDocument/2006/relationships" r:id="rId143"/>
    <externalReference xmlns:r="http://schemas.openxmlformats.org/officeDocument/2006/relationships" r:id="rId144"/>
    <externalReference xmlns:r="http://schemas.openxmlformats.org/officeDocument/2006/relationships" r:id="rId145"/>
    <externalReference xmlns:r="http://schemas.openxmlformats.org/officeDocument/2006/relationships" r:id="rId146"/>
    <externalReference xmlns:r="http://schemas.openxmlformats.org/officeDocument/2006/relationships" r:id="rId147"/>
    <externalReference xmlns:r="http://schemas.openxmlformats.org/officeDocument/2006/relationships" r:id="rId148"/>
    <externalReference xmlns:r="http://schemas.openxmlformats.org/officeDocument/2006/relationships" r:id="rId149"/>
    <externalReference xmlns:r="http://schemas.openxmlformats.org/officeDocument/2006/relationships" r:id="rId150"/>
    <externalReference xmlns:r="http://schemas.openxmlformats.org/officeDocument/2006/relationships" r:id="rId151"/>
    <externalReference xmlns:r="http://schemas.openxmlformats.org/officeDocument/2006/relationships" r:id="rId152"/>
    <externalReference xmlns:r="http://schemas.openxmlformats.org/officeDocument/2006/relationships" r:id="rId153"/>
    <externalReference xmlns:r="http://schemas.openxmlformats.org/officeDocument/2006/relationships" r:id="rId154"/>
    <externalReference xmlns:r="http://schemas.openxmlformats.org/officeDocument/2006/relationships" r:id="rId155"/>
    <externalReference xmlns:r="http://schemas.openxmlformats.org/officeDocument/2006/relationships" r:id="rId156"/>
    <externalReference xmlns:r="http://schemas.openxmlformats.org/officeDocument/2006/relationships" r:id="rId157"/>
    <externalReference xmlns:r="http://schemas.openxmlformats.org/officeDocument/2006/relationships" r:id="rId158"/>
    <externalReference xmlns:r="http://schemas.openxmlformats.org/officeDocument/2006/relationships" r:id="rId159"/>
    <externalReference xmlns:r="http://schemas.openxmlformats.org/officeDocument/2006/relationships" r:id="rId160"/>
    <externalReference xmlns:r="http://schemas.openxmlformats.org/officeDocument/2006/relationships" r:id="rId161"/>
    <externalReference xmlns:r="http://schemas.openxmlformats.org/officeDocument/2006/relationships" r:id="rId162"/>
    <externalReference xmlns:r="http://schemas.openxmlformats.org/officeDocument/2006/relationships" r:id="rId163"/>
    <externalReference xmlns:r="http://schemas.openxmlformats.org/officeDocument/2006/relationships" r:id="rId164"/>
    <externalReference xmlns:r="http://schemas.openxmlformats.org/officeDocument/2006/relationships" r:id="rId165"/>
    <externalReference xmlns:r="http://schemas.openxmlformats.org/officeDocument/2006/relationships" r:id="rId166"/>
    <externalReference xmlns:r="http://schemas.openxmlformats.org/officeDocument/2006/relationships" r:id="rId167"/>
    <externalReference xmlns:r="http://schemas.openxmlformats.org/officeDocument/2006/relationships" r:id="rId168"/>
    <externalReference xmlns:r="http://schemas.openxmlformats.org/officeDocument/2006/relationships" r:id="rId169"/>
    <externalReference xmlns:r="http://schemas.openxmlformats.org/officeDocument/2006/relationships" r:id="rId170"/>
    <externalReference xmlns:r="http://schemas.openxmlformats.org/officeDocument/2006/relationships" r:id="rId171"/>
    <externalReference xmlns:r="http://schemas.openxmlformats.org/officeDocument/2006/relationships" r:id="rId172"/>
    <externalReference xmlns:r="http://schemas.openxmlformats.org/officeDocument/2006/relationships" r:id="rId173"/>
    <externalReference xmlns:r="http://schemas.openxmlformats.org/officeDocument/2006/relationships" r:id="rId174"/>
    <externalReference xmlns:r="http://schemas.openxmlformats.org/officeDocument/2006/relationships" r:id="rId175"/>
    <externalReference xmlns:r="http://schemas.openxmlformats.org/officeDocument/2006/relationships" r:id="rId176"/>
    <externalReference xmlns:r="http://schemas.openxmlformats.org/officeDocument/2006/relationships" r:id="rId177"/>
    <externalReference xmlns:r="http://schemas.openxmlformats.org/officeDocument/2006/relationships" r:id="rId178"/>
    <externalReference xmlns:r="http://schemas.openxmlformats.org/officeDocument/2006/relationships" r:id="rId179"/>
    <externalReference xmlns:r="http://schemas.openxmlformats.org/officeDocument/2006/relationships" r:id="rId180"/>
    <externalReference xmlns:r="http://schemas.openxmlformats.org/officeDocument/2006/relationships" r:id="rId181"/>
    <externalReference xmlns:r="http://schemas.openxmlformats.org/officeDocument/2006/relationships" r:id="rId182"/>
    <externalReference xmlns:r="http://schemas.openxmlformats.org/officeDocument/2006/relationships" r:id="rId183"/>
    <externalReference xmlns:r="http://schemas.openxmlformats.org/officeDocument/2006/relationships" r:id="rId184"/>
    <externalReference xmlns:r="http://schemas.openxmlformats.org/officeDocument/2006/relationships" r:id="rId185"/>
    <externalReference xmlns:r="http://schemas.openxmlformats.org/officeDocument/2006/relationships" r:id="rId186"/>
    <externalReference xmlns:r="http://schemas.openxmlformats.org/officeDocument/2006/relationships" r:id="rId187"/>
    <externalReference xmlns:r="http://schemas.openxmlformats.org/officeDocument/2006/relationships" r:id="rId188"/>
    <externalReference xmlns:r="http://schemas.openxmlformats.org/officeDocument/2006/relationships" r:id="rId189"/>
    <externalReference xmlns:r="http://schemas.openxmlformats.org/officeDocument/2006/relationships" r:id="rId190"/>
    <externalReference xmlns:r="http://schemas.openxmlformats.org/officeDocument/2006/relationships" r:id="rId191"/>
    <externalReference xmlns:r="http://schemas.openxmlformats.org/officeDocument/2006/relationships" r:id="rId192"/>
    <externalReference xmlns:r="http://schemas.openxmlformats.org/officeDocument/2006/relationships" r:id="rId193"/>
    <externalReference xmlns:r="http://schemas.openxmlformats.org/officeDocument/2006/relationships" r:id="rId194"/>
    <externalReference xmlns:r="http://schemas.openxmlformats.org/officeDocument/2006/relationships" r:id="rId195"/>
    <externalReference xmlns:r="http://schemas.openxmlformats.org/officeDocument/2006/relationships" r:id="rId196"/>
    <externalReference xmlns:r="http://schemas.openxmlformats.org/officeDocument/2006/relationships" r:id="rId197"/>
    <externalReference xmlns:r="http://schemas.openxmlformats.org/officeDocument/2006/relationships" r:id="rId198"/>
    <externalReference xmlns:r="http://schemas.openxmlformats.org/officeDocument/2006/relationships" r:id="rId199"/>
    <externalReference xmlns:r="http://schemas.openxmlformats.org/officeDocument/2006/relationships" r:id="rId200"/>
    <externalReference xmlns:r="http://schemas.openxmlformats.org/officeDocument/2006/relationships" r:id="rId201"/>
    <externalReference xmlns:r="http://schemas.openxmlformats.org/officeDocument/2006/relationships" r:id="rId202"/>
    <externalReference xmlns:r="http://schemas.openxmlformats.org/officeDocument/2006/relationships" r:id="rId203"/>
    <externalReference xmlns:r="http://schemas.openxmlformats.org/officeDocument/2006/relationships" r:id="rId204"/>
    <externalReference xmlns:r="http://schemas.openxmlformats.org/officeDocument/2006/relationships" r:id="rId205"/>
    <externalReference xmlns:r="http://schemas.openxmlformats.org/officeDocument/2006/relationships" r:id="rId206"/>
    <externalReference xmlns:r="http://schemas.openxmlformats.org/officeDocument/2006/relationships" r:id="rId207"/>
    <externalReference xmlns:r="http://schemas.openxmlformats.org/officeDocument/2006/relationships" r:id="rId208"/>
    <externalReference xmlns:r="http://schemas.openxmlformats.org/officeDocument/2006/relationships" r:id="rId209"/>
    <externalReference xmlns:r="http://schemas.openxmlformats.org/officeDocument/2006/relationships" r:id="rId210"/>
    <externalReference xmlns:r="http://schemas.openxmlformats.org/officeDocument/2006/relationships" r:id="rId211"/>
    <externalReference xmlns:r="http://schemas.openxmlformats.org/officeDocument/2006/relationships" r:id="rId212"/>
    <externalReference xmlns:r="http://schemas.openxmlformats.org/officeDocument/2006/relationships" r:id="rId213"/>
    <externalReference xmlns:r="http://schemas.openxmlformats.org/officeDocument/2006/relationships" r:id="rId214"/>
    <externalReference xmlns:r="http://schemas.openxmlformats.org/officeDocument/2006/relationships" r:id="rId215"/>
    <externalReference xmlns:r="http://schemas.openxmlformats.org/officeDocument/2006/relationships" r:id="rId216"/>
    <externalReference xmlns:r="http://schemas.openxmlformats.org/officeDocument/2006/relationships" r:id="rId217"/>
    <externalReference xmlns:r="http://schemas.openxmlformats.org/officeDocument/2006/relationships" r:id="rId218"/>
    <externalReference xmlns:r="http://schemas.openxmlformats.org/officeDocument/2006/relationships" r:id="rId219"/>
    <externalReference xmlns:r="http://schemas.openxmlformats.org/officeDocument/2006/relationships" r:id="rId220"/>
    <externalReference xmlns:r="http://schemas.openxmlformats.org/officeDocument/2006/relationships" r:id="rId221"/>
    <externalReference xmlns:r="http://schemas.openxmlformats.org/officeDocument/2006/relationships" r:id="rId222"/>
    <externalReference xmlns:r="http://schemas.openxmlformats.org/officeDocument/2006/relationships" r:id="rId223"/>
    <externalReference xmlns:r="http://schemas.openxmlformats.org/officeDocument/2006/relationships" r:id="rId224"/>
    <externalReference xmlns:r="http://schemas.openxmlformats.org/officeDocument/2006/relationships" r:id="rId225"/>
    <externalReference xmlns:r="http://schemas.openxmlformats.org/officeDocument/2006/relationships" r:id="rId226"/>
  </externalReferences>
  <definedNames/>
  <calcPr calcId="162913" fullCalcOnLoad="1"/>
</workbook>
</file>

<file path=xl/styles.xml><?xml version="1.0" encoding="utf-8"?>
<styleSheet xmlns="http://schemas.openxmlformats.org/spreadsheetml/2006/main">
  <numFmts count="177">
    <numFmt numFmtId="164" formatCode="_-* #,##0_-;\-* #,##0_-;_-* &quot;-&quot;_-;_-@_-"/>
    <numFmt numFmtId="165" formatCode="#,##0_);[Red]\(#,##0\)"/>
    <numFmt numFmtId="166" formatCode="0.0%"/>
    <numFmt numFmtId="167" formatCode="#,##0.00000_ "/>
    <numFmt numFmtId="168" formatCode="_-* #,##0.00_-;\-* #,##0.00_-;_-* &quot;-&quot;??_-;_-@_-"/>
    <numFmt numFmtId="169" formatCode="0_ "/>
    <numFmt numFmtId="170" formatCode="[DBNum4][$-412]General"/>
    <numFmt numFmtId="171" formatCode="&quot;₩&quot;#,##0.00;[Red]&quot;₩&quot;\-#,##0.00"/>
    <numFmt numFmtId="172" formatCode="&quot;₩&quot;#,##0;[Red]&quot;₩&quot;\-#,##0"/>
    <numFmt numFmtId="173" formatCode="_(* #,##0.0_);_(* \(#,##0.0\);_(* &quot;-&quot;??_);_(@_)"/>
    <numFmt numFmtId="174" formatCode="_ * #,##0_ ;_ * &quot;₩&quot;&quot;₩&quot;&quot;₩&quot;\-#,##0_ ;_ * &quot;-&quot;_ ;_ @_ "/>
    <numFmt numFmtId="175" formatCode="0.00000"/>
    <numFmt numFmtId="176" formatCode="_ * #,##0.00_ ;_ * \-#,##0.00_ ;_ * &quot;-&quot;??_ ;_ @_ "/>
    <numFmt numFmtId="177" formatCode="&quot;₩&quot;#,##0.00;&quot;₩&quot;\-#,##0.00"/>
    <numFmt numFmtId="178" formatCode="yy&quot;₩&quot;/mm&quot;₩&quot;/dd"/>
    <numFmt numFmtId="179" formatCode="0.00000%"/>
    <numFmt numFmtId="180" formatCode="\(0.0\)"/>
    <numFmt numFmtId="181" formatCode="&quot;₩&quot;#,##0;&quot;₩&quot;\-#,##0"/>
    <numFmt numFmtId="182" formatCode="&quot;₩&quot;#,##0.00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.00"/>
    <numFmt numFmtId="183" formatCode="#,##0_ "/>
    <numFmt numFmtId="184" formatCode="&quot;₩&quot;#,##0;[Red]&quot;₩&quot;&quot;₩&quot;\-#,##0"/>
    <numFmt numFmtId="185" formatCode="#,##0;&quot;-&quot;#,##0"/>
    <numFmt numFmtId="186" formatCode="0.00_);[Red]\(0.00\)"/>
    <numFmt numFmtId="187" formatCode="&quot;₩&quot;#,##0.0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.00"/>
    <numFmt numFmtId="188" formatCode="#,##0.0"/>
    <numFmt numFmtId="189" formatCode="&quot;₩&quot;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"/>
    <numFmt numFmtId="190" formatCode="_-&quot;$&quot;* #,##0_-;\-&quot;$&quot;* #,##0_-;_-&quot;$&quot;* &quot;-&quot;_-;_-@_-"/>
    <numFmt numFmtId="191" formatCode="&quot;₩&quot;#,##0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"/>
    <numFmt numFmtId="192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193" formatCode="\ "/>
    <numFmt numFmtId="194" formatCode="#,##0.000"/>
    <numFmt numFmtId="195" formatCode="&quot;₩&quot;\!\$#\!\,##0_);[Red]&quot;₩&quot;\!\(&quot;₩&quot;\!\$#\!\,##0&quot;₩&quot;\!\)"/>
    <numFmt numFmtId="196" formatCode="_-* #,##0.0_-;\-* #,##0.0_-;_-* &quot;-&quot;_-;_-@_-"/>
    <numFmt numFmtId="197" formatCode="&quot;(&quot;###.00&quot;)&quot;"/>
    <numFmt numFmtId="198" formatCode=";;;"/>
    <numFmt numFmtId="199" formatCode="_ &quot;₩&quot;* #,##0.00_ ;_ &quot;₩&quot;* \-#,##0.00_ ;_ &quot;₩&quot;* &quot;-&quot;??_ ;_ @_ "/>
    <numFmt numFmtId="200" formatCode="#,##0.00\ &quot;Esc.&quot;;[Red]\-#,##0.00\ &quot;Esc.&quot;"/>
    <numFmt numFmtId="201" formatCode="[Red]&quot;@ &quot;#,##0_ ;[Red]&quot;@ &quot;\-#,##0\ "/>
    <numFmt numFmtId="202" formatCode="#,##0.00000"/>
    <numFmt numFmtId="203" formatCode="#,##0.00\ ;&quot;\!-&quot;#,##0.00\ ;&quot; -&quot;#\ ;@\ "/>
    <numFmt numFmtId="204" formatCode="#,##0\ ;&quot;\!-&quot;#,##0\ ;&quot; - &quot;;@\ "/>
    <numFmt numFmtId="205" formatCode="#,##0\ ;\-#,##0\ ;&quot; - &quot;;@\ "/>
    <numFmt numFmtId="206" formatCode="#,##0.00\ ;\-#,##0.00\ ;&quot; -&quot;#\ ;@\ "/>
    <numFmt numFmtId="207" formatCode="_-* #,##0.00_-;\-* #,##0.00_-;_-* &quot;-&quot;_-;_-@_-"/>
    <numFmt numFmtId="208" formatCode="[Red]\+#;[Red]\-#;[Red]0"/>
    <numFmt numFmtId="209" formatCode="#,##0;[Red]&quot;△&quot;#,##0"/>
    <numFmt numFmtId="210" formatCode="#,##0_ ;[Red]&quot;△&quot;#,##0\ "/>
    <numFmt numFmtId="211" formatCode="#.00"/>
    <numFmt numFmtId="212" formatCode="#."/>
    <numFmt numFmtId="213" formatCode="_ * #,##0_ ;_ * \-#,##0_ ;_ * &quot;-&quot;_ ;_ @_ "/>
    <numFmt numFmtId="214" formatCode="_-* #,##0.0_-;&quot;₩&quot;\!\-* #,##0.0_-;_-* &quot;-&quot;_-;_-@_-"/>
    <numFmt numFmtId="215" formatCode="#,##0.0;[Red]#,##0.0;&quot; &quot;"/>
    <numFmt numFmtId="216" formatCode="0.0000%"/>
    <numFmt numFmtId="217" formatCode="#,##0.0000"/>
    <numFmt numFmtId="218" formatCode="0.000"/>
    <numFmt numFmtId="219" formatCode="#,##0.000\ &quot;10공/㎥ &quot;"/>
    <numFmt numFmtId="220" formatCode="#,##0.00;[Red]#,##0.00;&quot; &quot;"/>
    <numFmt numFmtId="221" formatCode="#,##0.00_);[Red]\(#,##0.00\)"/>
    <numFmt numFmtId="222" formatCode="&quot;$&quot;#,##0.00_);[Red]\(&quot;$&quot;#,##0.00\)"/>
    <numFmt numFmtId="223" formatCode="_-[$€-2]* #,##0.00_-;\-[$€-2]* #,##0.00_-;_-[$€-2]* &quot;-&quot;??_-"/>
    <numFmt numFmtId="224" formatCode="_ * #,##0.00_ ;_ * \-#,##0.00_ ;_ * &quot;-&quot;_ ;_ @_ "/>
    <numFmt numFmtId="225" formatCode="#,##0.00\ &quot;a &quot;"/>
    <numFmt numFmtId="226" formatCode="_ * #,##0_ ;_ * &quot;₩&quot;\!\-#,##0_ ;_ * &quot;-&quot;_ ;_ @_ "/>
    <numFmt numFmtId="227" formatCode="&quot;$&quot;#,##0.00_);\(&quot;$&quot;#,##0.00\)"/>
    <numFmt numFmtId="228" formatCode="_ &quot;₩&quot;* #,##0_ ;_ &quot;₩&quot;* \-#,##0_ ;_ &quot;₩&quot;* &quot;-&quot;_ ;_ @_ "/>
    <numFmt numFmtId="229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230" formatCode="&quot;₩&quot;#,##0;[Red]&quot;₩&quot;&quot;-&quot;#,##0"/>
    <numFmt numFmtId="231" formatCode="_ &quot;₩&quot;* #,##0.00_ ;_ &quot;₩&quot;* &quot;₩&quot;&quot;₩&quot;&quot;₩&quot;&quot;₩&quot;&quot;₩&quot;&quot;₩&quot;&quot;₩&quot;&quot;₩&quot;&quot;₩&quot;&quot;₩&quot;&quot;₩&quot;&quot;₩&quot;&quot;₩&quot;&quot;₩&quot;&quot;₩&quot;&quot;₩&quot;&quot;₩&quot;\-#,##0.00_ ;_ &quot;₩&quot;* &quot;-&quot;??_ ;_ @_ "/>
    <numFmt numFmtId="232" formatCode="%#.00"/>
    <numFmt numFmtId="233" formatCode="_ * #,##0_ ;_ * &quot;₩&quot;&quot;₩&quot;&quot;₩&quot;&quot;₩&quot;&quot;₩&quot;&quot;₩&quot;&quot;₩&quot;&quot;₩&quot;&quot;₩&quot;&quot;₩&quot;&quot;₩&quot;&quot;₩&quot;&quot;₩&quot;&quot;₩&quot;&quot;₩&quot;&quot;₩&quot;&quot;₩&quot;\-#,##0_ ;_ * &quot;-&quot;_ ;_ @_ "/>
    <numFmt numFmtId="234" formatCode="#,##0.00_ "/>
    <numFmt numFmtId="235" formatCode="_ * #,##0.00_ ;_ * &quot;₩&quot;&quot;₩&quot;&quot;₩&quot;&quot;₩&quot;&quot;₩&quot;&quot;₩&quot;&quot;₩&quot;&quot;₩&quot;&quot;₩&quot;&quot;₩&quot;&quot;₩&quot;&quot;₩&quot;&quot;₩&quot;&quot;₩&quot;&quot;₩&quot;&quot;₩&quot;&quot;₩&quot;\-#,##0.00_ ;_ * &quot;-&quot;??_ ;_ @_ "/>
    <numFmt numFmtId="236" formatCode="#,##0."/>
    <numFmt numFmtId="237" formatCode="&quot;$&quot;#,##0_);\(&quot;$&quot;#,##0\)"/>
    <numFmt numFmtId="238" formatCode="#,##0;\-#,##0;&quot;-&quot;"/>
    <numFmt numFmtId="239" formatCode="\$#,##0;\(\$#,##0\)"/>
    <numFmt numFmtId="240" formatCode="_-* #,##0&quot;₩&quot;\ _D_M_-;&quot;₩&quot;\-* #,##0&quot;₩&quot;\ _D_M_-;_-* &quot;-&quot;&quot;₩&quot;\ _D_M_-;_-@_-"/>
    <numFmt numFmtId="241" formatCode="* #,##0.0"/>
    <numFmt numFmtId="242" formatCode="_ * #,##0_ ;_ * &quot;₩&quot;\-#,##0_ ;_ * &quot;-&quot;??_ ;_ @_ "/>
    <numFmt numFmtId="243" formatCode="0.0%;[Red]&quot;△&quot;0.0%"/>
    <numFmt numFmtId="244" formatCode="0.00000000"/>
    <numFmt numFmtId="245" formatCode="#,##0&quot;\       &quot;;&quot;\-&quot;#,##0&quot;\       &quot;;&quot; -\       &quot;;@\ "/>
    <numFmt numFmtId="246" formatCode="_(&quot;$&quot;* #,##0.0_);_(&quot;$&quot;* \(#,##0.0\);_(&quot;$&quot;* &quot;-&quot;_);_(@_)"/>
    <numFmt numFmtId="247" formatCode="#,##0.000_ "/>
    <numFmt numFmtId="248" formatCode="_ * #,##0.00_ ;_ * &quot;₩&quot;&quot;₩&quot;&quot;₩&quot;&quot;₩&quot;\!\-#,##0.00_ ;_ * &quot;-&quot;??_ ;_ @_ "/>
    <numFmt numFmtId="249" formatCode="\$#,##0.00"/>
    <numFmt numFmtId="250" formatCode="_ &quot;₩&quot;* #,##0.00_ ;_ &quot;₩&quot;* &quot;₩&quot;&quot;₩&quot;&quot;₩&quot;&quot;₩&quot;\-#,##0.00_ ;_ &quot;₩&quot;* &quot;-&quot;??_ ;_ @_ "/>
    <numFmt numFmtId="251" formatCode="0.##"/>
    <numFmt numFmtId="252" formatCode="&quot;$&quot;#,##0.00;;"/>
    <numFmt numFmtId="253" formatCode="0\ &quot;EA&quot;"/>
    <numFmt numFmtId="254" formatCode="&quot; \&quot;#,##0\ ;&quot;!-\&quot;#,##0\ ;&quot; \- &quot;;@\ "/>
    <numFmt numFmtId="255" formatCode="\$#.00"/>
    <numFmt numFmtId="256" formatCode="\$#."/>
    <numFmt numFmtId="257" formatCode="#,##0.000\ &quot;㎏ &quot;"/>
    <numFmt numFmtId="258" formatCode="#,##0.00\ ;&quot;!-&quot;#,##0.00\ ;&quot; -&quot;#\ ;@\ "/>
    <numFmt numFmtId="259" formatCode="###,###,"/>
    <numFmt numFmtId="260" formatCode="&quot;₩&quot;#,##0.00;&quot;₩&quot;&quot;₩&quot;&quot;₩&quot;&quot;₩&quot;&quot;₩&quot;\-#,##0.00"/>
    <numFmt numFmtId="261" formatCode="#,##0.00\ &quot;ℓ &quot;"/>
    <numFmt numFmtId="262" formatCode="&quot;!$&quot;#,##0\ ;[Red]&quot;!(!$&quot;#,##0&quot;!)&quot;"/>
    <numFmt numFmtId="263" formatCode="#,##0.000\ &quot;m  &quot;"/>
    <numFmt numFmtId="264" formatCode="#,##0\ ;&quot;!-&quot;#,##0\ ;&quot; - &quot;;@\ "/>
    <numFmt numFmtId="265" formatCode="&quot;!$&quot;#,##0.00\ ;&quot;!(!$&quot;#,##0.00&quot;!)&quot;"/>
    <numFmt numFmtId="266" formatCode="#,##0.000\ &quot;㎡ &quot;"/>
    <numFmt numFmtId="267" formatCode="&quot;!$&quot;#,##0.00\ ;[Red]&quot;!(!$&quot;#,##0.00&quot;!)&quot;"/>
    <numFmt numFmtId="268" formatCode="#,##0.000\ &quot;㎥ &quot;"/>
    <numFmt numFmtId="269" formatCode="General_)"/>
    <numFmt numFmtId="270" formatCode="_-* #,##0_-;&quot;₩&quot;&quot;₩&quot;&quot;₩&quot;&quot;₩&quot;&quot;₩&quot;&quot;₩&quot;&quot;₩&quot;\-* #,##0_-;_-* &quot;-&quot;_-;_-@_-"/>
    <numFmt numFmtId="271" formatCode="_-* #,##0.00_-;&quot;₩&quot;&quot;₩&quot;&quot;₩&quot;&quot;₩&quot;&quot;₩&quot;&quot;₩&quot;&quot;₩&quot;\-* #,##0.00_-;_-* &quot;-&quot;??_-;_-@_-"/>
    <numFmt numFmtId="272" formatCode="&quot;Fr.&quot;\ #,##0;[Red]&quot;Fr.&quot;\ \-#,##0"/>
    <numFmt numFmtId="273" formatCode="&quot;Fr.&quot;\ #,##0.00;[Red]&quot;Fr.&quot;\ \-#,##0.00"/>
    <numFmt numFmtId="274" formatCode="_-&quot;₩&quot;* #,##0_-;&quot;₩&quot;&quot;₩&quot;&quot;₩&quot;&quot;₩&quot;&quot;₩&quot;&quot;₩&quot;\-&quot;₩&quot;* #,##0_-;_-&quot;₩&quot;* &quot;-&quot;_-;_-@_-"/>
    <numFmt numFmtId="275" formatCode="_-&quot;₩&quot;* #,##0.00_-;&quot;₩&quot;&quot;₩&quot;&quot;₩&quot;&quot;₩&quot;&quot;₩&quot;&quot;₩&quot;\-&quot;₩&quot;* #,##0.00_-;_-&quot;₩&quot;* &quot;-&quot;??_-;_-@_-"/>
    <numFmt numFmtId="276" formatCode="&quot;for &quot;#0&quot; proc(s)&quot;"/>
    <numFmt numFmtId="277" formatCode="&quot;$&quot;0,000"/>
    <numFmt numFmtId="278" formatCode="&quot;$&quot;#,##0.00"/>
    <numFmt numFmtId="279" formatCode="#,##0;\(#,##0\);&quot;N/A&quot;"/>
    <numFmt numFmtId="280" formatCode="&quot;₩&quot;#,##0;&quot;₩&quot;&quot;₩&quot;\-#,##0"/>
    <numFmt numFmtId="281" formatCode="0.0_)"/>
    <numFmt numFmtId="282" formatCode="_ &quot;₩&quot;* #,##0.0000000_ ;_ &quot;₩&quot;* &quot;₩&quot;\-#,##0.0000000_ ;_ &quot;₩&quot;* &quot;-&quot;??_ ;_ @_ "/>
    <numFmt numFmtId="283" formatCode="&quot; \&quot;#,##0.0000000\ ;&quot; \\-&quot;#,##0.0000000\ ;&quot; \-&quot;#\ ;@\ "/>
    <numFmt numFmtId="284" formatCode="0\ &quot;t&quot;"/>
    <numFmt numFmtId="285" formatCode="_ * #,##0.000000_ ;_ * &quot;₩&quot;\-#,##0.000000_ ;_ * &quot;-&quot;??_ ;_ @_ "/>
    <numFmt numFmtId="286" formatCode="#,##0\ &quot;DM&quot;;[Red]\-#,##0\ &quot;DM&quot;"/>
    <numFmt numFmtId="287" formatCode="#,##0.00\ &quot;DM&quot;;[Red]\-#,##0.00\ &quot;DM&quot;"/>
    <numFmt numFmtId="288" formatCode="&quot;US$&quot;#,##0_);\(&quot;US$&quot;#,##0\)"/>
    <numFmt numFmtId="289" formatCode="#,##0.00\ &quot;개 &quot;"/>
    <numFmt numFmtId="290" formatCode="\\#,##0;&quot;!-\&quot;#,##0"/>
    <numFmt numFmtId="291" formatCode="#,###\ &quot;개&quot;"/>
    <numFmt numFmtId="292" formatCode="\\#,##0;[Red]&quot;!-\&quot;#,##0"/>
    <numFmt numFmtId="293" formatCode="#,##0.0\ &quot;개소 &quot;"/>
    <numFmt numFmtId="294" formatCode="\\#,##0.00;&quot;!-\&quot;#,##0.00"/>
    <numFmt numFmtId="295" formatCode="@&quot; LINE&quot;"/>
    <numFmt numFmtId="296" formatCode="#,###.00\ &quot;매 &quot;"/>
    <numFmt numFmtId="297" formatCode="0.00%;[Red]&quot;△&quot;0.00%"/>
    <numFmt numFmtId="298" formatCode="_-* #,##0.00_-;&quot;₩&quot;\-* #,##0.00_-;_-* &quot;-&quot;??_-;_-@_-"/>
    <numFmt numFmtId="299" formatCode="_-* #,##0_-;\-* #,##0_-;_-* &quot;-&quot;??_-;_-@_-"/>
    <numFmt numFmtId="300" formatCode="#,##0.000000"/>
    <numFmt numFmtId="301" formatCode="0.000_ "/>
    <numFmt numFmtId="302" formatCode="_ * #,##0.0_ ;_ * \-#,##0.0_ ;_ * &quot;-&quot;??_ ;_ @_ "/>
    <numFmt numFmtId="303" formatCode="_-* #,##0;\-* #,##0;_-* &quot;-&quot;;_-@"/>
    <numFmt numFmtId="304" formatCode=";\ ;\ ;"/>
    <numFmt numFmtId="305" formatCode="0.0"/>
    <numFmt numFmtId="306" formatCode="0.000\ "/>
    <numFmt numFmtId="307" formatCode="#,##0;[Red]&quot;-&quot;#,##0"/>
    <numFmt numFmtId="308" formatCode="_-* #,##0_-;\-* #,##0_-;_-* \-_-;_-@_-"/>
    <numFmt numFmtId="309" formatCode="&quot;True&quot;;&quot;True&quot;;&quot;False&quot;"/>
    <numFmt numFmtId="310" formatCode="&quot;$&quot;#,##0_);[Red]\(&quot;$&quot;#,##0\)"/>
    <numFmt numFmtId="311" formatCode="&quot;  &quot;@"/>
    <numFmt numFmtId="312" formatCode="&quot;     &quot;@"/>
    <numFmt numFmtId="313" formatCode="0.00\ &quot;)&quot;"/>
    <numFmt numFmtId="314" formatCode="0.00\ &quot;)]&quot;"/>
    <numFmt numFmtId="315" formatCode="#,##0;\-#,##0.00"/>
    <numFmt numFmtId="316" formatCode="#\!\,##0;&quot;₩&quot;\!\-#\!\,##0\!.00"/>
    <numFmt numFmtId="317" formatCode="#,##0;\(#,##0\)"/>
    <numFmt numFmtId="318" formatCode="#,##0.00;[Red]&quot;-&quot;#,##0.00"/>
    <numFmt numFmtId="319" formatCode="&quot;?#,##0;[Red]\-&quot;&quot;?&quot;#,##0"/>
    <numFmt numFmtId="320" formatCode="&quot;kr&quot;\ #,##0;&quot;kr&quot;\ \-#,##0"/>
    <numFmt numFmtId="321" formatCode="yy&quot;년&quot;&quot;₩&quot;&quot;₩&quot;&quot;₩&quot;&quot;₩&quot;&quot;₩&quot;&quot;₩&quot;\ mm&quot;월&quot;&quot;₩&quot;&quot;₩&quot;&quot;₩&quot;&quot;₩&quot;&quot;₩&quot;&quot;₩&quot;\ dd&quot;일&quot;"/>
    <numFmt numFmtId="322" formatCode="0.00_);[Red]&quot;₩&quot;\!\(0.00&quot;₩&quot;\!\)"/>
    <numFmt numFmtId="323" formatCode="&quot;*&quot;#,##0\ &quot;일 (월)&quot;\ \ "/>
    <numFmt numFmtId="324" formatCode="&quot;?#,##0.00;\-&quot;&quot;?&quot;#,##0.00"/>
    <numFmt numFmtId="325" formatCode="0.000\ &quot;²&quot;"/>
    <numFmt numFmtId="326" formatCode="&quot;(&quot;\ 0.00"/>
    <numFmt numFmtId="327" formatCode="&quot;[(&quot;\ 0.00"/>
    <numFmt numFmtId="328" formatCode="_-#,##0;\-#,##0;&quot;-&quot;_-;_-@_-"/>
    <numFmt numFmtId="329" formatCode="_-* #,##0.0000_-;\-* #,##0.0000_-;_-* &quot;-&quot;_-;_-@_-"/>
    <numFmt numFmtId="330" formatCode="0.0_ "/>
    <numFmt numFmtId="331" formatCode="_ * #,##0_ ;_ * &quot;₩&quot;&quot;₩&quot;&quot;₩&quot;&quot;₩&quot;\-#,##0_ ;_ * &quot;-&quot;_ ;_ @_ "/>
    <numFmt numFmtId="332" formatCode="#,##0.0_);[Red]\(#,##0.0\)"/>
    <numFmt numFmtId="333" formatCode="#,##0&quot; &quot;;[Red]&quot;△&quot;#,##0&quot; &quot;"/>
    <numFmt numFmtId="334" formatCode="* #,##0&quot; &quot;;[Red]* &quot;△&quot;#,##0&quot; &quot;;* @"/>
    <numFmt numFmtId="335" formatCode="_-* #,##0.000_-;\-* #,##0.000_-;_-* &quot;-&quot;_-;_-@_-"/>
    <numFmt numFmtId="336" formatCode="#,##0.####;[Red]&quot;△&quot;#,##0.####"/>
    <numFmt numFmtId="337" formatCode="#,##0.00##;[Red]&quot;△&quot;#,##0.00##"/>
    <numFmt numFmtId="338" formatCode="\\#,##0.00;[Red]&quot;\-&quot;#,##0.00"/>
    <numFmt numFmtId="339" formatCode="\\#,##0;[Red]&quot;\-&quot;#,##0"/>
    <numFmt numFmtId="340" formatCode="#,##0.0_ ;[Red]\-#,##0.0\ "/>
  </numFmts>
  <fonts count="242">
    <font>
      <name val="돋움"/>
      <charset val="129"/>
      <family val="3"/>
      <sz val="11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나눔고딕"/>
      <charset val="129"/>
      <family val="3"/>
      <sz val="10"/>
    </font>
    <font>
      <name val="나눔고딕"/>
      <charset val="129"/>
      <family val="3"/>
      <sz val="16"/>
    </font>
    <font>
      <name val="나눔고딕"/>
      <charset val="129"/>
      <family val="3"/>
      <color indexed="8"/>
      <sz val="10"/>
    </font>
    <font>
      <name val="나눔고딕"/>
      <charset val="129"/>
      <family val="3"/>
      <sz val="11"/>
    </font>
    <font>
      <name val="나눔고딕"/>
      <charset val="129"/>
      <family val="3"/>
      <sz val="12"/>
    </font>
    <font>
      <name val="나눔고딕"/>
      <charset val="129"/>
      <family val="3"/>
      <b val="1"/>
      <sz val="12"/>
    </font>
    <font>
      <name val="나눔고딕"/>
      <charset val="129"/>
      <family val="3"/>
      <sz val="24"/>
    </font>
    <font>
      <name val="나눔고딕"/>
      <charset val="129"/>
      <family val="3"/>
      <b val="1"/>
      <sz val="11"/>
    </font>
    <font>
      <name val="나눔고딕"/>
      <charset val="129"/>
      <family val="3"/>
      <color rgb="FF000000"/>
      <sz val="10"/>
    </font>
    <font>
      <name val="맑은 고딕"/>
      <charset val="129"/>
      <family val="3"/>
      <color theme="1"/>
      <sz val="10"/>
    </font>
    <font>
      <name val="맑은 고딕"/>
      <charset val="129"/>
      <family val="3"/>
      <b val="1"/>
      <color theme="1"/>
      <sz val="12"/>
    </font>
    <font>
      <name val="맑은 고딕"/>
      <charset val="129"/>
      <family val="3"/>
      <sz val="8"/>
    </font>
    <font>
      <name val="굴림"/>
      <charset val="129"/>
      <family val="3"/>
      <sz val="11"/>
    </font>
    <font>
      <name val="돋움체"/>
      <charset val="129"/>
      <family val="3"/>
      <sz val="12"/>
    </font>
    <font>
      <name val="MS Sans Serif"/>
      <family val="2"/>
      <sz val="10"/>
    </font>
    <font>
      <name val="돋움체"/>
      <charset val="129"/>
      <family val="3"/>
      <sz val="10"/>
    </font>
    <font>
      <name val="바탕체"/>
      <charset val="129"/>
      <family val="1"/>
      <sz val="12"/>
    </font>
    <font>
      <name val="Arial"/>
      <family val="2"/>
      <sz val="10"/>
    </font>
    <font>
      <name val="Helv"/>
      <family val="2"/>
      <sz val="10"/>
    </font>
    <font>
      <name val="μ¸¿o"/>
      <charset val="129"/>
      <family val="3"/>
      <sz val="11"/>
    </font>
    <font>
      <name val="±¼¸²A¼"/>
      <charset val="129"/>
      <family val="3"/>
      <sz val="12"/>
    </font>
    <font>
      <name val="Helv"/>
      <family val="2"/>
      <b val="1"/>
      <sz val="10"/>
    </font>
    <font>
      <name val="Courier"/>
      <family val="3"/>
      <color indexed="8"/>
      <sz val="1"/>
    </font>
    <font>
      <name val="Arial"/>
      <family val="2"/>
      <sz val="12"/>
    </font>
    <font>
      <name val="굴림체"/>
      <charset val="129"/>
      <family val="3"/>
      <sz val="12"/>
    </font>
    <font>
      <name val="MS Serif"/>
      <family val="1"/>
      <sz val="10"/>
    </font>
    <font>
      <name val="Times New Roman"/>
      <family val="1"/>
      <sz val="10"/>
    </font>
    <font>
      <name val="MS Serif"/>
      <family val="1"/>
      <color indexed="16"/>
      <sz val="10"/>
    </font>
    <font>
      <name val="Courier"/>
      <family val="3"/>
      <i val="1"/>
      <color indexed="8"/>
      <sz val="1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Arial"/>
      <family val="2"/>
      <b val="1"/>
      <sz val="18"/>
    </font>
    <font>
      <name val="Courier"/>
      <family val="3"/>
      <b val="1"/>
      <color indexed="8"/>
      <sz val="1"/>
    </font>
    <font>
      <name val="Univers (WN)"/>
      <family val="2"/>
      <sz val="10"/>
    </font>
    <font>
      <name val="Helv"/>
      <family val="2"/>
      <b val="1"/>
      <sz val="11"/>
    </font>
    <font>
      <name val="Small Fonts"/>
      <family val="2"/>
      <sz val="7"/>
    </font>
    <font>
      <name val="Helv"/>
      <family val="2"/>
      <b val="1"/>
      <color indexed="8"/>
      <sz val="8"/>
    </font>
    <font>
      <name val="MS Sans Serif"/>
      <family val="2"/>
      <color indexed="12"/>
      <sz val="18"/>
    </font>
    <font>
      <name val="굴림체"/>
      <charset val="129"/>
      <family val="3"/>
      <b val="1"/>
      <sz val="13"/>
      <u val="single"/>
    </font>
    <font>
      <name val="바탕체"/>
      <charset val="129"/>
      <family val="1"/>
      <sz val="8"/>
    </font>
    <font>
      <name val="Geneva"/>
      <family val="2"/>
      <sz val="10"/>
    </font>
    <font>
      <name val="Courier"/>
      <family val="3"/>
      <sz val="12"/>
    </font>
    <font>
      <name val="돋움"/>
      <charset val="129"/>
      <family val="3"/>
      <sz val="8.5"/>
    </font>
    <font>
      <name val="돋움"/>
      <charset val="129"/>
      <family val="3"/>
      <color indexed="36"/>
      <sz val="11"/>
      <u val="single"/>
    </font>
    <font>
      <name val="굴림체"/>
      <charset val="129"/>
      <family val="3"/>
      <sz val="11"/>
    </font>
    <font>
      <name val="뼻뮝"/>
      <charset val="129"/>
      <family val="1"/>
      <sz val="12"/>
    </font>
    <font>
      <name val="바탕"/>
      <charset val="129"/>
      <family val="1"/>
      <sz val="10"/>
    </font>
    <font>
      <name val="명조"/>
      <charset val="129"/>
      <family val="3"/>
      <sz val="10"/>
    </font>
    <font>
      <name val="궁서(English)"/>
      <charset val="129"/>
      <family val="3"/>
      <sz val="10"/>
    </font>
    <font>
      <name val="Times New Roman"/>
      <family val="1"/>
      <sz val="12"/>
    </font>
    <font>
      <name val="명조"/>
      <charset val="129"/>
      <family val="3"/>
      <sz val="12"/>
    </font>
    <font>
      <name val="System"/>
      <charset val="129"/>
      <family val="2"/>
      <sz val="12"/>
    </font>
    <font>
      <name val="바탕체"/>
      <charset val="129"/>
      <family val="1"/>
      <sz val="10"/>
    </font>
    <font>
      <name val="ＭＳ ゴシック"/>
      <family val="3"/>
      <sz val="11"/>
    </font>
    <font>
      <name val="MS Sans Serif"/>
      <family val="2"/>
      <color indexed="8"/>
      <sz val="10"/>
    </font>
    <font>
      <name val="굴림체"/>
      <charset val="129"/>
      <family val="3"/>
      <i val="1"/>
      <sz val="12"/>
    </font>
    <font>
      <name val="¹????¼"/>
      <charset val="129"/>
      <family val="1"/>
      <sz val="12"/>
    </font>
    <font>
      <name val="???"/>
      <family val="1"/>
      <b val="1"/>
      <sz val="12"/>
    </font>
    <font>
      <name val="COUR"/>
      <family val="3"/>
      <sz val="12"/>
    </font>
    <font>
      <name val="굴림체"/>
      <charset val="129"/>
      <family val="3"/>
      <sz val="10"/>
    </font>
    <font>
      <name val="돋움"/>
      <charset val="129"/>
      <family val="3"/>
      <color indexed="8"/>
      <sz val="10"/>
    </font>
    <font>
      <name val="Arial Narrow"/>
      <family val="2"/>
      <sz val="10"/>
    </font>
    <font>
      <name val="Arial"/>
      <family val="2"/>
      <color indexed="8"/>
      <sz val="10"/>
    </font>
    <font>
      <name val="Helv"/>
      <family val="2"/>
      <color indexed="8"/>
      <sz val="10"/>
    </font>
    <font>
      <name val="Courier"/>
      <family val="3"/>
      <color indexed="16"/>
      <sz val="1"/>
    </font>
    <font>
      <name val="바탕체"/>
      <charset val="129"/>
      <family val="1"/>
      <sz val="11"/>
    </font>
    <font>
      <name val="¸íÁ¶"/>
      <charset val="129"/>
      <family val="3"/>
      <sz val="10"/>
    </font>
    <font>
      <name val="굴림체"/>
      <charset val="129"/>
      <family val="3"/>
      <sz val="9"/>
    </font>
    <font>
      <name val="돋움"/>
      <charset val="129"/>
      <family val="3"/>
      <sz val="12"/>
    </font>
    <font>
      <name val="Courier New"/>
      <family val="3"/>
      <sz val="10"/>
    </font>
    <font>
      <name val="견명조"/>
      <charset val="129"/>
      <family val="1"/>
      <sz val="12"/>
    </font>
    <font>
      <name val="바탕체"/>
      <charset val="129"/>
      <family val="1"/>
      <sz val="7"/>
    </font>
    <font>
      <name val="굴림"/>
      <charset val="129"/>
      <family val="3"/>
      <sz val="10"/>
    </font>
    <font>
      <name val="Courier"/>
      <family val="3"/>
      <color indexed="0"/>
      <sz val="1"/>
    </font>
    <font>
      <name val="±¼¸²A¼"/>
      <charset val="129"/>
      <family val="3"/>
      <sz val="11"/>
    </font>
    <font>
      <name val="바탕체"/>
      <charset val="129"/>
      <family val="1"/>
      <b val="1"/>
      <sz val="12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theme="1"/>
      <sz val="11"/>
      <scheme val="minor"/>
    </font>
    <font>
      <name val="Arial"/>
      <family val="2"/>
      <sz val="9"/>
    </font>
    <font>
      <name val="굴림체"/>
      <charset val="129"/>
      <family val="3"/>
      <b val="1"/>
      <sz val="12"/>
    </font>
    <font>
      <name val="맑은 고딕"/>
      <charset val="129"/>
      <family val="3"/>
      <color indexed="9"/>
      <sz val="11"/>
    </font>
    <font>
      <name val="바탕체"/>
      <charset val="129"/>
      <family val="1"/>
      <sz val="9"/>
    </font>
    <font>
      <name val="¨ÏoUAAA¡§u"/>
      <charset val="129"/>
      <family val="1"/>
      <sz val="12"/>
    </font>
    <font>
      <name val="¨IoUAAA¡§u"/>
      <charset val="129"/>
      <family val="1"/>
      <sz val="12"/>
    </font>
    <font>
      <name val="??UAAA¨?"/>
      <charset val="129"/>
      <family val="3"/>
      <sz val="12"/>
    </font>
    <font>
      <name val="ⓒoUAAA¨u"/>
      <charset val="129"/>
      <family val="3"/>
      <sz val="12"/>
    </font>
    <font>
      <name val="©öUAAA¨ù"/>
      <charset val="129"/>
      <family val="3"/>
      <sz val="12"/>
    </font>
    <font>
      <name val="¹UAAA¼"/>
      <charset val="129"/>
      <family val="3"/>
      <sz val="12"/>
    </font>
    <font>
      <name val="¹ÙÅÁÃ¼"/>
      <charset val="129"/>
      <family val="1"/>
      <sz val="12"/>
    </font>
    <font>
      <name val="¹UAAA¼"/>
      <family val="1"/>
      <sz val="12"/>
    </font>
    <font>
      <name val="µ¸¿ò"/>
      <charset val="129"/>
      <family val="1"/>
      <sz val="11"/>
    </font>
    <font>
      <name val="Times New Roman"/>
      <family val="1"/>
      <sz val="8"/>
    </font>
    <font>
      <name val="μ¸¿oA¼"/>
      <charset val="129"/>
      <family val="3"/>
      <sz val="10"/>
    </font>
    <font>
      <name val="돋움"/>
      <charset val="129"/>
      <family val="3"/>
      <b val="1"/>
      <sz val="11"/>
    </font>
    <font>
      <name val="맑은 고딕"/>
      <charset val="129"/>
      <family val="3"/>
      <color indexed="20"/>
      <sz val="11"/>
    </font>
    <font>
      <name val="Arial"/>
      <family val="2"/>
      <b val="1"/>
      <sz val="8"/>
    </font>
    <font>
      <name val="MS Sans Serif"/>
      <family val="2"/>
      <b val="1"/>
      <sz val="10"/>
    </font>
    <font>
      <name val="MIN 훈민08체"/>
      <charset val="129"/>
      <family val="3"/>
      <color indexed="32"/>
      <sz val="12"/>
    </font>
    <font>
      <name val="¹UAAA¼"/>
      <charset val="129"/>
      <family val="3"/>
      <sz val="8"/>
    </font>
    <font>
      <name val="µ¸¿òÃ¼"/>
      <charset val="129"/>
      <family val="3"/>
      <sz val="11"/>
    </font>
    <font>
      <name val="±¼¸²Ã¼"/>
      <charset val="129"/>
      <family val="3"/>
      <sz val="10"/>
    </font>
    <font>
      <name val="¹UAAA¼"/>
      <charset val="129"/>
      <family val="3"/>
      <sz val="11"/>
    </font>
    <font>
      <name val="¹UAAA¼"/>
      <charset val="129"/>
      <family val="3"/>
      <sz val="14"/>
    </font>
    <font>
      <name val="±¼¸²A¼"/>
      <charset val="129"/>
      <family val="3"/>
      <sz val="10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b val="1"/>
      <color indexed="9"/>
      <sz val="11"/>
    </font>
    <font>
      <name val="Arial"/>
      <family val="2"/>
      <color indexed="12"/>
      <sz val="10"/>
      <u val="single"/>
    </font>
    <font>
      <name val="한양중고딕"/>
      <charset val="129"/>
      <family val="1"/>
      <sz val="10"/>
    </font>
    <font>
      <name val="Impact"/>
      <family val="2"/>
      <color indexed="8"/>
      <sz val="10"/>
    </font>
    <font>
      <name val="Arial"/>
      <family val="2"/>
      <color indexed="9"/>
      <sz val="10"/>
    </font>
    <font>
      <name val="Arial"/>
      <family val="2"/>
      <b val="1"/>
      <color indexed="16"/>
      <sz val="11"/>
    </font>
    <font>
      <name val="Arial"/>
      <family val="2"/>
      <b val="1"/>
      <color indexed="17"/>
      <sz val="10"/>
    </font>
    <font>
      <name val="Arial"/>
      <family val="2"/>
      <b val="1"/>
      <sz val="9"/>
    </font>
    <font>
      <name val="Times New Roman"/>
      <family val="1"/>
      <b val="1"/>
      <i val="1"/>
      <sz val="14"/>
    </font>
    <font>
      <name val="Helv"/>
      <family val="2"/>
      <b val="1"/>
      <sz val="9"/>
    </font>
    <font>
      <name val="Times New Roman"/>
      <family val="1"/>
      <sz val="9"/>
    </font>
    <font>
      <name val="맑은 고딕"/>
      <charset val="129"/>
      <family val="3"/>
      <i val="1"/>
      <color indexed="23"/>
      <sz val="11"/>
    </font>
    <font>
      <name val="Arial"/>
      <family val="2"/>
      <sz val="5"/>
    </font>
    <font>
      <name val="MS Sans Serif"/>
      <family val="2"/>
      <color indexed="14"/>
      <sz val="10"/>
      <u val="single"/>
    </font>
    <font>
      <name val="맑은 고딕"/>
      <charset val="129"/>
      <family val="3"/>
      <color indexed="17"/>
      <sz val="11"/>
    </font>
    <font>
      <name val="Times New Roman"/>
      <family val="1"/>
      <b val="1"/>
      <i val="1"/>
      <sz val="11"/>
    </font>
    <font>
      <name val="Arial"/>
      <family val="2"/>
      <b val="1"/>
      <sz val="10"/>
    </font>
    <font>
      <name val="Times New Roman"/>
      <family val="1"/>
      <b val="1"/>
      <i val="1"/>
      <sz val="10"/>
    </font>
    <font>
      <name val="Arial"/>
      <family val="2"/>
      <b val="1"/>
      <sz val="14"/>
    </font>
    <font>
      <name val="Times New Roman"/>
      <family val="1"/>
      <sz val="14"/>
    </font>
    <font>
      <name val="맑은 고딕"/>
      <charset val="129"/>
      <family val="3"/>
      <b val="1"/>
      <color indexed="56"/>
      <sz val="11"/>
    </font>
    <font>
      <name val="Arial"/>
      <family val="2"/>
      <b val="1"/>
      <color indexed="9"/>
      <sz val="9"/>
    </font>
    <font>
      <name val="MS Sans Serif"/>
      <family val="2"/>
      <b val="1"/>
      <sz val="8"/>
    </font>
    <font>
      <name val="Arial"/>
      <family val="2"/>
      <color indexed="12"/>
      <sz val="10"/>
    </font>
    <font>
      <name val="HP Logo LG"/>
      <family val="2"/>
      <sz val="20"/>
    </font>
    <font>
      <name val="Times New Roman"/>
      <family val="1"/>
      <color indexed="12"/>
      <sz val="8"/>
      <u val="single"/>
    </font>
    <font>
      <name val="맑은 고딕"/>
      <charset val="129"/>
      <family val="3"/>
      <color indexed="62"/>
      <sz val="11"/>
    </font>
    <font>
      <name val="Times New Roman"/>
      <family val="1"/>
      <sz val="18"/>
    </font>
    <font>
      <name val="Times New Roman"/>
      <family val="1"/>
      <b val="1"/>
      <sz val="13"/>
    </font>
    <font>
      <name val="Times New Roman"/>
      <family val="1"/>
      <b val="1"/>
      <i val="1"/>
      <sz val="12"/>
    </font>
    <font>
      <name val="Times New Roman"/>
      <family val="1"/>
      <i val="1"/>
      <sz val="12"/>
    </font>
    <font>
      <name val="Times New Roman"/>
      <family val="1"/>
      <sz val="11"/>
    </font>
    <font>
      <name val="CG Omega"/>
      <family val="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color indexed="60"/>
      <sz val="11"/>
    </font>
    <font>
      <name val="Courier New"/>
      <family val="3"/>
      <sz val="12"/>
    </font>
    <font>
      <name val="돋움체"/>
      <charset val="129"/>
      <family val="3"/>
      <b val="1"/>
      <sz val="12"/>
    </font>
    <font>
      <name val="明朝"/>
      <charset val="128"/>
      <family val="1"/>
      <sz val="11"/>
    </font>
    <font>
      <name val="Helv"/>
      <family val="2"/>
      <sz val="12"/>
    </font>
    <font>
      <name val="맑은 고딕"/>
      <charset val="129"/>
      <family val="3"/>
      <b val="1"/>
      <color indexed="63"/>
      <sz val="11"/>
    </font>
    <font>
      <name val="Book Antiqua"/>
      <family val="1"/>
      <b val="1"/>
      <sz val="12"/>
    </font>
    <font>
      <name val="Arial"/>
      <family val="2"/>
      <color indexed="9"/>
      <sz val="12"/>
    </font>
    <font>
      <name val="Arial MT"/>
      <charset val="129"/>
      <family val="3"/>
      <sz val="8"/>
    </font>
    <font>
      <name val="모음디"/>
      <charset val="129"/>
      <family val="1"/>
      <color indexed="32"/>
      <sz val="12"/>
    </font>
    <font>
      <name val="Times New Roman"/>
      <family val="1"/>
      <b val="1"/>
      <sz val="16"/>
    </font>
    <font>
      <name val="Courier New"/>
      <family val="3"/>
      <sz val="24"/>
    </font>
    <font>
      <name val="Century Schoolbook"/>
      <family val="1"/>
      <color indexed="16"/>
      <sz val="8"/>
    </font>
    <font>
      <name val="Arial"/>
      <family val="2"/>
      <b val="1"/>
      <color indexed="16"/>
      <sz val="12"/>
    </font>
    <font>
      <name val="굴림"/>
      <charset val="129"/>
      <family val="3"/>
      <b val="1"/>
      <sz val="9"/>
    </font>
    <font>
      <name val="굴림"/>
      <charset val="129"/>
      <family val="3"/>
      <sz val="9"/>
    </font>
    <font>
      <name val="Arial"/>
      <family val="2"/>
      <b val="1"/>
      <i val="1"/>
      <sz val="8"/>
    </font>
    <font>
      <name val="AppleGothic"/>
      <family val="1"/>
      <b val="1"/>
      <sz val="12"/>
    </font>
    <font>
      <name val="MS Sans Serif"/>
      <family val="2"/>
      <sz val="8"/>
    </font>
    <font>
      <name val="Times New Roman"/>
      <family val="1"/>
      <b val="1"/>
      <sz val="8"/>
    </font>
    <font>
      <name val="Arial"/>
      <family val="2"/>
      <b val="1"/>
      <i val="1"/>
      <sz val="14"/>
    </font>
    <font>
      <name val="Times New Roman"/>
      <family val="1"/>
      <b val="1"/>
      <i val="1"/>
      <color indexed="16"/>
      <sz val="18"/>
    </font>
    <font>
      <name val="Times New Roman"/>
      <family val="1"/>
      <b val="1"/>
      <i val="1"/>
      <sz val="9"/>
    </font>
    <font>
      <name val="돋움체"/>
      <charset val="129"/>
      <family val="3"/>
      <b val="1"/>
      <i val="1"/>
      <color indexed="39"/>
      <sz val="18"/>
    </font>
    <font>
      <name val="Arial"/>
      <family val="2"/>
      <b val="1"/>
      <color indexed="32"/>
      <sz val="8"/>
    </font>
    <font>
      <name val="Arial"/>
      <family val="2"/>
      <color indexed="12"/>
      <sz val="8"/>
    </font>
    <font>
      <name val="맑은 고딕"/>
      <charset val="129"/>
      <family val="3"/>
      <color indexed="10"/>
      <sz val="11"/>
    </font>
    <font>
      <name val="Arial"/>
      <family val="2"/>
      <color indexed="36"/>
      <sz val="10"/>
      <u val="single"/>
    </font>
    <font>
      <name val="ＭＳ Ｐゴシック"/>
      <charset val="129"/>
      <family val="3"/>
      <color indexed="12"/>
      <sz val="11"/>
      <u val="single"/>
    </font>
    <font>
      <name val="Courier"/>
      <family val="3"/>
      <i val="1"/>
      <outline val="1"/>
      <shadow val="1"/>
      <color indexed="24"/>
      <sz val="1"/>
      <u val="single"/>
    </font>
    <font>
      <name val="맑은 고딕"/>
      <charset val="129"/>
      <family val="3"/>
      <color rgb="FFFF0000"/>
      <sz val="11"/>
      <scheme val="minor"/>
    </font>
    <font>
      <name val="돋움"/>
      <charset val="129"/>
      <family val="3"/>
      <sz val="10"/>
    </font>
    <font>
      <name val="ＭＳ 明朝"/>
      <charset val="128"/>
      <family val="3"/>
      <sz val="8"/>
    </font>
    <font>
      <name val="궁서체"/>
      <charset val="129"/>
      <family val="1"/>
      <sz val="12"/>
    </font>
    <font>
      <name val="굴림체"/>
      <charset val="129"/>
      <family val="3"/>
      <sz val="8"/>
    </font>
    <font>
      <name val="굴림체"/>
      <charset val="129"/>
      <family val="3"/>
      <color indexed="8"/>
      <sz val="9"/>
    </font>
    <font>
      <name val="돋움체"/>
      <charset val="129"/>
      <family val="3"/>
      <b val="1"/>
      <sz val="11"/>
    </font>
    <font>
      <name val="돋움체"/>
      <charset val="129"/>
      <family val="3"/>
      <sz val="9"/>
    </font>
    <font>
      <name val="뼥?ⓒ"/>
      <charset val="129"/>
      <family val="3"/>
      <sz val="14"/>
    </font>
    <font>
      <name val="돋움"/>
      <charset val="129"/>
      <family val="3"/>
      <color indexed="12"/>
      <sz val="10"/>
    </font>
    <font>
      <name val="새굴림"/>
      <charset val="129"/>
      <family val="1"/>
      <sz val="10"/>
    </font>
    <font>
      <name val="뼻뮝"/>
      <charset val="129"/>
      <family val="1"/>
      <sz val="11"/>
    </font>
    <font>
      <name val="돋움체"/>
      <charset val="129"/>
      <family val="3"/>
      <color indexed="10"/>
      <sz val="10"/>
    </font>
    <font>
      <name val="바탕체"/>
      <charset val="129"/>
      <family val="1"/>
      <b val="1"/>
      <sz val="10"/>
    </font>
    <font>
      <name val="바탕체"/>
      <charset val="129"/>
      <family val="1"/>
      <b val="1"/>
      <sz val="18"/>
    </font>
    <font>
      <name val="궁서체"/>
      <charset val="129"/>
      <family val="1"/>
      <sz val="18"/>
    </font>
    <font>
      <name val="돋움체"/>
      <charset val="129"/>
      <family val="3"/>
      <sz val="8"/>
    </font>
    <font>
      <name val="#중고딕"/>
      <charset val="129"/>
      <family val="3"/>
      <sz val="8"/>
    </font>
    <font>
      <name val="맑은 고딕"/>
      <charset val="129"/>
      <family val="3"/>
      <color indexed="8"/>
      <sz val="10"/>
    </font>
    <font>
      <name val="바탕"/>
      <charset val="129"/>
      <family val="1"/>
      <sz val="12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indexed="8"/>
      <sz val="11"/>
    </font>
    <font>
      <name val="돋움"/>
      <charset val="129"/>
      <family val="3"/>
      <sz val="9"/>
    </font>
    <font>
      <name val="굴림체"/>
      <charset val="129"/>
      <family val="3"/>
      <color indexed="12"/>
      <sz val="10"/>
    </font>
    <font>
      <name val="견고딕"/>
      <charset val="129"/>
      <family val="1"/>
      <sz val="12"/>
    </font>
    <font>
      <name val="明朝"/>
      <charset val="129"/>
      <family val="3"/>
      <sz val="12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8"/>
    </font>
    <font>
      <name val="굴림체"/>
      <charset val="129"/>
      <family val="3"/>
      <sz val="16"/>
    </font>
    <font>
      <name val="맑은 고딕"/>
      <charset val="129"/>
      <family val="3"/>
      <b val="1"/>
      <color theme="3"/>
      <sz val="18"/>
      <scheme val="major"/>
    </font>
    <font>
      <name val="돋움체"/>
      <charset val="129"/>
      <family val="3"/>
      <b val="1"/>
      <sz val="16"/>
    </font>
    <font>
      <name val="바탕체"/>
      <charset val="129"/>
      <family val="1"/>
      <sz val="17"/>
    </font>
    <font>
      <name val="돋움체"/>
      <charset val="129"/>
      <family val="3"/>
      <b val="1"/>
      <color indexed="8"/>
      <sz val="12"/>
    </font>
    <font>
      <name val="맑은 고딕"/>
      <charset val="129"/>
      <family val="3"/>
      <b val="1"/>
      <color rgb="FF3F3F3F"/>
      <sz val="11"/>
      <scheme val="minor"/>
    </font>
    <font>
      <name val="새굴림"/>
      <charset val="129"/>
      <family val="1"/>
      <sz val="9"/>
    </font>
    <font>
      <name val="휴먼옛체"/>
      <charset val="129"/>
      <family val="1"/>
      <sz val="12"/>
    </font>
    <font>
      <name val="돋움체"/>
      <charset val="129"/>
      <family val="3"/>
      <sz val="11"/>
    </font>
    <font>
      <name val="굴림체"/>
      <charset val="129"/>
      <family val="3"/>
      <b val="1"/>
      <sz val="16"/>
      <u val="single"/>
    </font>
    <font>
      <name val="ＭＳ ・団"/>
      <charset val="128"/>
      <family val="1"/>
      <sz val="11"/>
    </font>
    <font>
      <name val="굴림"/>
      <charset val="129"/>
      <family val="3"/>
      <sz val="9.5"/>
    </font>
    <font>
      <name val="ＭＳ ゴシック"/>
      <family val="3"/>
      <sz val="10"/>
    </font>
    <font>
      <name val="맑은 고딕"/>
      <charset val="129"/>
      <family val="3"/>
      <color theme="1"/>
      <sz val="9"/>
    </font>
    <font>
      <name val="맑은 고딕"/>
      <charset val="129"/>
      <family val="3"/>
      <color rgb="FF000000"/>
      <sz val="11"/>
      <scheme val="minor"/>
    </font>
    <font>
      <name val="Malgun Gothic"/>
      <charset val="129"/>
      <family val="3"/>
      <color indexed="8"/>
      <sz val="11"/>
    </font>
    <font>
      <name val="휴먼세명조"/>
      <charset val="129"/>
      <family val="1"/>
      <sz val="10"/>
    </font>
    <font>
      <name val="ＭＳ ゴシック"/>
      <charset val="129"/>
      <family val="3"/>
      <sz val="12"/>
    </font>
    <font>
      <name val="ＭＳ 明朝"/>
      <charset val="128"/>
      <family val="3"/>
      <sz val="11"/>
    </font>
    <font>
      <name val="돋움"/>
      <charset val="129"/>
      <family val="3"/>
      <color indexed="12"/>
      <sz val="11"/>
      <u val="single"/>
    </font>
    <font>
      <name val="맑은 고딕"/>
      <charset val="129"/>
      <family val="3"/>
      <color theme="10"/>
      <sz val="11"/>
      <u val="single"/>
    </font>
    <font>
      <name val="돋움"/>
      <charset val="129"/>
      <family val="3"/>
      <color indexed="12"/>
      <sz val="8.25"/>
      <u val="single"/>
    </font>
    <font>
      <name val="ＭＳ ・団"/>
      <charset val="128"/>
      <family val="1"/>
      <sz val="12"/>
    </font>
    <font>
      <name val="맑은 고딕"/>
      <charset val="129"/>
      <family val="3"/>
      <sz val="15"/>
      <scheme val="major"/>
    </font>
    <font>
      <name val="맑은 고딕"/>
      <charset val="129"/>
      <family val="3"/>
      <sz val="12"/>
      <scheme val="major"/>
    </font>
    <font>
      <name val="맑은 고딕"/>
      <charset val="129"/>
      <family val="3"/>
      <sz val="10"/>
      <scheme val="major"/>
    </font>
    <font>
      <name val="맑은 고딕"/>
      <charset val="129"/>
      <family val="3"/>
      <color indexed="10"/>
      <sz val="12"/>
      <scheme val="major"/>
    </font>
    <font>
      <name val="맑은 고딕"/>
      <charset val="129"/>
      <family val="3"/>
      <b val="1"/>
      <sz val="12"/>
      <scheme val="major"/>
    </font>
    <font>
      <name val="맑은 고딕"/>
      <charset val="129"/>
      <family val="3"/>
      <color rgb="FFFF0000"/>
      <sz val="12"/>
      <scheme val="major"/>
    </font>
    <font>
      <name val="맑은 고딕"/>
      <charset val="129"/>
      <family val="3"/>
      <b val="1"/>
      <sz val="11"/>
      <scheme val="major"/>
    </font>
    <font>
      <name val="맑은 고딕"/>
      <charset val="129"/>
      <family val="3"/>
      <sz val="11"/>
      <scheme val="major"/>
    </font>
    <font>
      <name val="맑은 고딕"/>
      <charset val="129"/>
      <family val="3"/>
      <b val="1"/>
      <sz val="10"/>
      <scheme val="major"/>
    </font>
    <font>
      <name val="맑은 고딕"/>
      <charset val="129"/>
      <family val="3"/>
      <color rgb="FFFF0000"/>
      <sz val="15"/>
      <scheme val="major"/>
    </font>
    <font>
      <name val="맑은 고딕"/>
      <charset val="129"/>
      <family val="3"/>
      <b val="1"/>
      <sz val="23"/>
      <u val="single"/>
      <scheme val="major"/>
    </font>
    <font>
      <name val="나눔고딕"/>
      <charset val="129"/>
      <family val="3"/>
      <b val="1"/>
      <sz val="35"/>
    </font>
    <font>
      <name val="나눔고딕"/>
      <charset val="129"/>
      <family val="3"/>
      <b val="1"/>
      <sz val="25"/>
    </font>
    <font>
      <name val="맑은 고딕"/>
      <charset val="129"/>
      <family val="3"/>
      <b val="1"/>
      <sz val="28"/>
    </font>
    <font>
      <name val="나눔고딕"/>
      <charset val="129"/>
      <family val="3"/>
      <b val="1"/>
      <sz val="33"/>
    </font>
    <font>
      <name val="Droid Sans Fallback"/>
      <charset val="129"/>
      <family val="3"/>
      <b val="1"/>
      <sz val="33"/>
    </font>
  </fonts>
  <fills count="53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gray0625">
        <fgColor indexed="11"/>
        <bgColor indexed="15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indexed="9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gray0625">
        <fgColor indexed="1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5"/>
        <bgColor indexed="64"/>
      </patternFill>
    </fill>
    <fill>
      <patternFill patternType="solid">
        <fgColor indexed="37"/>
        <bgColor indexed="64"/>
      </patternFill>
    </fill>
    <fill>
      <patternFill patternType="mediumGray">
        <fgColor indexed="22"/>
        <bgColor indexed="22"/>
      </patternFill>
    </fill>
    <fill>
      <patternFill patternType="solid">
        <fgColor indexed="1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</patternFill>
    </fill>
    <fill>
      <patternFill patternType="solid">
        <fgColor indexed="13"/>
        <bgColor indexed="64"/>
      </patternFill>
    </fill>
    <fill>
      <patternFill patternType="solid">
        <fgColor indexed="26"/>
      </patternFill>
    </fill>
    <fill>
      <patternFill patternType="solid">
        <fgColor indexed="65"/>
        <bgColor indexed="64"/>
      </patternFill>
    </fill>
    <fill>
      <patternFill patternType="gray0625">
        <fgColor indexed="13"/>
      </patternFill>
    </fill>
    <fill>
      <patternFill patternType="solid">
        <fgColor indexed="23"/>
        <bgColor indexed="55"/>
      </patternFill>
    </fill>
    <fill>
      <patternFill patternType="solid">
        <fgColor indexed="15"/>
      </patternFill>
    </fill>
    <fill>
      <patternFill patternType="solid">
        <fgColor indexed="31"/>
        <bgColor indexed="42"/>
      </patternFill>
    </fill>
    <fill>
      <patternFill patternType="gray0625">
        <fgColor indexed="21"/>
      </patternFill>
    </fill>
    <fill>
      <patternFill patternType="solid">
        <fgColor indexed="43"/>
        <bgColor indexed="64"/>
      </patternFill>
    </fill>
    <fill>
      <patternFill patternType="gray0625">
        <bgColor indexed="34"/>
      </patternFill>
    </fill>
  </fills>
  <borders count="1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 diagonalUp="1" diagonalDown="1"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51"/>
      </left>
      <right/>
      <top style="thick">
        <color indexed="51"/>
      </top>
      <bottom style="thick">
        <color indexed="51"/>
      </bottom>
      <diagonal/>
    </border>
    <border>
      <left style="thick">
        <color indexed="9"/>
      </left>
      <right/>
      <top style="thick">
        <color indexed="9"/>
      </top>
      <bottom style="thick">
        <color indexed="2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9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thick">
        <color indexed="55"/>
      </right>
      <top/>
      <bottom style="thick">
        <color indexed="5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9"/>
      </right>
      <top style="thin">
        <color indexed="9"/>
      </top>
      <bottom style="thin">
        <color indexed="23"/>
      </bottom>
      <diagonal/>
    </border>
    <border>
      <left/>
      <right/>
      <top/>
      <bottom style="medium">
        <color indexed="8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3"/>
      </left>
      <right style="thin">
        <color indexed="9"/>
      </right>
      <top style="thin">
        <color indexed="23"/>
      </top>
      <bottom style="thin">
        <color indexed="9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/>
      <bottom style="medium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9147">
    <xf numFmtId="0" fontId="2" fillId="0" borderId="0"/>
    <xf numFmtId="0" fontId="13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1" fontId="2" fillId="0" borderId="0"/>
    <xf numFmtId="42" fontId="2" fillId="0" borderId="0"/>
    <xf numFmtId="3" fontId="17" fillId="0" borderId="37"/>
    <xf numFmtId="0" fontId="18" fillId="0" borderId="0"/>
    <xf numFmtId="171" fontId="19" fillId="0" borderId="0"/>
    <xf numFmtId="172" fontId="19" fillId="0" borderId="0"/>
    <xf numFmtId="171" fontId="19" fillId="0" borderId="0"/>
    <xf numFmtId="172" fontId="19" fillId="0" borderId="0"/>
    <xf numFmtId="40" fontId="20" fillId="0" borderId="9"/>
    <xf numFmtId="0" fontId="20" fillId="0" borderId="0"/>
    <xf numFmtId="0" fontId="20" fillId="0" borderId="0"/>
    <xf numFmtId="0" fontId="21" fillId="0" borderId="0"/>
    <xf numFmtId="0" fontId="22" fillId="0" borderId="0"/>
    <xf numFmtId="3" fontId="17" fillId="0" borderId="37"/>
    <xf numFmtId="3" fontId="17" fillId="0" borderId="37"/>
    <xf numFmtId="9" fontId="20" fillId="0" borderId="0" applyProtection="1">
      <protection locked="0" hidden="0"/>
    </xf>
    <xf numFmtId="0" fontId="20" fillId="0" borderId="0"/>
    <xf numFmtId="0" fontId="23" fillId="0" borderId="0"/>
    <xf numFmtId="0" fontId="23" fillId="0" borderId="0"/>
    <xf numFmtId="0" fontId="18" fillId="0" borderId="0"/>
    <xf numFmtId="0" fontId="23" fillId="0" borderId="0"/>
    <xf numFmtId="0" fontId="23" fillId="0" borderId="0"/>
    <xf numFmtId="0" fontId="24" fillId="0" borderId="0"/>
    <xf numFmtId="0" fontId="2" fillId="0" borderId="0"/>
    <xf numFmtId="0" fontId="25" fillId="0" borderId="0"/>
    <xf numFmtId="4" fontId="26" fillId="0" borderId="0" applyProtection="1">
      <protection locked="0" hidden="0"/>
    </xf>
    <xf numFmtId="0" fontId="27" fillId="0" borderId="0"/>
    <xf numFmtId="173" fontId="2" fillId="0" borderId="0"/>
    <xf numFmtId="3" fontId="21" fillId="0" borderId="0"/>
    <xf numFmtId="174" fontId="28" fillId="0" borderId="0"/>
    <xf numFmtId="0" fontId="29" fillId="0" borderId="0" applyAlignment="1">
      <alignment horizontal="left"/>
    </xf>
    <xf numFmtId="175" fontId="2" fillId="0" borderId="0" applyProtection="1">
      <protection locked="0" hidden="0"/>
    </xf>
    <xf numFmtId="0" fontId="27" fillId="0" borderId="0"/>
    <xf numFmtId="176" fontId="2" fillId="0" borderId="0"/>
    <xf numFmtId="0" fontId="30" fillId="0" borderId="0"/>
    <xf numFmtId="177" fontId="2" fillId="0" borderId="0" applyProtection="1">
      <protection locked="0" hidden="0"/>
    </xf>
    <xf numFmtId="0" fontId="27" fillId="0" borderId="0"/>
    <xf numFmtId="178" fontId="2" fillId="0" borderId="0"/>
    <xf numFmtId="0" fontId="31" fillId="0" borderId="0" applyAlignment="1">
      <alignment horizontal="left"/>
    </xf>
    <xf numFmtId="0" fontId="26" fillId="0" borderId="0" applyProtection="1">
      <protection locked="0" hidden="0"/>
    </xf>
    <xf numFmtId="0" fontId="26" fillId="0" borderId="0" applyProtection="1">
      <protection locked="0" hidden="0"/>
    </xf>
    <xf numFmtId="0" fontId="32" fillId="0" borderId="0" applyProtection="1">
      <protection locked="0" hidden="0"/>
    </xf>
    <xf numFmtId="0" fontId="26" fillId="0" borderId="0" applyProtection="1">
      <protection locked="0" hidden="0"/>
    </xf>
    <xf numFmtId="0" fontId="26" fillId="0" borderId="0" applyProtection="1">
      <protection locked="0" hidden="0"/>
    </xf>
    <xf numFmtId="0" fontId="26" fillId="0" borderId="0" applyProtection="1">
      <protection locked="0" hidden="0"/>
    </xf>
    <xf numFmtId="0" fontId="32" fillId="0" borderId="0" applyProtection="1">
      <protection locked="0" hidden="0"/>
    </xf>
    <xf numFmtId="179" fontId="2" fillId="0" borderId="0" applyProtection="1">
      <protection locked="0" hidden="0"/>
    </xf>
    <xf numFmtId="2" fontId="27" fillId="0" borderId="0"/>
    <xf numFmtId="2" fontId="21" fillId="0" borderId="0"/>
    <xf numFmtId="38" fontId="33" fillId="2" borderId="0"/>
    <xf numFmtId="0" fontId="34" fillId="0" borderId="0" applyAlignment="1">
      <alignment horizontal="left"/>
    </xf>
    <xf numFmtId="0" fontId="35" fillId="0" borderId="38" applyAlignment="1">
      <alignment horizontal="left" vertical="center"/>
    </xf>
    <xf numFmtId="0" fontId="35" fillId="0" borderId="4" applyAlignment="1">
      <alignment horizontal="left" vertical="center"/>
    </xf>
    <xf numFmtId="0" fontId="36" fillId="0" borderId="0"/>
    <xf numFmtId="0" fontId="35" fillId="0" borderId="0"/>
    <xf numFmtId="172" fontId="2" fillId="0" borderId="0" applyProtection="1">
      <protection locked="0" hidden="0"/>
    </xf>
    <xf numFmtId="0" fontId="36" fillId="0" borderId="0"/>
    <xf numFmtId="0" fontId="37" fillId="0" borderId="0" applyProtection="1">
      <protection locked="0" hidden="0"/>
    </xf>
    <xf numFmtId="172" fontId="2" fillId="0" borderId="0" applyProtection="1">
      <protection locked="0" hidden="0"/>
    </xf>
    <xf numFmtId="0" fontId="35" fillId="0" borderId="0"/>
    <xf numFmtId="0" fontId="37" fillId="0" borderId="0" applyProtection="1">
      <protection locked="0" hidden="0"/>
    </xf>
    <xf numFmtId="0" fontId="21" fillId="3" borderId="39"/>
    <xf numFmtId="0" fontId="38" fillId="0" borderId="0"/>
    <xf numFmtId="10" fontId="33" fillId="4" borderId="37"/>
    <xf numFmtId="0" fontId="30" fillId="0" borderId="0" applyAlignment="1">
      <alignment horizontal="left" vertical="center"/>
    </xf>
    <xf numFmtId="0" fontId="39" fillId="0" borderId="40"/>
    <xf numFmtId="37" fontId="40" fillId="0" borderId="0"/>
    <xf numFmtId="0" fontId="22" fillId="0" borderId="0"/>
    <xf numFmtId="180" fontId="2" fillId="0" borderId="0"/>
    <xf numFmtId="0" fontId="20" fillId="0" borderId="0"/>
    <xf numFmtId="0" fontId="20" fillId="0" borderId="0"/>
    <xf numFmtId="181" fontId="2" fillId="0" borderId="0" applyProtection="1">
      <protection locked="0" hidden="0"/>
    </xf>
    <xf numFmtId="10" fontId="21" fillId="0" borderId="0"/>
    <xf numFmtId="171" fontId="2" fillId="0" borderId="0" applyAlignment="1">
      <alignment horizontal="left"/>
    </xf>
    <xf numFmtId="0" fontId="39" fillId="0" borderId="0"/>
    <xf numFmtId="40" fontId="41" fillId="0" borderId="0" applyAlignment="1">
      <alignment horizontal="right"/>
    </xf>
    <xf numFmtId="0" fontId="42" fillId="2" borderId="0" applyAlignment="1">
      <alignment horizontal="centerContinuous"/>
    </xf>
    <xf numFmtId="0" fontId="43" fillId="0" borderId="0" applyAlignment="1">
      <alignment horizontal="centerContinuous" vertical="center"/>
    </xf>
    <xf numFmtId="0" fontId="28" fillId="5" borderId="0" applyAlignment="1">
      <alignment horizontal="center" vertical="center"/>
    </xf>
    <xf numFmtId="172" fontId="2" fillId="0" borderId="41" applyProtection="1">
      <protection locked="0" hidden="0"/>
    </xf>
    <xf numFmtId="0" fontId="27" fillId="0" borderId="41"/>
    <xf numFmtId="0" fontId="21" fillId="0" borderId="42"/>
    <xf numFmtId="0" fontId="44" fillId="0" borderId="43" applyAlignment="1">
      <alignment horizontal="left"/>
    </xf>
    <xf numFmtId="0" fontId="45" fillId="0" borderId="0" applyAlignment="1">
      <alignment horizontal="center" vertical="center" wrapText="1"/>
    </xf>
    <xf numFmtId="182" fontId="2" fillId="0" borderId="0" applyProtection="1">
      <protection locked="0" hidden="0"/>
    </xf>
    <xf numFmtId="0" fontId="37" fillId="0" borderId="0" applyProtection="1">
      <protection locked="0" hidden="0"/>
    </xf>
    <xf numFmtId="0" fontId="37" fillId="0" borderId="0" applyProtection="1">
      <protection locked="0" hidden="0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49" fontId="47" fillId="0" borderId="37" applyAlignment="1">
      <alignment horizontal="center" vertical="center"/>
    </xf>
    <xf numFmtId="0" fontId="26" fillId="0" borderId="0" applyProtection="1">
      <protection locked="0" hidden="0"/>
    </xf>
    <xf numFmtId="49" fontId="2" fillId="0" borderId="0"/>
    <xf numFmtId="3" fontId="18" fillId="0" borderId="2" applyAlignment="1">
      <alignment horizontal="center"/>
    </xf>
    <xf numFmtId="0" fontId="26" fillId="0" borderId="0" applyProtection="1">
      <protection locked="0" hidden="0"/>
    </xf>
    <xf numFmtId="9" fontId="49" fillId="5" borderId="0" applyAlignment="1">
      <alignment horizontal="right"/>
    </xf>
    <xf numFmtId="10" fontId="49" fillId="0" borderId="0" applyAlignment="1">
      <alignment horizontal="right"/>
    </xf>
    <xf numFmtId="0" fontId="2" fillId="0" borderId="0"/>
    <xf numFmtId="183" fontId="51" fillId="0" borderId="13" applyAlignment="1">
      <alignment vertical="center"/>
    </xf>
    <xf numFmtId="184" fontId="21" fillId="0" borderId="0" applyAlignment="1">
      <alignment vertical="center"/>
    </xf>
    <xf numFmtId="0" fontId="20" fillId="0" borderId="0"/>
    <xf numFmtId="0" fontId="52" fillId="0" borderId="3"/>
    <xf numFmtId="185" fontId="53" fillId="0" borderId="0"/>
    <xf numFmtId="186" fontId="19" fillId="0" borderId="0"/>
    <xf numFmtId="4" fontId="26" fillId="0" borderId="0" applyProtection="1">
      <protection locked="0" hidden="0"/>
    </xf>
    <xf numFmtId="0" fontId="55" fillId="0" borderId="0"/>
    <xf numFmtId="187" fontId="2" fillId="0" borderId="0" applyProtection="1">
      <protection locked="0" hidden="0"/>
    </xf>
    <xf numFmtId="0" fontId="2" fillId="0" borderId="0"/>
    <xf numFmtId="41" fontId="54" fillId="0" borderId="0"/>
    <xf numFmtId="43" fontId="54" fillId="0" borderId="0"/>
    <xf numFmtId="188" fontId="20" fillId="5" borderId="0" applyAlignment="1">
      <alignment horizontal="right"/>
    </xf>
    <xf numFmtId="40" fontId="20" fillId="0" borderId="9"/>
    <xf numFmtId="189" fontId="2" fillId="0" borderId="0" applyProtection="1">
      <protection locked="0" hidden="0"/>
    </xf>
    <xf numFmtId="0" fontId="2" fillId="0" borderId="0"/>
    <xf numFmtId="0" fontId="20" fillId="0" borderId="13" applyAlignment="1">
      <alignment vertical="center" wrapText="1"/>
    </xf>
    <xf numFmtId="5" fontId="2" fillId="0" borderId="0"/>
    <xf numFmtId="0" fontId="26" fillId="0" borderId="42" applyProtection="1">
      <protection locked="0" hidden="0"/>
    </xf>
    <xf numFmtId="190" fontId="54" fillId="0" borderId="0"/>
    <xf numFmtId="0" fontId="54" fillId="0" borderId="0"/>
    <xf numFmtId="191" fontId="2" fillId="0" borderId="0" applyProtection="1">
      <protection locked="0" hidden="0"/>
    </xf>
    <xf numFmtId="192" fontId="2" fillId="0" borderId="0" applyProtection="1">
      <protection locked="0" hidden="0"/>
    </xf>
    <xf numFmtId="0" fontId="13" fillId="0" borderId="0" applyAlignment="1">
      <alignment vertical="center"/>
    </xf>
    <xf numFmtId="0" fontId="56" fillId="0" borderId="0"/>
    <xf numFmtId="193" fontId="20" fillId="0" borderId="0"/>
    <xf numFmtId="0" fontId="57" fillId="0" borderId="0"/>
    <xf numFmtId="0" fontId="20" fillId="0" borderId="0" applyProtection="1">
      <protection locked="0" hidden="0"/>
    </xf>
    <xf numFmtId="0" fontId="20" fillId="0" borderId="0" applyProtection="1">
      <protection locked="0" hidden="0"/>
    </xf>
    <xf numFmtId="0" fontId="20" fillId="0" borderId="0" applyProtection="1">
      <protection locked="0" hidden="0"/>
    </xf>
    <xf numFmtId="0" fontId="54" fillId="0" borderId="0"/>
    <xf numFmtId="9" fontId="58" fillId="0" borderId="0"/>
    <xf numFmtId="0" fontId="59" fillId="0" borderId="0"/>
    <xf numFmtId="0" fontId="18" fillId="0" borderId="47" applyAlignment="1">
      <alignment horizontal="center"/>
    </xf>
    <xf numFmtId="0" fontId="18" fillId="0" borderId="48" applyAlignment="1">
      <alignment horizontal="center"/>
    </xf>
    <xf numFmtId="0" fontId="18" fillId="0" borderId="48" applyAlignment="1">
      <alignment horizontal="center"/>
    </xf>
    <xf numFmtId="0" fontId="18" fillId="0" borderId="48" applyAlignment="1">
      <alignment horizontal="center"/>
    </xf>
    <xf numFmtId="0" fontId="18" fillId="0" borderId="48" applyAlignment="1">
      <alignment horizontal="center"/>
    </xf>
    <xf numFmtId="0" fontId="18" fillId="0" borderId="48" applyAlignment="1">
      <alignment horizontal="center"/>
    </xf>
    <xf numFmtId="0" fontId="18" fillId="0" borderId="48" applyAlignment="1">
      <alignment horizontal="center"/>
    </xf>
    <xf numFmtId="0" fontId="18" fillId="0" borderId="48" applyAlignment="1">
      <alignment horizontal="center"/>
    </xf>
    <xf numFmtId="0" fontId="18" fillId="0" borderId="48" applyAlignment="1">
      <alignment horizontal="center"/>
    </xf>
    <xf numFmtId="0" fontId="18" fillId="0" borderId="48" applyAlignment="1">
      <alignment horizontal="center"/>
    </xf>
    <xf numFmtId="0" fontId="18" fillId="0" borderId="48" applyAlignment="1">
      <alignment horizontal="center"/>
    </xf>
    <xf numFmtId="0" fontId="18" fillId="0" borderId="48" applyAlignment="1">
      <alignment horizontal="center"/>
    </xf>
    <xf numFmtId="0" fontId="18" fillId="0" borderId="48" applyAlignment="1">
      <alignment horizontal="center"/>
    </xf>
    <xf numFmtId="0" fontId="18" fillId="0" borderId="48" applyAlignment="1">
      <alignment horizontal="center"/>
    </xf>
    <xf numFmtId="0" fontId="18" fillId="0" borderId="48" applyAlignment="1">
      <alignment horizontal="center"/>
    </xf>
    <xf numFmtId="0" fontId="18" fillId="0" borderId="48" applyAlignment="1">
      <alignment horizontal="center"/>
    </xf>
    <xf numFmtId="0" fontId="57" fillId="0" borderId="19" applyAlignment="1">
      <alignment horizontal="centerContinuous" vertical="center"/>
    </xf>
    <xf numFmtId="3" fontId="17" fillId="0" borderId="37"/>
    <xf numFmtId="3" fontId="17" fillId="0" borderId="37"/>
    <xf numFmtId="3" fontId="17" fillId="0" borderId="37"/>
    <xf numFmtId="3" fontId="17" fillId="0" borderId="37"/>
    <xf numFmtId="3" fontId="17" fillId="0" borderId="37"/>
    <xf numFmtId="3" fontId="17" fillId="0" borderId="37"/>
    <xf numFmtId="3" fontId="17" fillId="0" borderId="37"/>
    <xf numFmtId="188" fontId="20" fillId="0" borderId="0" applyAlignment="1">
      <alignment vertical="center"/>
    </xf>
    <xf numFmtId="4" fontId="20" fillId="0" borderId="0" applyAlignment="1">
      <alignment vertical="center"/>
    </xf>
    <xf numFmtId="194" fontId="20" fillId="0" borderId="0" applyAlignment="1">
      <alignment vertical="center"/>
    </xf>
    <xf numFmtId="0" fontId="16" fillId="0" borderId="19" applyAlignment="1">
      <alignment horizontal="centerContinuous" vertical="center"/>
    </xf>
    <xf numFmtId="0" fontId="16" fillId="0" borderId="19" applyAlignment="1">
      <alignment horizontal="centerContinuous" vertical="center"/>
    </xf>
    <xf numFmtId="0" fontId="16" fillId="0" borderId="19" applyAlignment="1">
      <alignment horizontal="centerContinuous" vertical="center"/>
    </xf>
    <xf numFmtId="0" fontId="16" fillId="0" borderId="19" applyAlignment="1">
      <alignment horizontal="centerContinuous" vertical="center"/>
    </xf>
    <xf numFmtId="0" fontId="16" fillId="0" borderId="19" applyAlignment="1">
      <alignment horizontal="centerContinuous" vertical="center"/>
    </xf>
    <xf numFmtId="0" fontId="57" fillId="0" borderId="19" applyAlignment="1">
      <alignment horizontal="centerContinuous" vertical="center"/>
    </xf>
    <xf numFmtId="0" fontId="16" fillId="0" borderId="19" applyAlignment="1">
      <alignment horizontal="centerContinuous" vertical="center"/>
    </xf>
    <xf numFmtId="0" fontId="57" fillId="0" borderId="19" applyAlignment="1">
      <alignment horizontal="centerContinuous" vertical="center"/>
    </xf>
    <xf numFmtId="0" fontId="57" fillId="0" borderId="19" applyAlignment="1">
      <alignment horizontal="centerContinuous" vertical="center"/>
    </xf>
    <xf numFmtId="0" fontId="57" fillId="0" borderId="19" applyAlignment="1">
      <alignment horizontal="centerContinuous" vertical="center"/>
    </xf>
    <xf numFmtId="0" fontId="57" fillId="0" borderId="19" applyAlignment="1">
      <alignment horizontal="centerContinuous" vertical="center"/>
    </xf>
    <xf numFmtId="0" fontId="57" fillId="0" borderId="19" applyAlignment="1">
      <alignment horizontal="centerContinuous" vertical="center"/>
    </xf>
    <xf numFmtId="0" fontId="57" fillId="0" borderId="19" applyAlignment="1">
      <alignment horizontal="centerContinuous" vertical="center"/>
    </xf>
    <xf numFmtId="0" fontId="57" fillId="0" borderId="19" applyAlignment="1">
      <alignment horizontal="centerContinuous" vertical="center"/>
    </xf>
    <xf numFmtId="0" fontId="57" fillId="0" borderId="19" applyAlignment="1">
      <alignment horizontal="centerContinuous" vertical="center"/>
    </xf>
    <xf numFmtId="0" fontId="57" fillId="0" borderId="19" applyAlignment="1">
      <alignment horizontal="centerContinuous" vertical="center"/>
    </xf>
    <xf numFmtId="0" fontId="57" fillId="0" borderId="19" applyAlignment="1">
      <alignment horizontal="centerContinuous" vertical="center"/>
    </xf>
    <xf numFmtId="0" fontId="57" fillId="0" borderId="19" applyAlignment="1">
      <alignment horizontal="centerContinuous" vertical="center"/>
    </xf>
    <xf numFmtId="0" fontId="57" fillId="0" borderId="19" applyAlignment="1">
      <alignment horizontal="centerContinuous" vertical="center"/>
    </xf>
    <xf numFmtId="0" fontId="57" fillId="0" borderId="19" applyAlignment="1">
      <alignment horizontal="centerContinuous" vertical="center"/>
    </xf>
    <xf numFmtId="0" fontId="16" fillId="0" borderId="19" applyAlignment="1">
      <alignment horizontal="centerContinuous" vertical="center"/>
    </xf>
    <xf numFmtId="0" fontId="57" fillId="0" borderId="19" applyAlignment="1">
      <alignment horizontal="centerContinuous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195" fontId="18" fillId="0" borderId="0"/>
    <xf numFmtId="0" fontId="18" fillId="0" borderId="0"/>
    <xf numFmtId="195" fontId="18" fillId="0" borderId="0"/>
    <xf numFmtId="195" fontId="18" fillId="0" borderId="0"/>
    <xf numFmtId="0" fontId="18" fillId="0" borderId="0"/>
    <xf numFmtId="195" fontId="18" fillId="0" borderId="0"/>
    <xf numFmtId="195" fontId="18" fillId="0" borderId="0"/>
    <xf numFmtId="0" fontId="18" fillId="0" borderId="0"/>
    <xf numFmtId="0" fontId="18" fillId="0" borderId="0"/>
    <xf numFmtId="195" fontId="18" fillId="0" borderId="0"/>
    <xf numFmtId="0" fontId="18" fillId="0" borderId="0"/>
    <xf numFmtId="0" fontId="18" fillId="0" borderId="0"/>
    <xf numFmtId="0" fontId="18" fillId="0" borderId="0"/>
    <xf numFmtId="195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95" fontId="18" fillId="0" borderId="0"/>
    <xf numFmtId="195" fontId="18" fillId="0" borderId="0"/>
    <xf numFmtId="0" fontId="18" fillId="0" borderId="0"/>
    <xf numFmtId="0" fontId="18" fillId="0" borderId="0"/>
    <xf numFmtId="195" fontId="18" fillId="0" borderId="0"/>
    <xf numFmtId="0" fontId="18" fillId="0" borderId="0"/>
    <xf numFmtId="0" fontId="18" fillId="0" borderId="0"/>
    <xf numFmtId="0" fontId="18" fillId="0" borderId="0"/>
    <xf numFmtId="195" fontId="18" fillId="0" borderId="0"/>
    <xf numFmtId="0" fontId="18" fillId="0" borderId="0"/>
    <xf numFmtId="0" fontId="18" fillId="0" borderId="0"/>
    <xf numFmtId="195" fontId="18" fillId="0" borderId="0"/>
    <xf numFmtId="195" fontId="18" fillId="0" borderId="0"/>
    <xf numFmtId="195" fontId="18" fillId="0" borderId="0"/>
    <xf numFmtId="195" fontId="18" fillId="0" borderId="0"/>
    <xf numFmtId="0" fontId="18" fillId="0" borderId="0"/>
    <xf numFmtId="0" fontId="18" fillId="0" borderId="0"/>
    <xf numFmtId="0" fontId="18" fillId="0" borderId="0"/>
    <xf numFmtId="195" fontId="18" fillId="0" borderId="0"/>
    <xf numFmtId="0" fontId="18" fillId="0" borderId="0"/>
    <xf numFmtId="0" fontId="18" fillId="0" borderId="0"/>
    <xf numFmtId="195" fontId="18" fillId="0" borderId="0"/>
    <xf numFmtId="195" fontId="18" fillId="0" borderId="0"/>
    <xf numFmtId="0" fontId="18" fillId="0" borderId="0"/>
    <xf numFmtId="195" fontId="18" fillId="0" borderId="0"/>
    <xf numFmtId="0" fontId="18" fillId="0" borderId="0"/>
    <xf numFmtId="195" fontId="18" fillId="0" borderId="0"/>
    <xf numFmtId="195" fontId="18" fillId="0" borderId="0"/>
    <xf numFmtId="0" fontId="18" fillId="0" borderId="0"/>
    <xf numFmtId="0" fontId="18" fillId="0" borderId="0"/>
    <xf numFmtId="195" fontId="18" fillId="0" borderId="0"/>
    <xf numFmtId="195" fontId="18" fillId="0" borderId="0"/>
    <xf numFmtId="0" fontId="18" fillId="0" borderId="0"/>
    <xf numFmtId="0" fontId="18" fillId="0" borderId="0"/>
    <xf numFmtId="0" fontId="18" fillId="0" borderId="0"/>
    <xf numFmtId="195" fontId="18" fillId="0" borderId="0"/>
    <xf numFmtId="195" fontId="18" fillId="0" borderId="0"/>
    <xf numFmtId="195" fontId="18" fillId="0" borderId="0"/>
    <xf numFmtId="0" fontId="18" fillId="0" borderId="0"/>
    <xf numFmtId="195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95" fontId="18" fillId="0" borderId="0"/>
    <xf numFmtId="195" fontId="18" fillId="0" borderId="0"/>
    <xf numFmtId="195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95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95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95" fontId="18" fillId="0" borderId="0"/>
    <xf numFmtId="0" fontId="18" fillId="0" borderId="0"/>
    <xf numFmtId="195" fontId="18" fillId="0" borderId="0"/>
    <xf numFmtId="195" fontId="18" fillId="0" borderId="0"/>
    <xf numFmtId="195" fontId="18" fillId="0" borderId="0"/>
    <xf numFmtId="195" fontId="18" fillId="0" borderId="0"/>
    <xf numFmtId="0" fontId="18" fillId="0" borderId="0"/>
    <xf numFmtId="0" fontId="18" fillId="0" borderId="0"/>
    <xf numFmtId="195" fontId="18" fillId="0" borderId="0"/>
    <xf numFmtId="195" fontId="18" fillId="0" borderId="0"/>
    <xf numFmtId="195" fontId="18" fillId="0" borderId="0"/>
    <xf numFmtId="195" fontId="18" fillId="0" borderId="0"/>
    <xf numFmtId="195" fontId="18" fillId="0" borderId="0"/>
    <xf numFmtId="195" fontId="18" fillId="0" borderId="0"/>
    <xf numFmtId="195" fontId="18" fillId="0" borderId="0"/>
    <xf numFmtId="195" fontId="18" fillId="0" borderId="0"/>
    <xf numFmtId="195" fontId="18" fillId="0" borderId="0"/>
    <xf numFmtId="0" fontId="18" fillId="0" borderId="0"/>
    <xf numFmtId="0" fontId="18" fillId="0" borderId="0"/>
    <xf numFmtId="195" fontId="18" fillId="0" borderId="0"/>
    <xf numFmtId="195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95" fontId="18" fillId="0" borderId="0"/>
    <xf numFmtId="195" fontId="18" fillId="0" borderId="0"/>
    <xf numFmtId="195" fontId="18" fillId="0" borderId="0"/>
    <xf numFmtId="0" fontId="2" fillId="0" borderId="0"/>
    <xf numFmtId="196" fontId="21" fillId="0" borderId="0" applyAlignment="1">
      <alignment vertical="center"/>
    </xf>
    <xf numFmtId="40" fontId="18" fillId="0" borderId="0"/>
    <xf numFmtId="197" fontId="19" fillId="0" borderId="0" applyAlignment="1">
      <alignment vertical="center"/>
    </xf>
    <xf numFmtId="0" fontId="28" fillId="0" borderId="0" applyAlignment="1">
      <alignment vertical="center"/>
    </xf>
    <xf numFmtId="0" fontId="60" fillId="0" borderId="0" applyAlignment="1">
      <alignment vertical="center"/>
    </xf>
    <xf numFmtId="0" fontId="28" fillId="0" borderId="0" applyAlignment="1">
      <alignment vertical="center"/>
    </xf>
    <xf numFmtId="38" fontId="20" fillId="0" borderId="1" applyAlignment="1">
      <alignment horizontal="right"/>
    </xf>
    <xf numFmtId="38" fontId="20" fillId="0" borderId="1" applyAlignment="1">
      <alignment horizontal="right"/>
    </xf>
    <xf numFmtId="38" fontId="20" fillId="0" borderId="1" applyAlignment="1">
      <alignment horizontal="right"/>
    </xf>
    <xf numFmtId="38" fontId="20" fillId="0" borderId="1" applyAlignment="1">
      <alignment horizontal="right"/>
    </xf>
    <xf numFmtId="38" fontId="20" fillId="0" borderId="1" applyAlignment="1">
      <alignment horizontal="right"/>
    </xf>
    <xf numFmtId="38" fontId="20" fillId="0" borderId="1" applyAlignment="1">
      <alignment horizontal="right"/>
    </xf>
    <xf numFmtId="38" fontId="20" fillId="0" borderId="1" applyAlignment="1">
      <alignment horizontal="right"/>
    </xf>
    <xf numFmtId="38" fontId="20" fillId="0" borderId="1" applyAlignment="1">
      <alignment horizontal="right"/>
    </xf>
    <xf numFmtId="40" fontId="18" fillId="0" borderId="0"/>
    <xf numFmtId="198" fontId="57" fillId="0" borderId="37" applyAlignment="1">
      <alignment vertical="center"/>
    </xf>
    <xf numFmtId="0" fontId="2" fillId="0" borderId="0"/>
    <xf numFmtId="199" fontId="20" fillId="0" borderId="8" applyProtection="1">
      <protection locked="0" hidden="0"/>
    </xf>
    <xf numFmtId="0" fontId="20" fillId="0" borderId="0"/>
    <xf numFmtId="0" fontId="20" fillId="0" borderId="0"/>
    <xf numFmtId="0" fontId="21" fillId="0" borderId="0"/>
    <xf numFmtId="0" fontId="61" fillId="0" borderId="0"/>
    <xf numFmtId="0" fontId="61" fillId="0" borderId="0"/>
    <xf numFmtId="0" fontId="61" fillId="0" borderId="0"/>
    <xf numFmtId="0" fontId="62" fillId="0" borderId="0"/>
    <xf numFmtId="0" fontId="61" fillId="0" borderId="0"/>
    <xf numFmtId="0" fontId="61" fillId="0" borderId="0"/>
    <xf numFmtId="0" fontId="21" fillId="0" borderId="0"/>
    <xf numFmtId="200" fontId="2" fillId="0" borderId="0"/>
    <xf numFmtId="0" fontId="21" fillId="0" borderId="0"/>
    <xf numFmtId="0" fontId="63" fillId="12" borderId="0"/>
    <xf numFmtId="201" fontId="30" fillId="0" borderId="0" applyAlignment="1">
      <alignment vertical="center"/>
    </xf>
    <xf numFmtId="202" fontId="19" fillId="0" borderId="0" applyAlignment="1">
      <alignment vertical="center"/>
    </xf>
    <xf numFmtId="0" fontId="49" fillId="0" borderId="5" applyAlignment="1">
      <alignment vertical="center"/>
    </xf>
    <xf numFmtId="0" fontId="49" fillId="0" borderId="5" applyAlignment="1">
      <alignment vertical="center"/>
    </xf>
    <xf numFmtId="0" fontId="2" fillId="0" borderId="5" applyAlignment="1">
      <alignment vertical="center"/>
    </xf>
    <xf numFmtId="202" fontId="19" fillId="0" borderId="0" applyAlignment="1">
      <alignment vertical="center"/>
    </xf>
    <xf numFmtId="202" fontId="19" fillId="0" borderId="0" applyAlignment="1">
      <alignment vertical="center"/>
    </xf>
    <xf numFmtId="202" fontId="19" fillId="0" borderId="0" applyAlignment="1">
      <alignment vertical="center"/>
    </xf>
    <xf numFmtId="202" fontId="19" fillId="0" borderId="0" applyAlignment="1">
      <alignment vertical="center"/>
    </xf>
    <xf numFmtId="201" fontId="30" fillId="0" borderId="0" applyAlignment="1">
      <alignment vertical="center"/>
    </xf>
    <xf numFmtId="201" fontId="30" fillId="0" borderId="0" applyAlignment="1">
      <alignment vertical="center"/>
    </xf>
    <xf numFmtId="202" fontId="19" fillId="0" borderId="0" applyAlignment="1">
      <alignment vertical="center"/>
    </xf>
    <xf numFmtId="0" fontId="20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20" fillId="0" borderId="0"/>
    <xf numFmtId="0" fontId="6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65" fillId="0" borderId="0"/>
    <xf numFmtId="0" fontId="21" fillId="0" borderId="0"/>
    <xf numFmtId="0" fontId="21" fillId="0" borderId="0"/>
    <xf numFmtId="0" fontId="64" fillId="0" borderId="0"/>
    <xf numFmtId="0" fontId="64" fillId="0" borderId="0"/>
    <xf numFmtId="0" fontId="64" fillId="0" borderId="0"/>
    <xf numFmtId="0" fontId="20" fillId="0" borderId="0"/>
    <xf numFmtId="0" fontId="6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0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1" fillId="0" borderId="0"/>
    <xf numFmtId="0" fontId="64" fillId="0" borderId="0"/>
    <xf numFmtId="0" fontId="21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64" fillId="0" borderId="0"/>
    <xf numFmtId="0" fontId="22" fillId="0" borderId="0"/>
    <xf numFmtId="0" fontId="21" fillId="0" borderId="0"/>
    <xf numFmtId="0" fontId="2" fillId="0" borderId="0"/>
    <xf numFmtId="0" fontId="2" fillId="0" borderId="0"/>
    <xf numFmtId="0" fontId="20" fillId="0" borderId="0"/>
    <xf numFmtId="0" fontId="22" fillId="0" borderId="0"/>
    <xf numFmtId="0" fontId="21" fillId="0" borderId="0"/>
    <xf numFmtId="0" fontId="2" fillId="0" borderId="0"/>
    <xf numFmtId="0" fontId="2" fillId="0" borderId="0"/>
    <xf numFmtId="0" fontId="20" fillId="0" borderId="0"/>
    <xf numFmtId="0" fontId="2" fillId="0" borderId="0"/>
    <xf numFmtId="0" fontId="2" fillId="0" borderId="0"/>
    <xf numFmtId="9" fontId="66" fillId="0" borderId="0"/>
    <xf numFmtId="0" fontId="30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21" fillId="0" borderId="0"/>
    <xf numFmtId="9" fontId="66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4" fillId="0" borderId="0"/>
    <xf numFmtId="0" fontId="20" fillId="0" borderId="0"/>
    <xf numFmtId="0" fontId="2" fillId="0" borderId="0"/>
    <xf numFmtId="0" fontId="21" fillId="0" borderId="0"/>
    <xf numFmtId="0" fontId="2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0" fillId="0" borderId="0"/>
    <xf numFmtId="0" fontId="2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6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64" fillId="0" borderId="0"/>
    <xf numFmtId="0" fontId="30" fillId="0" borderId="0"/>
    <xf numFmtId="0" fontId="21" fillId="0" borderId="0"/>
    <xf numFmtId="0" fontId="18" fillId="0" borderId="0"/>
    <xf numFmtId="0" fontId="18" fillId="0" borderId="0"/>
    <xf numFmtId="0" fontId="22" fillId="0" borderId="0"/>
    <xf numFmtId="0" fontId="22" fillId="0" borderId="0"/>
    <xf numFmtId="0" fontId="21" fillId="0" borderId="0"/>
    <xf numFmtId="0" fontId="30" fillId="0" borderId="0"/>
    <xf numFmtId="9" fontId="66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21" fillId="0" borderId="0"/>
    <xf numFmtId="0" fontId="21" fillId="0" borderId="0"/>
    <xf numFmtId="0" fontId="64" fillId="0" borderId="0"/>
    <xf numFmtId="0" fontId="2" fillId="0" borderId="0"/>
    <xf numFmtId="0" fontId="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30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2" fillId="0" borderId="0"/>
    <xf numFmtId="0" fontId="20" fillId="0" borderId="0"/>
    <xf numFmtId="0" fontId="20" fillId="0" borderId="0"/>
    <xf numFmtId="0" fontId="22" fillId="0" borderId="0"/>
    <xf numFmtId="0" fontId="21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64" fillId="0" borderId="0"/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2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45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" fillId="0" borderId="0"/>
    <xf numFmtId="0" fontId="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4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1" fillId="0" borderId="0"/>
    <xf numFmtId="0" fontId="54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0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2" fillId="0" borderId="0"/>
    <xf numFmtId="0" fontId="21" fillId="0" borderId="0"/>
    <xf numFmtId="0" fontId="20" fillId="0" borderId="0"/>
    <xf numFmtId="0" fontId="22" fillId="0" borderId="0"/>
    <xf numFmtId="0" fontId="18" fillId="0" borderId="0"/>
    <xf numFmtId="0" fontId="22" fillId="0" borderId="0"/>
    <xf numFmtId="0" fontId="2" fillId="0" borderId="0"/>
    <xf numFmtId="0" fontId="2" fillId="0" borderId="0"/>
    <xf numFmtId="0" fontId="64" fillId="0" borderId="0"/>
    <xf numFmtId="0" fontId="22" fillId="0" borderId="0"/>
    <xf numFmtId="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9" fontId="66" fillId="0" borderId="0"/>
    <xf numFmtId="0" fontId="21" fillId="0" borderId="0"/>
    <xf numFmtId="0" fontId="2" fillId="0" borderId="0"/>
    <xf numFmtId="0" fontId="2" fillId="0" borderId="0"/>
    <xf numFmtId="0" fontId="64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1" fillId="0" borderId="0"/>
    <xf numFmtId="0" fontId="21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20" fillId="0" borderId="0"/>
    <xf numFmtId="0" fontId="2" fillId="0" borderId="0"/>
    <xf numFmtId="0" fontId="21" fillId="0" borderId="0"/>
    <xf numFmtId="0" fontId="21" fillId="0" borderId="0"/>
    <xf numFmtId="0" fontId="20" fillId="0" borderId="0"/>
    <xf numFmtId="0" fontId="2" fillId="0" borderId="0"/>
    <xf numFmtId="0" fontId="22" fillId="0" borderId="0"/>
    <xf numFmtId="0" fontId="20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1" fillId="0" borderId="0"/>
    <xf numFmtId="0" fontId="22" fillId="0" borderId="0"/>
    <xf numFmtId="0" fontId="22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4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30" fillId="0" borderId="0"/>
    <xf numFmtId="0" fontId="21" fillId="0" borderId="0"/>
    <xf numFmtId="0" fontId="18" fillId="0" borderId="0"/>
    <xf numFmtId="0" fontId="18" fillId="0" borderId="0"/>
    <xf numFmtId="0" fontId="21" fillId="0" borderId="0"/>
    <xf numFmtId="0" fontId="20" fillId="0" borderId="0"/>
    <xf numFmtId="0" fontId="20" fillId="0" borderId="0"/>
    <xf numFmtId="0" fontId="22" fillId="0" borderId="0"/>
    <xf numFmtId="0" fontId="21" fillId="0" borderId="0"/>
    <xf numFmtId="0" fontId="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0" fillId="0" borderId="0"/>
    <xf numFmtId="0" fontId="20" fillId="0" borderId="0"/>
    <xf numFmtId="9" fontId="66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64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9" fontId="66" fillId="0" borderId="0"/>
    <xf numFmtId="0" fontId="2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20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64" fillId="0" borderId="0"/>
    <xf numFmtId="0" fontId="20" fillId="0" borderId="0"/>
    <xf numFmtId="0" fontId="22" fillId="0" borderId="0"/>
    <xf numFmtId="0" fontId="21" fillId="0" borderId="0"/>
    <xf numFmtId="0" fontId="21" fillId="0" borderId="0"/>
    <xf numFmtId="0" fontId="20" fillId="0" borderId="0"/>
    <xf numFmtId="0" fontId="6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4" fillId="0" borderId="0"/>
    <xf numFmtId="0" fontId="22" fillId="0" borderId="0"/>
    <xf numFmtId="0" fontId="21" fillId="0" borderId="0"/>
    <xf numFmtId="0" fontId="21" fillId="0" borderId="0"/>
    <xf numFmtId="0" fontId="6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64" fillId="0" borderId="0"/>
    <xf numFmtId="0" fontId="64" fillId="0" borderId="0"/>
    <xf numFmtId="0" fontId="20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0" fillId="0" borderId="0"/>
    <xf numFmtId="0" fontId="22" fillId="0" borderId="0"/>
    <xf numFmtId="0" fontId="22" fillId="0" borderId="0"/>
    <xf numFmtId="0" fontId="30" fillId="0" borderId="0"/>
    <xf numFmtId="0" fontId="20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0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64" fillId="0" borderId="0"/>
    <xf numFmtId="0" fontId="2" fillId="0" borderId="0"/>
    <xf numFmtId="0" fontId="2" fillId="0" borderId="0"/>
    <xf numFmtId="0" fontId="21" fillId="0" borderId="0"/>
    <xf numFmtId="0" fontId="20" fillId="0" borderId="0"/>
    <xf numFmtId="0" fontId="21" fillId="0" borderId="0"/>
    <xf numFmtId="0" fontId="2" fillId="0" borderId="0"/>
    <xf numFmtId="0" fontId="2" fillId="0" borderId="0"/>
    <xf numFmtId="0" fontId="21" fillId="0" borderId="0"/>
    <xf numFmtId="0" fontId="20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59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0" fillId="0" borderId="0"/>
    <xf numFmtId="0" fontId="30" fillId="0" borderId="0"/>
    <xf numFmtId="0" fontId="30" fillId="0" borderId="0"/>
    <xf numFmtId="0" fontId="20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64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0" fillId="0" borderId="0"/>
    <xf numFmtId="0" fontId="22" fillId="0" borderId="0"/>
    <xf numFmtId="0" fontId="64" fillId="0" borderId="0"/>
    <xf numFmtId="0" fontId="20" fillId="0" borderId="0"/>
    <xf numFmtId="0" fontId="22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64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64" fillId="0" borderId="0"/>
    <xf numFmtId="0" fontId="21" fillId="0" borderId="0"/>
    <xf numFmtId="0" fontId="21" fillId="0" borderId="0"/>
    <xf numFmtId="0" fontId="30" fillId="0" borderId="0"/>
    <xf numFmtId="0" fontId="20" fillId="0" borderId="0"/>
    <xf numFmtId="0" fontId="30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64" fillId="0" borderId="0"/>
    <xf numFmtId="0" fontId="2" fillId="0" borderId="0"/>
    <xf numFmtId="0" fontId="21" fillId="0" borderId="0"/>
    <xf numFmtId="0" fontId="20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30" fillId="0" borderId="0"/>
    <xf numFmtId="0" fontId="20" fillId="0" borderId="0"/>
    <xf numFmtId="0" fontId="21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9" fontId="66" fillId="0" borderId="0"/>
    <xf numFmtId="0" fontId="64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64" fillId="0" borderId="0"/>
    <xf numFmtId="0" fontId="21" fillId="0" borderId="0"/>
    <xf numFmtId="0" fontId="18" fillId="0" borderId="0"/>
    <xf numFmtId="0" fontId="21" fillId="0" borderId="0"/>
    <xf numFmtId="0" fontId="67" fillId="0" borderId="0"/>
    <xf numFmtId="0" fontId="20" fillId="0" borderId="0"/>
    <xf numFmtId="0" fontId="22" fillId="0" borderId="0"/>
    <xf numFmtId="0" fontId="22" fillId="0" borderId="0"/>
    <xf numFmtId="0" fontId="21" fillId="0" borderId="0"/>
    <xf numFmtId="0" fontId="3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3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9" fontId="66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2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64" fillId="0" borderId="0"/>
    <xf numFmtId="0" fontId="21" fillId="0" borderId="0"/>
    <xf numFmtId="0" fontId="22" fillId="0" borderId="0"/>
    <xf numFmtId="0" fontId="2" fillId="0" borderId="0"/>
    <xf numFmtId="0" fontId="64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0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6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4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64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1" fillId="0" borderId="0"/>
    <xf numFmtId="0" fontId="21" fillId="0" borderId="0"/>
    <xf numFmtId="0" fontId="64" fillId="0" borderId="0"/>
    <xf numFmtId="0" fontId="21" fillId="0" borderId="0"/>
    <xf numFmtId="0" fontId="21" fillId="0" borderId="0"/>
    <xf numFmtId="9" fontId="66" fillId="0" borderId="0"/>
    <xf numFmtId="0" fontId="21" fillId="0" borderId="0"/>
    <xf numFmtId="0" fontId="21" fillId="0" borderId="0"/>
    <xf numFmtId="0" fontId="64" fillId="0" borderId="0"/>
    <xf numFmtId="0" fontId="64" fillId="0" borderId="0"/>
    <xf numFmtId="0" fontId="21" fillId="0" borderId="0"/>
    <xf numFmtId="0" fontId="22" fillId="0" borderId="0"/>
    <xf numFmtId="0" fontId="20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2" fillId="0" borderId="0"/>
    <xf numFmtId="0" fontId="2" fillId="0" borderId="0"/>
    <xf numFmtId="0" fontId="21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64" fillId="0" borderId="0"/>
    <xf numFmtId="0" fontId="20" fillId="0" borderId="0"/>
    <xf numFmtId="0" fontId="6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30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2" fillId="0" borderId="0"/>
    <xf numFmtId="0" fontId="20" fillId="0" borderId="0"/>
    <xf numFmtId="0" fontId="21" fillId="0" borderId="0"/>
    <xf numFmtId="0" fontId="20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8" fillId="0" borderId="0"/>
    <xf numFmtId="0" fontId="20" fillId="0" borderId="0"/>
    <xf numFmtId="0" fontId="20" fillId="0" borderId="0"/>
    <xf numFmtId="0" fontId="2" fillId="0" borderId="0"/>
    <xf numFmtId="9" fontId="66" fillId="0" borderId="0"/>
    <xf numFmtId="9" fontId="66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9" fontId="66" fillId="0" borderId="0"/>
    <xf numFmtId="9" fontId="66" fillId="0" borderId="0"/>
    <xf numFmtId="9" fontId="66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66" fillId="0" borderId="0"/>
    <xf numFmtId="203" fontId="2" fillId="0" borderId="0"/>
    <xf numFmtId="0" fontId="2" fillId="0" borderId="0"/>
    <xf numFmtId="204" fontId="2" fillId="0" borderId="0"/>
    <xf numFmtId="205" fontId="2" fillId="0" borderId="0"/>
    <xf numFmtId="206" fontId="2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18" fillId="0" borderId="0"/>
    <xf numFmtId="0" fontId="30" fillId="0" borderId="0"/>
    <xf numFmtId="0" fontId="2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0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" fillId="0" borderId="0"/>
    <xf numFmtId="0" fontId="2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" fillId="0" borderId="0"/>
    <xf numFmtId="0" fontId="64" fillId="0" borderId="0"/>
    <xf numFmtId="0" fontId="20" fillId="0" borderId="0"/>
    <xf numFmtId="0" fontId="2" fillId="0" borderId="0"/>
    <xf numFmtId="0" fontId="2" fillId="0" borderId="0"/>
    <xf numFmtId="0" fontId="21" fillId="0" borderId="0"/>
    <xf numFmtId="0" fontId="20" fillId="0" borderId="0"/>
    <xf numFmtId="0" fontId="20" fillId="0" borderId="0"/>
    <xf numFmtId="0" fontId="22" fillId="0" borderId="0"/>
    <xf numFmtId="0" fontId="64" fillId="0" borderId="0"/>
    <xf numFmtId="0" fontId="22" fillId="0" borderId="0"/>
    <xf numFmtId="0" fontId="64" fillId="0" borderId="0"/>
    <xf numFmtId="0" fontId="22" fillId="0" borderId="0"/>
    <xf numFmtId="0" fontId="20" fillId="0" borderId="0"/>
    <xf numFmtId="0" fontId="22" fillId="0" borderId="0"/>
    <xf numFmtId="0" fontId="21" fillId="0" borderId="0"/>
    <xf numFmtId="0" fontId="30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0" fillId="0" borderId="0"/>
    <xf numFmtId="0" fontId="6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54" fillId="0" borderId="0"/>
    <xf numFmtId="0" fontId="22" fillId="0" borderId="0"/>
    <xf numFmtId="0" fontId="21" fillId="0" borderId="0"/>
    <xf numFmtId="0" fontId="21" fillId="0" borderId="0"/>
    <xf numFmtId="0" fontId="64" fillId="0" borderId="0"/>
    <xf numFmtId="0" fontId="21" fillId="0" borderId="0"/>
    <xf numFmtId="0" fontId="21" fillId="0" borderId="0"/>
    <xf numFmtId="0" fontId="21" fillId="0" borderId="0"/>
    <xf numFmtId="0" fontId="68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18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" fillId="0" borderId="0"/>
    <xf numFmtId="0" fontId="20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1" fillId="0" borderId="0"/>
    <xf numFmtId="9" fontId="66" fillId="0" borderId="0"/>
    <xf numFmtId="0" fontId="20" fillId="0" borderId="0"/>
    <xf numFmtId="0" fontId="21" fillId="0" borderId="0"/>
    <xf numFmtId="0" fontId="30" fillId="0" borderId="0"/>
    <xf numFmtId="0" fontId="30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64" fillId="0" borderId="0"/>
    <xf numFmtId="0" fontId="64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5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30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18" fillId="0" borderId="0"/>
    <xf numFmtId="0" fontId="18" fillId="0" borderId="0"/>
    <xf numFmtId="0" fontId="21" fillId="0" borderId="0"/>
    <xf numFmtId="0" fontId="18" fillId="0" borderId="0"/>
    <xf numFmtId="0" fontId="21" fillId="0" borderId="0"/>
    <xf numFmtId="0" fontId="21" fillId="0" borderId="0"/>
    <xf numFmtId="0" fontId="18" fillId="0" borderId="0"/>
    <xf numFmtId="0" fontId="21" fillId="0" borderId="0"/>
    <xf numFmtId="0" fontId="18" fillId="0" borderId="0"/>
    <xf numFmtId="0" fontId="21" fillId="0" borderId="0"/>
    <xf numFmtId="0" fontId="20" fillId="0" borderId="0"/>
    <xf numFmtId="0" fontId="64" fillId="0" borderId="0"/>
    <xf numFmtId="0" fontId="22" fillId="0" borderId="0"/>
    <xf numFmtId="0" fontId="20" fillId="0" borderId="0"/>
    <xf numFmtId="0" fontId="64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2" fillId="0" borderId="0"/>
    <xf numFmtId="0" fontId="20" fillId="0" borderId="0"/>
    <xf numFmtId="0" fontId="21" fillId="0" borderId="0"/>
    <xf numFmtId="0" fontId="30" fillId="0" borderId="0"/>
    <xf numFmtId="0" fontId="21" fillId="0" borderId="0"/>
    <xf numFmtId="0" fontId="21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4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64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6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4" fillId="0" borderId="0"/>
    <xf numFmtId="0" fontId="21" fillId="0" borderId="0"/>
    <xf numFmtId="0" fontId="20" fillId="0" borderId="0"/>
    <xf numFmtId="0" fontId="6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9" fontId="66" fillId="0" borderId="0"/>
    <xf numFmtId="0" fontId="20" fillId="0" borderId="0"/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" fillId="0" borderId="0"/>
    <xf numFmtId="9" fontId="66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66" fillId="0" borderId="0"/>
    <xf numFmtId="0" fontId="2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9" fontId="66" fillId="0" borderId="0"/>
    <xf numFmtId="9" fontId="66" fillId="0" borderId="0"/>
    <xf numFmtId="0" fontId="21" fillId="0" borderId="0"/>
    <xf numFmtId="9" fontId="66" fillId="0" borderId="0"/>
    <xf numFmtId="0" fontId="64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2" fillId="0" borderId="0"/>
    <xf numFmtId="0" fontId="20" fillId="0" borderId="0"/>
    <xf numFmtId="0" fontId="64" fillId="0" borderId="0"/>
    <xf numFmtId="0" fontId="6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9" fontId="66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1" fillId="0" borderId="0"/>
    <xf numFmtId="0" fontId="22" fillId="0" borderId="0"/>
    <xf numFmtId="0" fontId="20" fillId="0" borderId="0"/>
    <xf numFmtId="0" fontId="30" fillId="0" borderId="0"/>
    <xf numFmtId="0" fontId="30" fillId="0" borderId="0"/>
    <xf numFmtId="0" fontId="21" fillId="0" borderId="0"/>
    <xf numFmtId="0" fontId="64" fillId="0" borderId="0"/>
    <xf numFmtId="0" fontId="64" fillId="0" borderId="0"/>
    <xf numFmtId="0" fontId="64" fillId="0" borderId="0"/>
    <xf numFmtId="0" fontId="22" fillId="0" borderId="0"/>
    <xf numFmtId="0" fontId="22" fillId="0" borderId="0"/>
    <xf numFmtId="0" fontId="21" fillId="0" borderId="0"/>
    <xf numFmtId="0" fontId="2" fillId="0" borderId="0"/>
    <xf numFmtId="0" fontId="64" fillId="0" borderId="0"/>
    <xf numFmtId="0" fontId="20" fillId="0" borderId="0"/>
    <xf numFmtId="0" fontId="21" fillId="0" borderId="0"/>
    <xf numFmtId="0" fontId="20" fillId="0" borderId="0"/>
    <xf numFmtId="9" fontId="66" fillId="0" borderId="0"/>
    <xf numFmtId="0" fontId="21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20" fillId="0" borderId="0"/>
    <xf numFmtId="0" fontId="22" fillId="0" borderId="0"/>
    <xf numFmtId="0" fontId="20" fillId="0" borderId="0"/>
    <xf numFmtId="0" fontId="22" fillId="0" borderId="0"/>
    <xf numFmtId="0" fontId="22" fillId="0" borderId="0"/>
    <xf numFmtId="0" fontId="21" fillId="0" borderId="0"/>
    <xf numFmtId="0" fontId="6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20" fillId="0" borderId="0"/>
    <xf numFmtId="0" fontId="64" fillId="0" borderId="0"/>
    <xf numFmtId="0" fontId="20" fillId="0" borderId="0"/>
    <xf numFmtId="0" fontId="20" fillId="0" borderId="0"/>
    <xf numFmtId="0" fontId="64" fillId="0" borderId="0"/>
    <xf numFmtId="0" fontId="20" fillId="0" borderId="0"/>
    <xf numFmtId="0" fontId="6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6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4" fillId="0" borderId="0"/>
    <xf numFmtId="0" fontId="64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2" fillId="0" borderId="0"/>
    <xf numFmtId="0" fontId="30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21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0" fillId="0" borderId="0"/>
    <xf numFmtId="207" fontId="2" fillId="0" borderId="0" applyProtection="1">
      <protection locked="0" hidden="0"/>
    </xf>
    <xf numFmtId="0" fontId="26" fillId="0" borderId="0" applyProtection="1">
      <protection locked="0" hidden="0"/>
    </xf>
    <xf numFmtId="0" fontId="26" fillId="0" borderId="0" applyProtection="1">
      <protection locked="0" hidden="0"/>
    </xf>
    <xf numFmtId="0" fontId="21" fillId="0" borderId="0"/>
    <xf numFmtId="0" fontId="21" fillId="0" borderId="0"/>
    <xf numFmtId="0" fontId="54" fillId="0" borderId="0"/>
    <xf numFmtId="208" fontId="19" fillId="0" borderId="0" applyAlignment="1">
      <alignment vertical="center"/>
    </xf>
    <xf numFmtId="9" fontId="21" fillId="13" borderId="0"/>
    <xf numFmtId="0" fontId="20" fillId="0" borderId="0"/>
    <xf numFmtId="209" fontId="19" fillId="0" borderId="0" applyAlignment="1">
      <alignment vertical="center"/>
    </xf>
    <xf numFmtId="210" fontId="19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69" fillId="0" borderId="0" applyProtection="1">
      <protection locked="0" hidden="0"/>
    </xf>
    <xf numFmtId="211" fontId="26" fillId="0" borderId="0" applyProtection="1">
      <protection locked="0" hidden="0"/>
    </xf>
    <xf numFmtId="211" fontId="26" fillId="0" borderId="0" applyProtection="1">
      <protection locked="0" hidden="0"/>
    </xf>
    <xf numFmtId="0" fontId="69" fillId="0" borderId="0" applyProtection="1">
      <protection locked="0" hidden="0"/>
    </xf>
    <xf numFmtId="0" fontId="26" fillId="0" borderId="0" applyProtection="1">
      <protection locked="0" hidden="0"/>
    </xf>
    <xf numFmtId="0" fontId="37" fillId="0" borderId="0" applyProtection="1">
      <protection locked="0" hidden="0"/>
    </xf>
    <xf numFmtId="0" fontId="26" fillId="0" borderId="0" applyProtection="1">
      <protection locked="0" hidden="0"/>
    </xf>
    <xf numFmtId="0" fontId="37" fillId="0" borderId="0" applyProtection="1">
      <protection locked="0" hidden="0"/>
    </xf>
    <xf numFmtId="0" fontId="21" fillId="0" borderId="0"/>
    <xf numFmtId="212" fontId="26" fillId="0" borderId="0" applyProtection="1">
      <protection locked="0" hidden="0"/>
    </xf>
    <xf numFmtId="212" fontId="26" fillId="0" borderId="0" applyProtection="1">
      <protection locked="0" hidden="0"/>
    </xf>
    <xf numFmtId="212" fontId="26" fillId="0" borderId="0" applyProtection="1">
      <protection locked="0" hidden="0"/>
    </xf>
    <xf numFmtId="212" fontId="26" fillId="0" borderId="0" applyProtection="1">
      <protection locked="0" hidden="0"/>
    </xf>
    <xf numFmtId="212" fontId="26" fillId="0" borderId="0" applyProtection="1">
      <protection locked="0" hidden="0"/>
    </xf>
    <xf numFmtId="212" fontId="26" fillId="0" borderId="0" applyProtection="1">
      <protection locked="0" hidden="0"/>
    </xf>
    <xf numFmtId="212" fontId="26" fillId="0" borderId="0" applyProtection="1">
      <protection locked="0" hidden="0"/>
    </xf>
    <xf numFmtId="212" fontId="26" fillId="0" borderId="0" applyProtection="1">
      <protection locked="0" hidden="0"/>
    </xf>
    <xf numFmtId="212" fontId="26" fillId="0" borderId="0" applyProtection="1">
      <protection locked="0" hidden="0"/>
    </xf>
    <xf numFmtId="212" fontId="26" fillId="0" borderId="0" applyProtection="1">
      <protection locked="0" hidden="0"/>
    </xf>
    <xf numFmtId="212" fontId="26" fillId="0" borderId="0" applyProtection="1">
      <protection locked="0" hidden="0"/>
    </xf>
    <xf numFmtId="212" fontId="26" fillId="0" borderId="0" applyProtection="1">
      <protection locked="0" hidden="0"/>
    </xf>
    <xf numFmtId="212" fontId="26" fillId="0" borderId="0" applyProtection="1">
      <protection locked="0" hidden="0"/>
    </xf>
    <xf numFmtId="213" fontId="70" fillId="0" borderId="37" applyAlignment="1">
      <alignment vertical="center"/>
    </xf>
    <xf numFmtId="213" fontId="70" fillId="0" borderId="37" applyAlignment="1">
      <alignment vertical="center"/>
    </xf>
    <xf numFmtId="213" fontId="70" fillId="0" borderId="37" applyAlignment="1">
      <alignment vertical="center"/>
    </xf>
    <xf numFmtId="213" fontId="70" fillId="0" borderId="37" applyAlignment="1">
      <alignment vertical="center"/>
    </xf>
    <xf numFmtId="213" fontId="70" fillId="0" borderId="37" applyAlignment="1">
      <alignment vertical="center"/>
    </xf>
    <xf numFmtId="213" fontId="70" fillId="0" borderId="37" applyAlignment="1">
      <alignment vertical="center"/>
    </xf>
    <xf numFmtId="213" fontId="70" fillId="0" borderId="37" applyAlignment="1">
      <alignment vertical="center"/>
    </xf>
    <xf numFmtId="213" fontId="70" fillId="0" borderId="37" applyAlignment="1">
      <alignment vertical="center"/>
    </xf>
    <xf numFmtId="9" fontId="57" fillId="0" borderId="0" applyAlignment="1">
      <alignment vertical="center"/>
    </xf>
    <xf numFmtId="0" fontId="2" fillId="0" borderId="0"/>
    <xf numFmtId="3" fontId="17" fillId="0" borderId="37"/>
    <xf numFmtId="3" fontId="17" fillId="0" borderId="37"/>
    <xf numFmtId="3" fontId="17" fillId="0" borderId="37"/>
    <xf numFmtId="3" fontId="17" fillId="0" borderId="37"/>
    <xf numFmtId="3" fontId="17" fillId="0" borderId="37"/>
    <xf numFmtId="3" fontId="17" fillId="0" borderId="37"/>
    <xf numFmtId="3" fontId="17" fillId="0" borderId="37"/>
    <xf numFmtId="0" fontId="57" fillId="0" borderId="0" applyAlignment="1">
      <alignment vertical="center"/>
    </xf>
    <xf numFmtId="10" fontId="57" fillId="0" borderId="0" applyAlignment="1">
      <alignment vertical="center"/>
    </xf>
    <xf numFmtId="0" fontId="57" fillId="0" borderId="0" applyAlignment="1">
      <alignment vertical="center"/>
    </xf>
    <xf numFmtId="214" fontId="2" fillId="0" borderId="0" applyAlignment="1">
      <alignment vertical="center"/>
    </xf>
    <xf numFmtId="185" fontId="20" fillId="0" borderId="0" applyAlignment="1">
      <alignment vertical="center"/>
    </xf>
    <xf numFmtId="0" fontId="21" fillId="0" borderId="0"/>
    <xf numFmtId="0" fontId="71" fillId="0" borderId="3"/>
    <xf numFmtId="0" fontId="72" fillId="14" borderId="50" applyAlignment="1">
      <alignment horizontal="center" vertical="center"/>
    </xf>
    <xf numFmtId="215" fontId="73" fillId="0" borderId="0" applyAlignment="1">
      <alignment vertical="center"/>
    </xf>
    <xf numFmtId="3" fontId="74" fillId="0" borderId="34" applyAlignment="1">
      <alignment horizontal="right" vertical="center"/>
    </xf>
    <xf numFmtId="0" fontId="49" fillId="0" borderId="0" applyAlignment="1">
      <alignment horizontal="center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216" fontId="2" fillId="0" borderId="0" applyAlignment="1">
      <alignment vertical="center"/>
    </xf>
    <xf numFmtId="216" fontId="2" fillId="0" borderId="0" applyAlignment="1">
      <alignment vertical="center"/>
    </xf>
    <xf numFmtId="216" fontId="2" fillId="0" borderId="0" applyAlignment="1">
      <alignment vertical="center"/>
    </xf>
    <xf numFmtId="216" fontId="2" fillId="0" borderId="0" applyAlignment="1">
      <alignment vertical="center"/>
    </xf>
    <xf numFmtId="216" fontId="2" fillId="0" borderId="0" applyAlignment="1">
      <alignment vertical="center"/>
    </xf>
    <xf numFmtId="216" fontId="2" fillId="0" borderId="0" applyAlignment="1">
      <alignment vertical="center"/>
    </xf>
    <xf numFmtId="217" fontId="2" fillId="0" borderId="0" applyAlignment="1">
      <alignment vertical="center"/>
    </xf>
    <xf numFmtId="217" fontId="2" fillId="0" borderId="0" applyAlignment="1">
      <alignment vertical="center"/>
    </xf>
    <xf numFmtId="217" fontId="2" fillId="0" borderId="0" applyAlignment="1">
      <alignment vertical="center"/>
    </xf>
    <xf numFmtId="217" fontId="2" fillId="0" borderId="0" applyAlignment="1">
      <alignment vertical="center"/>
    </xf>
    <xf numFmtId="217" fontId="2" fillId="0" borderId="0" applyAlignment="1">
      <alignment vertical="center"/>
    </xf>
    <xf numFmtId="217" fontId="2" fillId="0" borderId="0" applyAlignment="1">
      <alignment vertical="center"/>
    </xf>
    <xf numFmtId="217" fontId="2" fillId="0" borderId="0" applyAlignment="1">
      <alignment vertical="center"/>
    </xf>
    <xf numFmtId="217" fontId="2" fillId="0" borderId="0" applyAlignment="1">
      <alignment vertical="center"/>
    </xf>
    <xf numFmtId="217" fontId="2" fillId="0" borderId="0" applyAlignment="1">
      <alignment vertical="center"/>
    </xf>
    <xf numFmtId="217" fontId="2" fillId="0" borderId="0" applyAlignment="1">
      <alignment vertical="center"/>
    </xf>
    <xf numFmtId="217" fontId="2" fillId="0" borderId="0" applyAlignment="1">
      <alignment vertical="center"/>
    </xf>
    <xf numFmtId="217" fontId="2" fillId="0" borderId="0" applyAlignment="1">
      <alignment vertical="center"/>
    </xf>
    <xf numFmtId="3" fontId="74" fillId="0" borderId="34" applyAlignment="1">
      <alignment horizontal="right" vertical="center"/>
    </xf>
    <xf numFmtId="0" fontId="49" fillId="0" borderId="0" applyAlignment="1">
      <alignment horizontal="center" vertical="center"/>
    </xf>
    <xf numFmtId="0" fontId="49" fillId="0" borderId="0" applyAlignment="1">
      <alignment horizontal="center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0" fontId="49" fillId="0" borderId="0" applyAlignment="1">
      <alignment horizontal="center" vertical="center"/>
    </xf>
    <xf numFmtId="3" fontId="74" fillId="0" borderId="34" applyAlignment="1">
      <alignment horizontal="right" vertical="center"/>
    </xf>
    <xf numFmtId="0" fontId="49" fillId="0" borderId="0" applyAlignment="1">
      <alignment horizontal="center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0" fontId="49" fillId="0" borderId="0" applyAlignment="1">
      <alignment horizontal="center" vertical="center"/>
    </xf>
    <xf numFmtId="0" fontId="49" fillId="0" borderId="0" applyAlignment="1">
      <alignment horizontal="center" vertical="center"/>
    </xf>
    <xf numFmtId="0" fontId="49" fillId="0" borderId="0" applyAlignment="1">
      <alignment horizontal="center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0" fontId="28" fillId="0" borderId="0"/>
    <xf numFmtId="3" fontId="74" fillId="0" borderId="34" applyAlignment="1">
      <alignment horizontal="right" vertical="center"/>
    </xf>
    <xf numFmtId="0" fontId="49" fillId="0" borderId="0" applyAlignment="1">
      <alignment horizontal="center" vertical="center"/>
    </xf>
    <xf numFmtId="3" fontId="74" fillId="0" borderId="34" applyAlignment="1">
      <alignment horizontal="right" vertical="center"/>
    </xf>
    <xf numFmtId="0" fontId="49" fillId="0" borderId="0" applyAlignment="1">
      <alignment horizontal="center" vertical="center"/>
    </xf>
    <xf numFmtId="0" fontId="49" fillId="0" borderId="0" applyAlignment="1">
      <alignment horizontal="center" vertical="center"/>
    </xf>
    <xf numFmtId="0" fontId="49" fillId="0" borderId="0" applyAlignment="1">
      <alignment horizontal="center" vertical="center"/>
    </xf>
    <xf numFmtId="0" fontId="28" fillId="0" borderId="0"/>
    <xf numFmtId="3" fontId="74" fillId="0" borderId="34" applyAlignment="1">
      <alignment horizontal="right" vertical="center"/>
    </xf>
    <xf numFmtId="41" fontId="20" fillId="0" borderId="0" applyAlignment="1">
      <alignment horizontal="center" vertical="center"/>
    </xf>
    <xf numFmtId="41" fontId="20" fillId="0" borderId="0" applyAlignment="1">
      <alignment horizontal="center" vertical="center"/>
    </xf>
    <xf numFmtId="218" fontId="75" fillId="0" borderId="0" applyAlignment="1">
      <alignment horizontal="center" vertical="center"/>
    </xf>
    <xf numFmtId="0" fontId="28" fillId="0" borderId="0"/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0" fontId="28" fillId="0" borderId="0"/>
    <xf numFmtId="0" fontId="49" fillId="0" borderId="0" applyAlignment="1">
      <alignment horizontal="center" vertical="center"/>
    </xf>
    <xf numFmtId="0" fontId="28" fillId="0" borderId="0"/>
    <xf numFmtId="0" fontId="28" fillId="0" borderId="0"/>
    <xf numFmtId="215" fontId="73" fillId="0" borderId="0" applyAlignment="1">
      <alignment vertical="center"/>
    </xf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0" fontId="28" fillId="0" borderId="0"/>
    <xf numFmtId="3" fontId="74" fillId="0" borderId="34" applyAlignment="1">
      <alignment horizontal="right" vertical="center"/>
    </xf>
    <xf numFmtId="3" fontId="74" fillId="0" borderId="34" applyAlignment="1">
      <alignment horizontal="right" vertical="center"/>
    </xf>
    <xf numFmtId="0" fontId="18" fillId="0" borderId="7"/>
    <xf numFmtId="4" fontId="76" fillId="0" borderId="51" applyAlignment="1">
      <alignment vertical="center"/>
    </xf>
    <xf numFmtId="219" fontId="57" fillId="0" borderId="25" applyAlignment="1">
      <alignment vertical="center" wrapText="1"/>
    </xf>
    <xf numFmtId="220" fontId="19" fillId="0" borderId="0" applyAlignment="1">
      <alignment vertical="center"/>
    </xf>
    <xf numFmtId="0" fontId="2" fillId="0" borderId="0"/>
    <xf numFmtId="4" fontId="76" fillId="0" borderId="51" applyAlignment="1">
      <alignment vertical="center"/>
    </xf>
    <xf numFmtId="0" fontId="21" fillId="0" borderId="0"/>
    <xf numFmtId="221" fontId="20" fillId="0" borderId="0" applyProtection="1">
      <protection locked="0" hidden="0"/>
    </xf>
    <xf numFmtId="177" fontId="77" fillId="0" borderId="0" applyProtection="1">
      <protection locked="0" hidden="0"/>
    </xf>
    <xf numFmtId="222" fontId="2" fillId="0" borderId="0" applyProtection="1">
      <protection locked="0" hidden="0"/>
    </xf>
    <xf numFmtId="212" fontId="78" fillId="0" borderId="0" applyProtection="1">
      <protection locked="0" hidden="0"/>
    </xf>
    <xf numFmtId="177" fontId="77" fillId="0" borderId="0" applyProtection="1">
      <protection locked="0" hidden="0"/>
    </xf>
    <xf numFmtId="212" fontId="78" fillId="0" borderId="0" applyProtection="1">
      <protection locked="0" hidden="0"/>
    </xf>
    <xf numFmtId="177" fontId="77" fillId="0" borderId="0" applyProtection="1">
      <protection locked="0" hidden="0"/>
    </xf>
    <xf numFmtId="177" fontId="77" fillId="0" borderId="0" applyProtection="1">
      <protection locked="0" hidden="0"/>
    </xf>
    <xf numFmtId="9" fontId="79" fillId="5" borderId="0" applyAlignment="1">
      <alignment horizontal="right"/>
    </xf>
    <xf numFmtId="10" fontId="79" fillId="0" borderId="0" applyAlignment="1">
      <alignment horizontal="right"/>
    </xf>
    <xf numFmtId="213" fontId="80" fillId="0" borderId="0"/>
    <xf numFmtId="2" fontId="74" fillId="0" borderId="34" applyAlignment="1">
      <alignment horizontal="right" vertical="center"/>
    </xf>
    <xf numFmtId="0" fontId="20" fillId="0" borderId="43" applyAlignment="1">
      <alignment horizontal="center"/>
    </xf>
    <xf numFmtId="2" fontId="74" fillId="0" borderId="34" applyAlignment="1">
      <alignment horizontal="right" vertical="center"/>
    </xf>
    <xf numFmtId="2" fontId="74" fillId="0" borderId="34" applyAlignment="1">
      <alignment horizontal="right" vertical="center"/>
    </xf>
    <xf numFmtId="2" fontId="74" fillId="0" borderId="34" applyAlignment="1">
      <alignment horizontal="right" vertical="center"/>
    </xf>
    <xf numFmtId="2" fontId="74" fillId="0" borderId="34" applyAlignment="1">
      <alignment horizontal="right" vertical="center"/>
    </xf>
    <xf numFmtId="2" fontId="74" fillId="0" borderId="34" applyAlignment="1">
      <alignment horizontal="right" vertical="center"/>
    </xf>
    <xf numFmtId="2" fontId="74" fillId="0" borderId="34" applyAlignment="1">
      <alignment horizontal="right" vertical="center"/>
    </xf>
    <xf numFmtId="2" fontId="74" fillId="0" borderId="34" applyAlignment="1">
      <alignment horizontal="right" vertical="center"/>
    </xf>
    <xf numFmtId="2" fontId="74" fillId="0" borderId="34" applyAlignment="1">
      <alignment horizontal="right" vertical="center"/>
    </xf>
    <xf numFmtId="2" fontId="74" fillId="0" borderId="34" applyAlignment="1">
      <alignment horizontal="right" vertical="center"/>
    </xf>
    <xf numFmtId="2" fontId="74" fillId="0" borderId="34" applyAlignment="1">
      <alignment horizontal="right" vertical="center"/>
    </xf>
    <xf numFmtId="2" fontId="74" fillId="0" borderId="34" applyAlignment="1">
      <alignment horizontal="right" vertical="center"/>
    </xf>
    <xf numFmtId="2" fontId="74" fillId="0" borderId="34" applyAlignment="1">
      <alignment horizontal="right" vertical="center"/>
    </xf>
    <xf numFmtId="2" fontId="74" fillId="0" borderId="34" applyAlignment="1">
      <alignment horizontal="right" vertical="center"/>
    </xf>
    <xf numFmtId="2" fontId="74" fillId="0" borderId="34" applyAlignment="1">
      <alignment horizontal="right" vertical="center"/>
    </xf>
    <xf numFmtId="2" fontId="74" fillId="0" borderId="34" applyAlignment="1">
      <alignment horizontal="right" vertical="center"/>
    </xf>
    <xf numFmtId="2" fontId="74" fillId="0" borderId="34" applyAlignment="1">
      <alignment horizontal="right" vertical="center"/>
    </xf>
    <xf numFmtId="2" fontId="74" fillId="0" borderId="34" applyAlignment="1">
      <alignment horizontal="right" vertical="center"/>
    </xf>
    <xf numFmtId="2" fontId="74" fillId="0" borderId="34" applyAlignment="1">
      <alignment horizontal="right" vertical="center"/>
    </xf>
    <xf numFmtId="2" fontId="74" fillId="0" borderId="34" applyAlignment="1">
      <alignment horizontal="right" vertical="center"/>
    </xf>
    <xf numFmtId="2" fontId="74" fillId="0" borderId="34" applyAlignment="1">
      <alignment horizontal="right" vertical="center"/>
    </xf>
    <xf numFmtId="2" fontId="74" fillId="0" borderId="34" applyAlignment="1">
      <alignment horizontal="right" vertical="center"/>
    </xf>
    <xf numFmtId="2" fontId="74" fillId="0" borderId="34" applyAlignment="1">
      <alignment horizontal="right" vertical="center"/>
    </xf>
    <xf numFmtId="2" fontId="74" fillId="0" borderId="34" applyAlignment="1">
      <alignment horizontal="right" vertical="center"/>
    </xf>
    <xf numFmtId="2" fontId="74" fillId="0" borderId="34" applyAlignment="1">
      <alignment horizontal="right" vertical="center"/>
    </xf>
    <xf numFmtId="2" fontId="74" fillId="0" borderId="34" applyAlignment="1">
      <alignment horizontal="right" vertical="center"/>
    </xf>
    <xf numFmtId="2" fontId="74" fillId="0" borderId="34" applyAlignment="1">
      <alignment horizontal="right" vertical="center"/>
    </xf>
    <xf numFmtId="2" fontId="74" fillId="0" borderId="34" applyAlignment="1">
      <alignment horizontal="right" vertical="center"/>
    </xf>
    <xf numFmtId="2" fontId="74" fillId="0" borderId="34" applyAlignment="1">
      <alignment horizontal="right" vertical="center"/>
    </xf>
    <xf numFmtId="2" fontId="74" fillId="0" borderId="34" applyAlignment="1">
      <alignment horizontal="right" vertical="center"/>
    </xf>
    <xf numFmtId="2" fontId="74" fillId="0" borderId="34" applyAlignment="1">
      <alignment horizontal="right" vertical="center"/>
    </xf>
    <xf numFmtId="2" fontId="74" fillId="0" borderId="34" applyAlignment="1">
      <alignment horizontal="right" vertical="center"/>
    </xf>
    <xf numFmtId="2" fontId="74" fillId="0" borderId="34" applyAlignment="1">
      <alignment horizontal="right" vertical="center"/>
    </xf>
    <xf numFmtId="2" fontId="74" fillId="0" borderId="34" applyAlignment="1">
      <alignment horizontal="right" vertical="center"/>
    </xf>
    <xf numFmtId="2" fontId="74" fillId="0" borderId="34" applyAlignment="1">
      <alignment horizontal="right" vertical="center"/>
    </xf>
    <xf numFmtId="2" fontId="74" fillId="0" borderId="34" applyAlignment="1">
      <alignment horizontal="right" vertical="center"/>
    </xf>
    <xf numFmtId="2" fontId="74" fillId="0" borderId="34" applyAlignment="1">
      <alignment horizontal="right" vertical="center"/>
    </xf>
    <xf numFmtId="2" fontId="74" fillId="0" borderId="34" applyAlignment="1">
      <alignment horizontal="right" vertical="center"/>
    </xf>
    <xf numFmtId="2" fontId="74" fillId="0" borderId="34" applyAlignment="1">
      <alignment horizontal="right" vertical="center"/>
    </xf>
    <xf numFmtId="0" fontId="81" fillId="15" borderId="0" applyAlignment="1">
      <alignment vertical="center"/>
    </xf>
    <xf numFmtId="0" fontId="81" fillId="16" borderId="0" applyAlignment="1">
      <alignment vertical="center"/>
    </xf>
    <xf numFmtId="0" fontId="81" fillId="17" borderId="0" applyAlignment="1">
      <alignment vertical="center"/>
    </xf>
    <xf numFmtId="0" fontId="81" fillId="18" borderId="0" applyAlignment="1">
      <alignment vertical="center"/>
    </xf>
    <xf numFmtId="0" fontId="81" fillId="19" borderId="0" applyAlignment="1">
      <alignment vertical="center"/>
    </xf>
    <xf numFmtId="0" fontId="81" fillId="20" borderId="0" applyAlignment="1">
      <alignment vertical="center"/>
    </xf>
    <xf numFmtId="223" fontId="81" fillId="15" borderId="0" applyAlignment="1">
      <alignment vertical="center"/>
    </xf>
    <xf numFmtId="223" fontId="81" fillId="15" borderId="0" applyAlignment="1">
      <alignment vertical="center"/>
    </xf>
    <xf numFmtId="0" fontId="81" fillId="15" borderId="0" applyAlignment="1">
      <alignment vertical="center"/>
    </xf>
    <xf numFmtId="0" fontId="81" fillId="15" borderId="0" applyAlignment="1">
      <alignment vertical="center"/>
    </xf>
    <xf numFmtId="0" fontId="81" fillId="15" borderId="0" applyAlignment="1">
      <alignment vertical="center"/>
    </xf>
    <xf numFmtId="223" fontId="81" fillId="16" borderId="0" applyAlignment="1">
      <alignment vertical="center"/>
    </xf>
    <xf numFmtId="223" fontId="81" fillId="16" borderId="0" applyAlignment="1">
      <alignment vertical="center"/>
    </xf>
    <xf numFmtId="0" fontId="81" fillId="16" borderId="0" applyAlignment="1">
      <alignment vertical="center"/>
    </xf>
    <xf numFmtId="223" fontId="81" fillId="16" borderId="0" applyAlignment="1">
      <alignment vertical="center"/>
    </xf>
    <xf numFmtId="223" fontId="82" fillId="8" borderId="0" applyAlignment="1">
      <alignment vertical="center"/>
    </xf>
    <xf numFmtId="0" fontId="81" fillId="16" borderId="0" applyAlignment="1">
      <alignment vertical="center"/>
    </xf>
    <xf numFmtId="223" fontId="82" fillId="8" borderId="0" applyAlignment="1">
      <alignment vertical="center"/>
    </xf>
    <xf numFmtId="0" fontId="81" fillId="16" borderId="0" applyAlignment="1">
      <alignment vertical="center"/>
    </xf>
    <xf numFmtId="223" fontId="81" fillId="17" borderId="0" applyAlignment="1">
      <alignment vertical="center"/>
    </xf>
    <xf numFmtId="223" fontId="81" fillId="17" borderId="0" applyAlignment="1">
      <alignment vertical="center"/>
    </xf>
    <xf numFmtId="0" fontId="81" fillId="17" borderId="0" applyAlignment="1">
      <alignment vertical="center"/>
    </xf>
    <xf numFmtId="223" fontId="81" fillId="17" borderId="0" applyAlignment="1">
      <alignment vertical="center"/>
    </xf>
    <xf numFmtId="223" fontId="82" fillId="9" borderId="0" applyAlignment="1">
      <alignment vertical="center"/>
    </xf>
    <xf numFmtId="0" fontId="81" fillId="17" borderId="0" applyAlignment="1">
      <alignment vertical="center"/>
    </xf>
    <xf numFmtId="223" fontId="82" fillId="9" borderId="0" applyAlignment="1">
      <alignment vertical="center"/>
    </xf>
    <xf numFmtId="0" fontId="81" fillId="17" borderId="0" applyAlignment="1">
      <alignment vertical="center"/>
    </xf>
    <xf numFmtId="223" fontId="81" fillId="18" borderId="0" applyAlignment="1">
      <alignment vertical="center"/>
    </xf>
    <xf numFmtId="223" fontId="81" fillId="18" borderId="0" applyAlignment="1">
      <alignment vertical="center"/>
    </xf>
    <xf numFmtId="0" fontId="81" fillId="18" borderId="0" applyAlignment="1">
      <alignment vertical="center"/>
    </xf>
    <xf numFmtId="223" fontId="81" fillId="18" borderId="0" applyAlignment="1">
      <alignment vertical="center"/>
    </xf>
    <xf numFmtId="223" fontId="82" fillId="10" borderId="0" applyAlignment="1">
      <alignment vertical="center"/>
    </xf>
    <xf numFmtId="0" fontId="81" fillId="18" borderId="0" applyAlignment="1">
      <alignment vertical="center"/>
    </xf>
    <xf numFmtId="223" fontId="82" fillId="10" borderId="0" applyAlignment="1">
      <alignment vertical="center"/>
    </xf>
    <xf numFmtId="0" fontId="81" fillId="18" borderId="0" applyAlignment="1">
      <alignment vertical="center"/>
    </xf>
    <xf numFmtId="223" fontId="81" fillId="19" borderId="0" applyAlignment="1">
      <alignment vertical="center"/>
    </xf>
    <xf numFmtId="223" fontId="81" fillId="19" borderId="0" applyAlignment="1">
      <alignment vertical="center"/>
    </xf>
    <xf numFmtId="0" fontId="81" fillId="19" borderId="0" applyAlignment="1">
      <alignment vertical="center"/>
    </xf>
    <xf numFmtId="0" fontId="81" fillId="19" borderId="0" applyAlignment="1">
      <alignment vertical="center"/>
    </xf>
    <xf numFmtId="0" fontId="81" fillId="19" borderId="0" applyAlignment="1">
      <alignment vertical="center"/>
    </xf>
    <xf numFmtId="223" fontId="81" fillId="20" borderId="0" applyAlignment="1">
      <alignment vertical="center"/>
    </xf>
    <xf numFmtId="223" fontId="81" fillId="20" borderId="0" applyAlignment="1">
      <alignment vertical="center"/>
    </xf>
    <xf numFmtId="0" fontId="81" fillId="20" borderId="0" applyAlignment="1">
      <alignment vertical="center"/>
    </xf>
    <xf numFmtId="223" fontId="81" fillId="20" borderId="0" applyAlignment="1">
      <alignment vertical="center"/>
    </xf>
    <xf numFmtId="223" fontId="82" fillId="11" borderId="0" applyAlignment="1">
      <alignment vertical="center"/>
    </xf>
    <xf numFmtId="0" fontId="81" fillId="20" borderId="0" applyAlignment="1">
      <alignment vertical="center"/>
    </xf>
    <xf numFmtId="223" fontId="82" fillId="11" borderId="0" applyAlignment="1">
      <alignment vertical="center"/>
    </xf>
    <xf numFmtId="0" fontId="81" fillId="20" borderId="0" applyAlignment="1">
      <alignment vertical="center"/>
    </xf>
    <xf numFmtId="220" fontId="19" fillId="0" borderId="0" applyAlignment="1">
      <alignment vertical="center"/>
    </xf>
    <xf numFmtId="176" fontId="83" fillId="0" borderId="0"/>
    <xf numFmtId="207" fontId="2" fillId="0" borderId="0" applyProtection="1">
      <protection locked="0" hidden="0"/>
    </xf>
    <xf numFmtId="0" fontId="26" fillId="0" borderId="0" applyProtection="1">
      <protection locked="0" hidden="0"/>
    </xf>
    <xf numFmtId="224" fontId="84" fillId="0" borderId="35" applyAlignment="1">
      <alignment vertical="center"/>
    </xf>
    <xf numFmtId="0" fontId="54" fillId="0" borderId="35" applyAlignment="1">
      <alignment vertical="center"/>
    </xf>
    <xf numFmtId="224" fontId="84" fillId="0" borderId="35" applyAlignment="1">
      <alignment vertical="center"/>
    </xf>
    <xf numFmtId="0" fontId="26" fillId="0" borderId="0" applyProtection="1">
      <protection locked="0" hidden="0"/>
    </xf>
    <xf numFmtId="0" fontId="81" fillId="21" borderId="0" applyAlignment="1">
      <alignment vertical="center"/>
    </xf>
    <xf numFmtId="0" fontId="81" fillId="22" borderId="0" applyAlignment="1">
      <alignment vertical="center"/>
    </xf>
    <xf numFmtId="0" fontId="81" fillId="23" borderId="0" applyAlignment="1">
      <alignment vertical="center"/>
    </xf>
    <xf numFmtId="0" fontId="81" fillId="18" borderId="0" applyAlignment="1">
      <alignment vertical="center"/>
    </xf>
    <xf numFmtId="0" fontId="81" fillId="21" borderId="0" applyAlignment="1">
      <alignment vertical="center"/>
    </xf>
    <xf numFmtId="0" fontId="81" fillId="24" borderId="0" applyAlignment="1">
      <alignment vertical="center"/>
    </xf>
    <xf numFmtId="223" fontId="81" fillId="21" borderId="0" applyAlignment="1">
      <alignment vertical="center"/>
    </xf>
    <xf numFmtId="223" fontId="81" fillId="21" borderId="0" applyAlignment="1">
      <alignment vertical="center"/>
    </xf>
    <xf numFmtId="0" fontId="81" fillId="21" borderId="0" applyAlignment="1">
      <alignment vertical="center"/>
    </xf>
    <xf numFmtId="0" fontId="81" fillId="21" borderId="0" applyAlignment="1">
      <alignment vertical="center"/>
    </xf>
    <xf numFmtId="0" fontId="81" fillId="21" borderId="0" applyAlignment="1">
      <alignment vertical="center"/>
    </xf>
    <xf numFmtId="223" fontId="81" fillId="22" borderId="0" applyAlignment="1">
      <alignment vertical="center"/>
    </xf>
    <xf numFmtId="223" fontId="81" fillId="22" borderId="0" applyAlignment="1">
      <alignment vertical="center"/>
    </xf>
    <xf numFmtId="0" fontId="81" fillId="22" borderId="0" applyAlignment="1">
      <alignment vertical="center"/>
    </xf>
    <xf numFmtId="0" fontId="81" fillId="22" borderId="0" applyAlignment="1">
      <alignment vertical="center"/>
    </xf>
    <xf numFmtId="0" fontId="81" fillId="22" borderId="0" applyAlignment="1">
      <alignment vertical="center"/>
    </xf>
    <xf numFmtId="223" fontId="81" fillId="23" borderId="0" applyAlignment="1">
      <alignment vertical="center"/>
    </xf>
    <xf numFmtId="223" fontId="81" fillId="23" borderId="0" applyAlignment="1">
      <alignment vertical="center"/>
    </xf>
    <xf numFmtId="0" fontId="81" fillId="23" borderId="0" applyAlignment="1">
      <alignment vertical="center"/>
    </xf>
    <xf numFmtId="0" fontId="81" fillId="23" borderId="0" applyAlignment="1">
      <alignment vertical="center"/>
    </xf>
    <xf numFmtId="0" fontId="81" fillId="23" borderId="0" applyAlignment="1">
      <alignment vertical="center"/>
    </xf>
    <xf numFmtId="223" fontId="81" fillId="18" borderId="0" applyAlignment="1">
      <alignment vertical="center"/>
    </xf>
    <xf numFmtId="223" fontId="81" fillId="18" borderId="0" applyAlignment="1">
      <alignment vertical="center"/>
    </xf>
    <xf numFmtId="0" fontId="81" fillId="18" borderId="0" applyAlignment="1">
      <alignment vertical="center"/>
    </xf>
    <xf numFmtId="0" fontId="81" fillId="18" borderId="0" applyAlignment="1">
      <alignment vertical="center"/>
    </xf>
    <xf numFmtId="0" fontId="81" fillId="18" borderId="0" applyAlignment="1">
      <alignment vertical="center"/>
    </xf>
    <xf numFmtId="223" fontId="81" fillId="21" borderId="0" applyAlignment="1">
      <alignment vertical="center"/>
    </xf>
    <xf numFmtId="223" fontId="81" fillId="21" borderId="0" applyAlignment="1">
      <alignment vertical="center"/>
    </xf>
    <xf numFmtId="0" fontId="81" fillId="21" borderId="0" applyAlignment="1">
      <alignment vertical="center"/>
    </xf>
    <xf numFmtId="0" fontId="81" fillId="21" borderId="0" applyAlignment="1">
      <alignment vertical="center"/>
    </xf>
    <xf numFmtId="0" fontId="81" fillId="21" borderId="0" applyAlignment="1">
      <alignment vertical="center"/>
    </xf>
    <xf numFmtId="223" fontId="81" fillId="24" borderId="0" applyAlignment="1">
      <alignment vertical="center"/>
    </xf>
    <xf numFmtId="223" fontId="81" fillId="24" borderId="0" applyAlignment="1">
      <alignment vertical="center"/>
    </xf>
    <xf numFmtId="0" fontId="81" fillId="24" borderId="0" applyAlignment="1">
      <alignment vertical="center"/>
    </xf>
    <xf numFmtId="0" fontId="81" fillId="24" borderId="0" applyAlignment="1">
      <alignment vertical="center"/>
    </xf>
    <xf numFmtId="0" fontId="81" fillId="24" borderId="0" applyAlignment="1">
      <alignment vertical="center"/>
    </xf>
    <xf numFmtId="40" fontId="18" fillId="0" borderId="0"/>
    <xf numFmtId="0" fontId="85" fillId="25" borderId="0" applyAlignment="1">
      <alignment vertical="center"/>
    </xf>
    <xf numFmtId="0" fontId="85" fillId="22" borderId="0" applyAlignment="1">
      <alignment vertical="center"/>
    </xf>
    <xf numFmtId="0" fontId="85" fillId="23" borderId="0" applyAlignment="1">
      <alignment vertical="center"/>
    </xf>
    <xf numFmtId="0" fontId="85" fillId="26" borderId="0" applyAlignment="1">
      <alignment vertical="center"/>
    </xf>
    <xf numFmtId="0" fontId="85" fillId="27" borderId="0" applyAlignment="1">
      <alignment vertical="center"/>
    </xf>
    <xf numFmtId="0" fontId="85" fillId="28" borderId="0" applyAlignment="1">
      <alignment vertical="center"/>
    </xf>
    <xf numFmtId="223" fontId="85" fillId="25" borderId="0" applyAlignment="1">
      <alignment vertical="center"/>
    </xf>
    <xf numFmtId="0" fontId="85" fillId="25" borderId="0" applyAlignment="1">
      <alignment vertical="center"/>
    </xf>
    <xf numFmtId="0" fontId="85" fillId="25" borderId="0" applyAlignment="1">
      <alignment vertical="center"/>
    </xf>
    <xf numFmtId="0" fontId="85" fillId="25" borderId="0" applyAlignment="1">
      <alignment vertical="center"/>
    </xf>
    <xf numFmtId="223" fontId="85" fillId="22" borderId="0" applyAlignment="1">
      <alignment vertical="center"/>
    </xf>
    <xf numFmtId="0" fontId="85" fillId="22" borderId="0" applyAlignment="1">
      <alignment vertical="center"/>
    </xf>
    <xf numFmtId="0" fontId="85" fillId="22" borderId="0" applyAlignment="1">
      <alignment vertical="center"/>
    </xf>
    <xf numFmtId="0" fontId="85" fillId="22" borderId="0" applyAlignment="1">
      <alignment vertical="center"/>
    </xf>
    <xf numFmtId="223" fontId="85" fillId="23" borderId="0" applyAlignment="1">
      <alignment vertical="center"/>
    </xf>
    <xf numFmtId="0" fontId="85" fillId="23" borderId="0" applyAlignment="1">
      <alignment vertical="center"/>
    </xf>
    <xf numFmtId="0" fontId="85" fillId="23" borderId="0" applyAlignment="1">
      <alignment vertical="center"/>
    </xf>
    <xf numFmtId="0" fontId="85" fillId="23" borderId="0" applyAlignment="1">
      <alignment vertical="center"/>
    </xf>
    <xf numFmtId="223" fontId="85" fillId="26" borderId="0" applyAlignment="1">
      <alignment vertical="center"/>
    </xf>
    <xf numFmtId="0" fontId="85" fillId="26" borderId="0" applyAlignment="1">
      <alignment vertical="center"/>
    </xf>
    <xf numFmtId="0" fontId="85" fillId="26" borderId="0" applyAlignment="1">
      <alignment vertical="center"/>
    </xf>
    <xf numFmtId="0" fontId="85" fillId="26" borderId="0" applyAlignment="1">
      <alignment vertical="center"/>
    </xf>
    <xf numFmtId="223" fontId="85" fillId="27" borderId="0" applyAlignment="1">
      <alignment vertical="center"/>
    </xf>
    <xf numFmtId="0" fontId="85" fillId="27" borderId="0" applyAlignment="1">
      <alignment vertical="center"/>
    </xf>
    <xf numFmtId="0" fontId="85" fillId="27" borderId="0" applyAlignment="1">
      <alignment vertical="center"/>
    </xf>
    <xf numFmtId="0" fontId="85" fillId="27" borderId="0" applyAlignment="1">
      <alignment vertical="center"/>
    </xf>
    <xf numFmtId="223" fontId="85" fillId="28" borderId="0" applyAlignment="1">
      <alignment vertical="center"/>
    </xf>
    <xf numFmtId="0" fontId="85" fillId="28" borderId="0" applyAlignment="1">
      <alignment vertical="center"/>
    </xf>
    <xf numFmtId="0" fontId="85" fillId="28" borderId="0" applyAlignment="1">
      <alignment vertical="center"/>
    </xf>
    <xf numFmtId="0" fontId="85" fillId="28" borderId="0" applyAlignment="1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7" fillId="0" borderId="0"/>
    <xf numFmtId="0" fontId="86" fillId="0" borderId="52" applyAlignment="1">
      <alignment horizontal="center" vertical="center"/>
    </xf>
    <xf numFmtId="176" fontId="30" fillId="0" borderId="0"/>
    <xf numFmtId="225" fontId="57" fillId="0" borderId="37" applyAlignment="1">
      <alignment vertical="center"/>
    </xf>
    <xf numFmtId="226" fontId="21" fillId="0" borderId="0"/>
    <xf numFmtId="0" fontId="27" fillId="0" borderId="0"/>
    <xf numFmtId="0" fontId="21" fillId="0" borderId="0"/>
    <xf numFmtId="0" fontId="20" fillId="0" borderId="0"/>
    <xf numFmtId="0" fontId="87" fillId="0" borderId="0"/>
    <xf numFmtId="0" fontId="88" fillId="0" borderId="0"/>
    <xf numFmtId="0" fontId="88" fillId="0" borderId="0"/>
    <xf numFmtId="0" fontId="89" fillId="0" borderId="0"/>
    <xf numFmtId="0" fontId="89" fillId="0" borderId="0"/>
    <xf numFmtId="0" fontId="90" fillId="0" borderId="0"/>
    <xf numFmtId="0" fontId="91" fillId="0" borderId="0"/>
    <xf numFmtId="0" fontId="90" fillId="0" borderId="0"/>
    <xf numFmtId="0" fontId="91" fillId="0" borderId="0"/>
    <xf numFmtId="0" fontId="19" fillId="0" borderId="0" applyAlignment="1">
      <alignment vertical="center"/>
    </xf>
    <xf numFmtId="213" fontId="49" fillId="0" borderId="53" applyAlignment="1">
      <alignment horizontal="center" vertical="center"/>
    </xf>
    <xf numFmtId="3" fontId="57" fillId="0" borderId="0"/>
    <xf numFmtId="221" fontId="20" fillId="0" borderId="0" applyProtection="1">
      <protection locked="0" hidden="0"/>
    </xf>
    <xf numFmtId="0" fontId="85" fillId="29" borderId="0" applyAlignment="1">
      <alignment vertical="center"/>
    </xf>
    <xf numFmtId="0" fontId="85" fillId="30" borderId="0" applyAlignment="1">
      <alignment vertical="center"/>
    </xf>
    <xf numFmtId="0" fontId="85" fillId="31" borderId="0" applyAlignment="1">
      <alignment vertical="center"/>
    </xf>
    <xf numFmtId="0" fontId="85" fillId="26" borderId="0" applyAlignment="1">
      <alignment vertical="center"/>
    </xf>
    <xf numFmtId="0" fontId="85" fillId="27" borderId="0" applyAlignment="1">
      <alignment vertical="center"/>
    </xf>
    <xf numFmtId="0" fontId="85" fillId="32" borderId="0" applyAlignment="1">
      <alignment vertical="center"/>
    </xf>
    <xf numFmtId="227" fontId="28" fillId="33" borderId="54" applyAlignment="1">
      <alignment horizontal="center" vertical="center"/>
    </xf>
    <xf numFmtId="221" fontId="20" fillId="0" borderId="0" applyProtection="1">
      <protection locked="0" hidden="0"/>
    </xf>
    <xf numFmtId="222" fontId="2" fillId="0" borderId="0" applyProtection="1">
      <protection locked="0" hidden="0"/>
    </xf>
    <xf numFmtId="177" fontId="77" fillId="0" borderId="0" applyProtection="1">
      <protection locked="0" hidden="0"/>
    </xf>
    <xf numFmtId="177" fontId="77" fillId="0" borderId="0" applyProtection="1">
      <protection locked="0" hidden="0"/>
    </xf>
    <xf numFmtId="212" fontId="78" fillId="0" borderId="0" applyProtection="1">
      <protection locked="0" hidden="0"/>
    </xf>
    <xf numFmtId="177" fontId="77" fillId="0" borderId="0" applyProtection="1">
      <protection locked="0" hidden="0"/>
    </xf>
    <xf numFmtId="177" fontId="77" fillId="0" borderId="0" applyProtection="1">
      <protection locked="0" hidden="0"/>
    </xf>
    <xf numFmtId="0" fontId="26" fillId="0" borderId="0" applyProtection="1">
      <protection locked="0" hidden="0"/>
    </xf>
    <xf numFmtId="177" fontId="77" fillId="0" borderId="0" applyProtection="1">
      <protection locked="0" hidden="0"/>
    </xf>
    <xf numFmtId="222" fontId="2" fillId="0" borderId="0" applyProtection="1">
      <protection locked="0" hidden="0"/>
    </xf>
    <xf numFmtId="212" fontId="78" fillId="0" borderId="0" applyProtection="1">
      <protection locked="0" hidden="0"/>
    </xf>
    <xf numFmtId="177" fontId="77" fillId="0" borderId="0" applyProtection="1">
      <protection locked="0" hidden="0"/>
    </xf>
    <xf numFmtId="212" fontId="78" fillId="0" borderId="0" applyProtection="1">
      <protection locked="0" hidden="0"/>
    </xf>
    <xf numFmtId="177" fontId="77" fillId="0" borderId="0" applyProtection="1">
      <protection locked="0" hidden="0"/>
    </xf>
    <xf numFmtId="177" fontId="77" fillId="0" borderId="0" applyProtection="1">
      <protection locked="0" hidden="0"/>
    </xf>
    <xf numFmtId="228" fontId="92" fillId="0" borderId="0"/>
    <xf numFmtId="0" fontId="93" fillId="0" borderId="0"/>
    <xf numFmtId="0" fontId="23" fillId="0" borderId="0"/>
    <xf numFmtId="0" fontId="93" fillId="0" borderId="0"/>
    <xf numFmtId="0" fontId="93" fillId="0" borderId="0"/>
    <xf numFmtId="0" fontId="92" fillId="0" borderId="0"/>
    <xf numFmtId="229" fontId="21" fillId="0" borderId="0"/>
    <xf numFmtId="0" fontId="94" fillId="0" borderId="0"/>
    <xf numFmtId="0" fontId="93" fillId="0" borderId="0"/>
    <xf numFmtId="228" fontId="94" fillId="0" borderId="0"/>
    <xf numFmtId="0" fontId="93" fillId="0" borderId="0"/>
    <xf numFmtId="0" fontId="92" fillId="0" borderId="0"/>
    <xf numFmtId="0" fontId="93" fillId="0" borderId="0"/>
    <xf numFmtId="0" fontId="92" fillId="0" borderId="0"/>
    <xf numFmtId="212" fontId="78" fillId="0" borderId="0" applyProtection="1">
      <protection locked="0" hidden="0"/>
    </xf>
    <xf numFmtId="37" fontId="94" fillId="0" borderId="0"/>
    <xf numFmtId="42" fontId="95" fillId="0" borderId="0"/>
    <xf numFmtId="0" fontId="2" fillId="0" borderId="0" applyProtection="1">
      <protection locked="0" hidden="0"/>
    </xf>
    <xf numFmtId="0" fontId="92" fillId="0" borderId="0"/>
    <xf numFmtId="0" fontId="93" fillId="0" borderId="0"/>
    <xf numFmtId="230" fontId="18" fillId="0" borderId="0"/>
    <xf numFmtId="0" fontId="93" fillId="0" borderId="0"/>
    <xf numFmtId="0" fontId="93" fillId="0" borderId="0"/>
    <xf numFmtId="0" fontId="92" fillId="0" borderId="0"/>
    <xf numFmtId="231" fontId="21" fillId="0" borderId="0"/>
    <xf numFmtId="0" fontId="94" fillId="0" borderId="0"/>
    <xf numFmtId="0" fontId="93" fillId="0" borderId="0"/>
    <xf numFmtId="199" fontId="94" fillId="0" borderId="0"/>
    <xf numFmtId="0" fontId="93" fillId="0" borderId="0"/>
    <xf numFmtId="0" fontId="92" fillId="0" borderId="0"/>
    <xf numFmtId="0" fontId="93" fillId="0" borderId="0"/>
    <xf numFmtId="0" fontId="92" fillId="0" borderId="0"/>
    <xf numFmtId="212" fontId="78" fillId="0" borderId="0" applyProtection="1">
      <protection locked="0" hidden="0"/>
    </xf>
    <xf numFmtId="37" fontId="94" fillId="0" borderId="0"/>
    <xf numFmtId="44" fontId="95" fillId="0" borderId="0"/>
    <xf numFmtId="221" fontId="20" fillId="0" borderId="0" applyProtection="1">
      <protection locked="0" hidden="0"/>
    </xf>
    <xf numFmtId="0" fontId="89" fillId="0" borderId="0"/>
    <xf numFmtId="0" fontId="89" fillId="0" borderId="0"/>
    <xf numFmtId="0" fontId="91" fillId="0" borderId="0"/>
    <xf numFmtId="0" fontId="91" fillId="0" borderId="0"/>
    <xf numFmtId="212" fontId="26" fillId="0" borderId="0" applyProtection="1">
      <protection locked="0" hidden="0"/>
    </xf>
    <xf numFmtId="0" fontId="90" fillId="0" borderId="0"/>
    <xf numFmtId="0" fontId="90" fillId="0" borderId="0"/>
    <xf numFmtId="0" fontId="87" fillId="0" borderId="0"/>
    <xf numFmtId="0" fontId="87" fillId="0" borderId="0"/>
    <xf numFmtId="0" fontId="88" fillId="0" borderId="0"/>
    <xf numFmtId="0" fontId="88" fillId="0" borderId="0"/>
    <xf numFmtId="0" fontId="69" fillId="0" borderId="0" applyProtection="1">
      <protection locked="0" hidden="0"/>
    </xf>
    <xf numFmtId="232" fontId="26" fillId="0" borderId="0" applyProtection="1">
      <protection locked="0" hidden="0"/>
    </xf>
    <xf numFmtId="232" fontId="26" fillId="0" borderId="0" applyProtection="1">
      <protection locked="0" hidden="0"/>
    </xf>
    <xf numFmtId="0" fontId="94" fillId="0" borderId="0"/>
    <xf numFmtId="0" fontId="96" fillId="0" borderId="0" applyAlignment="1" applyProtection="1">
      <alignment horizontal="center" wrapText="1"/>
      <protection locked="0" hidden="0"/>
    </xf>
    <xf numFmtId="177" fontId="77" fillId="0" borderId="0" applyProtection="1">
      <protection locked="0" hidden="0"/>
    </xf>
    <xf numFmtId="222" fontId="2" fillId="0" borderId="0" applyProtection="1">
      <protection locked="0" hidden="0"/>
    </xf>
    <xf numFmtId="212" fontId="78" fillId="0" borderId="0" applyProtection="1">
      <protection locked="0" hidden="0"/>
    </xf>
    <xf numFmtId="177" fontId="77" fillId="0" borderId="0" applyProtection="1">
      <protection locked="0" hidden="0"/>
    </xf>
    <xf numFmtId="212" fontId="78" fillId="0" borderId="0" applyProtection="1">
      <protection locked="0" hidden="0"/>
    </xf>
    <xf numFmtId="177" fontId="77" fillId="0" borderId="0" applyProtection="1">
      <protection locked="0" hidden="0"/>
    </xf>
    <xf numFmtId="177" fontId="77" fillId="0" borderId="0" applyProtection="1">
      <protection locked="0" hidden="0"/>
    </xf>
    <xf numFmtId="221" fontId="20" fillId="0" borderId="0" applyProtection="1">
      <protection locked="0" hidden="0"/>
    </xf>
    <xf numFmtId="177" fontId="77" fillId="0" borderId="0" applyProtection="1">
      <protection locked="0" hidden="0"/>
    </xf>
    <xf numFmtId="222" fontId="2" fillId="0" borderId="0" applyProtection="1">
      <protection locked="0" hidden="0"/>
    </xf>
    <xf numFmtId="212" fontId="78" fillId="0" borderId="0" applyProtection="1">
      <protection locked="0" hidden="0"/>
    </xf>
    <xf numFmtId="177" fontId="77" fillId="0" borderId="0" applyProtection="1">
      <protection locked="0" hidden="0"/>
    </xf>
    <xf numFmtId="212" fontId="78" fillId="0" borderId="0" applyProtection="1">
      <protection locked="0" hidden="0"/>
    </xf>
    <xf numFmtId="177" fontId="77" fillId="0" borderId="0" applyProtection="1">
      <protection locked="0" hidden="0"/>
    </xf>
    <xf numFmtId="177" fontId="77" fillId="0" borderId="0" applyProtection="1">
      <protection locked="0" hidden="0"/>
    </xf>
    <xf numFmtId="0" fontId="97" fillId="0" borderId="0"/>
    <xf numFmtId="0" fontId="93" fillId="0" borderId="0"/>
    <xf numFmtId="0" fontId="23" fillId="0" borderId="0"/>
    <xf numFmtId="0" fontId="93" fillId="0" borderId="0"/>
    <xf numFmtId="0" fontId="93" fillId="0" borderId="0"/>
    <xf numFmtId="0" fontId="92" fillId="0" borderId="0"/>
    <xf numFmtId="233" fontId="21" fillId="0" borderId="0"/>
    <xf numFmtId="0" fontId="94" fillId="0" borderId="0"/>
    <xf numFmtId="0" fontId="93" fillId="0" borderId="0"/>
    <xf numFmtId="213" fontId="94" fillId="0" borderId="0"/>
    <xf numFmtId="0" fontId="93" fillId="0" borderId="0"/>
    <xf numFmtId="0" fontId="92" fillId="0" borderId="0"/>
    <xf numFmtId="0" fontId="93" fillId="0" borderId="0"/>
    <xf numFmtId="0" fontId="92" fillId="0" borderId="0"/>
    <xf numFmtId="212" fontId="78" fillId="0" borderId="0" applyProtection="1">
      <protection locked="0" hidden="0"/>
    </xf>
    <xf numFmtId="37" fontId="94" fillId="0" borderId="0"/>
    <xf numFmtId="234" fontId="79" fillId="5" borderId="0" applyAlignment="1">
      <alignment horizontal="right"/>
    </xf>
    <xf numFmtId="0" fontId="92" fillId="0" borderId="0"/>
    <xf numFmtId="0" fontId="93" fillId="0" borderId="0"/>
    <xf numFmtId="0" fontId="92" fillId="0" borderId="0"/>
    <xf numFmtId="0" fontId="93" fillId="0" borderId="0"/>
    <xf numFmtId="0" fontId="93" fillId="0" borderId="0"/>
    <xf numFmtId="0" fontId="92" fillId="0" borderId="0"/>
    <xf numFmtId="235" fontId="21" fillId="0" borderId="0"/>
    <xf numFmtId="0" fontId="94" fillId="0" borderId="0"/>
    <xf numFmtId="0" fontId="93" fillId="0" borderId="0"/>
    <xf numFmtId="176" fontId="94" fillId="0" borderId="0"/>
    <xf numFmtId="0" fontId="93" fillId="0" borderId="0"/>
    <xf numFmtId="0" fontId="92" fillId="0" borderId="0"/>
    <xf numFmtId="0" fontId="95" fillId="0" borderId="0"/>
    <xf numFmtId="0" fontId="92" fillId="0" borderId="0"/>
    <xf numFmtId="212" fontId="78" fillId="0" borderId="0" applyProtection="1">
      <protection locked="0" hidden="0"/>
    </xf>
    <xf numFmtId="37" fontId="94" fillId="0" borderId="0"/>
    <xf numFmtId="4" fontId="26" fillId="0" borderId="0" applyProtection="1">
      <protection locked="0" hidden="0"/>
    </xf>
    <xf numFmtId="236" fontId="26" fillId="0" borderId="0" applyProtection="1">
      <protection locked="0" hidden="0"/>
    </xf>
    <xf numFmtId="0" fontId="69" fillId="0" borderId="0" applyProtection="1">
      <protection locked="0" hidden="0"/>
    </xf>
    <xf numFmtId="207" fontId="2" fillId="0" borderId="0" applyProtection="1">
      <protection locked="0" hidden="0"/>
    </xf>
    <xf numFmtId="4" fontId="26" fillId="0" borderId="0" applyProtection="1">
      <protection locked="0" hidden="0"/>
    </xf>
    <xf numFmtId="236" fontId="26" fillId="0" borderId="0" applyProtection="1">
      <protection locked="0" hidden="0"/>
    </xf>
    <xf numFmtId="0" fontId="2" fillId="0" borderId="0"/>
    <xf numFmtId="0" fontId="2" fillId="0" borderId="0"/>
    <xf numFmtId="0" fontId="56" fillId="0" borderId="0"/>
    <xf numFmtId="0" fontId="21" fillId="0" borderId="0"/>
    <xf numFmtId="0" fontId="21" fillId="0" borderId="0"/>
    <xf numFmtId="0" fontId="98" fillId="0" borderId="0"/>
    <xf numFmtId="0" fontId="21" fillId="5" borderId="0"/>
    <xf numFmtId="0" fontId="99" fillId="16" borderId="0" applyAlignment="1">
      <alignment vertical="center"/>
    </xf>
    <xf numFmtId="0" fontId="83" fillId="0" borderId="0"/>
    <xf numFmtId="49" fontId="100" fillId="2" borderId="0" applyAlignment="1">
      <alignment horizontal="right"/>
    </xf>
    <xf numFmtId="237" fontId="101" fillId="0" borderId="10"/>
    <xf numFmtId="176" fontId="21" fillId="0" borderId="0"/>
    <xf numFmtId="0" fontId="56" fillId="0" borderId="0"/>
    <xf numFmtId="221" fontId="20" fillId="0" borderId="0" applyProtection="1">
      <protection locked="0" hidden="0"/>
    </xf>
    <xf numFmtId="0" fontId="21" fillId="0" borderId="49" applyAlignment="1" applyProtection="1">
      <alignment horizontal="justify" vertical="justify" textRotation="127" wrapText="1" justifyLastLine="1"/>
      <protection locked="1" hidden="1"/>
    </xf>
    <xf numFmtId="0" fontId="102" fillId="34" borderId="5" applyAlignment="1">
      <alignment horizontal="center" vertical="center"/>
    </xf>
    <xf numFmtId="0" fontId="102" fillId="34" borderId="5" applyAlignment="1">
      <alignment horizontal="center" vertical="center"/>
    </xf>
    <xf numFmtId="0" fontId="102" fillId="34" borderId="5" applyAlignment="1">
      <alignment horizontal="center" vertical="center"/>
    </xf>
    <xf numFmtId="0" fontId="56" fillId="0" borderId="0"/>
    <xf numFmtId="0" fontId="90" fillId="0" borderId="0"/>
    <xf numFmtId="0" fontId="56" fillId="0" borderId="0"/>
    <xf numFmtId="0" fontId="87" fillId="0" borderId="0" applyAlignment="1">
      <alignment vertical="center"/>
    </xf>
    <xf numFmtId="0" fontId="88" fillId="0" borderId="0" applyAlignment="1">
      <alignment vertical="center"/>
    </xf>
    <xf numFmtId="177" fontId="77" fillId="0" borderId="0" applyProtection="1">
      <protection locked="0" hidden="0"/>
    </xf>
    <xf numFmtId="222" fontId="2" fillId="0" borderId="0" applyProtection="1">
      <protection locked="0" hidden="0"/>
    </xf>
    <xf numFmtId="212" fontId="78" fillId="0" borderId="0" applyProtection="1">
      <protection locked="0" hidden="0"/>
    </xf>
    <xf numFmtId="177" fontId="77" fillId="0" borderId="0" applyProtection="1">
      <protection locked="0" hidden="0"/>
    </xf>
    <xf numFmtId="212" fontId="78" fillId="0" borderId="0" applyProtection="1">
      <protection locked="0" hidden="0"/>
    </xf>
    <xf numFmtId="177" fontId="77" fillId="0" borderId="0" applyProtection="1">
      <protection locked="0" hidden="0"/>
    </xf>
    <xf numFmtId="177" fontId="77" fillId="0" borderId="0" applyProtection="1">
      <protection locked="0" hidden="0"/>
    </xf>
    <xf numFmtId="0" fontId="103" fillId="0" borderId="0"/>
    <xf numFmtId="0" fontId="93" fillId="0" borderId="0"/>
    <xf numFmtId="0" fontId="93" fillId="0" borderId="0"/>
    <xf numFmtId="0" fontId="23" fillId="0" borderId="0"/>
    <xf numFmtId="37" fontId="93" fillId="0" borderId="0"/>
    <xf numFmtId="0" fontId="56" fillId="0" borderId="0"/>
    <xf numFmtId="0" fontId="104" fillId="0" borderId="0"/>
    <xf numFmtId="49" fontId="92" fillId="0" borderId="0"/>
    <xf numFmtId="0" fontId="105" fillId="0" borderId="0"/>
    <xf numFmtId="0" fontId="106" fillId="0" borderId="0"/>
    <xf numFmtId="0" fontId="27" fillId="0" borderId="0"/>
    <xf numFmtId="37" fontId="94" fillId="0" borderId="0"/>
    <xf numFmtId="37" fontId="93" fillId="0" borderId="0"/>
    <xf numFmtId="0" fontId="92" fillId="0" borderId="0"/>
    <xf numFmtId="0" fontId="93" fillId="0" borderId="0"/>
    <xf numFmtId="0" fontId="92" fillId="0" borderId="0"/>
    <xf numFmtId="0" fontId="93" fillId="0" borderId="0"/>
    <xf numFmtId="0" fontId="92" fillId="0" borderId="0"/>
    <xf numFmtId="0" fontId="93" fillId="0" borderId="0"/>
    <xf numFmtId="0" fontId="92" fillId="0" borderId="0"/>
    <xf numFmtId="0" fontId="93" fillId="0" borderId="0"/>
    <xf numFmtId="0" fontId="27" fillId="0" borderId="0"/>
    <xf numFmtId="0" fontId="27" fillId="0" borderId="0"/>
    <xf numFmtId="0" fontId="92" fillId="0" borderId="0"/>
    <xf numFmtId="0" fontId="93" fillId="0" borderId="0"/>
    <xf numFmtId="0" fontId="107" fillId="0" borderId="0"/>
    <xf numFmtId="0" fontId="95" fillId="0" borderId="0"/>
    <xf numFmtId="0" fontId="108" fillId="0" borderId="0"/>
    <xf numFmtId="0" fontId="105" fillId="0" borderId="0"/>
    <xf numFmtId="0" fontId="108" fillId="0" borderId="0"/>
    <xf numFmtId="0" fontId="105" fillId="0" borderId="0"/>
    <xf numFmtId="0" fontId="92" fillId="0" borderId="0"/>
    <xf numFmtId="238" fontId="67" fillId="0" borderId="0"/>
    <xf numFmtId="238" fontId="67" fillId="0" borderId="0"/>
    <xf numFmtId="238" fontId="67" fillId="0" borderId="0"/>
    <xf numFmtId="0" fontId="2" fillId="0" borderId="0"/>
    <xf numFmtId="0" fontId="2" fillId="0" borderId="0"/>
    <xf numFmtId="239" fontId="70" fillId="0" borderId="0"/>
    <xf numFmtId="0" fontId="57" fillId="0" borderId="0"/>
    <xf numFmtId="240" fontId="2" fillId="0" borderId="0"/>
    <xf numFmtId="241" fontId="2" fillId="0" borderId="0"/>
    <xf numFmtId="202" fontId="2" fillId="0" borderId="0"/>
    <xf numFmtId="242" fontId="2" fillId="0" borderId="0"/>
    <xf numFmtId="243" fontId="2" fillId="0" borderId="0"/>
    <xf numFmtId="244" fontId="2" fillId="0" borderId="0"/>
    <xf numFmtId="240" fontId="2" fillId="0" borderId="0"/>
    <xf numFmtId="245" fontId="2" fillId="0" borderId="0"/>
    <xf numFmtId="0" fontId="109" fillId="35" borderId="55" applyAlignment="1">
      <alignment vertical="center"/>
    </xf>
    <xf numFmtId="0" fontId="109" fillId="35" borderId="55" applyAlignment="1">
      <alignment vertical="center"/>
    </xf>
    <xf numFmtId="0" fontId="109" fillId="35" borderId="55" applyAlignment="1">
      <alignment vertical="center"/>
    </xf>
    <xf numFmtId="0" fontId="109" fillId="35" borderId="55" applyAlignment="1">
      <alignment vertical="center"/>
    </xf>
    <xf numFmtId="0" fontId="109" fillId="35" borderId="55" applyAlignment="1">
      <alignment vertical="center"/>
    </xf>
    <xf numFmtId="0" fontId="109" fillId="35" borderId="55" applyAlignment="1">
      <alignment vertical="center"/>
    </xf>
    <xf numFmtId="0" fontId="109" fillId="35" borderId="55" applyAlignment="1">
      <alignment vertical="center"/>
    </xf>
    <xf numFmtId="0" fontId="109" fillId="35" borderId="55" applyAlignment="1">
      <alignment vertical="center"/>
    </xf>
    <xf numFmtId="0" fontId="110" fillId="36" borderId="56" applyAlignment="1">
      <alignment vertical="center"/>
    </xf>
    <xf numFmtId="0" fontId="111" fillId="0" borderId="0" applyAlignment="1" applyProtection="1">
      <alignment vertical="top"/>
      <protection locked="0" hidden="0"/>
    </xf>
    <xf numFmtId="221" fontId="20" fillId="0" borderId="0" applyProtection="1">
      <protection locked="0" hidden="0"/>
    </xf>
    <xf numFmtId="0" fontId="26" fillId="0" borderId="42" applyProtection="1">
      <protection locked="0" hidden="0"/>
    </xf>
    <xf numFmtId="207" fontId="2" fillId="0" borderId="42" applyProtection="1">
      <protection locked="0" hidden="0"/>
    </xf>
    <xf numFmtId="0" fontId="26" fillId="0" borderId="42" applyProtection="1">
      <protection locked="0" hidden="0"/>
    </xf>
    <xf numFmtId="3" fontId="112" fillId="0" borderId="0" applyAlignment="1">
      <alignment horizontal="center"/>
    </xf>
    <xf numFmtId="9" fontId="90" fillId="0" borderId="0"/>
    <xf numFmtId="0" fontId="100" fillId="37" borderId="57" applyAlignment="1">
      <alignment horizontal="center"/>
    </xf>
    <xf numFmtId="0" fontId="100" fillId="37" borderId="57" applyAlignment="1">
      <alignment horizontal="center"/>
    </xf>
    <xf numFmtId="0" fontId="100" fillId="37" borderId="57" applyAlignment="1">
      <alignment horizontal="center"/>
    </xf>
    <xf numFmtId="0" fontId="100" fillId="37" borderId="57" applyAlignment="1">
      <alignment horizontal="center"/>
    </xf>
    <xf numFmtId="0" fontId="100" fillId="37" borderId="57" applyAlignment="1">
      <alignment horizontal="center"/>
    </xf>
    <xf numFmtId="0" fontId="100" fillId="37" borderId="57" applyAlignment="1">
      <alignment horizontal="center"/>
    </xf>
    <xf numFmtId="0" fontId="100" fillId="37" borderId="57" applyAlignment="1">
      <alignment horizontal="center"/>
    </xf>
    <xf numFmtId="0" fontId="100" fillId="37" borderId="57" applyAlignment="1">
      <alignment horizontal="center"/>
    </xf>
    <xf numFmtId="0" fontId="113" fillId="4" borderId="47" applyAlignment="1">
      <alignment horizontal="center" wrapText="1"/>
    </xf>
    <xf numFmtId="0" fontId="113" fillId="4" borderId="47" applyAlignment="1">
      <alignment horizontal="center" wrapText="1"/>
    </xf>
    <xf numFmtId="0" fontId="113" fillId="4" borderId="47" applyAlignment="1">
      <alignment horizontal="center" wrapText="1"/>
    </xf>
    <xf numFmtId="0" fontId="113" fillId="4" borderId="47" applyAlignment="1">
      <alignment horizontal="center" wrapText="1"/>
    </xf>
    <xf numFmtId="0" fontId="113" fillId="4" borderId="47" applyAlignment="1">
      <alignment horizontal="center" wrapText="1"/>
    </xf>
    <xf numFmtId="0" fontId="113" fillId="4" borderId="47" applyAlignment="1">
      <alignment horizontal="center" wrapText="1"/>
    </xf>
    <xf numFmtId="0" fontId="113" fillId="4" borderId="47" applyAlignment="1">
      <alignment horizontal="center" wrapText="1"/>
    </xf>
    <xf numFmtId="0" fontId="113" fillId="4" borderId="47" applyAlignment="1">
      <alignment horizontal="center" wrapText="1"/>
    </xf>
    <xf numFmtId="0" fontId="114" fillId="38" borderId="58" applyAlignment="1">
      <alignment horizontal="left" wrapText="1"/>
    </xf>
    <xf numFmtId="213" fontId="80" fillId="0" borderId="0"/>
    <xf numFmtId="246" fontId="21" fillId="0" borderId="0"/>
    <xf numFmtId="246" fontId="21" fillId="0" borderId="0"/>
    <xf numFmtId="246" fontId="21" fillId="0" borderId="0"/>
    <xf numFmtId="246" fontId="21" fillId="0" borderId="0"/>
    <xf numFmtId="246" fontId="21" fillId="0" borderId="0"/>
    <xf numFmtId="246" fontId="21" fillId="0" borderId="0"/>
    <xf numFmtId="246" fontId="21" fillId="0" borderId="0"/>
    <xf numFmtId="246" fontId="21" fillId="0" borderId="0"/>
    <xf numFmtId="41" fontId="27" fillId="0" borderId="0"/>
    <xf numFmtId="0" fontId="21" fillId="0" borderId="0"/>
    <xf numFmtId="243" fontId="2" fillId="0" borderId="0"/>
    <xf numFmtId="0" fontId="64" fillId="0" borderId="0" applyProtection="1">
      <protection locked="0" hidden="0"/>
    </xf>
    <xf numFmtId="0" fontId="64" fillId="0" borderId="0" applyProtection="1">
      <protection locked="0" hidden="0"/>
    </xf>
    <xf numFmtId="0" fontId="64" fillId="0" borderId="0" applyProtection="1">
      <protection locked="0" hidden="0"/>
    </xf>
    <xf numFmtId="173" fontId="2" fillId="0" borderId="0"/>
    <xf numFmtId="0" fontId="2" fillId="0" borderId="0"/>
    <xf numFmtId="4" fontId="26" fillId="0" borderId="0" applyProtection="1">
      <protection locked="0" hidden="0"/>
    </xf>
    <xf numFmtId="3" fontId="21" fillId="0" borderId="0"/>
    <xf numFmtId="40" fontId="18" fillId="0" borderId="0"/>
    <xf numFmtId="0" fontId="83" fillId="2" borderId="0"/>
    <xf numFmtId="0" fontId="115" fillId="2" borderId="0"/>
    <xf numFmtId="0" fontId="116" fillId="2" borderId="0"/>
    <xf numFmtId="0" fontId="117" fillId="2" borderId="0"/>
    <xf numFmtId="0" fontId="118" fillId="37" borderId="59" applyAlignment="1">
      <alignment horizontal="centerContinuous" vertical="center"/>
    </xf>
    <xf numFmtId="222" fontId="33" fillId="2" borderId="60"/>
    <xf numFmtId="222" fontId="33" fillId="2" borderId="60"/>
    <xf numFmtId="222" fontId="33" fillId="2" borderId="60"/>
    <xf numFmtId="222" fontId="33" fillId="2" borderId="60"/>
    <xf numFmtId="222" fontId="33" fillId="2" borderId="60"/>
    <xf numFmtId="222" fontId="33" fillId="2" borderId="60"/>
    <xf numFmtId="222" fontId="33" fillId="2" borderId="60"/>
    <xf numFmtId="222" fontId="33" fillId="2" borderId="60"/>
    <xf numFmtId="0" fontId="20" fillId="0" borderId="0"/>
    <xf numFmtId="0" fontId="2" fillId="0" borderId="0"/>
    <xf numFmtId="0" fontId="64" fillId="0" borderId="0"/>
    <xf numFmtId="0" fontId="21" fillId="0" borderId="0"/>
    <xf numFmtId="247" fontId="20" fillId="0" borderId="57"/>
    <xf numFmtId="0" fontId="27" fillId="0" borderId="0"/>
    <xf numFmtId="248" fontId="20" fillId="0" borderId="0"/>
    <xf numFmtId="240" fontId="2" fillId="0" borderId="0"/>
    <xf numFmtId="0" fontId="2" fillId="0" borderId="0"/>
    <xf numFmtId="175" fontId="2" fillId="0" borderId="0" applyProtection="1">
      <protection locked="0" hidden="0"/>
    </xf>
    <xf numFmtId="175" fontId="2" fillId="0" borderId="0" applyProtection="1">
      <protection locked="0" hidden="0"/>
    </xf>
    <xf numFmtId="175" fontId="2" fillId="0" borderId="0" applyProtection="1">
      <protection locked="0" hidden="0"/>
    </xf>
    <xf numFmtId="175" fontId="2" fillId="0" borderId="0" applyProtection="1">
      <protection locked="0" hidden="0"/>
    </xf>
    <xf numFmtId="175" fontId="2" fillId="0" borderId="0" applyProtection="1">
      <protection locked="0" hidden="0"/>
    </xf>
    <xf numFmtId="175" fontId="2" fillId="0" borderId="0" applyProtection="1">
      <protection locked="0" hidden="0"/>
    </xf>
    <xf numFmtId="175" fontId="2" fillId="0" borderId="0" applyProtection="1">
      <protection locked="0" hidden="0"/>
    </xf>
    <xf numFmtId="175" fontId="2" fillId="0" borderId="0" applyProtection="1">
      <protection locked="0" hidden="0"/>
    </xf>
    <xf numFmtId="175" fontId="2" fillId="0" borderId="0" applyProtection="1">
      <protection locked="0" hidden="0"/>
    </xf>
    <xf numFmtId="175" fontId="2" fillId="0" borderId="0" applyProtection="1">
      <protection locked="0" hidden="0"/>
    </xf>
    <xf numFmtId="175" fontId="2" fillId="0" borderId="0" applyProtection="1">
      <protection locked="0" hidden="0"/>
    </xf>
    <xf numFmtId="175" fontId="2" fillId="0" borderId="0" applyProtection="1">
      <protection locked="0" hidden="0"/>
    </xf>
    <xf numFmtId="175" fontId="2" fillId="0" borderId="0" applyProtection="1">
      <protection locked="0" hidden="0"/>
    </xf>
    <xf numFmtId="175" fontId="2" fillId="0" borderId="0" applyProtection="1">
      <protection locked="0" hidden="0"/>
    </xf>
    <xf numFmtId="175" fontId="2" fillId="0" borderId="0" applyProtection="1">
      <protection locked="0" hidden="0"/>
    </xf>
    <xf numFmtId="175" fontId="2" fillId="0" borderId="0" applyProtection="1">
      <protection locked="0" hidden="0"/>
    </xf>
    <xf numFmtId="175" fontId="2" fillId="0" borderId="0" applyProtection="1">
      <protection locked="0" hidden="0"/>
    </xf>
    <xf numFmtId="175" fontId="2" fillId="0" borderId="0" applyProtection="1">
      <protection locked="0" hidden="0"/>
    </xf>
    <xf numFmtId="175" fontId="2" fillId="0" borderId="0" applyProtection="1">
      <protection locked="0" hidden="0"/>
    </xf>
    <xf numFmtId="175" fontId="2" fillId="0" borderId="0" applyProtection="1">
      <protection locked="0" hidden="0"/>
    </xf>
    <xf numFmtId="175" fontId="2" fillId="0" borderId="0" applyProtection="1">
      <protection locked="0" hidden="0"/>
    </xf>
    <xf numFmtId="175" fontId="2" fillId="0" borderId="0" applyProtection="1">
      <protection locked="0" hidden="0"/>
    </xf>
    <xf numFmtId="0" fontId="64" fillId="0" borderId="0" applyProtection="1">
      <protection locked="0" hidden="0"/>
    </xf>
    <xf numFmtId="175" fontId="2" fillId="0" borderId="0" applyProtection="1">
      <protection locked="0" hidden="0"/>
    </xf>
    <xf numFmtId="175" fontId="2" fillId="0" borderId="0" applyProtection="1">
      <protection locked="0" hidden="0"/>
    </xf>
    <xf numFmtId="175" fontId="2" fillId="0" borderId="0" applyProtection="1">
      <protection locked="0" hidden="0"/>
    </xf>
    <xf numFmtId="175" fontId="2" fillId="0" borderId="0" applyProtection="1">
      <protection locked="0" hidden="0"/>
    </xf>
    <xf numFmtId="175" fontId="2" fillId="0" borderId="0" applyProtection="1">
      <protection locked="0" hidden="0"/>
    </xf>
    <xf numFmtId="175" fontId="2" fillId="0" borderId="0" applyProtection="1">
      <protection locked="0" hidden="0"/>
    </xf>
    <xf numFmtId="175" fontId="2" fillId="0" borderId="0" applyProtection="1">
      <protection locked="0" hidden="0"/>
    </xf>
    <xf numFmtId="175" fontId="2" fillId="0" borderId="0" applyProtection="1">
      <protection locked="0" hidden="0"/>
    </xf>
    <xf numFmtId="0" fontId="64" fillId="0" borderId="0" applyProtection="1">
      <protection locked="0" hidden="0"/>
    </xf>
    <xf numFmtId="175" fontId="2" fillId="0" borderId="0" applyProtection="1">
      <protection locked="0" hidden="0"/>
    </xf>
    <xf numFmtId="0" fontId="64" fillId="0" borderId="0" applyProtection="1">
      <protection locked="0" hidden="0"/>
    </xf>
    <xf numFmtId="175" fontId="2" fillId="0" borderId="0" applyProtection="1">
      <protection locked="0" hidden="0"/>
    </xf>
    <xf numFmtId="175" fontId="2" fillId="0" borderId="0" applyProtection="1">
      <protection locked="0" hidden="0"/>
    </xf>
    <xf numFmtId="175" fontId="2" fillId="0" borderId="0" applyProtection="1">
      <protection locked="0" hidden="0"/>
    </xf>
    <xf numFmtId="175" fontId="2" fillId="0" borderId="0" applyProtection="1">
      <protection locked="0" hidden="0"/>
    </xf>
    <xf numFmtId="249" fontId="119" fillId="0" borderId="57"/>
    <xf numFmtId="250" fontId="2" fillId="0" borderId="0"/>
    <xf numFmtId="175" fontId="2" fillId="0" borderId="0" applyProtection="1">
      <protection locked="0" hidden="0"/>
    </xf>
    <xf numFmtId="176" fontId="2" fillId="0" borderId="0"/>
    <xf numFmtId="251" fontId="20" fillId="0" borderId="0" applyProtection="1">
      <protection locked="0" hidden="0"/>
    </xf>
    <xf numFmtId="0" fontId="30" fillId="0" borderId="0"/>
    <xf numFmtId="0" fontId="21" fillId="0" borderId="0"/>
    <xf numFmtId="0" fontId="21" fillId="0" borderId="0"/>
    <xf numFmtId="14" fontId="67" fillId="0" borderId="0"/>
    <xf numFmtId="177" fontId="2" fillId="0" borderId="0" applyProtection="1">
      <protection locked="0" hidden="0"/>
    </xf>
    <xf numFmtId="0" fontId="18" fillId="0" borderId="0"/>
    <xf numFmtId="38" fontId="18" fillId="0" borderId="61" applyAlignment="1">
      <alignment vertical="center"/>
    </xf>
    <xf numFmtId="38" fontId="18" fillId="0" borderId="0"/>
    <xf numFmtId="40" fontId="18" fillId="0" borderId="0"/>
    <xf numFmtId="17" fontId="22" fillId="0" borderId="0" applyAlignment="1">
      <alignment horizontal="right"/>
    </xf>
    <xf numFmtId="0" fontId="21" fillId="4" borderId="62"/>
    <xf numFmtId="0" fontId="21" fillId="4" borderId="62"/>
    <xf numFmtId="0" fontId="21" fillId="4" borderId="62"/>
    <xf numFmtId="0" fontId="21" fillId="4" borderId="62"/>
    <xf numFmtId="0" fontId="21" fillId="4" borderId="62"/>
    <xf numFmtId="0" fontId="21" fillId="4" borderId="62"/>
    <xf numFmtId="0" fontId="21" fillId="4" borderId="62"/>
    <xf numFmtId="0" fontId="21" fillId="4" borderId="62"/>
    <xf numFmtId="252" fontId="21" fillId="4" borderId="63" applyAlignment="1">
      <alignment horizontal="center"/>
    </xf>
    <xf numFmtId="252" fontId="21" fillId="4" borderId="63" applyAlignment="1">
      <alignment horizontal="center"/>
    </xf>
    <xf numFmtId="252" fontId="21" fillId="4" borderId="63" applyAlignment="1">
      <alignment horizontal="center"/>
    </xf>
    <xf numFmtId="252" fontId="21" fillId="4" borderId="63" applyAlignment="1">
      <alignment horizontal="center"/>
    </xf>
    <xf numFmtId="252" fontId="21" fillId="4" borderId="63" applyAlignment="1">
      <alignment horizontal="center"/>
    </xf>
    <xf numFmtId="252" fontId="21" fillId="4" borderId="63" applyAlignment="1">
      <alignment horizontal="center"/>
    </xf>
    <xf numFmtId="252" fontId="21" fillId="4" borderId="63" applyAlignment="1">
      <alignment horizontal="center"/>
    </xf>
    <xf numFmtId="252" fontId="21" fillId="4" borderId="63" applyAlignment="1">
      <alignment horizontal="center"/>
    </xf>
    <xf numFmtId="178" fontId="2" fillId="0" borderId="0"/>
    <xf numFmtId="0" fontId="30" fillId="0" borderId="0"/>
    <xf numFmtId="253" fontId="83" fillId="0" borderId="0" applyAlignment="1">
      <alignment horizontal="centerContinuous"/>
    </xf>
    <xf numFmtId="254" fontId="2" fillId="0" borderId="64" applyAlignment="1">
      <alignment vertical="center"/>
    </xf>
    <xf numFmtId="254" fontId="2" fillId="0" borderId="64" applyAlignment="1">
      <alignment vertical="center"/>
    </xf>
    <xf numFmtId="254" fontId="2" fillId="0" borderId="64" applyAlignment="1">
      <alignment vertical="center"/>
    </xf>
    <xf numFmtId="254" fontId="2" fillId="0" borderId="64" applyAlignment="1">
      <alignment vertical="center"/>
    </xf>
    <xf numFmtId="254" fontId="2" fillId="0" borderId="64" applyAlignment="1">
      <alignment vertical="center"/>
    </xf>
    <xf numFmtId="254" fontId="2" fillId="0" borderId="64" applyAlignment="1">
      <alignment vertical="center"/>
    </xf>
    <xf numFmtId="254" fontId="2" fillId="0" borderId="64" applyAlignment="1">
      <alignment vertical="center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55" fontId="26" fillId="0" borderId="0" applyProtection="1">
      <protection locked="0" hidden="0"/>
    </xf>
    <xf numFmtId="255" fontId="26" fillId="0" borderId="0" applyProtection="1">
      <protection locked="0" hidden="0"/>
    </xf>
    <xf numFmtId="256" fontId="26" fillId="0" borderId="0" applyProtection="1">
      <protection locked="0" hidden="0"/>
    </xf>
    <xf numFmtId="256" fontId="26" fillId="0" borderId="0" applyProtection="1">
      <protection locked="0" hidden="0"/>
    </xf>
    <xf numFmtId="2" fontId="25" fillId="0" borderId="0" applyAlignment="1">
      <alignment horizontal="center"/>
    </xf>
    <xf numFmtId="243" fontId="2" fillId="0" borderId="0"/>
    <xf numFmtId="240" fontId="2" fillId="0" borderId="0"/>
    <xf numFmtId="243" fontId="2" fillId="0" borderId="0"/>
    <xf numFmtId="244" fontId="2" fillId="0" borderId="0"/>
    <xf numFmtId="240" fontId="2" fillId="0" borderId="0"/>
    <xf numFmtId="245" fontId="2" fillId="0" borderId="0"/>
    <xf numFmtId="0" fontId="120" fillId="0" borderId="0" applyAlignment="1">
      <alignment horizontal="left"/>
    </xf>
    <xf numFmtId="0" fontId="2" fillId="0" borderId="0"/>
    <xf numFmtId="223" fontId="49" fillId="0" borderId="0"/>
    <xf numFmtId="0" fontId="121" fillId="0" borderId="0" applyAlignment="1">
      <alignment vertical="center"/>
    </xf>
    <xf numFmtId="0" fontId="122" fillId="2" borderId="65" applyAlignment="1" applyProtection="1">
      <alignment vertical="center" wrapText="1"/>
      <protection locked="1" hidden="1"/>
    </xf>
    <xf numFmtId="0" fontId="33" fillId="2" borderId="0"/>
    <xf numFmtId="2" fontId="21" fillId="0" borderId="0"/>
    <xf numFmtId="0" fontId="123" fillId="0" borderId="0"/>
    <xf numFmtId="0" fontId="18" fillId="0" borderId="0"/>
    <xf numFmtId="0" fontId="20" fillId="0" borderId="0"/>
    <xf numFmtId="0" fontId="124" fillId="17" borderId="0" applyAlignment="1">
      <alignment vertical="center"/>
    </xf>
    <xf numFmtId="38" fontId="33" fillId="2" borderId="0"/>
    <xf numFmtId="38" fontId="33" fillId="2" borderId="0"/>
    <xf numFmtId="38" fontId="33" fillId="2" borderId="0"/>
    <xf numFmtId="38" fontId="33" fillId="2" borderId="0"/>
    <xf numFmtId="3" fontId="57" fillId="0" borderId="66" applyAlignment="1">
      <alignment horizontal="right" vertical="center"/>
    </xf>
    <xf numFmtId="4" fontId="57" fillId="0" borderId="66" applyAlignment="1">
      <alignment horizontal="right" vertical="center"/>
    </xf>
    <xf numFmtId="0" fontId="125" fillId="0" borderId="0" applyAlignment="1">
      <alignment horizontal="right"/>
    </xf>
    <xf numFmtId="0" fontId="126" fillId="0" borderId="0"/>
    <xf numFmtId="0" fontId="127" fillId="0" borderId="0"/>
    <xf numFmtId="0" fontId="126" fillId="0" borderId="67"/>
    <xf numFmtId="0" fontId="33" fillId="0" borderId="67" applyAlignment="1">
      <alignment horizontal="center" vertical="center"/>
    </xf>
    <xf numFmtId="0" fontId="128" fillId="0" borderId="67" applyAlignment="1">
      <alignment horizontal="center" vertical="center"/>
    </xf>
    <xf numFmtId="0" fontId="35" fillId="0" borderId="4" applyAlignment="1">
      <alignment horizontal="left" vertical="center"/>
    </xf>
    <xf numFmtId="0" fontId="35" fillId="0" borderId="4" applyAlignment="1">
      <alignment horizontal="left" vertical="center"/>
    </xf>
    <xf numFmtId="0" fontId="35" fillId="0" borderId="4" applyAlignment="1">
      <alignment horizontal="left" vertical="center"/>
    </xf>
    <xf numFmtId="0" fontId="35" fillId="0" borderId="4" applyAlignment="1">
      <alignment horizontal="left" vertical="center"/>
    </xf>
    <xf numFmtId="0" fontId="35" fillId="0" borderId="4" applyAlignment="1">
      <alignment horizontal="left" vertical="center"/>
    </xf>
    <xf numFmtId="0" fontId="35" fillId="0" borderId="4" applyAlignment="1">
      <alignment horizontal="left" vertical="center"/>
    </xf>
    <xf numFmtId="0" fontId="35" fillId="0" borderId="4" applyAlignment="1">
      <alignment horizontal="left" vertical="center"/>
    </xf>
    <xf numFmtId="0" fontId="35" fillId="0" borderId="4" applyAlignment="1">
      <alignment horizontal="left" vertical="center"/>
    </xf>
    <xf numFmtId="0" fontId="35" fillId="0" borderId="4" applyAlignment="1">
      <alignment horizontal="left" vertical="center"/>
    </xf>
    <xf numFmtId="0" fontId="35" fillId="0" borderId="4" applyAlignment="1">
      <alignment horizontal="left" vertical="center"/>
    </xf>
    <xf numFmtId="0" fontId="35" fillId="0" borderId="4" applyAlignment="1">
      <alignment horizontal="left" vertical="center"/>
    </xf>
    <xf numFmtId="0" fontId="35" fillId="0" borderId="4" applyAlignment="1">
      <alignment horizontal="left" vertical="center"/>
    </xf>
    <xf numFmtId="0" fontId="35" fillId="0" borderId="4" applyAlignment="1">
      <alignment horizontal="left" vertical="center"/>
    </xf>
    <xf numFmtId="0" fontId="35" fillId="0" borderId="4" applyAlignment="1">
      <alignment horizontal="left" vertical="center"/>
    </xf>
    <xf numFmtId="0" fontId="35" fillId="0" borderId="4" applyAlignment="1">
      <alignment horizontal="left" vertical="center"/>
    </xf>
    <xf numFmtId="0" fontId="35" fillId="0" borderId="4" applyAlignment="1">
      <alignment horizontal="left" vertical="center"/>
    </xf>
    <xf numFmtId="0" fontId="35" fillId="0" borderId="4" applyAlignment="1">
      <alignment horizontal="left" vertical="center"/>
    </xf>
    <xf numFmtId="0" fontId="35" fillId="0" borderId="4" applyAlignment="1">
      <alignment horizontal="left" vertical="center"/>
    </xf>
    <xf numFmtId="0" fontId="129" fillId="39" borderId="68"/>
    <xf numFmtId="0" fontId="36" fillId="0" borderId="0"/>
    <xf numFmtId="0" fontId="35" fillId="0" borderId="0"/>
    <xf numFmtId="0" fontId="130" fillId="0" borderId="69" applyAlignment="1">
      <alignment vertical="center"/>
    </xf>
    <xf numFmtId="0" fontId="130" fillId="0" borderId="0" applyAlignment="1">
      <alignment vertical="center"/>
    </xf>
    <xf numFmtId="0" fontId="131" fillId="40" borderId="70"/>
    <xf numFmtId="0" fontId="131" fillId="40" borderId="70"/>
    <xf numFmtId="0" fontId="131" fillId="40" borderId="70"/>
    <xf numFmtId="0" fontId="131" fillId="40" borderId="70"/>
    <xf numFmtId="0" fontId="131" fillId="40" borderId="70"/>
    <xf numFmtId="0" fontId="131" fillId="40" borderId="70"/>
    <xf numFmtId="0" fontId="131" fillId="40" borderId="70"/>
    <xf numFmtId="212" fontId="37" fillId="0" borderId="0" applyProtection="1">
      <protection locked="0" hidden="0"/>
    </xf>
    <xf numFmtId="212" fontId="37" fillId="0" borderId="0" applyProtection="1">
      <protection locked="0" hidden="0"/>
    </xf>
    <xf numFmtId="12" fontId="21" fillId="5" borderId="71" applyAlignment="1">
      <alignment horizontal="center"/>
    </xf>
    <xf numFmtId="12" fontId="21" fillId="5" borderId="71" applyAlignment="1">
      <alignment horizontal="center"/>
    </xf>
    <xf numFmtId="12" fontId="21" fillId="5" borderId="71" applyAlignment="1">
      <alignment horizontal="center"/>
    </xf>
    <xf numFmtId="12" fontId="21" fillId="5" borderId="71" applyAlignment="1">
      <alignment horizontal="center"/>
    </xf>
    <xf numFmtId="12" fontId="21" fillId="5" borderId="71" applyAlignment="1">
      <alignment horizontal="center"/>
    </xf>
    <xf numFmtId="12" fontId="21" fillId="5" borderId="71" applyAlignment="1">
      <alignment horizontal="center"/>
    </xf>
    <xf numFmtId="12" fontId="21" fillId="5" borderId="71" applyAlignment="1">
      <alignment horizontal="center"/>
    </xf>
    <xf numFmtId="12" fontId="21" fillId="5" borderId="71" applyAlignment="1">
      <alignment horizontal="center"/>
    </xf>
    <xf numFmtId="0" fontId="132" fillId="0" borderId="72" applyAlignment="1">
      <alignment horizontal="center"/>
    </xf>
    <xf numFmtId="0" fontId="132" fillId="0" borderId="0" applyAlignment="1">
      <alignment horizontal="center"/>
    </xf>
    <xf numFmtId="0" fontId="133" fillId="0" borderId="73"/>
    <xf numFmtId="0" fontId="134" fillId="0" borderId="67" applyAlignment="1">
      <alignment horizontal="center" vertical="center"/>
    </xf>
    <xf numFmtId="0" fontId="135" fillId="0" borderId="0" applyAlignment="1" applyProtection="1">
      <alignment vertical="top"/>
      <protection locked="0" hidden="0"/>
    </xf>
    <xf numFmtId="0" fontId="136" fillId="20" borderId="55" applyAlignment="1">
      <alignment vertical="center"/>
    </xf>
    <xf numFmtId="10" fontId="33" fillId="4" borderId="37"/>
    <xf numFmtId="10" fontId="33" fillId="4" borderId="37"/>
    <xf numFmtId="10" fontId="33" fillId="4" borderId="37"/>
    <xf numFmtId="10" fontId="33" fillId="4" borderId="37"/>
    <xf numFmtId="10" fontId="33" fillId="4" borderId="37"/>
    <xf numFmtId="10" fontId="33" fillId="4" borderId="37"/>
    <xf numFmtId="10" fontId="33" fillId="4" borderId="37"/>
    <xf numFmtId="10" fontId="33" fillId="4" borderId="37"/>
    <xf numFmtId="10" fontId="33" fillId="4" borderId="37"/>
    <xf numFmtId="10" fontId="33" fillId="5" borderId="37"/>
    <xf numFmtId="10" fontId="33" fillId="5" borderId="37"/>
    <xf numFmtId="10" fontId="33" fillId="5" borderId="37"/>
    <xf numFmtId="10" fontId="33" fillId="5" borderId="37"/>
    <xf numFmtId="10" fontId="33" fillId="5" borderId="37"/>
    <xf numFmtId="10" fontId="33" fillId="5" borderId="37"/>
    <xf numFmtId="10" fontId="33" fillId="5" borderId="37"/>
    <xf numFmtId="10" fontId="33" fillId="4" borderId="37"/>
    <xf numFmtId="10" fontId="33" fillId="4" borderId="37"/>
    <xf numFmtId="10" fontId="33" fillId="4" borderId="37"/>
    <xf numFmtId="10" fontId="33" fillId="4" borderId="37"/>
    <xf numFmtId="0" fontId="136" fillId="20" borderId="55" applyAlignment="1">
      <alignment vertical="center"/>
    </xf>
    <xf numFmtId="0" fontId="136" fillId="20" borderId="55" applyAlignment="1">
      <alignment vertical="center"/>
    </xf>
    <xf numFmtId="0" fontId="136" fillId="20" borderId="55" applyAlignment="1">
      <alignment vertical="center"/>
    </xf>
    <xf numFmtId="0" fontId="136" fillId="20" borderId="55" applyAlignment="1">
      <alignment vertical="center"/>
    </xf>
    <xf numFmtId="0" fontId="136" fillId="20" borderId="55" applyAlignment="1">
      <alignment vertical="center"/>
    </xf>
    <xf numFmtId="0" fontId="136" fillId="20" borderId="55" applyAlignment="1">
      <alignment vertical="center"/>
    </xf>
    <xf numFmtId="0" fontId="136" fillId="20" borderId="55" applyAlignment="1">
      <alignment vertical="center"/>
    </xf>
    <xf numFmtId="0" fontId="136" fillId="20" borderId="55" applyAlignment="1">
      <alignment vertical="center"/>
    </xf>
    <xf numFmtId="0" fontId="136" fillId="20" borderId="55" applyAlignment="1">
      <alignment vertical="center"/>
    </xf>
    <xf numFmtId="0" fontId="136" fillId="20" borderId="55" applyAlignment="1">
      <alignment vertical="center"/>
    </xf>
    <xf numFmtId="0" fontId="136" fillId="20" borderId="55" applyAlignment="1">
      <alignment vertical="center"/>
    </xf>
    <xf numFmtId="0" fontId="136" fillId="20" borderId="55" applyAlignment="1">
      <alignment vertical="center"/>
    </xf>
    <xf numFmtId="0" fontId="136" fillId="20" borderId="55" applyAlignment="1">
      <alignment vertical="center"/>
    </xf>
    <xf numFmtId="0" fontId="136" fillId="20" borderId="55" applyAlignment="1">
      <alignment vertical="center"/>
    </xf>
    <xf numFmtId="0" fontId="136" fillId="20" borderId="55" applyAlignment="1">
      <alignment vertical="center"/>
    </xf>
    <xf numFmtId="0" fontId="136" fillId="20" borderId="55" applyAlignment="1">
      <alignment vertical="center"/>
    </xf>
    <xf numFmtId="0" fontId="136" fillId="20" borderId="55" applyAlignment="1">
      <alignment vertical="center"/>
    </xf>
    <xf numFmtId="0" fontId="136" fillId="20" borderId="55" applyAlignment="1">
      <alignment vertical="center"/>
    </xf>
    <xf numFmtId="0" fontId="136" fillId="20" borderId="55" applyAlignment="1">
      <alignment vertical="center"/>
    </xf>
    <xf numFmtId="0" fontId="136" fillId="20" borderId="55" applyAlignment="1">
      <alignment vertical="center"/>
    </xf>
    <xf numFmtId="0" fontId="136" fillId="20" borderId="55" applyAlignment="1">
      <alignment vertical="center"/>
    </xf>
    <xf numFmtId="0" fontId="136" fillId="20" borderId="55" applyAlignment="1">
      <alignment vertical="center"/>
    </xf>
    <xf numFmtId="252" fontId="21" fillId="41" borderId="74" applyAlignment="1" applyProtection="1">
      <alignment horizontal="center"/>
      <protection locked="0" hidden="0"/>
    </xf>
    <xf numFmtId="12" fontId="21" fillId="41" borderId="74" applyAlignment="1" applyProtection="1">
      <alignment horizontal="center"/>
      <protection locked="0" hidden="0"/>
    </xf>
    <xf numFmtId="0" fontId="126" fillId="41" borderId="75" applyAlignment="1" applyProtection="1">
      <alignment horizontal="center" vertical="center"/>
      <protection locked="0" hidden="0"/>
    </xf>
    <xf numFmtId="0" fontId="126" fillId="41" borderId="75" applyAlignment="1" applyProtection="1">
      <alignment horizontal="center" vertical="center"/>
      <protection locked="0" hidden="0"/>
    </xf>
    <xf numFmtId="0" fontId="126" fillId="41" borderId="75" applyAlignment="1" applyProtection="1">
      <alignment horizontal="center" vertical="center"/>
      <protection locked="0" hidden="0"/>
    </xf>
    <xf numFmtId="0" fontId="126" fillId="41" borderId="75" applyAlignment="1" applyProtection="1">
      <alignment horizontal="center" vertical="center"/>
      <protection locked="0" hidden="0"/>
    </xf>
    <xf numFmtId="0" fontId="126" fillId="41" borderId="75" applyAlignment="1" applyProtection="1">
      <alignment horizontal="center" vertical="center"/>
      <protection locked="0" hidden="0"/>
    </xf>
    <xf numFmtId="0" fontId="126" fillId="41" borderId="75" applyAlignment="1" applyProtection="1">
      <alignment horizontal="center" vertical="center"/>
      <protection locked="0" hidden="0"/>
    </xf>
    <xf numFmtId="0" fontId="126" fillId="41" borderId="75" applyAlignment="1" applyProtection="1">
      <alignment horizontal="center" vertical="center"/>
      <protection locked="0" hidden="0"/>
    </xf>
    <xf numFmtId="0" fontId="126" fillId="41" borderId="75" applyAlignment="1" applyProtection="1">
      <alignment horizontal="center" vertical="center"/>
      <protection locked="0" hidden="0"/>
    </xf>
    <xf numFmtId="222" fontId="33" fillId="4" borderId="0" applyProtection="1">
      <protection locked="0" hidden="0"/>
    </xf>
    <xf numFmtId="15" fontId="33" fillId="4" borderId="0" applyProtection="1">
      <protection locked="0" hidden="0"/>
    </xf>
    <xf numFmtId="49" fontId="33" fillId="4" borderId="0" applyProtection="1">
      <protection locked="0" hidden="0"/>
    </xf>
    <xf numFmtId="49" fontId="33" fillId="4" borderId="25"/>
    <xf numFmtId="49" fontId="33" fillId="4" borderId="25"/>
    <xf numFmtId="49" fontId="33" fillId="4" borderId="25"/>
    <xf numFmtId="49" fontId="33" fillId="4" borderId="25"/>
    <xf numFmtId="49" fontId="33" fillId="4" borderId="25"/>
    <xf numFmtId="49" fontId="33" fillId="4" borderId="25"/>
    <xf numFmtId="49" fontId="33" fillId="4" borderId="25"/>
    <xf numFmtId="49" fontId="33" fillId="4" borderId="25"/>
    <xf numFmtId="0" fontId="83" fillId="4" borderId="74" applyAlignment="1">
      <alignment horizontal="left"/>
    </xf>
    <xf numFmtId="0" fontId="83" fillId="41" borderId="0" applyAlignment="1">
      <alignment horizontal="left"/>
    </xf>
    <xf numFmtId="0" fontId="86" fillId="0" borderId="5"/>
    <xf numFmtId="0" fontId="45" fillId="0" borderId="0"/>
    <xf numFmtId="257" fontId="57" fillId="0" borderId="37" applyAlignment="1">
      <alignment vertical="center"/>
    </xf>
    <xf numFmtId="258" fontId="2" fillId="0" borderId="64" applyAlignment="1">
      <alignment vertical="center"/>
    </xf>
    <xf numFmtId="258" fontId="2" fillId="0" borderId="64" applyAlignment="1">
      <alignment vertical="center"/>
    </xf>
    <xf numFmtId="258" fontId="2" fillId="0" borderId="64" applyAlignment="1">
      <alignment vertical="center"/>
    </xf>
    <xf numFmtId="258" fontId="2" fillId="0" borderId="64" applyAlignment="1">
      <alignment vertical="center"/>
    </xf>
    <xf numFmtId="258" fontId="2" fillId="0" borderId="64" applyAlignment="1">
      <alignment vertical="center"/>
    </xf>
    <xf numFmtId="258" fontId="2" fillId="0" borderId="64" applyAlignment="1">
      <alignment vertical="center"/>
    </xf>
    <xf numFmtId="258" fontId="2" fillId="0" borderId="64" applyAlignment="1">
      <alignment vertical="center"/>
    </xf>
    <xf numFmtId="259" fontId="2" fillId="0" borderId="0"/>
    <xf numFmtId="183" fontId="2" fillId="0" borderId="0"/>
    <xf numFmtId="38" fontId="137" fillId="0" borderId="0"/>
    <xf numFmtId="38" fontId="138" fillId="0" borderId="0"/>
    <xf numFmtId="38" fontId="139" fillId="0" borderId="0"/>
    <xf numFmtId="38" fontId="140" fillId="0" borderId="0"/>
    <xf numFmtId="0" fontId="141" fillId="0" borderId="0"/>
    <xf numFmtId="0" fontId="141" fillId="0" borderId="0"/>
    <xf numFmtId="0" fontId="141" fillId="0" borderId="0"/>
    <xf numFmtId="260" fontId="2" fillId="0" borderId="0"/>
    <xf numFmtId="261" fontId="57" fillId="0" borderId="37" applyAlignment="1">
      <alignment vertical="center"/>
    </xf>
    <xf numFmtId="262" fontId="2" fillId="0" borderId="64" applyAlignment="1">
      <alignment vertical="center"/>
    </xf>
    <xf numFmtId="262" fontId="2" fillId="0" borderId="64" applyAlignment="1">
      <alignment vertical="center"/>
    </xf>
    <xf numFmtId="262" fontId="2" fillId="0" borderId="64" applyAlignment="1">
      <alignment vertical="center"/>
    </xf>
    <xf numFmtId="262" fontId="2" fillId="0" borderId="64" applyAlignment="1">
      <alignment vertical="center"/>
    </xf>
    <xf numFmtId="262" fontId="2" fillId="0" borderId="64" applyAlignment="1">
      <alignment vertical="center"/>
    </xf>
    <xf numFmtId="262" fontId="2" fillId="0" borderId="64" applyAlignment="1">
      <alignment vertical="center"/>
    </xf>
    <xf numFmtId="262" fontId="2" fillId="0" borderId="64" applyAlignment="1">
      <alignment vertical="center"/>
    </xf>
    <xf numFmtId="2" fontId="142" fillId="0" borderId="0"/>
    <xf numFmtId="243" fontId="2" fillId="0" borderId="0"/>
    <xf numFmtId="240" fontId="2" fillId="0" borderId="0"/>
    <xf numFmtId="243" fontId="2" fillId="0" borderId="0"/>
    <xf numFmtId="244" fontId="2" fillId="0" borderId="0"/>
    <xf numFmtId="240" fontId="2" fillId="0" borderId="0"/>
    <xf numFmtId="245" fontId="2" fillId="0" borderId="0"/>
    <xf numFmtId="0" fontId="143" fillId="0" borderId="76" applyAlignment="1">
      <alignment vertical="center"/>
    </xf>
    <xf numFmtId="263" fontId="57" fillId="0" borderId="37" applyAlignment="1">
      <alignment horizontal="right" vertical="center"/>
    </xf>
    <xf numFmtId="264" fontId="2" fillId="0" borderId="64" applyAlignment="1">
      <alignment horizontal="right" vertical="center"/>
    </xf>
    <xf numFmtId="264" fontId="2" fillId="0" borderId="64" applyAlignment="1">
      <alignment horizontal="right" vertical="center"/>
    </xf>
    <xf numFmtId="264" fontId="2" fillId="0" borderId="64" applyAlignment="1">
      <alignment horizontal="right" vertical="center"/>
    </xf>
    <xf numFmtId="264" fontId="2" fillId="0" borderId="64" applyAlignment="1">
      <alignment horizontal="right" vertical="center"/>
    </xf>
    <xf numFmtId="264" fontId="2" fillId="0" borderId="64" applyAlignment="1">
      <alignment horizontal="right" vertical="center"/>
    </xf>
    <xf numFmtId="264" fontId="2" fillId="0" borderId="64" applyAlignment="1">
      <alignment horizontal="right" vertical="center"/>
    </xf>
    <xf numFmtId="264" fontId="2" fillId="0" borderId="64" applyAlignment="1">
      <alignment horizontal="right" vertical="center"/>
    </xf>
    <xf numFmtId="265" fontId="2" fillId="0" borderId="64" applyAlignment="1">
      <alignment horizontal="right" vertical="center"/>
    </xf>
    <xf numFmtId="265" fontId="2" fillId="0" borderId="64" applyAlignment="1">
      <alignment horizontal="right" vertical="center"/>
    </xf>
    <xf numFmtId="265" fontId="2" fillId="0" borderId="64" applyAlignment="1">
      <alignment horizontal="right" vertical="center"/>
    </xf>
    <xf numFmtId="265" fontId="2" fillId="0" borderId="64" applyAlignment="1">
      <alignment horizontal="right" vertical="center"/>
    </xf>
    <xf numFmtId="265" fontId="2" fillId="0" borderId="64" applyAlignment="1">
      <alignment horizontal="right" vertical="center"/>
    </xf>
    <xf numFmtId="265" fontId="2" fillId="0" borderId="64" applyAlignment="1">
      <alignment horizontal="right" vertical="center"/>
    </xf>
    <xf numFmtId="265" fontId="2" fillId="0" borderId="64" applyAlignment="1">
      <alignment horizontal="right" vertical="center"/>
    </xf>
    <xf numFmtId="265" fontId="2" fillId="0" borderId="64" applyAlignment="1">
      <alignment horizontal="right" vertical="center"/>
    </xf>
    <xf numFmtId="266" fontId="57" fillId="0" borderId="37" applyAlignment="1">
      <alignment vertical="center"/>
    </xf>
    <xf numFmtId="267" fontId="2" fillId="0" borderId="64" applyAlignment="1">
      <alignment vertical="center"/>
    </xf>
    <xf numFmtId="267" fontId="2" fillId="0" borderId="64" applyAlignment="1">
      <alignment vertical="center"/>
    </xf>
    <xf numFmtId="267" fontId="2" fillId="0" borderId="64" applyAlignment="1">
      <alignment vertical="center"/>
    </xf>
    <xf numFmtId="267" fontId="2" fillId="0" borderId="64" applyAlignment="1">
      <alignment vertical="center"/>
    </xf>
    <xf numFmtId="267" fontId="2" fillId="0" borderId="64" applyAlignment="1">
      <alignment vertical="center"/>
    </xf>
    <xf numFmtId="267" fontId="2" fillId="0" borderId="64" applyAlignment="1">
      <alignment vertical="center"/>
    </xf>
    <xf numFmtId="267" fontId="2" fillId="0" borderId="64" applyAlignment="1">
      <alignment vertical="center"/>
    </xf>
    <xf numFmtId="268" fontId="57" fillId="0" borderId="37" applyAlignment="1">
      <alignment vertical="center"/>
    </xf>
    <xf numFmtId="269" fontId="139" fillId="0" borderId="0" applyAlignment="1">
      <alignment horizontal="left"/>
    </xf>
    <xf numFmtId="270" fontId="18" fillId="0" borderId="0"/>
    <xf numFmtId="271" fontId="18" fillId="0" borderId="0"/>
    <xf numFmtId="38" fontId="18" fillId="0" borderId="0"/>
    <xf numFmtId="40" fontId="18" fillId="0" borderId="0"/>
    <xf numFmtId="0" fontId="21" fillId="0" borderId="0"/>
    <xf numFmtId="272" fontId="18" fillId="0" borderId="0"/>
    <xf numFmtId="273" fontId="18" fillId="0" borderId="0"/>
    <xf numFmtId="274" fontId="18" fillId="0" borderId="0"/>
    <xf numFmtId="275" fontId="18" fillId="0" borderId="0"/>
    <xf numFmtId="213" fontId="80" fillId="0" borderId="0"/>
    <xf numFmtId="176" fontId="21" fillId="0" borderId="0"/>
    <xf numFmtId="4" fontId="33" fillId="0" borderId="37" applyAlignment="1">
      <alignment vertical="top" wrapText="1"/>
    </xf>
    <xf numFmtId="0" fontId="144" fillId="42" borderId="0" applyAlignment="1">
      <alignment vertical="center"/>
    </xf>
    <xf numFmtId="0" fontId="145" fillId="43" borderId="37" applyAlignment="1">
      <alignment vertical="center"/>
    </xf>
    <xf numFmtId="0" fontId="146" fillId="2" borderId="0" applyAlignment="1">
      <alignment vertical="center"/>
    </xf>
    <xf numFmtId="276" fontId="21" fillId="0" borderId="0" applyProtection="1">
      <protection locked="1" hidden="1"/>
    </xf>
    <xf numFmtId="0" fontId="17" fillId="0" borderId="77" applyAlignment="1">
      <alignment horizontal="center" vertical="center"/>
    </xf>
    <xf numFmtId="0" fontId="21" fillId="0" borderId="0"/>
    <xf numFmtId="277" fontId="147" fillId="0" borderId="0"/>
    <xf numFmtId="277" fontId="147" fillId="0" borderId="0"/>
    <xf numFmtId="0" fontId="22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59" fillId="0" borderId="0"/>
    <xf numFmtId="0" fontId="21" fillId="0" borderId="0"/>
    <xf numFmtId="0" fontId="21" fillId="0" borderId="0"/>
    <xf numFmtId="0" fontId="2" fillId="44" borderId="78" applyAlignment="1">
      <alignment vertical="center"/>
    </xf>
    <xf numFmtId="0" fontId="20" fillId="44" borderId="78" applyAlignment="1">
      <alignment vertical="center"/>
    </xf>
    <xf numFmtId="0" fontId="20" fillId="44" borderId="78" applyAlignment="1">
      <alignment vertical="center"/>
    </xf>
    <xf numFmtId="0" fontId="20" fillId="44" borderId="78" applyAlignment="1">
      <alignment vertical="center"/>
    </xf>
    <xf numFmtId="0" fontId="20" fillId="44" borderId="78" applyAlignment="1">
      <alignment vertical="center"/>
    </xf>
    <xf numFmtId="0" fontId="20" fillId="44" borderId="78" applyAlignment="1">
      <alignment vertical="center"/>
    </xf>
    <xf numFmtId="0" fontId="20" fillId="44" borderId="78" applyAlignment="1">
      <alignment vertical="center"/>
    </xf>
    <xf numFmtId="0" fontId="20" fillId="44" borderId="78" applyAlignment="1">
      <alignment vertical="center"/>
    </xf>
    <xf numFmtId="0" fontId="20" fillId="44" borderId="78" applyAlignment="1">
      <alignment vertical="center"/>
    </xf>
    <xf numFmtId="0" fontId="20" fillId="44" borderId="78" applyAlignment="1">
      <alignment vertical="center"/>
    </xf>
    <xf numFmtId="0" fontId="2" fillId="44" borderId="78" applyAlignment="1">
      <alignment vertical="center"/>
    </xf>
    <xf numFmtId="209" fontId="67" fillId="45" borderId="0" applyAlignment="1">
      <alignment vertical="center"/>
    </xf>
    <xf numFmtId="0" fontId="21" fillId="0" borderId="0"/>
    <xf numFmtId="40" fontId="18" fillId="0" borderId="0"/>
    <xf numFmtId="40" fontId="21" fillId="0" borderId="0"/>
    <xf numFmtId="38" fontId="21" fillId="0" borderId="0"/>
    <xf numFmtId="0" fontId="21" fillId="0" borderId="0"/>
    <xf numFmtId="0" fontId="21" fillId="0" borderId="0"/>
    <xf numFmtId="0" fontId="20" fillId="0" borderId="79"/>
    <xf numFmtId="0" fontId="21" fillId="0" borderId="0"/>
    <xf numFmtId="176" fontId="19" fillId="0" borderId="0" applyAlignment="1">
      <alignment vertical="center"/>
    </xf>
    <xf numFmtId="0" fontId="21" fillId="0" borderId="0"/>
    <xf numFmtId="0" fontId="30" fillId="0" borderId="0"/>
    <xf numFmtId="0" fontId="149" fillId="35" borderId="80" applyAlignment="1">
      <alignment vertical="center"/>
    </xf>
    <xf numFmtId="0" fontId="149" fillId="35" borderId="80" applyAlignment="1">
      <alignment vertical="center"/>
    </xf>
    <xf numFmtId="0" fontId="149" fillId="35" borderId="80" applyAlignment="1">
      <alignment vertical="center"/>
    </xf>
    <xf numFmtId="0" fontId="149" fillId="35" borderId="80" applyAlignment="1">
      <alignment vertical="center"/>
    </xf>
    <xf numFmtId="0" fontId="149" fillId="35" borderId="80" applyAlignment="1">
      <alignment vertical="center"/>
    </xf>
    <xf numFmtId="0" fontId="149" fillId="35" borderId="80" applyAlignment="1">
      <alignment vertical="center"/>
    </xf>
    <xf numFmtId="0" fontId="149" fillId="35" borderId="80" applyAlignment="1">
      <alignment vertical="center"/>
    </xf>
    <xf numFmtId="0" fontId="149" fillId="35" borderId="80" applyAlignment="1">
      <alignment vertical="center"/>
    </xf>
    <xf numFmtId="278" fontId="126" fillId="4" borderId="75" applyAlignment="1">
      <alignment horizontal="center"/>
    </xf>
    <xf numFmtId="278" fontId="126" fillId="4" borderId="75" applyAlignment="1">
      <alignment horizontal="center"/>
    </xf>
    <xf numFmtId="278" fontId="126" fillId="4" borderId="75" applyAlignment="1">
      <alignment horizontal="center"/>
    </xf>
    <xf numFmtId="278" fontId="126" fillId="4" borderId="75" applyAlignment="1">
      <alignment horizontal="center"/>
    </xf>
    <xf numFmtId="278" fontId="126" fillId="4" borderId="75" applyAlignment="1">
      <alignment horizontal="center"/>
    </xf>
    <xf numFmtId="278" fontId="126" fillId="4" borderId="75" applyAlignment="1">
      <alignment horizontal="center"/>
    </xf>
    <xf numFmtId="278" fontId="126" fillId="4" borderId="75" applyAlignment="1">
      <alignment horizontal="center"/>
    </xf>
    <xf numFmtId="278" fontId="126" fillId="4" borderId="75" applyAlignment="1">
      <alignment horizontal="center"/>
    </xf>
    <xf numFmtId="0" fontId="21" fillId="2" borderId="74" applyAlignment="1" applyProtection="1">
      <alignment horizontal="center"/>
      <protection locked="0" hidden="0"/>
    </xf>
    <xf numFmtId="14" fontId="96" fillId="0" borderId="0" applyAlignment="1" applyProtection="1">
      <alignment horizontal="center" wrapText="1"/>
      <protection locked="0" hidden="0"/>
    </xf>
    <xf numFmtId="242" fontId="2" fillId="0" borderId="0"/>
    <xf numFmtId="179" fontId="2" fillId="0" borderId="0"/>
    <xf numFmtId="181" fontId="2" fillId="0" borderId="0" applyProtection="1">
      <protection locked="0" hidden="0"/>
    </xf>
    <xf numFmtId="181" fontId="2" fillId="0" borderId="0" applyProtection="1">
      <protection locked="0" hidden="0"/>
    </xf>
    <xf numFmtId="181" fontId="2" fillId="0" borderId="0" applyProtection="1">
      <protection locked="0" hidden="0"/>
    </xf>
    <xf numFmtId="181" fontId="2" fillId="0" borderId="0" applyProtection="1">
      <protection locked="0" hidden="0"/>
    </xf>
    <xf numFmtId="181" fontId="2" fillId="0" borderId="0" applyProtection="1">
      <protection locked="0" hidden="0"/>
    </xf>
    <xf numFmtId="181" fontId="2" fillId="0" borderId="0" applyProtection="1">
      <protection locked="0" hidden="0"/>
    </xf>
    <xf numFmtId="181" fontId="2" fillId="0" borderId="0" applyProtection="1">
      <protection locked="0" hidden="0"/>
    </xf>
    <xf numFmtId="181" fontId="2" fillId="0" borderId="0" applyProtection="1">
      <protection locked="0" hidden="0"/>
    </xf>
    <xf numFmtId="181" fontId="2" fillId="0" borderId="0" applyProtection="1">
      <protection locked="0" hidden="0"/>
    </xf>
    <xf numFmtId="181" fontId="2" fillId="0" borderId="0" applyProtection="1">
      <protection locked="0" hidden="0"/>
    </xf>
    <xf numFmtId="181" fontId="2" fillId="0" borderId="0" applyProtection="1">
      <protection locked="0" hidden="0"/>
    </xf>
    <xf numFmtId="181" fontId="2" fillId="0" borderId="0" applyProtection="1">
      <protection locked="0" hidden="0"/>
    </xf>
    <xf numFmtId="181" fontId="2" fillId="0" borderId="0" applyProtection="1">
      <protection locked="0" hidden="0"/>
    </xf>
    <xf numFmtId="181" fontId="2" fillId="0" borderId="0" applyProtection="1">
      <protection locked="0" hidden="0"/>
    </xf>
    <xf numFmtId="181" fontId="2" fillId="0" borderId="0" applyProtection="1">
      <protection locked="0" hidden="0"/>
    </xf>
    <xf numFmtId="181" fontId="2" fillId="0" borderId="0" applyProtection="1">
      <protection locked="0" hidden="0"/>
    </xf>
    <xf numFmtId="181" fontId="2" fillId="0" borderId="0" applyProtection="1">
      <protection locked="0" hidden="0"/>
    </xf>
    <xf numFmtId="181" fontId="2" fillId="0" borderId="0" applyProtection="1">
      <protection locked="0" hidden="0"/>
    </xf>
    <xf numFmtId="181" fontId="2" fillId="0" borderId="0" applyProtection="1">
      <protection locked="0" hidden="0"/>
    </xf>
    <xf numFmtId="181" fontId="2" fillId="0" borderId="0" applyProtection="1">
      <protection locked="0" hidden="0"/>
    </xf>
    <xf numFmtId="181" fontId="2" fillId="0" borderId="0" applyProtection="1">
      <protection locked="0" hidden="0"/>
    </xf>
    <xf numFmtId="181" fontId="2" fillId="0" borderId="0" applyProtection="1">
      <protection locked="0" hidden="0"/>
    </xf>
    <xf numFmtId="0" fontId="64" fillId="0" borderId="0" applyProtection="1">
      <protection locked="0" hidden="0"/>
    </xf>
    <xf numFmtId="181" fontId="2" fillId="0" borderId="0" applyProtection="1">
      <protection locked="0" hidden="0"/>
    </xf>
    <xf numFmtId="181" fontId="2" fillId="0" borderId="0" applyProtection="1">
      <protection locked="0" hidden="0"/>
    </xf>
    <xf numFmtId="181" fontId="2" fillId="0" borderId="0" applyProtection="1">
      <protection locked="0" hidden="0"/>
    </xf>
    <xf numFmtId="181" fontId="2" fillId="0" borderId="0" applyProtection="1">
      <protection locked="0" hidden="0"/>
    </xf>
    <xf numFmtId="181" fontId="2" fillId="0" borderId="0" applyProtection="1">
      <protection locked="0" hidden="0"/>
    </xf>
    <xf numFmtId="181" fontId="2" fillId="0" borderId="0" applyProtection="1">
      <protection locked="0" hidden="0"/>
    </xf>
    <xf numFmtId="181" fontId="2" fillId="0" borderId="0" applyProtection="1">
      <protection locked="0" hidden="0"/>
    </xf>
    <xf numFmtId="181" fontId="2" fillId="0" borderId="0" applyProtection="1">
      <protection locked="0" hidden="0"/>
    </xf>
    <xf numFmtId="0" fontId="64" fillId="0" borderId="0" applyProtection="1">
      <protection locked="0" hidden="0"/>
    </xf>
    <xf numFmtId="181" fontId="2" fillId="0" borderId="0" applyProtection="1">
      <protection locked="0" hidden="0"/>
    </xf>
    <xf numFmtId="0" fontId="64" fillId="0" borderId="0" applyProtection="1">
      <protection locked="0" hidden="0"/>
    </xf>
    <xf numFmtId="181" fontId="2" fillId="0" borderId="0" applyProtection="1">
      <protection locked="0" hidden="0"/>
    </xf>
    <xf numFmtId="181" fontId="2" fillId="0" borderId="0" applyProtection="1">
      <protection locked="0" hidden="0"/>
    </xf>
    <xf numFmtId="181" fontId="2" fillId="0" borderId="0" applyProtection="1">
      <protection locked="0" hidden="0"/>
    </xf>
    <xf numFmtId="181" fontId="2" fillId="0" borderId="0" applyProtection="1">
      <protection locked="0" hidden="0"/>
    </xf>
    <xf numFmtId="181" fontId="2" fillId="0" borderId="0" applyProtection="1">
      <protection locked="0" hidden="0"/>
    </xf>
    <xf numFmtId="243" fontId="2" fillId="0" borderId="0"/>
    <xf numFmtId="240" fontId="2" fillId="0" borderId="0"/>
    <xf numFmtId="243" fontId="2" fillId="0" borderId="0"/>
    <xf numFmtId="244" fontId="2" fillId="0" borderId="0"/>
    <xf numFmtId="240" fontId="2" fillId="0" borderId="0"/>
    <xf numFmtId="245" fontId="2" fillId="0" borderId="0"/>
    <xf numFmtId="279" fontId="21" fillId="0" borderId="0"/>
    <xf numFmtId="0" fontId="150" fillId="2" borderId="0" applyAlignment="1">
      <alignment vertical="center"/>
    </xf>
    <xf numFmtId="237" fontId="22" fillId="0" borderId="0" applyAlignment="1">
      <alignment horizontal="right"/>
    </xf>
    <xf numFmtId="0" fontId="139" fillId="2" borderId="0"/>
    <xf numFmtId="9" fontId="59" fillId="0" borderId="0"/>
    <xf numFmtId="0" fontId="151" fillId="0" borderId="81"/>
    <xf numFmtId="0" fontId="152" fillId="0" borderId="0"/>
    <xf numFmtId="176" fontId="83" fillId="0" borderId="0"/>
    <xf numFmtId="176" fontId="83" fillId="0" borderId="0"/>
    <xf numFmtId="0" fontId="21" fillId="0" borderId="0"/>
    <xf numFmtId="0" fontId="153" fillId="46" borderId="5" applyAlignment="1">
      <alignment horizontal="center" vertical="center"/>
    </xf>
    <xf numFmtId="0" fontId="153" fillId="46" borderId="5" applyAlignment="1">
      <alignment horizontal="center" vertical="center"/>
    </xf>
    <xf numFmtId="0" fontId="153" fillId="46" borderId="5" applyAlignment="1">
      <alignment horizontal="center" vertical="center"/>
    </xf>
    <xf numFmtId="0" fontId="30" fillId="0" borderId="0"/>
    <xf numFmtId="0" fontId="154" fillId="2" borderId="0"/>
    <xf numFmtId="0" fontId="2" fillId="47" borderId="0"/>
    <xf numFmtId="0" fontId="155" fillId="0" borderId="37" applyAlignment="1">
      <alignment vertical="center"/>
    </xf>
    <xf numFmtId="278" fontId="21" fillId="0" borderId="0"/>
    <xf numFmtId="4" fontId="156" fillId="0" borderId="0" applyAlignment="1">
      <alignment horizontal="right"/>
    </xf>
    <xf numFmtId="171" fontId="2" fillId="0" borderId="0" applyAlignment="1">
      <alignment horizontal="left"/>
    </xf>
    <xf numFmtId="171" fontId="2" fillId="0" borderId="0" applyAlignment="1">
      <alignment horizontal="left"/>
    </xf>
    <xf numFmtId="0" fontId="2" fillId="0" borderId="0"/>
    <xf numFmtId="0" fontId="126" fillId="0" borderId="0"/>
    <xf numFmtId="0" fontId="21" fillId="0" borderId="0"/>
    <xf numFmtId="49" fontId="157" fillId="2" borderId="0" applyAlignment="1">
      <alignment horizontal="centerContinuous"/>
    </xf>
    <xf numFmtId="280" fontId="2" fillId="0" borderId="0"/>
    <xf numFmtId="176" fontId="21" fillId="0" borderId="0"/>
    <xf numFmtId="213" fontId="21" fillId="0" borderId="0"/>
    <xf numFmtId="4" fontId="158" fillId="30" borderId="82" applyAlignment="1">
      <alignment vertical="center"/>
    </xf>
    <xf numFmtId="4" fontId="159" fillId="48" borderId="82" applyAlignment="1">
      <alignment horizontal="right" vertical="center"/>
    </xf>
    <xf numFmtId="0" fontId="160" fillId="0" borderId="83"/>
    <xf numFmtId="0" fontId="127" fillId="0" borderId="0" applyAlignment="1">
      <alignment horizontal="left"/>
    </xf>
    <xf numFmtId="186" fontId="19" fillId="0" borderId="0" applyAlignment="1">
      <alignment vertical="center"/>
    </xf>
    <xf numFmtId="0" fontId="2" fillId="49" borderId="84"/>
    <xf numFmtId="0" fontId="2" fillId="49" borderId="84"/>
    <xf numFmtId="0" fontId="2" fillId="49" borderId="84"/>
    <xf numFmtId="0" fontId="2" fillId="49" borderId="84"/>
    <xf numFmtId="0" fontId="2" fillId="49" borderId="84"/>
    <xf numFmtId="0" fontId="2" fillId="49" borderId="84"/>
    <xf numFmtId="0" fontId="2" fillId="49" borderId="84"/>
    <xf numFmtId="0" fontId="2" fillId="49" borderId="84"/>
    <xf numFmtId="0" fontId="161" fillId="50" borderId="19"/>
    <xf numFmtId="0" fontId="162" fillId="0" borderId="0"/>
    <xf numFmtId="186" fontId="19" fillId="0" borderId="0" applyAlignment="1">
      <alignment vertical="distributed"/>
    </xf>
    <xf numFmtId="0" fontId="59" fillId="0" borderId="0"/>
    <xf numFmtId="0" fontId="18" fillId="0" borderId="0"/>
    <xf numFmtId="0" fontId="163" fillId="0" borderId="0" applyAlignment="1">
      <alignment horizontal="center" vertical="center"/>
    </xf>
    <xf numFmtId="0" fontId="22" fillId="0" borderId="0"/>
    <xf numFmtId="0" fontId="164" fillId="0" borderId="0"/>
    <xf numFmtId="0" fontId="165" fillId="2" borderId="0" applyAlignment="1" applyProtection="1">
      <alignment horizontal="centerContinuous" vertical="center"/>
      <protection locked="1" hidden="1"/>
    </xf>
    <xf numFmtId="0" fontId="117" fillId="0" borderId="85"/>
    <xf numFmtId="0" fontId="21" fillId="2" borderId="74" applyAlignment="1">
      <alignment horizontal="center"/>
    </xf>
    <xf numFmtId="0" fontId="21" fillId="2" borderId="74" applyAlignment="1">
      <alignment horizontal="center"/>
    </xf>
    <xf numFmtId="40" fontId="18" fillId="0" borderId="0"/>
    <xf numFmtId="281" fontId="166" fillId="0" borderId="0" applyAlignment="1">
      <alignment horizontal="center"/>
    </xf>
    <xf numFmtId="49" fontId="67" fillId="0" borderId="0"/>
    <xf numFmtId="282" fontId="2" fillId="0" borderId="0"/>
    <xf numFmtId="283" fontId="2" fillId="0" borderId="0"/>
    <xf numFmtId="209" fontId="2" fillId="0" borderId="0"/>
    <xf numFmtId="0" fontId="21" fillId="0" borderId="0"/>
    <xf numFmtId="0" fontId="21" fillId="0" borderId="0"/>
    <xf numFmtId="49" fontId="167" fillId="0" borderId="0" applyAlignment="1">
      <alignment horizontal="centerContinuous" vertical="center"/>
    </xf>
    <xf numFmtId="49" fontId="167" fillId="0" borderId="0" applyAlignment="1">
      <alignment horizontal="centerContinuous" vertical="center"/>
    </xf>
    <xf numFmtId="49" fontId="167" fillId="0" borderId="0" applyAlignment="1">
      <alignment horizontal="centerContinuous" vertical="center"/>
    </xf>
    <xf numFmtId="49" fontId="167" fillId="0" borderId="0" applyAlignment="1">
      <alignment horizontal="centerContinuous" vertical="center"/>
    </xf>
    <xf numFmtId="49" fontId="167" fillId="0" borderId="0" applyAlignment="1">
      <alignment horizontal="centerContinuous" vertical="center"/>
    </xf>
    <xf numFmtId="49" fontId="167" fillId="0" borderId="0" applyAlignment="1">
      <alignment horizontal="centerContinuous" vertical="center"/>
    </xf>
    <xf numFmtId="49" fontId="167" fillId="0" borderId="0" applyAlignment="1">
      <alignment horizontal="centerContinuous" vertical="center"/>
    </xf>
    <xf numFmtId="49" fontId="167" fillId="0" borderId="0" applyAlignment="1">
      <alignment horizontal="centerContinuous" vertical="center"/>
    </xf>
    <xf numFmtId="49" fontId="167" fillId="0" borderId="0" applyAlignment="1">
      <alignment horizontal="centerContinuous" vertical="center"/>
    </xf>
    <xf numFmtId="49" fontId="167" fillId="0" borderId="0" applyAlignment="1">
      <alignment horizontal="centerContinuous" vertical="center"/>
    </xf>
    <xf numFmtId="49" fontId="167" fillId="0" borderId="0" applyAlignment="1">
      <alignment horizontal="centerContinuous" vertical="center"/>
    </xf>
    <xf numFmtId="49" fontId="167" fillId="0" borderId="0" applyAlignment="1">
      <alignment horizontal="centerContinuous" vertical="center"/>
    </xf>
    <xf numFmtId="49" fontId="167" fillId="0" borderId="0" applyAlignment="1">
      <alignment horizontal="centerContinuous" vertical="center"/>
    </xf>
    <xf numFmtId="0" fontId="42" fillId="2" borderId="0" applyAlignment="1">
      <alignment horizontal="centerContinuous"/>
    </xf>
    <xf numFmtId="0" fontId="128" fillId="0" borderId="0"/>
    <xf numFmtId="284" fontId="83" fillId="0" borderId="0" applyAlignment="1">
      <alignment horizontal="centerContinuous"/>
    </xf>
    <xf numFmtId="172" fontId="2" fillId="0" borderId="41" applyProtection="1">
      <protection locked="0" hidden="0"/>
    </xf>
    <xf numFmtId="172" fontId="2" fillId="0" borderId="41" applyProtection="1">
      <protection locked="0" hidden="0"/>
    </xf>
    <xf numFmtId="172" fontId="2" fillId="0" borderId="41" applyProtection="1">
      <protection locked="0" hidden="0"/>
    </xf>
    <xf numFmtId="172" fontId="2" fillId="0" borderId="41" applyProtection="1">
      <protection locked="0" hidden="0"/>
    </xf>
    <xf numFmtId="172" fontId="2" fillId="0" borderId="41" applyProtection="1">
      <protection locked="0" hidden="0"/>
    </xf>
    <xf numFmtId="172" fontId="2" fillId="0" borderId="41" applyProtection="1">
      <protection locked="0" hidden="0"/>
    </xf>
    <xf numFmtId="172" fontId="2" fillId="0" borderId="41" applyProtection="1">
      <protection locked="0" hidden="0"/>
    </xf>
    <xf numFmtId="0" fontId="21" fillId="0" borderId="42"/>
    <xf numFmtId="172" fontId="2" fillId="0" borderId="41" applyProtection="1">
      <protection locked="0" hidden="0"/>
    </xf>
    <xf numFmtId="172" fontId="2" fillId="0" borderId="41" applyProtection="1">
      <protection locked="0" hidden="0"/>
    </xf>
    <xf numFmtId="222" fontId="100" fillId="2" borderId="0"/>
    <xf numFmtId="49" fontId="168" fillId="2" borderId="0" applyAlignment="1">
      <alignment horizontal="right"/>
    </xf>
    <xf numFmtId="37" fontId="33" fillId="51" borderId="0"/>
    <xf numFmtId="37" fontId="33" fillId="0" borderId="0"/>
    <xf numFmtId="3" fontId="169" fillId="0" borderId="73"/>
    <xf numFmtId="285" fontId="2" fillId="0" borderId="0"/>
    <xf numFmtId="188" fontId="2" fillId="0" borderId="0"/>
    <xf numFmtId="286" fontId="18" fillId="0" borderId="0"/>
    <xf numFmtId="287" fontId="18" fillId="0" borderId="0"/>
    <xf numFmtId="0" fontId="170" fillId="0" borderId="0" applyAlignment="1">
      <alignment vertical="center"/>
    </xf>
    <xf numFmtId="288" fontId="2" fillId="0" borderId="0"/>
    <xf numFmtId="0" fontId="171" fillId="0" borderId="0" applyAlignment="1" applyProtection="1">
      <alignment vertical="top"/>
      <protection locked="0" hidden="0"/>
    </xf>
    <xf numFmtId="0" fontId="172" fillId="0" borderId="0"/>
    <xf numFmtId="0" fontId="173" fillId="0" borderId="0" applyProtection="1">
      <protection locked="0" hidden="0"/>
    </xf>
    <xf numFmtId="0" fontId="80" fillId="0" borderId="0"/>
    <xf numFmtId="49" fontId="57" fillId="0" borderId="37" applyAlignment="1">
      <alignment horizontal="center" vertical="center"/>
    </xf>
    <xf numFmtId="49" fontId="57" fillId="0" borderId="64" applyAlignment="1">
      <alignment horizontal="center" vertical="center"/>
    </xf>
    <xf numFmtId="49" fontId="57" fillId="0" borderId="64" applyAlignment="1">
      <alignment horizontal="center" vertical="center"/>
    </xf>
    <xf numFmtId="49" fontId="57" fillId="0" borderId="64" applyAlignment="1">
      <alignment horizontal="center" vertical="center"/>
    </xf>
    <xf numFmtId="49" fontId="57" fillId="0" borderId="64" applyAlignment="1">
      <alignment horizontal="center" vertical="center"/>
    </xf>
    <xf numFmtId="49" fontId="57" fillId="0" borderId="64" applyAlignment="1">
      <alignment horizontal="center" vertical="center"/>
    </xf>
    <xf numFmtId="49" fontId="57" fillId="0" borderId="64" applyAlignment="1">
      <alignment horizontal="center" vertical="center"/>
    </xf>
    <xf numFmtId="49" fontId="57" fillId="0" borderId="64" applyAlignment="1">
      <alignment horizontal="center" vertical="center"/>
    </xf>
    <xf numFmtId="198" fontId="51" fillId="0" borderId="0" applyAlignment="1">
      <alignment horizontal="right"/>
    </xf>
    <xf numFmtId="223" fontId="85" fillId="29" borderId="0" applyAlignment="1">
      <alignment vertical="center"/>
    </xf>
    <xf numFmtId="0" fontId="85" fillId="29" borderId="0" applyAlignment="1">
      <alignment vertical="center"/>
    </xf>
    <xf numFmtId="0" fontId="85" fillId="29" borderId="0" applyAlignment="1">
      <alignment vertical="center"/>
    </xf>
    <xf numFmtId="0" fontId="85" fillId="29" borderId="0" applyAlignment="1">
      <alignment vertical="center"/>
    </xf>
    <xf numFmtId="223" fontId="85" fillId="30" borderId="0" applyAlignment="1">
      <alignment vertical="center"/>
    </xf>
    <xf numFmtId="0" fontId="85" fillId="30" borderId="0" applyAlignment="1">
      <alignment vertical="center"/>
    </xf>
    <xf numFmtId="0" fontId="85" fillId="30" borderId="0" applyAlignment="1">
      <alignment vertical="center"/>
    </xf>
    <xf numFmtId="0" fontId="85" fillId="30" borderId="0" applyAlignment="1">
      <alignment vertical="center"/>
    </xf>
    <xf numFmtId="223" fontId="85" fillId="31" borderId="0" applyAlignment="1">
      <alignment vertical="center"/>
    </xf>
    <xf numFmtId="0" fontId="85" fillId="31" borderId="0" applyAlignment="1">
      <alignment vertical="center"/>
    </xf>
    <xf numFmtId="0" fontId="85" fillId="31" borderId="0" applyAlignment="1">
      <alignment vertical="center"/>
    </xf>
    <xf numFmtId="0" fontId="85" fillId="31" borderId="0" applyAlignment="1">
      <alignment vertical="center"/>
    </xf>
    <xf numFmtId="223" fontId="85" fillId="26" borderId="0" applyAlignment="1">
      <alignment vertical="center"/>
    </xf>
    <xf numFmtId="0" fontId="85" fillId="26" borderId="0" applyAlignment="1">
      <alignment vertical="center"/>
    </xf>
    <xf numFmtId="0" fontId="85" fillId="26" borderId="0" applyAlignment="1">
      <alignment vertical="center"/>
    </xf>
    <xf numFmtId="0" fontId="85" fillId="26" borderId="0" applyAlignment="1">
      <alignment vertical="center"/>
    </xf>
    <xf numFmtId="223" fontId="85" fillId="27" borderId="0" applyAlignment="1">
      <alignment vertical="center"/>
    </xf>
    <xf numFmtId="0" fontId="85" fillId="27" borderId="0" applyAlignment="1">
      <alignment vertical="center"/>
    </xf>
    <xf numFmtId="0" fontId="85" fillId="27" borderId="0" applyAlignment="1">
      <alignment vertical="center"/>
    </xf>
    <xf numFmtId="0" fontId="85" fillId="27" borderId="0" applyAlignment="1">
      <alignment vertical="center"/>
    </xf>
    <xf numFmtId="223" fontId="85" fillId="32" borderId="0" applyAlignment="1">
      <alignment vertical="center"/>
    </xf>
    <xf numFmtId="0" fontId="85" fillId="32" borderId="0" applyAlignment="1">
      <alignment vertical="center"/>
    </xf>
    <xf numFmtId="0" fontId="85" fillId="32" borderId="0" applyAlignment="1">
      <alignment vertical="center"/>
    </xf>
    <xf numFmtId="0" fontId="85" fillId="32" borderId="0" applyAlignment="1">
      <alignment vertical="center"/>
    </xf>
    <xf numFmtId="289" fontId="57" fillId="0" borderId="37" applyAlignment="1">
      <alignment vertical="center"/>
    </xf>
    <xf numFmtId="290" fontId="2" fillId="0" borderId="64" applyAlignment="1">
      <alignment vertical="center"/>
    </xf>
    <xf numFmtId="290" fontId="2" fillId="0" borderId="64" applyAlignment="1">
      <alignment vertical="center"/>
    </xf>
    <xf numFmtId="290" fontId="2" fillId="0" borderId="64" applyAlignment="1">
      <alignment vertical="center"/>
    </xf>
    <xf numFmtId="290" fontId="2" fillId="0" borderId="64" applyAlignment="1">
      <alignment vertical="center"/>
    </xf>
    <xf numFmtId="290" fontId="2" fillId="0" borderId="64" applyAlignment="1">
      <alignment vertical="center"/>
    </xf>
    <xf numFmtId="290" fontId="2" fillId="0" borderId="64" applyAlignment="1">
      <alignment vertical="center"/>
    </xf>
    <xf numFmtId="290" fontId="2" fillId="0" borderId="64" applyAlignment="1">
      <alignment vertical="center"/>
    </xf>
    <xf numFmtId="291" fontId="57" fillId="0" borderId="37" applyAlignment="1">
      <alignment vertical="center"/>
    </xf>
    <xf numFmtId="292" fontId="2" fillId="0" borderId="64" applyAlignment="1">
      <alignment vertical="center"/>
    </xf>
    <xf numFmtId="292" fontId="2" fillId="0" borderId="64" applyAlignment="1">
      <alignment vertical="center"/>
    </xf>
    <xf numFmtId="292" fontId="2" fillId="0" borderId="64" applyAlignment="1">
      <alignment vertical="center"/>
    </xf>
    <xf numFmtId="292" fontId="2" fillId="0" borderId="64" applyAlignment="1">
      <alignment vertical="center"/>
    </xf>
    <xf numFmtId="292" fontId="2" fillId="0" borderId="64" applyAlignment="1">
      <alignment vertical="center"/>
    </xf>
    <xf numFmtId="292" fontId="2" fillId="0" borderId="64" applyAlignment="1">
      <alignment vertical="center"/>
    </xf>
    <xf numFmtId="292" fontId="2" fillId="0" borderId="64" applyAlignment="1">
      <alignment vertical="center"/>
    </xf>
    <xf numFmtId="293" fontId="57" fillId="0" borderId="37" applyAlignment="1">
      <alignment vertical="center"/>
    </xf>
    <xf numFmtId="294" fontId="2" fillId="0" borderId="64" applyAlignment="1">
      <alignment vertical="center"/>
    </xf>
    <xf numFmtId="294" fontId="2" fillId="0" borderId="64" applyAlignment="1">
      <alignment vertical="center"/>
    </xf>
    <xf numFmtId="294" fontId="2" fillId="0" borderId="64" applyAlignment="1">
      <alignment vertical="center"/>
    </xf>
    <xf numFmtId="294" fontId="2" fillId="0" borderId="64" applyAlignment="1">
      <alignment vertical="center"/>
    </xf>
    <xf numFmtId="294" fontId="2" fillId="0" borderId="64" applyAlignment="1">
      <alignment vertical="center"/>
    </xf>
    <xf numFmtId="294" fontId="2" fillId="0" borderId="64" applyAlignment="1">
      <alignment vertical="center"/>
    </xf>
    <xf numFmtId="294" fontId="2" fillId="0" borderId="64" applyAlignment="1">
      <alignment vertical="center"/>
    </xf>
    <xf numFmtId="165" fontId="28" fillId="0" borderId="0"/>
    <xf numFmtId="223" fontId="170" fillId="0" borderId="0" applyAlignment="1">
      <alignment vertical="center"/>
    </xf>
    <xf numFmtId="0" fontId="170" fillId="0" borderId="0" applyAlignment="1">
      <alignment vertical="center"/>
    </xf>
    <xf numFmtId="223" fontId="170" fillId="0" borderId="0" applyAlignment="1">
      <alignment vertical="center"/>
    </xf>
    <xf numFmtId="223" fontId="174" fillId="0" borderId="0" applyAlignment="1">
      <alignment vertical="center"/>
    </xf>
    <xf numFmtId="0" fontId="170" fillId="0" borderId="0" applyAlignment="1">
      <alignment vertical="center"/>
    </xf>
    <xf numFmtId="223" fontId="174" fillId="0" borderId="0" applyAlignment="1">
      <alignment vertical="center"/>
    </xf>
    <xf numFmtId="0" fontId="170" fillId="0" borderId="0" applyAlignment="1">
      <alignment vertical="center"/>
    </xf>
    <xf numFmtId="223" fontId="109" fillId="35" borderId="55" applyAlignment="1">
      <alignment vertical="center"/>
    </xf>
    <xf numFmtId="223" fontId="109" fillId="35" borderId="55" applyAlignment="1">
      <alignment vertical="center"/>
    </xf>
    <xf numFmtId="223" fontId="109" fillId="35" borderId="55" applyAlignment="1">
      <alignment vertical="center"/>
    </xf>
    <xf numFmtId="223" fontId="109" fillId="35" borderId="55" applyAlignment="1">
      <alignment vertical="center"/>
    </xf>
    <xf numFmtId="223" fontId="109" fillId="35" borderId="55" applyAlignment="1">
      <alignment vertical="center"/>
    </xf>
    <xf numFmtId="223" fontId="109" fillId="35" borderId="55" applyAlignment="1">
      <alignment vertical="center"/>
    </xf>
    <xf numFmtId="223" fontId="109" fillId="35" borderId="55" applyAlignment="1">
      <alignment vertical="center"/>
    </xf>
    <xf numFmtId="223" fontId="109" fillId="35" borderId="55" applyAlignment="1">
      <alignment vertical="center"/>
    </xf>
    <xf numFmtId="223" fontId="109" fillId="35" borderId="55" applyAlignment="1">
      <alignment vertical="center"/>
    </xf>
    <xf numFmtId="223" fontId="109" fillId="35" borderId="55" applyAlignment="1">
      <alignment vertical="center"/>
    </xf>
    <xf numFmtId="0" fontId="109" fillId="35" borderId="55" applyAlignment="1">
      <alignment vertical="center"/>
    </xf>
    <xf numFmtId="223" fontId="109" fillId="35" borderId="55" applyAlignment="1">
      <alignment vertical="center"/>
    </xf>
    <xf numFmtId="223" fontId="109" fillId="35" borderId="55" applyAlignment="1">
      <alignment vertical="center"/>
    </xf>
    <xf numFmtId="223" fontId="109" fillId="35" borderId="55" applyAlignment="1">
      <alignment vertical="center"/>
    </xf>
    <xf numFmtId="223" fontId="109" fillId="35" borderId="55" applyAlignment="1">
      <alignment vertical="center"/>
    </xf>
    <xf numFmtId="223" fontId="109" fillId="35" borderId="55" applyAlignment="1">
      <alignment vertical="center"/>
    </xf>
    <xf numFmtId="223" fontId="109" fillId="35" borderId="55" applyAlignment="1">
      <alignment vertical="center"/>
    </xf>
    <xf numFmtId="0" fontId="109" fillId="35" borderId="55" applyAlignment="1">
      <alignment vertical="center"/>
    </xf>
    <xf numFmtId="0" fontId="109" fillId="35" borderId="55" applyAlignment="1">
      <alignment vertical="center"/>
    </xf>
    <xf numFmtId="0" fontId="109" fillId="35" borderId="55" applyAlignment="1">
      <alignment vertical="center"/>
    </xf>
    <xf numFmtId="0" fontId="109" fillId="35" borderId="55" applyAlignment="1">
      <alignment vertical="center"/>
    </xf>
    <xf numFmtId="0" fontId="109" fillId="35" borderId="55" applyAlignment="1">
      <alignment vertical="center"/>
    </xf>
    <xf numFmtId="0" fontId="109" fillId="35" borderId="55" applyAlignment="1">
      <alignment vertical="center"/>
    </xf>
    <xf numFmtId="0" fontId="109" fillId="35" borderId="55" applyAlignment="1">
      <alignment vertical="center"/>
    </xf>
    <xf numFmtId="0" fontId="109" fillId="35" borderId="55" applyAlignment="1">
      <alignment vertical="center"/>
    </xf>
    <xf numFmtId="0" fontId="109" fillId="35" borderId="55" applyAlignment="1">
      <alignment vertical="center"/>
    </xf>
    <xf numFmtId="0" fontId="109" fillId="35" borderId="55" applyAlignment="1">
      <alignment vertical="center"/>
    </xf>
    <xf numFmtId="0" fontId="109" fillId="35" borderId="55" applyAlignment="1">
      <alignment vertical="center"/>
    </xf>
    <xf numFmtId="0" fontId="109" fillId="35" borderId="55" applyAlignment="1">
      <alignment vertical="center"/>
    </xf>
    <xf numFmtId="0" fontId="109" fillId="35" borderId="55" applyAlignment="1">
      <alignment vertical="center"/>
    </xf>
    <xf numFmtId="0" fontId="109" fillId="35" borderId="55" applyAlignment="1">
      <alignment vertical="center"/>
    </xf>
    <xf numFmtId="0" fontId="109" fillId="35" borderId="55" applyAlignment="1">
      <alignment vertical="center"/>
    </xf>
    <xf numFmtId="0" fontId="109" fillId="35" borderId="55" applyAlignment="1">
      <alignment vertical="center"/>
    </xf>
    <xf numFmtId="0" fontId="175" fillId="0" borderId="0"/>
    <xf numFmtId="0" fontId="175" fillId="0" borderId="86" applyAlignment="1">
      <alignment horizontal="center"/>
    </xf>
    <xf numFmtId="0" fontId="175" fillId="0" borderId="87"/>
    <xf numFmtId="0" fontId="55" fillId="0" borderId="0"/>
    <xf numFmtId="0" fontId="19" fillId="0" borderId="0" applyAlignment="1">
      <alignment vertical="center"/>
    </xf>
    <xf numFmtId="0" fontId="176" fillId="0" borderId="0"/>
    <xf numFmtId="0" fontId="177" fillId="0" borderId="13" applyAlignment="1">
      <alignment horizontal="center" vertical="center"/>
    </xf>
    <xf numFmtId="0" fontId="178" fillId="0" borderId="0"/>
    <xf numFmtId="0" fontId="2" fillId="0" borderId="37" applyAlignment="1">
      <alignment horizontal="right" vertical="center"/>
    </xf>
    <xf numFmtId="165" fontId="49" fillId="0" borderId="0"/>
    <xf numFmtId="0" fontId="179" fillId="0" borderId="0" applyAlignment="1">
      <alignment horizontal="left" vertical="center"/>
    </xf>
    <xf numFmtId="0" fontId="2" fillId="0" borderId="0" applyProtection="1">
      <protection locked="0" hidden="0"/>
    </xf>
    <xf numFmtId="223" fontId="99" fillId="16" borderId="0" applyAlignment="1">
      <alignment vertical="center"/>
    </xf>
    <xf numFmtId="0" fontId="99" fillId="16" borderId="0" applyAlignment="1">
      <alignment vertical="center"/>
    </xf>
    <xf numFmtId="0" fontId="99" fillId="16" borderId="0" applyAlignment="1">
      <alignment vertical="center"/>
    </xf>
    <xf numFmtId="0" fontId="99" fillId="16" borderId="0" applyAlignment="1">
      <alignment vertical="center"/>
    </xf>
    <xf numFmtId="0" fontId="180" fillId="0" borderId="4"/>
    <xf numFmtId="0" fontId="98" fillId="0" borderId="8" applyAlignment="1">
      <alignment vertical="center"/>
    </xf>
    <xf numFmtId="183" fontId="181" fillId="0" borderId="70" applyAlignment="1">
      <alignment horizontal="center" vertical="center"/>
    </xf>
    <xf numFmtId="183" fontId="181" fillId="0" borderId="70" applyAlignment="1">
      <alignment horizontal="center" vertical="center"/>
    </xf>
    <xf numFmtId="183" fontId="181" fillId="0" borderId="70" applyAlignment="1">
      <alignment horizontal="center" vertical="center"/>
    </xf>
    <xf numFmtId="183" fontId="181" fillId="0" borderId="70" applyAlignment="1">
      <alignment horizontal="center" vertical="center"/>
    </xf>
    <xf numFmtId="183" fontId="181" fillId="0" borderId="70" applyAlignment="1">
      <alignment horizontal="center" vertical="center"/>
    </xf>
    <xf numFmtId="183" fontId="181" fillId="0" borderId="70" applyAlignment="1">
      <alignment horizontal="center" vertical="center"/>
    </xf>
    <xf numFmtId="183" fontId="181" fillId="0" borderId="70" applyAlignment="1">
      <alignment horizontal="center" vertical="center"/>
    </xf>
    <xf numFmtId="183" fontId="181" fillId="0" borderId="70" applyAlignment="1">
      <alignment horizontal="center" vertical="center"/>
    </xf>
    <xf numFmtId="3" fontId="3" fillId="0" borderId="9" applyAlignment="1">
      <alignment horizontal="center" vertical="center"/>
    </xf>
    <xf numFmtId="0" fontId="20" fillId="45" borderId="0" applyAlignment="1">
      <alignment horizontal="left"/>
    </xf>
    <xf numFmtId="0" fontId="48" fillId="0" borderId="0" applyAlignment="1" applyProtection="1">
      <alignment vertical="top"/>
      <protection locked="0" hidden="0"/>
    </xf>
    <xf numFmtId="40" fontId="182" fillId="0" borderId="0"/>
    <xf numFmtId="38" fontId="182" fillId="0" borderId="0"/>
    <xf numFmtId="0" fontId="21" fillId="0" borderId="0"/>
    <xf numFmtId="0" fontId="21" fillId="0" borderId="0"/>
    <xf numFmtId="295" fontId="183" fillId="0" borderId="88" applyAlignment="1">
      <alignment horizontal="center" vertical="center"/>
    </xf>
    <xf numFmtId="0" fontId="2" fillId="0" borderId="40" applyAlignment="1">
      <alignment horizontal="center"/>
    </xf>
    <xf numFmtId="0" fontId="64" fillId="0" borderId="66" applyAlignment="1">
      <alignment vertical="center"/>
    </xf>
    <xf numFmtId="0" fontId="20" fillId="0" borderId="0"/>
    <xf numFmtId="296" fontId="57" fillId="0" borderId="0" applyAlignment="1">
      <alignment vertical="center"/>
    </xf>
    <xf numFmtId="296" fontId="57" fillId="0" borderId="0" applyAlignment="1">
      <alignment vertical="center"/>
    </xf>
    <xf numFmtId="223" fontId="2" fillId="44" borderId="78" applyAlignment="1">
      <alignment vertical="center"/>
    </xf>
    <xf numFmtId="223" fontId="2" fillId="44" borderId="78" applyAlignment="1">
      <alignment vertical="center"/>
    </xf>
    <xf numFmtId="0" fontId="81" fillId="44" borderId="78" applyAlignment="1">
      <alignment vertical="center"/>
    </xf>
    <xf numFmtId="223" fontId="2" fillId="44" borderId="78" applyAlignment="1">
      <alignment vertical="center"/>
    </xf>
    <xf numFmtId="223" fontId="2" fillId="44" borderId="78" applyAlignment="1">
      <alignment vertical="center"/>
    </xf>
    <xf numFmtId="223" fontId="2" fillId="44" borderId="78" applyAlignment="1">
      <alignment vertical="center"/>
    </xf>
    <xf numFmtId="223" fontId="2" fillId="44" borderId="78" applyAlignment="1">
      <alignment vertical="center"/>
    </xf>
    <xf numFmtId="223" fontId="2" fillId="44" borderId="78" applyAlignment="1">
      <alignment vertical="center"/>
    </xf>
    <xf numFmtId="223" fontId="2" fillId="44" borderId="78" applyAlignment="1">
      <alignment vertical="center"/>
    </xf>
    <xf numFmtId="223" fontId="2" fillId="44" borderId="78" applyAlignment="1">
      <alignment vertical="center"/>
    </xf>
    <xf numFmtId="223" fontId="2" fillId="7" borderId="45" applyAlignment="1">
      <alignment vertical="center"/>
    </xf>
    <xf numFmtId="0" fontId="81" fillId="44" borderId="78" applyAlignment="1">
      <alignment vertical="center"/>
    </xf>
    <xf numFmtId="223" fontId="2" fillId="7" borderId="45" applyAlignment="1">
      <alignment vertical="center"/>
    </xf>
    <xf numFmtId="223" fontId="2" fillId="44" borderId="78" applyAlignment="1">
      <alignment vertical="center"/>
    </xf>
    <xf numFmtId="0" fontId="2" fillId="44" borderId="78" applyAlignment="1">
      <alignment vertical="center"/>
    </xf>
    <xf numFmtId="0" fontId="2" fillId="44" borderId="78" applyAlignment="1">
      <alignment vertical="center"/>
    </xf>
    <xf numFmtId="0" fontId="2" fillId="44" borderId="78" applyAlignment="1">
      <alignment vertical="center"/>
    </xf>
    <xf numFmtId="0" fontId="2" fillId="44" borderId="78" applyAlignment="1">
      <alignment vertical="center"/>
    </xf>
    <xf numFmtId="0" fontId="2" fillId="44" borderId="78" applyAlignment="1">
      <alignment vertical="center"/>
    </xf>
    <xf numFmtId="0" fontId="2" fillId="44" borderId="78" applyAlignment="1">
      <alignment vertical="center"/>
    </xf>
    <xf numFmtId="0" fontId="2" fillId="44" borderId="78" applyAlignment="1">
      <alignment vertical="center"/>
    </xf>
    <xf numFmtId="0" fontId="2" fillId="44" borderId="78" applyAlignment="1">
      <alignment vertical="center"/>
    </xf>
    <xf numFmtId="0" fontId="182" fillId="0" borderId="0"/>
    <xf numFmtId="0" fontId="182" fillId="0" borderId="0"/>
    <xf numFmtId="0" fontId="21" fillId="0" borderId="0"/>
    <xf numFmtId="0" fontId="21" fillId="0" borderId="0"/>
    <xf numFmtId="41" fontId="19" fillId="0" borderId="37" applyAlignment="1">
      <alignment horizontal="distributed"/>
    </xf>
    <xf numFmtId="41" fontId="19" fillId="0" borderId="37" applyAlignment="1">
      <alignment horizontal="distributed" vertical="center"/>
    </xf>
    <xf numFmtId="41" fontId="19" fillId="0" borderId="37" applyAlignment="1">
      <alignment horizontal="distributed" vertical="center"/>
    </xf>
    <xf numFmtId="41" fontId="19" fillId="0" borderId="37" applyAlignment="1">
      <alignment horizontal="distributed" vertical="center"/>
    </xf>
    <xf numFmtId="41" fontId="19" fillId="0" borderId="37" applyAlignment="1">
      <alignment horizontal="distributed" vertical="center"/>
    </xf>
    <xf numFmtId="41" fontId="19" fillId="0" borderId="37" applyAlignment="1">
      <alignment horizontal="distributed" vertical="center"/>
    </xf>
    <xf numFmtId="41" fontId="19" fillId="0" borderId="37" applyAlignment="1">
      <alignment horizontal="distributed" vertical="center"/>
    </xf>
    <xf numFmtId="41" fontId="19" fillId="0" borderId="37" applyAlignment="1">
      <alignment horizontal="distributed" vertical="center"/>
    </xf>
    <xf numFmtId="212" fontId="78" fillId="0" borderId="0" applyProtection="1">
      <protection locked="0" hidden="0"/>
    </xf>
    <xf numFmtId="0" fontId="78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212" fontId="78" fillId="0" borderId="0" applyProtection="1">
      <protection locked="0" hidden="0"/>
    </xf>
    <xf numFmtId="212" fontId="78" fillId="0" borderId="0" applyProtection="1">
      <protection locked="0" hidden="0"/>
    </xf>
    <xf numFmtId="212" fontId="78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243" fontId="19" fillId="0" borderId="0" applyAlignment="1">
      <alignment horizontal="center" vertical="center"/>
    </xf>
    <xf numFmtId="297" fontId="19" fillId="0" borderId="0" applyAlignment="1">
      <alignment horizontal="center" vertical="center"/>
    </xf>
    <xf numFmtId="9" fontId="21" fillId="0" borderId="0"/>
    <xf numFmtId="9" fontId="20" fillId="0" borderId="0"/>
    <xf numFmtId="9" fontId="2" fillId="0" borderId="0" applyAlignment="1">
      <alignment vertical="center"/>
    </xf>
    <xf numFmtId="9" fontId="2" fillId="0" borderId="0"/>
    <xf numFmtId="9" fontId="2" fillId="0" borderId="0"/>
    <xf numFmtId="9" fontId="20" fillId="0" borderId="0"/>
    <xf numFmtId="9" fontId="2" fillId="0" borderId="0" applyAlignment="1">
      <alignment vertical="center"/>
    </xf>
    <xf numFmtId="9" fontId="2" fillId="0" borderId="0" applyAlignment="1">
      <alignment vertical="center"/>
    </xf>
    <xf numFmtId="9" fontId="8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64" fillId="0" borderId="0"/>
    <xf numFmtId="9" fontId="81" fillId="0" borderId="0" applyAlignment="1">
      <alignment vertical="center"/>
    </xf>
    <xf numFmtId="9" fontId="64" fillId="0" borderId="0"/>
    <xf numFmtId="9" fontId="2" fillId="0" borderId="0" applyAlignment="1">
      <alignment vertical="center"/>
    </xf>
    <xf numFmtId="9" fontId="82" fillId="0" borderId="0" applyAlignment="1">
      <alignment vertical="center"/>
    </xf>
    <xf numFmtId="9" fontId="2" fillId="0" borderId="0"/>
    <xf numFmtId="9" fontId="82" fillId="0" borderId="0" applyAlignment="1">
      <alignment vertical="center"/>
    </xf>
    <xf numFmtId="9" fontId="184" fillId="0" borderId="0" applyAlignment="1">
      <alignment vertical="center"/>
    </xf>
    <xf numFmtId="9" fontId="1" fillId="0" borderId="0" applyAlignment="1">
      <alignment vertical="center"/>
    </xf>
    <xf numFmtId="9" fontId="64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49" fillId="0" borderId="0" applyAlignment="1">
      <alignment vertical="center"/>
    </xf>
    <xf numFmtId="13" fontId="21" fillId="0" borderId="0"/>
    <xf numFmtId="9" fontId="2" fillId="0" borderId="0"/>
    <xf numFmtId="9" fontId="2" fillId="0" borderId="0"/>
    <xf numFmtId="9" fontId="20" fillId="0" borderId="0"/>
    <xf numFmtId="183" fontId="2" fillId="0" borderId="0"/>
    <xf numFmtId="213" fontId="2" fillId="0" borderId="0"/>
    <xf numFmtId="298" fontId="2" fillId="0" borderId="66" applyAlignment="1">
      <alignment horizontal="right" vertical="center"/>
    </xf>
    <xf numFmtId="0" fontId="20" fillId="0" borderId="89"/>
    <xf numFmtId="0" fontId="185" fillId="0" borderId="0"/>
    <xf numFmtId="223" fontId="144" fillId="42" borderId="0" applyAlignment="1">
      <alignment vertical="center"/>
    </xf>
    <xf numFmtId="0" fontId="144" fillId="42" borderId="0" applyAlignment="1">
      <alignment vertical="center"/>
    </xf>
    <xf numFmtId="0" fontId="144" fillId="42" borderId="0" applyAlignment="1">
      <alignment vertical="center"/>
    </xf>
    <xf numFmtId="0" fontId="144" fillId="42" borderId="0" applyAlignment="1">
      <alignment vertical="center"/>
    </xf>
    <xf numFmtId="0" fontId="180" fillId="52" borderId="4" applyAlignment="1">
      <alignment horizontal="center"/>
    </xf>
    <xf numFmtId="0" fontId="50" fillId="0" borderId="0"/>
    <xf numFmtId="213" fontId="186" fillId="0" borderId="86" applyAlignment="1">
      <alignment vertical="center"/>
    </xf>
    <xf numFmtId="299" fontId="20" fillId="0" borderId="90"/>
    <xf numFmtId="0" fontId="21" fillId="0" borderId="0"/>
    <xf numFmtId="300" fontId="20" fillId="0" borderId="37" applyAlignment="1">
      <alignment horizontal="center" vertical="center"/>
    </xf>
    <xf numFmtId="300" fontId="20" fillId="0" borderId="37" applyAlignment="1">
      <alignment horizontal="center" vertical="center"/>
    </xf>
    <xf numFmtId="300" fontId="20" fillId="0" borderId="37" applyAlignment="1">
      <alignment horizontal="center" vertical="center"/>
    </xf>
    <xf numFmtId="300" fontId="20" fillId="0" borderId="37" applyAlignment="1">
      <alignment horizontal="center" vertical="center"/>
    </xf>
    <xf numFmtId="300" fontId="20" fillId="0" borderId="37" applyAlignment="1">
      <alignment horizontal="center" vertical="center"/>
    </xf>
    <xf numFmtId="300" fontId="20" fillId="0" borderId="37" applyAlignment="1">
      <alignment horizontal="center" vertical="center"/>
    </xf>
    <xf numFmtId="300" fontId="20" fillId="0" borderId="37" applyAlignment="1">
      <alignment horizontal="center" vertical="center"/>
    </xf>
    <xf numFmtId="300" fontId="20" fillId="0" borderId="37" applyAlignment="1">
      <alignment horizontal="center" vertical="center"/>
    </xf>
    <xf numFmtId="0" fontId="86" fillId="0" borderId="0" applyAlignment="1">
      <alignment horizontal="centerContinuous" vertical="center"/>
    </xf>
    <xf numFmtId="301" fontId="86" fillId="0" borderId="0" applyAlignment="1">
      <alignment horizontal="centerContinuous" vertical="center"/>
    </xf>
    <xf numFmtId="169" fontId="86" fillId="0" borderId="0" applyAlignment="1">
      <alignment horizontal="centerContinuous"/>
    </xf>
    <xf numFmtId="0" fontId="57" fillId="0" borderId="0" applyAlignment="1">
      <alignment horizontal="centerContinuous" vertical="center"/>
    </xf>
    <xf numFmtId="183" fontId="2" fillId="0" borderId="0" applyAlignment="1">
      <alignment horizontal="centerContinuous"/>
    </xf>
    <xf numFmtId="169" fontId="86" fillId="0" borderId="0" applyAlignment="1">
      <alignment horizontal="centerContinuous" vertical="center"/>
    </xf>
    <xf numFmtId="3" fontId="19" fillId="0" borderId="37"/>
    <xf numFmtId="0" fontId="19" fillId="0" borderId="37"/>
    <xf numFmtId="3" fontId="19" fillId="0" borderId="91"/>
    <xf numFmtId="3" fontId="19" fillId="0" borderId="92"/>
    <xf numFmtId="0" fontId="187" fillId="0" borderId="37"/>
    <xf numFmtId="0" fontId="188" fillId="0" borderId="0" applyAlignment="1">
      <alignment horizontal="center"/>
    </xf>
    <xf numFmtId="0" fontId="80" fillId="0" borderId="93" applyAlignment="1">
      <alignment horizontal="center"/>
    </xf>
    <xf numFmtId="223" fontId="121" fillId="0" borderId="0" applyAlignment="1">
      <alignment vertical="center"/>
    </xf>
    <xf numFmtId="0" fontId="121" fillId="0" borderId="0" applyAlignment="1">
      <alignment vertical="center"/>
    </xf>
    <xf numFmtId="0" fontId="121" fillId="0" borderId="0" applyAlignment="1">
      <alignment vertical="center"/>
    </xf>
    <xf numFmtId="0" fontId="121" fillId="0" borderId="0" applyAlignment="1">
      <alignment vertical="center"/>
    </xf>
    <xf numFmtId="223" fontId="110" fillId="36" borderId="56" applyAlignment="1">
      <alignment vertical="center"/>
    </xf>
    <xf numFmtId="223" fontId="110" fillId="36" borderId="56" applyAlignment="1">
      <alignment vertical="center"/>
    </xf>
    <xf numFmtId="0" fontId="110" fillId="36" borderId="56" applyAlignment="1">
      <alignment vertical="center"/>
    </xf>
    <xf numFmtId="0" fontId="110" fillId="36" borderId="56" applyAlignment="1">
      <alignment vertical="center"/>
    </xf>
    <xf numFmtId="0" fontId="110" fillId="36" borderId="56" applyAlignment="1">
      <alignment vertical="center"/>
    </xf>
    <xf numFmtId="194" fontId="55" fillId="0" borderId="6"/>
    <xf numFmtId="4" fontId="55" fillId="0" borderId="90"/>
    <xf numFmtId="218" fontId="49" fillId="0" borderId="90"/>
    <xf numFmtId="302" fontId="49" fillId="0" borderId="90"/>
    <xf numFmtId="2" fontId="84" fillId="0" borderId="9"/>
    <xf numFmtId="169" fontId="72" fillId="0" borderId="15" applyAlignment="1">
      <alignment vertical="center"/>
    </xf>
    <xf numFmtId="301" fontId="72" fillId="0" borderId="15" applyAlignment="1">
      <alignment vertical="center"/>
    </xf>
    <xf numFmtId="3" fontId="177" fillId="0" borderId="0" applyAlignment="1">
      <alignment vertical="center" wrapText="1"/>
    </xf>
    <xf numFmtId="3" fontId="189" fillId="0" borderId="0" applyAlignment="1">
      <alignment vertical="center" wrapText="1"/>
    </xf>
    <xf numFmtId="0" fontId="190" fillId="0" borderId="0" applyAlignment="1">
      <alignment vertical="center"/>
    </xf>
    <xf numFmtId="303" fontId="181" fillId="0" borderId="0" applyAlignment="1">
      <alignment vertical="center"/>
    </xf>
    <xf numFmtId="0" fontId="175" fillId="0" borderId="0"/>
    <xf numFmtId="213" fontId="175" fillId="0" borderId="86" applyAlignment="1">
      <alignment vertical="center"/>
    </xf>
    <xf numFmtId="4" fontId="191" fillId="0" borderId="0" applyAlignment="1">
      <alignment horizontal="centerContinuous" vertical="center"/>
    </xf>
    <xf numFmtId="304" fontId="57" fillId="0" borderId="0"/>
    <xf numFmtId="169" fontId="86" fillId="0" borderId="0" applyAlignment="1">
      <alignment horizontal="centerContinuous" vertical="center"/>
    </xf>
    <xf numFmtId="1" fontId="86" fillId="0" borderId="0" applyAlignment="1">
      <alignment horizontal="centerContinuous" vertical="center"/>
    </xf>
    <xf numFmtId="305" fontId="86" fillId="0" borderId="0" applyAlignment="1">
      <alignment horizontal="centerContinuous" vertical="center"/>
    </xf>
    <xf numFmtId="218" fontId="86" fillId="0" borderId="0" applyAlignment="1">
      <alignment horizontal="centerContinuous" vertical="center"/>
    </xf>
    <xf numFmtId="306" fontId="86" fillId="0" borderId="13" applyAlignment="1" applyProtection="1">
      <alignment horizontal="right" vertical="center"/>
      <protection locked="0" hidden="0"/>
    </xf>
    <xf numFmtId="306" fontId="64" fillId="0" borderId="0" applyAlignment="1">
      <alignment vertical="center"/>
    </xf>
    <xf numFmtId="176" fontId="20" fillId="0" borderId="0"/>
    <xf numFmtId="41" fontId="49" fillId="0" borderId="0" applyAlignment="1">
      <alignment vertical="center"/>
    </xf>
    <xf numFmtId="41" fontId="20" fillId="0" borderId="0"/>
    <xf numFmtId="41" fontId="192" fillId="0" borderId="0" applyAlignment="1">
      <alignment vertical="center"/>
    </xf>
    <xf numFmtId="41" fontId="81" fillId="0" borderId="0" applyAlignment="1">
      <alignment vertical="center"/>
    </xf>
    <xf numFmtId="41" fontId="2" fillId="0" borderId="0" applyAlignment="1">
      <alignment vertical="center"/>
    </xf>
    <xf numFmtId="41" fontId="2" fillId="0" borderId="0" applyAlignment="1">
      <alignment vertical="center"/>
    </xf>
    <xf numFmtId="41" fontId="2" fillId="0" borderId="0" applyAlignment="1">
      <alignment vertical="center"/>
    </xf>
    <xf numFmtId="41" fontId="2" fillId="0" borderId="0" applyAlignment="1">
      <alignment vertical="center"/>
    </xf>
    <xf numFmtId="41" fontId="21" fillId="0" borderId="0" applyAlignment="1">
      <alignment vertical="center"/>
    </xf>
    <xf numFmtId="41" fontId="81" fillId="0" borderId="0" applyAlignment="1">
      <alignment vertical="center"/>
    </xf>
    <xf numFmtId="41" fontId="81" fillId="0" borderId="0" applyAlignment="1">
      <alignment vertical="center"/>
    </xf>
    <xf numFmtId="41" fontId="81" fillId="0" borderId="0" applyAlignment="1">
      <alignment vertical="center"/>
    </xf>
    <xf numFmtId="41" fontId="81" fillId="0" borderId="0" applyAlignment="1">
      <alignment vertical="center"/>
    </xf>
    <xf numFmtId="41" fontId="81" fillId="0" borderId="0" applyAlignment="1">
      <alignment vertical="center"/>
    </xf>
    <xf numFmtId="41" fontId="81" fillId="0" borderId="0" applyAlignment="1">
      <alignment vertical="center"/>
    </xf>
    <xf numFmtId="41" fontId="20" fillId="0" borderId="0"/>
    <xf numFmtId="41" fontId="81" fillId="0" borderId="0" applyAlignment="1">
      <alignment vertical="center"/>
    </xf>
    <xf numFmtId="41" fontId="2" fillId="0" borderId="0" applyAlignment="1">
      <alignment vertical="center"/>
    </xf>
    <xf numFmtId="41" fontId="81" fillId="0" borderId="0" applyAlignment="1">
      <alignment vertical="center"/>
    </xf>
    <xf numFmtId="41" fontId="81" fillId="0" borderId="0" applyAlignment="1">
      <alignment vertical="center"/>
    </xf>
    <xf numFmtId="41" fontId="81" fillId="0" borderId="0" applyAlignment="1">
      <alignment vertical="center"/>
    </xf>
    <xf numFmtId="41" fontId="81" fillId="0" borderId="0" applyAlignment="1">
      <alignment vertical="center"/>
    </xf>
    <xf numFmtId="41" fontId="81" fillId="0" borderId="0" applyAlignment="1">
      <alignment vertical="center"/>
    </xf>
    <xf numFmtId="41" fontId="81" fillId="0" borderId="0" applyAlignment="1">
      <alignment vertical="center"/>
    </xf>
    <xf numFmtId="41" fontId="81" fillId="0" borderId="0" applyAlignment="1">
      <alignment vertical="center"/>
    </xf>
    <xf numFmtId="41" fontId="81" fillId="0" borderId="0" applyAlignment="1">
      <alignment vertical="center"/>
    </xf>
    <xf numFmtId="41" fontId="81" fillId="0" borderId="0" applyAlignment="1">
      <alignment vertical="center"/>
    </xf>
    <xf numFmtId="41" fontId="81" fillId="0" borderId="0" applyAlignment="1">
      <alignment vertical="center"/>
    </xf>
    <xf numFmtId="41" fontId="81" fillId="0" borderId="0" applyAlignment="1">
      <alignment vertical="center"/>
    </xf>
    <xf numFmtId="41" fontId="81" fillId="0" borderId="0" applyAlignment="1">
      <alignment vertical="center"/>
    </xf>
    <xf numFmtId="41" fontId="81" fillId="0" borderId="0" applyAlignment="1">
      <alignment vertical="center"/>
    </xf>
    <xf numFmtId="41" fontId="81" fillId="0" borderId="0" applyAlignment="1">
      <alignment vertical="center"/>
    </xf>
    <xf numFmtId="41" fontId="81" fillId="0" borderId="0" applyAlignment="1">
      <alignment vertical="center"/>
    </xf>
    <xf numFmtId="41" fontId="81" fillId="0" borderId="0" applyAlignment="1">
      <alignment vertical="center"/>
    </xf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 applyAlignment="1">
      <alignment vertical="center"/>
    </xf>
    <xf numFmtId="41" fontId="81" fillId="0" borderId="0" applyAlignment="1">
      <alignment vertical="center"/>
    </xf>
    <xf numFmtId="41" fontId="81" fillId="0" borderId="0" applyAlignment="1">
      <alignment vertical="center"/>
    </xf>
    <xf numFmtId="41" fontId="81" fillId="0" borderId="0" applyAlignment="1">
      <alignment vertical="center"/>
    </xf>
    <xf numFmtId="307" fontId="20" fillId="0" borderId="0"/>
    <xf numFmtId="183" fontId="20" fillId="0" borderId="0"/>
    <xf numFmtId="41" fontId="81" fillId="0" borderId="0" applyAlignment="1">
      <alignment vertical="center"/>
    </xf>
    <xf numFmtId="41" fontId="2" fillId="0" borderId="0" applyAlignment="1">
      <alignment vertical="center"/>
    </xf>
    <xf numFmtId="41" fontId="81" fillId="0" borderId="0" applyAlignment="1">
      <alignment vertical="center"/>
    </xf>
    <xf numFmtId="41" fontId="81" fillId="0" borderId="0" applyAlignment="1">
      <alignment vertical="center"/>
    </xf>
    <xf numFmtId="41" fontId="81" fillId="0" borderId="0" applyAlignment="1">
      <alignment vertical="center"/>
    </xf>
    <xf numFmtId="41" fontId="2" fillId="0" borderId="0" applyAlignment="1">
      <alignment vertical="center"/>
    </xf>
    <xf numFmtId="41" fontId="49" fillId="0" borderId="0" applyAlignment="1">
      <alignment vertical="center"/>
    </xf>
    <xf numFmtId="41" fontId="2" fillId="0" borderId="0" applyAlignment="1">
      <alignment vertical="center"/>
    </xf>
    <xf numFmtId="213" fontId="20" fillId="0" borderId="0"/>
    <xf numFmtId="41" fontId="2" fillId="0" borderId="0" applyAlignment="1">
      <alignment vertical="center"/>
    </xf>
    <xf numFmtId="41" fontId="2" fillId="0" borderId="0" applyAlignment="1">
      <alignment vertical="center"/>
    </xf>
    <xf numFmtId="213" fontId="20" fillId="0" borderId="0"/>
    <xf numFmtId="213" fontId="20" fillId="0" borderId="0"/>
    <xf numFmtId="41" fontId="2" fillId="0" borderId="0" applyAlignment="1">
      <alignment vertical="center"/>
    </xf>
    <xf numFmtId="41" fontId="2" fillId="0" borderId="0" applyAlignment="1">
      <alignment vertical="center"/>
    </xf>
    <xf numFmtId="41" fontId="2" fillId="0" borderId="0" applyAlignment="1">
      <alignment vertical="center"/>
    </xf>
    <xf numFmtId="41" fontId="2" fillId="0" borderId="0" applyAlignment="1">
      <alignment vertical="center"/>
    </xf>
    <xf numFmtId="41" fontId="2" fillId="0" borderId="0"/>
    <xf numFmtId="41" fontId="82" fillId="0" borderId="0" applyAlignment="1">
      <alignment vertical="center"/>
    </xf>
    <xf numFmtId="41" fontId="2" fillId="0" borderId="0" applyAlignment="1">
      <alignment vertical="center"/>
    </xf>
    <xf numFmtId="41" fontId="2" fillId="0" borderId="0"/>
    <xf numFmtId="41" fontId="2" fillId="0" borderId="0" applyAlignment="1">
      <alignment vertical="center"/>
    </xf>
    <xf numFmtId="41" fontId="2" fillId="0" borderId="0" applyAlignment="1">
      <alignment vertical="center"/>
    </xf>
    <xf numFmtId="205" fontId="2" fillId="0" borderId="0"/>
    <xf numFmtId="41" fontId="2" fillId="0" borderId="0"/>
    <xf numFmtId="41" fontId="64" fillId="0" borderId="0"/>
    <xf numFmtId="213" fontId="64" fillId="0" borderId="0"/>
    <xf numFmtId="41" fontId="2" fillId="0" borderId="0"/>
    <xf numFmtId="213" fontId="20" fillId="0" borderId="0"/>
    <xf numFmtId="41" fontId="184" fillId="0" borderId="0" applyAlignment="1">
      <alignment vertical="center"/>
    </xf>
    <xf numFmtId="41" fontId="2" fillId="0" borderId="0" applyAlignment="1">
      <alignment vertical="center"/>
    </xf>
    <xf numFmtId="41" fontId="1" fillId="0" borderId="0" applyAlignment="1">
      <alignment vertical="center"/>
    </xf>
    <xf numFmtId="41" fontId="8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213" fontId="20" fillId="0" borderId="0"/>
    <xf numFmtId="308" fontId="2" fillId="0" borderId="0"/>
    <xf numFmtId="41" fontId="81" fillId="0" borderId="0" applyAlignment="1">
      <alignment vertical="center"/>
    </xf>
    <xf numFmtId="41" fontId="81" fillId="0" borderId="0" applyAlignment="1">
      <alignment vertical="center"/>
    </xf>
    <xf numFmtId="41" fontId="1" fillId="0" borderId="0" applyAlignment="1">
      <alignment vertical="center"/>
    </xf>
    <xf numFmtId="213" fontId="64" fillId="0" borderId="0"/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81" fillId="0" borderId="0" applyAlignment="1">
      <alignment vertical="center"/>
    </xf>
    <xf numFmtId="43" fontId="21" fillId="0" borderId="0"/>
    <xf numFmtId="41" fontId="81" fillId="0" borderId="0" applyAlignment="1">
      <alignment vertical="center"/>
    </xf>
    <xf numFmtId="41" fontId="81" fillId="0" borderId="0" applyAlignment="1">
      <alignment vertical="center"/>
    </xf>
    <xf numFmtId="41" fontId="2" fillId="0" borderId="0" applyAlignment="1">
      <alignment vertical="center"/>
    </xf>
    <xf numFmtId="308" fontId="2" fillId="0" borderId="0"/>
    <xf numFmtId="41" fontId="2" fillId="0" borderId="0" applyAlignment="1">
      <alignment vertical="center"/>
    </xf>
    <xf numFmtId="309" fontId="21" fillId="0" borderId="0" applyAlignment="1">
      <alignment wrapText="1"/>
    </xf>
    <xf numFmtId="41" fontId="81" fillId="0" borderId="0" applyAlignment="1">
      <alignment vertical="center"/>
    </xf>
    <xf numFmtId="41" fontId="81" fillId="0" borderId="0" applyAlignment="1">
      <alignment vertical="center"/>
    </xf>
    <xf numFmtId="41" fontId="2" fillId="0" borderId="0"/>
    <xf numFmtId="43" fontId="2" fillId="0" borderId="0" applyAlignment="1">
      <alignment vertical="center"/>
    </xf>
    <xf numFmtId="43" fontId="21" fillId="0" borderId="0"/>
    <xf numFmtId="43" fontId="21" fillId="0" borderId="0"/>
    <xf numFmtId="43" fontId="21" fillId="0" borderId="0"/>
    <xf numFmtId="310" fontId="21" fillId="0" borderId="0"/>
    <xf numFmtId="183" fontId="193" fillId="0" borderId="1" applyAlignment="1">
      <alignment horizontal="left" vertical="center"/>
    </xf>
    <xf numFmtId="183" fontId="193" fillId="0" borderId="1" applyAlignment="1">
      <alignment horizontal="left" vertical="center"/>
    </xf>
    <xf numFmtId="183" fontId="193" fillId="0" borderId="1" applyAlignment="1">
      <alignment horizontal="left" vertical="center"/>
    </xf>
    <xf numFmtId="183" fontId="193" fillId="0" borderId="1" applyAlignment="1">
      <alignment horizontal="left" vertical="center"/>
    </xf>
    <xf numFmtId="183" fontId="193" fillId="0" borderId="1" applyAlignment="1">
      <alignment horizontal="left" vertical="center"/>
    </xf>
    <xf numFmtId="183" fontId="193" fillId="0" borderId="1" applyAlignment="1">
      <alignment horizontal="left" vertical="center"/>
    </xf>
    <xf numFmtId="183" fontId="193" fillId="0" borderId="1" applyAlignment="1">
      <alignment horizontal="left" vertical="center"/>
    </xf>
    <xf numFmtId="183" fontId="193" fillId="0" borderId="1" applyAlignment="1">
      <alignment horizontal="left" vertical="center"/>
    </xf>
    <xf numFmtId="0" fontId="22" fillId="0" borderId="0"/>
    <xf numFmtId="0" fontId="64" fillId="0" borderId="0"/>
    <xf numFmtId="0" fontId="20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8"/>
    <xf numFmtId="0" fontId="52" fillId="0" borderId="3"/>
    <xf numFmtId="223" fontId="143" fillId="0" borderId="76" applyAlignment="1">
      <alignment vertical="center"/>
    </xf>
    <xf numFmtId="0" fontId="143" fillId="0" borderId="76" applyAlignment="1">
      <alignment vertical="center"/>
    </xf>
    <xf numFmtId="0" fontId="143" fillId="0" borderId="76" applyAlignment="1">
      <alignment vertical="center"/>
    </xf>
    <xf numFmtId="0" fontId="143" fillId="0" borderId="76" applyAlignment="1">
      <alignment vertical="center"/>
    </xf>
    <xf numFmtId="0" fontId="48" fillId="0" borderId="0" applyAlignment="1" applyProtection="1">
      <alignment vertical="top"/>
      <protection locked="0" hidden="0"/>
    </xf>
    <xf numFmtId="0" fontId="57" fillId="0" borderId="8" applyAlignment="1">
      <alignment vertical="center"/>
    </xf>
    <xf numFmtId="311" fontId="57" fillId="0" borderId="37" applyAlignment="1">
      <alignment vertical="center"/>
    </xf>
    <xf numFmtId="311" fontId="57" fillId="0" borderId="37" applyAlignment="1">
      <alignment vertical="center"/>
    </xf>
    <xf numFmtId="311" fontId="57" fillId="0" borderId="37" applyAlignment="1">
      <alignment vertical="center"/>
    </xf>
    <xf numFmtId="311" fontId="57" fillId="0" borderId="37" applyAlignment="1">
      <alignment vertical="center"/>
    </xf>
    <xf numFmtId="311" fontId="57" fillId="0" borderId="37" applyAlignment="1">
      <alignment vertical="center"/>
    </xf>
    <xf numFmtId="311" fontId="57" fillId="0" borderId="37" applyAlignment="1">
      <alignment vertical="center"/>
    </xf>
    <xf numFmtId="311" fontId="57" fillId="0" borderId="37" applyAlignment="1">
      <alignment vertical="center"/>
    </xf>
    <xf numFmtId="311" fontId="57" fillId="0" borderId="37" applyAlignment="1">
      <alignment vertical="center"/>
    </xf>
    <xf numFmtId="312" fontId="57" fillId="0" borderId="37" applyAlignment="1">
      <alignment horizontal="left" vertical="center"/>
    </xf>
    <xf numFmtId="0" fontId="194" fillId="0" borderId="46" applyAlignment="1">
      <alignment vertical="center"/>
    </xf>
    <xf numFmtId="223" fontId="195" fillId="0" borderId="94" applyAlignment="1">
      <alignment vertical="center"/>
    </xf>
    <xf numFmtId="223" fontId="195" fillId="0" borderId="94" applyAlignment="1">
      <alignment vertical="center"/>
    </xf>
    <xf numFmtId="223" fontId="195" fillId="0" borderId="94" applyAlignment="1">
      <alignment vertical="center"/>
    </xf>
    <xf numFmtId="223" fontId="195" fillId="0" borderId="94" applyAlignment="1">
      <alignment vertical="center"/>
    </xf>
    <xf numFmtId="223" fontId="195" fillId="0" borderId="94" applyAlignment="1">
      <alignment vertical="center"/>
    </xf>
    <xf numFmtId="223" fontId="195" fillId="0" borderId="94" applyAlignment="1">
      <alignment vertical="center"/>
    </xf>
    <xf numFmtId="223" fontId="195" fillId="0" borderId="94" applyAlignment="1">
      <alignment vertical="center"/>
    </xf>
    <xf numFmtId="223" fontId="195" fillId="0" borderId="94" applyAlignment="1">
      <alignment vertical="center"/>
    </xf>
    <xf numFmtId="223" fontId="195" fillId="0" borderId="94" applyAlignment="1">
      <alignment vertical="center"/>
    </xf>
    <xf numFmtId="0" fontId="195" fillId="0" borderId="94" applyAlignment="1">
      <alignment vertical="center"/>
    </xf>
    <xf numFmtId="223" fontId="195" fillId="0" borderId="94" applyAlignment="1">
      <alignment vertical="center"/>
    </xf>
    <xf numFmtId="223" fontId="195" fillId="0" borderId="94" applyAlignment="1">
      <alignment vertical="center"/>
    </xf>
    <xf numFmtId="223" fontId="195" fillId="0" borderId="94" applyAlignment="1">
      <alignment vertical="center"/>
    </xf>
    <xf numFmtId="223" fontId="195" fillId="0" borderId="94" applyAlignment="1">
      <alignment vertical="center"/>
    </xf>
    <xf numFmtId="223" fontId="195" fillId="0" borderId="94" applyAlignment="1">
      <alignment vertical="center"/>
    </xf>
    <xf numFmtId="223" fontId="195" fillId="0" borderId="94" applyAlignment="1">
      <alignment vertical="center"/>
    </xf>
    <xf numFmtId="0" fontId="195" fillId="0" borderId="94" applyAlignment="1">
      <alignment vertical="center"/>
    </xf>
    <xf numFmtId="0" fontId="195" fillId="0" borderId="94" applyAlignment="1">
      <alignment vertical="center"/>
    </xf>
    <xf numFmtId="0" fontId="195" fillId="0" borderId="94" applyAlignment="1">
      <alignment vertical="center"/>
    </xf>
    <xf numFmtId="0" fontId="195" fillId="0" borderId="94" applyAlignment="1">
      <alignment vertical="center"/>
    </xf>
    <xf numFmtId="0" fontId="195" fillId="0" borderId="94" applyAlignment="1">
      <alignment vertical="center"/>
    </xf>
    <xf numFmtId="0" fontId="195" fillId="0" borderId="94" applyAlignment="1">
      <alignment vertical="center"/>
    </xf>
    <xf numFmtId="0" fontId="195" fillId="0" borderId="94" applyAlignment="1">
      <alignment vertical="center"/>
    </xf>
    <xf numFmtId="0" fontId="195" fillId="0" borderId="94" applyAlignment="1">
      <alignment vertical="center"/>
    </xf>
    <xf numFmtId="0" fontId="195" fillId="0" borderId="94" applyAlignment="1">
      <alignment vertical="center"/>
    </xf>
    <xf numFmtId="0" fontId="195" fillId="0" borderId="94" applyAlignment="1">
      <alignment vertical="center"/>
    </xf>
    <xf numFmtId="0" fontId="195" fillId="0" borderId="94" applyAlignment="1">
      <alignment vertical="center"/>
    </xf>
    <xf numFmtId="0" fontId="195" fillId="0" borderId="94" applyAlignment="1">
      <alignment vertical="center"/>
    </xf>
    <xf numFmtId="0" fontId="195" fillId="0" borderId="94" applyAlignment="1">
      <alignment vertical="center"/>
    </xf>
    <xf numFmtId="0" fontId="195" fillId="0" borderId="94" applyAlignment="1">
      <alignment vertical="center"/>
    </xf>
    <xf numFmtId="0" fontId="195" fillId="0" borderId="94" applyAlignment="1">
      <alignment vertical="center"/>
    </xf>
    <xf numFmtId="0" fontId="195" fillId="0" borderId="94" applyAlignment="1">
      <alignment vertical="center"/>
    </xf>
    <xf numFmtId="313" fontId="196" fillId="0" borderId="0" applyAlignment="1">
      <alignment horizontal="centerContinuous"/>
    </xf>
    <xf numFmtId="314" fontId="196" fillId="0" borderId="0" applyAlignment="1">
      <alignment horizontal="centerContinuous"/>
    </xf>
    <xf numFmtId="315" fontId="2" fillId="0" borderId="0"/>
    <xf numFmtId="315" fontId="2" fillId="0" borderId="0"/>
    <xf numFmtId="315" fontId="2" fillId="0" borderId="0"/>
    <xf numFmtId="315" fontId="2" fillId="0" borderId="0"/>
    <xf numFmtId="316" fontId="2" fillId="0" borderId="0"/>
    <xf numFmtId="315" fontId="2" fillId="0" borderId="0"/>
    <xf numFmtId="316" fontId="2" fillId="0" borderId="0"/>
    <xf numFmtId="316" fontId="2" fillId="0" borderId="0"/>
    <xf numFmtId="315" fontId="2" fillId="0" borderId="0"/>
    <xf numFmtId="316" fontId="2" fillId="0" borderId="0"/>
    <xf numFmtId="316" fontId="2" fillId="0" borderId="0"/>
    <xf numFmtId="315" fontId="2" fillId="0" borderId="0"/>
    <xf numFmtId="315" fontId="2" fillId="0" borderId="0"/>
    <xf numFmtId="316" fontId="2" fillId="0" borderId="0"/>
    <xf numFmtId="315" fontId="2" fillId="0" borderId="0"/>
    <xf numFmtId="315" fontId="2" fillId="0" borderId="0"/>
    <xf numFmtId="315" fontId="2" fillId="0" borderId="0"/>
    <xf numFmtId="316" fontId="2" fillId="0" borderId="0"/>
    <xf numFmtId="315" fontId="2" fillId="0" borderId="0"/>
    <xf numFmtId="315" fontId="2" fillId="0" borderId="0"/>
    <xf numFmtId="315" fontId="2" fillId="0" borderId="0"/>
    <xf numFmtId="315" fontId="2" fillId="0" borderId="0"/>
    <xf numFmtId="315" fontId="2" fillId="0" borderId="0"/>
    <xf numFmtId="317" fontId="21" fillId="0" borderId="0"/>
    <xf numFmtId="315" fontId="2" fillId="0" borderId="0"/>
    <xf numFmtId="316" fontId="2" fillId="0" borderId="0"/>
    <xf numFmtId="316" fontId="2" fillId="0" borderId="0"/>
    <xf numFmtId="315" fontId="2" fillId="0" borderId="0"/>
    <xf numFmtId="315" fontId="2" fillId="0" borderId="0"/>
    <xf numFmtId="316" fontId="2" fillId="0" borderId="0"/>
    <xf numFmtId="315" fontId="2" fillId="0" borderId="0"/>
    <xf numFmtId="315" fontId="2" fillId="0" borderId="0"/>
    <xf numFmtId="315" fontId="2" fillId="0" borderId="0"/>
    <xf numFmtId="316" fontId="2" fillId="0" borderId="0"/>
    <xf numFmtId="315" fontId="2" fillId="0" borderId="0"/>
    <xf numFmtId="315" fontId="2" fillId="0" borderId="0"/>
    <xf numFmtId="316" fontId="2" fillId="0" borderId="0"/>
    <xf numFmtId="316" fontId="2" fillId="0" borderId="0"/>
    <xf numFmtId="316" fontId="2" fillId="0" borderId="0"/>
    <xf numFmtId="316" fontId="2" fillId="0" borderId="0"/>
    <xf numFmtId="315" fontId="2" fillId="0" borderId="0"/>
    <xf numFmtId="315" fontId="2" fillId="0" borderId="0"/>
    <xf numFmtId="315" fontId="2" fillId="0" borderId="0"/>
    <xf numFmtId="316" fontId="2" fillId="0" borderId="0"/>
    <xf numFmtId="315" fontId="2" fillId="0" borderId="0"/>
    <xf numFmtId="315" fontId="2" fillId="0" borderId="0"/>
    <xf numFmtId="316" fontId="2" fillId="0" borderId="0"/>
    <xf numFmtId="316" fontId="2" fillId="0" borderId="0"/>
    <xf numFmtId="315" fontId="2" fillId="0" borderId="0"/>
    <xf numFmtId="316" fontId="2" fillId="0" borderId="0"/>
    <xf numFmtId="315" fontId="2" fillId="0" borderId="0"/>
    <xf numFmtId="316" fontId="2" fillId="0" borderId="0"/>
    <xf numFmtId="316" fontId="2" fillId="0" borderId="0"/>
    <xf numFmtId="315" fontId="2" fillId="0" borderId="0"/>
    <xf numFmtId="315" fontId="2" fillId="0" borderId="0"/>
    <xf numFmtId="316" fontId="2" fillId="0" borderId="0"/>
    <xf numFmtId="316" fontId="2" fillId="0" borderId="0"/>
    <xf numFmtId="169" fontId="28" fillId="0" borderId="0"/>
    <xf numFmtId="315" fontId="2" fillId="0" borderId="0"/>
    <xf numFmtId="315" fontId="2" fillId="0" borderId="0"/>
    <xf numFmtId="316" fontId="2" fillId="0" borderId="0"/>
    <xf numFmtId="185" fontId="53" fillId="0" borderId="0"/>
    <xf numFmtId="316" fontId="2" fillId="0" borderId="0"/>
    <xf numFmtId="316" fontId="2" fillId="0" borderId="0"/>
    <xf numFmtId="316" fontId="2" fillId="0" borderId="0"/>
    <xf numFmtId="315" fontId="2" fillId="0" borderId="0"/>
    <xf numFmtId="316" fontId="2" fillId="0" borderId="0"/>
    <xf numFmtId="315" fontId="2" fillId="0" borderId="0"/>
    <xf numFmtId="315" fontId="2" fillId="0" borderId="0"/>
    <xf numFmtId="315" fontId="2" fillId="0" borderId="0"/>
    <xf numFmtId="315" fontId="2" fillId="0" borderId="0"/>
    <xf numFmtId="315" fontId="2" fillId="0" borderId="0"/>
    <xf numFmtId="316" fontId="2" fillId="0" borderId="0"/>
    <xf numFmtId="316" fontId="2" fillId="0" borderId="0"/>
    <xf numFmtId="316" fontId="2" fillId="0" borderId="0"/>
    <xf numFmtId="315" fontId="2" fillId="0" borderId="0"/>
    <xf numFmtId="318" fontId="2" fillId="0" borderId="0"/>
    <xf numFmtId="315" fontId="2" fillId="0" borderId="0"/>
    <xf numFmtId="315" fontId="2" fillId="0" borderId="0"/>
    <xf numFmtId="315" fontId="2" fillId="0" borderId="0"/>
    <xf numFmtId="316" fontId="2" fillId="0" borderId="0"/>
    <xf numFmtId="319" fontId="2" fillId="0" borderId="0"/>
    <xf numFmtId="169" fontId="28" fillId="0" borderId="0"/>
    <xf numFmtId="315" fontId="2" fillId="0" borderId="0"/>
    <xf numFmtId="315" fontId="2" fillId="0" borderId="0"/>
    <xf numFmtId="185" fontId="53" fillId="0" borderId="0"/>
    <xf numFmtId="185" fontId="53" fillId="0" borderId="0"/>
    <xf numFmtId="185" fontId="53" fillId="0" borderId="0"/>
    <xf numFmtId="185" fontId="53" fillId="0" borderId="0"/>
    <xf numFmtId="315" fontId="2" fillId="0" borderId="0"/>
    <xf numFmtId="315" fontId="2" fillId="0" borderId="0"/>
    <xf numFmtId="316" fontId="2" fillId="0" borderId="0"/>
    <xf numFmtId="315" fontId="2" fillId="0" borderId="0"/>
    <xf numFmtId="320" fontId="49" fillId="0" borderId="0"/>
    <xf numFmtId="315" fontId="2" fillId="0" borderId="0"/>
    <xf numFmtId="315" fontId="2" fillId="0" borderId="0"/>
    <xf numFmtId="321" fontId="49" fillId="0" borderId="0"/>
    <xf numFmtId="321" fontId="49" fillId="0" borderId="0"/>
    <xf numFmtId="315" fontId="2" fillId="0" borderId="0"/>
    <xf numFmtId="322" fontId="19" fillId="0" borderId="0"/>
    <xf numFmtId="323" fontId="2" fillId="0" borderId="0"/>
    <xf numFmtId="316" fontId="2" fillId="0" borderId="0"/>
    <xf numFmtId="185" fontId="53" fillId="0" borderId="0"/>
    <xf numFmtId="321" fontId="49" fillId="0" borderId="0"/>
    <xf numFmtId="217" fontId="175" fillId="0" borderId="0"/>
    <xf numFmtId="169" fontId="28" fillId="0" borderId="0"/>
    <xf numFmtId="317" fontId="21" fillId="0" borderId="0"/>
    <xf numFmtId="316" fontId="2" fillId="0" borderId="0"/>
    <xf numFmtId="316" fontId="2" fillId="0" borderId="0"/>
    <xf numFmtId="316" fontId="2" fillId="0" borderId="0"/>
    <xf numFmtId="316" fontId="2" fillId="0" borderId="0"/>
    <xf numFmtId="323" fontId="2" fillId="0" borderId="0"/>
    <xf numFmtId="324" fontId="20" fillId="0" borderId="0"/>
    <xf numFmtId="315" fontId="2" fillId="0" borderId="0"/>
    <xf numFmtId="315" fontId="2" fillId="0" borderId="0"/>
    <xf numFmtId="316" fontId="2" fillId="0" borderId="0"/>
    <xf numFmtId="316" fontId="2" fillId="0" borderId="0"/>
    <xf numFmtId="316" fontId="2" fillId="0" borderId="0"/>
    <xf numFmtId="316" fontId="2" fillId="0" borderId="0"/>
    <xf numFmtId="316" fontId="2" fillId="0" borderId="0"/>
    <xf numFmtId="316" fontId="2" fillId="0" borderId="0"/>
    <xf numFmtId="316" fontId="2" fillId="0" borderId="0"/>
    <xf numFmtId="316" fontId="2" fillId="0" borderId="0"/>
    <xf numFmtId="316" fontId="2" fillId="0" borderId="0"/>
    <xf numFmtId="315" fontId="2" fillId="0" borderId="0"/>
    <xf numFmtId="315" fontId="2" fillId="0" borderId="0"/>
    <xf numFmtId="169" fontId="28" fillId="0" borderId="0"/>
    <xf numFmtId="0" fontId="2" fillId="0" borderId="0"/>
    <xf numFmtId="316" fontId="2" fillId="0" borderId="0"/>
    <xf numFmtId="316" fontId="2" fillId="0" borderId="0"/>
    <xf numFmtId="169" fontId="28" fillId="0" borderId="0"/>
    <xf numFmtId="315" fontId="2" fillId="0" borderId="0"/>
    <xf numFmtId="321" fontId="49" fillId="0" borderId="0"/>
    <xf numFmtId="315" fontId="2" fillId="0" borderId="0"/>
    <xf numFmtId="185" fontId="53" fillId="0" borderId="0"/>
    <xf numFmtId="315" fontId="2" fillId="0" borderId="0"/>
    <xf numFmtId="185" fontId="53" fillId="0" borderId="0"/>
    <xf numFmtId="316" fontId="2" fillId="0" borderId="0"/>
    <xf numFmtId="316" fontId="2" fillId="0" borderId="0"/>
    <xf numFmtId="0" fontId="197" fillId="0" borderId="0" applyAlignment="1">
      <alignment vertical="center"/>
    </xf>
    <xf numFmtId="0" fontId="198" fillId="0" borderId="0" applyAlignment="1">
      <alignment horizontal="center" vertical="center"/>
    </xf>
    <xf numFmtId="49" fontId="49" fillId="0" borderId="1"/>
    <xf numFmtId="49" fontId="49" fillId="0" borderId="1"/>
    <xf numFmtId="49" fontId="49" fillId="0" borderId="1"/>
    <xf numFmtId="49" fontId="49" fillId="0" borderId="1"/>
    <xf numFmtId="49" fontId="49" fillId="0" borderId="1"/>
    <xf numFmtId="49" fontId="49" fillId="0" borderId="1"/>
    <xf numFmtId="49" fontId="49" fillId="0" borderId="1"/>
    <xf numFmtId="49" fontId="49" fillId="0" borderId="1"/>
    <xf numFmtId="169" fontId="86" fillId="0" borderId="0" applyAlignment="1">
      <alignment vertical="center"/>
    </xf>
    <xf numFmtId="0" fontId="21" fillId="0" borderId="0"/>
    <xf numFmtId="0" fontId="64" fillId="0" borderId="0" applyAlignment="1">
      <alignment horizontal="left" vertical="center"/>
    </xf>
    <xf numFmtId="41" fontId="2" fillId="0" borderId="0"/>
    <xf numFmtId="223" fontId="136" fillId="20" borderId="55" applyAlignment="1">
      <alignment vertical="center"/>
    </xf>
    <xf numFmtId="223" fontId="136" fillId="20" borderId="55" applyAlignment="1">
      <alignment vertical="center"/>
    </xf>
    <xf numFmtId="0" fontId="136" fillId="20" borderId="55" applyAlignment="1">
      <alignment vertical="center"/>
    </xf>
    <xf numFmtId="223" fontId="136" fillId="20" borderId="55" applyAlignment="1">
      <alignment vertical="center"/>
    </xf>
    <xf numFmtId="223" fontId="136" fillId="20" borderId="55" applyAlignment="1">
      <alignment vertical="center"/>
    </xf>
    <xf numFmtId="223" fontId="136" fillId="20" borderId="55" applyAlignment="1">
      <alignment vertical="center"/>
    </xf>
    <xf numFmtId="223" fontId="136" fillId="20" borderId="55" applyAlignment="1">
      <alignment vertical="center"/>
    </xf>
    <xf numFmtId="223" fontId="136" fillId="20" borderId="55" applyAlignment="1">
      <alignment vertical="center"/>
    </xf>
    <xf numFmtId="223" fontId="136" fillId="20" borderId="55" applyAlignment="1">
      <alignment vertical="center"/>
    </xf>
    <xf numFmtId="0" fontId="136" fillId="20" borderId="55" applyAlignment="1">
      <alignment vertical="center"/>
    </xf>
    <xf numFmtId="0" fontId="136" fillId="20" borderId="55" applyAlignment="1">
      <alignment vertical="center"/>
    </xf>
    <xf numFmtId="0" fontId="136" fillId="20" borderId="55" applyAlignment="1">
      <alignment vertical="center"/>
    </xf>
    <xf numFmtId="0" fontId="136" fillId="20" borderId="55" applyAlignment="1">
      <alignment vertical="center"/>
    </xf>
    <xf numFmtId="0" fontId="136" fillId="20" borderId="55" applyAlignment="1">
      <alignment vertical="center"/>
    </xf>
    <xf numFmtId="0" fontId="136" fillId="20" borderId="55" applyAlignment="1">
      <alignment vertical="center"/>
    </xf>
    <xf numFmtId="0" fontId="136" fillId="20" borderId="55" applyAlignment="1">
      <alignment vertical="center"/>
    </xf>
    <xf numFmtId="0" fontId="136" fillId="20" borderId="55" applyAlignment="1">
      <alignment vertical="center"/>
    </xf>
    <xf numFmtId="0" fontId="136" fillId="20" borderId="55" applyAlignment="1">
      <alignment vertical="center"/>
    </xf>
    <xf numFmtId="0" fontId="136" fillId="20" borderId="55" applyAlignment="1">
      <alignment vertical="center"/>
    </xf>
    <xf numFmtId="0" fontId="136" fillId="20" borderId="55" applyAlignment="1">
      <alignment vertical="center"/>
    </xf>
    <xf numFmtId="0" fontId="136" fillId="20" borderId="55" applyAlignment="1">
      <alignment vertical="center"/>
    </xf>
    <xf numFmtId="0" fontId="136" fillId="20" borderId="55" applyAlignment="1">
      <alignment vertical="center"/>
    </xf>
    <xf numFmtId="0" fontId="136" fillId="20" borderId="55" applyAlignment="1">
      <alignment vertical="center"/>
    </xf>
    <xf numFmtId="0" fontId="136" fillId="20" borderId="55" applyAlignment="1">
      <alignment vertical="center"/>
    </xf>
    <xf numFmtId="0" fontId="136" fillId="20" borderId="55" applyAlignment="1">
      <alignment vertical="center"/>
    </xf>
    <xf numFmtId="4" fontId="26" fillId="0" borderId="0" applyProtection="1">
      <protection locked="0" hidden="0"/>
    </xf>
    <xf numFmtId="0" fontId="199" fillId="0" borderId="0" applyAlignment="1">
      <alignment horizontal="left" vertical="center"/>
    </xf>
    <xf numFmtId="0" fontId="20" fillId="0" borderId="95"/>
    <xf numFmtId="1" fontId="17" fillId="5" borderId="0" applyAlignment="1">
      <alignment vertical="center"/>
    </xf>
    <xf numFmtId="0" fontId="146" fillId="2" borderId="0" applyAlignment="1">
      <alignment vertical="center"/>
    </xf>
    <xf numFmtId="0" fontId="16" fillId="0" borderId="0" applyAlignment="1">
      <alignment vertical="center" shrinkToFit="1"/>
    </xf>
    <xf numFmtId="325" fontId="83" fillId="0" borderId="0" applyAlignment="1">
      <alignment horizontal="centerContinuous"/>
    </xf>
    <xf numFmtId="223" fontId="200" fillId="0" borderId="96" applyAlignment="1">
      <alignment vertical="center"/>
    </xf>
    <xf numFmtId="223" fontId="200" fillId="0" borderId="96" applyAlignment="1">
      <alignment vertical="center"/>
    </xf>
    <xf numFmtId="0" fontId="200" fillId="0" borderId="96" applyAlignment="1">
      <alignment vertical="center"/>
    </xf>
    <xf numFmtId="0" fontId="200" fillId="0" borderId="96" applyAlignment="1">
      <alignment vertical="center"/>
    </xf>
    <xf numFmtId="0" fontId="200" fillId="0" borderId="96" applyAlignment="1">
      <alignment vertical="center"/>
    </xf>
    <xf numFmtId="223" fontId="201" fillId="0" borderId="97" applyAlignment="1">
      <alignment vertical="center"/>
    </xf>
    <xf numFmtId="223" fontId="201" fillId="0" borderId="97" applyAlignment="1">
      <alignment vertical="center"/>
    </xf>
    <xf numFmtId="0" fontId="201" fillId="0" borderId="97" applyAlignment="1">
      <alignment vertical="center"/>
    </xf>
    <xf numFmtId="0" fontId="201" fillId="0" borderId="97" applyAlignment="1">
      <alignment vertical="center"/>
    </xf>
    <xf numFmtId="0" fontId="201" fillId="0" borderId="97" applyAlignment="1">
      <alignment vertical="center"/>
    </xf>
    <xf numFmtId="223" fontId="130" fillId="0" borderId="69" applyAlignment="1">
      <alignment vertical="center"/>
    </xf>
    <xf numFmtId="223" fontId="130" fillId="0" borderId="69" applyAlignment="1">
      <alignment vertical="center"/>
    </xf>
    <xf numFmtId="223" fontId="130" fillId="0" borderId="69" applyAlignment="1">
      <alignment vertical="center"/>
    </xf>
    <xf numFmtId="0" fontId="130" fillId="0" borderId="69" applyAlignment="1">
      <alignment vertical="center"/>
    </xf>
    <xf numFmtId="0" fontId="130" fillId="0" borderId="69" applyAlignment="1">
      <alignment vertical="center"/>
    </xf>
    <xf numFmtId="0" fontId="130" fillId="0" borderId="69" applyAlignment="1">
      <alignment vertical="center"/>
    </xf>
    <xf numFmtId="223" fontId="130" fillId="0" borderId="0" applyAlignment="1">
      <alignment vertical="center"/>
    </xf>
    <xf numFmtId="223" fontId="130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223" fontId="202" fillId="0" borderId="0" applyAlignment="1">
      <alignment vertical="center"/>
    </xf>
    <xf numFmtId="223" fontId="202" fillId="0" borderId="0" applyAlignment="1">
      <alignment vertical="center"/>
    </xf>
    <xf numFmtId="0" fontId="203" fillId="0" borderId="0"/>
    <xf numFmtId="0" fontId="204" fillId="0" borderId="0" applyAlignment="1">
      <alignment vertical="center"/>
    </xf>
    <xf numFmtId="0" fontId="202" fillId="0" borderId="0" applyAlignment="1">
      <alignment vertical="center"/>
    </xf>
    <xf numFmtId="0" fontId="202" fillId="0" borderId="0" applyAlignment="1">
      <alignment vertical="center"/>
    </xf>
    <xf numFmtId="0" fontId="20" fillId="0" borderId="37" applyAlignment="1">
      <alignment horizontal="distributed" vertical="center"/>
    </xf>
    <xf numFmtId="0" fontId="20" fillId="0" borderId="37" applyAlignment="1">
      <alignment horizontal="distributed" vertical="center"/>
    </xf>
    <xf numFmtId="0" fontId="20" fillId="0" borderId="37" applyAlignment="1">
      <alignment horizontal="distributed" vertical="center"/>
    </xf>
    <xf numFmtId="0" fontId="20" fillId="0" borderId="37" applyAlignment="1">
      <alignment horizontal="distributed" vertical="center"/>
    </xf>
    <xf numFmtId="0" fontId="20" fillId="0" borderId="37" applyAlignment="1">
      <alignment horizontal="distributed" vertical="center"/>
    </xf>
    <xf numFmtId="0" fontId="20" fillId="0" borderId="37" applyAlignment="1">
      <alignment horizontal="distributed" vertical="center"/>
    </xf>
    <xf numFmtId="0" fontId="20" fillId="0" borderId="37" applyAlignment="1">
      <alignment horizontal="distributed" vertical="center"/>
    </xf>
    <xf numFmtId="0" fontId="20" fillId="0" borderId="37" applyAlignment="1">
      <alignment horizontal="distributed" vertical="center"/>
    </xf>
    <xf numFmtId="0" fontId="20" fillId="0" borderId="90" applyAlignment="1">
      <alignment horizontal="distributed" vertical="top"/>
    </xf>
    <xf numFmtId="0" fontId="20" fillId="0" borderId="70" applyAlignment="1">
      <alignment horizontal="distributed"/>
    </xf>
    <xf numFmtId="0" fontId="20" fillId="0" borderId="70" applyAlignment="1">
      <alignment horizontal="distributed"/>
    </xf>
    <xf numFmtId="0" fontId="20" fillId="0" borderId="70" applyAlignment="1">
      <alignment horizontal="distributed"/>
    </xf>
    <xf numFmtId="0" fontId="20" fillId="0" borderId="70" applyAlignment="1">
      <alignment horizontal="distributed"/>
    </xf>
    <xf numFmtId="0" fontId="20" fillId="0" borderId="70" applyAlignment="1">
      <alignment horizontal="distributed"/>
    </xf>
    <xf numFmtId="0" fontId="20" fillId="0" borderId="70" applyAlignment="1">
      <alignment horizontal="distributed"/>
    </xf>
    <xf numFmtId="0" fontId="20" fillId="0" borderId="70" applyAlignment="1">
      <alignment horizontal="distributed"/>
    </xf>
    <xf numFmtId="0" fontId="20" fillId="0" borderId="70" applyAlignment="1">
      <alignment horizontal="distributed"/>
    </xf>
    <xf numFmtId="213" fontId="205" fillId="0" borderId="0" applyAlignment="1">
      <alignment vertical="center"/>
    </xf>
    <xf numFmtId="0" fontId="206" fillId="0" borderId="0"/>
    <xf numFmtId="223" fontId="124" fillId="17" borderId="0" applyAlignment="1">
      <alignment vertical="center"/>
    </xf>
    <xf numFmtId="0" fontId="124" fillId="17" borderId="0" applyAlignment="1">
      <alignment vertical="center"/>
    </xf>
    <xf numFmtId="0" fontId="124" fillId="17" borderId="0" applyAlignment="1">
      <alignment vertical="center"/>
    </xf>
    <xf numFmtId="0" fontId="124" fillId="17" borderId="0" applyAlignment="1">
      <alignment vertical="center"/>
    </xf>
    <xf numFmtId="326" fontId="196" fillId="0" borderId="0" applyAlignment="1">
      <alignment horizontal="centerContinuous"/>
    </xf>
    <xf numFmtId="327" fontId="196" fillId="0" borderId="0" applyAlignment="1">
      <alignment horizontal="centerContinuous"/>
    </xf>
    <xf numFmtId="0" fontId="20" fillId="0" borderId="0"/>
    <xf numFmtId="1" fontId="207" fillId="5" borderId="0" applyAlignment="1">
      <alignment vertical="center"/>
    </xf>
    <xf numFmtId="0" fontId="208" fillId="6" borderId="44" applyAlignment="1">
      <alignment vertical="center"/>
    </xf>
    <xf numFmtId="223" fontId="149" fillId="35" borderId="80" applyAlignment="1">
      <alignment vertical="center"/>
    </xf>
    <xf numFmtId="223" fontId="149" fillId="35" borderId="80" applyAlignment="1">
      <alignment vertical="center"/>
    </xf>
    <xf numFmtId="223" fontId="149" fillId="35" borderId="80" applyAlignment="1">
      <alignment vertical="center"/>
    </xf>
    <xf numFmtId="223" fontId="149" fillId="35" borderId="80" applyAlignment="1">
      <alignment vertical="center"/>
    </xf>
    <xf numFmtId="223" fontId="149" fillId="35" borderId="80" applyAlignment="1">
      <alignment vertical="center"/>
    </xf>
    <xf numFmtId="223" fontId="149" fillId="35" borderId="80" applyAlignment="1">
      <alignment vertical="center"/>
    </xf>
    <xf numFmtId="223" fontId="149" fillId="35" borderId="80" applyAlignment="1">
      <alignment vertical="center"/>
    </xf>
    <xf numFmtId="223" fontId="149" fillId="35" borderId="80" applyAlignment="1">
      <alignment vertical="center"/>
    </xf>
    <xf numFmtId="223" fontId="149" fillId="35" borderId="80" applyAlignment="1">
      <alignment vertical="center"/>
    </xf>
    <xf numFmtId="0" fontId="149" fillId="35" borderId="80" applyAlignment="1">
      <alignment vertical="center"/>
    </xf>
    <xf numFmtId="223" fontId="149" fillId="35" borderId="80" applyAlignment="1">
      <alignment vertical="center"/>
    </xf>
    <xf numFmtId="223" fontId="149" fillId="35" borderId="80" applyAlignment="1">
      <alignment vertical="center"/>
    </xf>
    <xf numFmtId="223" fontId="149" fillId="35" borderId="80" applyAlignment="1">
      <alignment vertical="center"/>
    </xf>
    <xf numFmtId="223" fontId="149" fillId="35" borderId="80" applyAlignment="1">
      <alignment vertical="center"/>
    </xf>
    <xf numFmtId="223" fontId="149" fillId="35" borderId="80" applyAlignment="1">
      <alignment vertical="center"/>
    </xf>
    <xf numFmtId="223" fontId="149" fillId="35" borderId="80" applyAlignment="1">
      <alignment vertical="center"/>
    </xf>
    <xf numFmtId="223" fontId="149" fillId="35" borderId="80" applyAlignment="1">
      <alignment vertical="center"/>
    </xf>
    <xf numFmtId="223" fontId="208" fillId="6" borderId="44" applyAlignment="1">
      <alignment vertical="center"/>
    </xf>
    <xf numFmtId="0" fontId="149" fillId="35" borderId="80" applyAlignment="1">
      <alignment vertical="center"/>
    </xf>
    <xf numFmtId="223" fontId="208" fillId="6" borderId="44" applyAlignment="1">
      <alignment vertical="center"/>
    </xf>
    <xf numFmtId="223" fontId="149" fillId="35" borderId="80" applyAlignment="1">
      <alignment vertical="center"/>
    </xf>
    <xf numFmtId="0" fontId="149" fillId="35" borderId="80" applyAlignment="1">
      <alignment vertical="center"/>
    </xf>
    <xf numFmtId="0" fontId="149" fillId="35" borderId="80" applyAlignment="1">
      <alignment vertical="center"/>
    </xf>
    <xf numFmtId="0" fontId="149" fillId="35" borderId="80" applyAlignment="1">
      <alignment vertical="center"/>
    </xf>
    <xf numFmtId="0" fontId="149" fillId="35" borderId="80" applyAlignment="1">
      <alignment vertical="center"/>
    </xf>
    <xf numFmtId="0" fontId="149" fillId="35" borderId="80" applyAlignment="1">
      <alignment vertical="center"/>
    </xf>
    <xf numFmtId="0" fontId="149" fillId="35" borderId="80" applyAlignment="1">
      <alignment vertical="center"/>
    </xf>
    <xf numFmtId="0" fontId="149" fillId="35" borderId="80" applyAlignment="1">
      <alignment vertical="center"/>
    </xf>
    <xf numFmtId="0" fontId="149" fillId="35" borderId="80" applyAlignment="1">
      <alignment vertical="center"/>
    </xf>
    <xf numFmtId="328" fontId="51" fillId="0" borderId="0"/>
    <xf numFmtId="212" fontId="78" fillId="0" borderId="0" applyProtection="1">
      <protection locked="0" hidden="0"/>
    </xf>
    <xf numFmtId="207" fontId="2" fillId="0" borderId="0" applyProtection="1">
      <protection locked="0" hidden="0"/>
    </xf>
    <xf numFmtId="221" fontId="20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12" fontId="78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212" fontId="78" fillId="0" borderId="0" applyProtection="1">
      <protection locked="0" hidden="0"/>
    </xf>
    <xf numFmtId="212" fontId="78" fillId="0" borderId="0" applyProtection="1">
      <protection locked="0" hidden="0"/>
    </xf>
    <xf numFmtId="212" fontId="78" fillId="0" borderId="0" applyProtection="1">
      <protection locked="0" hidden="0"/>
    </xf>
    <xf numFmtId="207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207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12" fontId="78" fillId="0" borderId="0" applyProtection="1">
      <protection locked="0" hidden="0"/>
    </xf>
    <xf numFmtId="212" fontId="78" fillId="0" borderId="0" applyProtection="1">
      <protection locked="0" hidden="0"/>
    </xf>
    <xf numFmtId="212" fontId="78" fillId="0" borderId="0" applyProtection="1">
      <protection locked="0" hidden="0"/>
    </xf>
    <xf numFmtId="212" fontId="78" fillId="0" borderId="0" applyProtection="1">
      <protection locked="0" hidden="0"/>
    </xf>
    <xf numFmtId="212" fontId="78" fillId="0" borderId="0" applyProtection="1">
      <protection locked="0" hidden="0"/>
    </xf>
    <xf numFmtId="212" fontId="78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169" fontId="209" fillId="0" borderId="0" applyProtection="1">
      <protection locked="0" hidden="0"/>
    </xf>
    <xf numFmtId="330" fontId="209" fillId="0" borderId="0" applyProtection="1">
      <protection locked="0" hidden="0"/>
    </xf>
    <xf numFmtId="169" fontId="209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212" fontId="78" fillId="0" borderId="0" applyProtection="1">
      <protection locked="0" hidden="0"/>
    </xf>
    <xf numFmtId="212" fontId="78" fillId="0" borderId="0" applyProtection="1">
      <protection locked="0" hidden="0"/>
    </xf>
    <xf numFmtId="212" fontId="78" fillId="0" borderId="0" applyProtection="1">
      <protection locked="0" hidden="0"/>
    </xf>
    <xf numFmtId="212" fontId="78" fillId="0" borderId="0" applyProtection="1">
      <protection locked="0" hidden="0"/>
    </xf>
    <xf numFmtId="207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12" fontId="78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0" fontId="20" fillId="0" borderId="0"/>
    <xf numFmtId="307" fontId="64" fillId="0" borderId="0" applyAlignment="1">
      <alignment horizontal="centerContinuous" vertical="center"/>
    </xf>
    <xf numFmtId="0" fontId="20" fillId="0" borderId="0"/>
    <xf numFmtId="212" fontId="78" fillId="0" borderId="0" applyProtection="1">
      <protection locked="0" hidden="0"/>
    </xf>
    <xf numFmtId="199" fontId="2" fillId="0" borderId="0" applyAlignment="1">
      <alignment vertical="center"/>
    </xf>
    <xf numFmtId="213" fontId="20" fillId="0" borderId="37" applyAlignment="1">
      <alignment horizontal="center" vertical="center"/>
    </xf>
    <xf numFmtId="221" fontId="20" fillId="0" borderId="0" applyProtection="1">
      <protection locked="0" hidden="0"/>
    </xf>
    <xf numFmtId="213" fontId="20" fillId="0" borderId="47" applyAlignment="1">
      <alignment horizontal="center" vertical="center"/>
    </xf>
    <xf numFmtId="213" fontId="20" fillId="0" borderId="47" applyAlignment="1">
      <alignment horizontal="center" vertical="center"/>
    </xf>
    <xf numFmtId="213" fontId="20" fillId="0" borderId="47" applyAlignment="1">
      <alignment horizontal="center" vertical="center"/>
    </xf>
    <xf numFmtId="213" fontId="20" fillId="0" borderId="47" applyAlignment="1">
      <alignment horizontal="center" vertical="center"/>
    </xf>
    <xf numFmtId="213" fontId="20" fillId="0" borderId="47" applyAlignment="1">
      <alignment horizontal="center" vertical="center"/>
    </xf>
    <xf numFmtId="213" fontId="20" fillId="0" borderId="47" applyAlignment="1">
      <alignment horizontal="center" vertical="center"/>
    </xf>
    <xf numFmtId="213" fontId="20" fillId="0" borderId="47" applyAlignment="1">
      <alignment horizontal="center" vertical="center"/>
    </xf>
    <xf numFmtId="213" fontId="20" fillId="0" borderId="47" applyAlignment="1">
      <alignment horizontal="center" vertical="center"/>
    </xf>
    <xf numFmtId="41" fontId="2" fillId="0" borderId="0"/>
    <xf numFmtId="213" fontId="20" fillId="0" borderId="0" applyAlignment="1">
      <alignment vertical="center"/>
    </xf>
    <xf numFmtId="213" fontId="64" fillId="0" borderId="98" applyAlignment="1">
      <alignment vertical="center"/>
    </xf>
    <xf numFmtId="331" fontId="21" fillId="0" borderId="37"/>
    <xf numFmtId="0" fontId="21" fillId="0" borderId="37"/>
    <xf numFmtId="0" fontId="21" fillId="0" borderId="37"/>
    <xf numFmtId="0" fontId="21" fillId="0" borderId="37"/>
    <xf numFmtId="0" fontId="21" fillId="0" borderId="37"/>
    <xf numFmtId="0" fontId="21" fillId="0" borderId="37"/>
    <xf numFmtId="0" fontId="21" fillId="0" borderId="37"/>
    <xf numFmtId="0" fontId="21" fillId="0" borderId="37"/>
    <xf numFmtId="213" fontId="210" fillId="0" borderId="0"/>
    <xf numFmtId="38" fontId="19" fillId="0" borderId="0" applyAlignment="1">
      <alignment vertical="center"/>
    </xf>
    <xf numFmtId="332" fontId="2" fillId="0" borderId="0" applyAlignment="1">
      <alignment vertical="center"/>
    </xf>
    <xf numFmtId="177" fontId="2" fillId="0" borderId="0" applyAlignment="1">
      <alignment vertical="center"/>
    </xf>
    <xf numFmtId="303" fontId="211" fillId="0" borderId="0"/>
    <xf numFmtId="213" fontId="190" fillId="0" borderId="37"/>
    <xf numFmtId="333" fontId="18" fillId="0" borderId="0"/>
    <xf numFmtId="334" fontId="18" fillId="0" borderId="0"/>
    <xf numFmtId="335" fontId="211" fillId="0" borderId="37" applyAlignment="1">
      <alignment vertical="center"/>
    </xf>
    <xf numFmtId="335" fontId="211" fillId="0" borderId="37" applyAlignment="1">
      <alignment vertical="center"/>
    </xf>
    <xf numFmtId="335" fontId="211" fillId="0" borderId="37" applyAlignment="1">
      <alignment vertical="center"/>
    </xf>
    <xf numFmtId="335" fontId="211" fillId="0" borderId="37" applyAlignment="1">
      <alignment vertical="center"/>
    </xf>
    <xf numFmtId="335" fontId="211" fillId="0" borderId="37" applyAlignment="1">
      <alignment vertical="center"/>
    </xf>
    <xf numFmtId="335" fontId="211" fillId="0" borderId="37" applyAlignment="1">
      <alignment vertical="center"/>
    </xf>
    <xf numFmtId="335" fontId="211" fillId="0" borderId="37" applyAlignment="1">
      <alignment vertical="center"/>
    </xf>
    <xf numFmtId="335" fontId="211" fillId="0" borderId="37" applyAlignment="1">
      <alignment vertical="center"/>
    </xf>
    <xf numFmtId="336" fontId="18" fillId="0" borderId="0"/>
    <xf numFmtId="337" fontId="18" fillId="0" borderId="0"/>
    <xf numFmtId="0" fontId="20" fillId="0" borderId="0"/>
    <xf numFmtId="0" fontId="70" fillId="0" borderId="0" applyAlignment="1">
      <alignment horizontal="center" vertical="center"/>
    </xf>
    <xf numFmtId="0" fontId="212" fillId="0" borderId="0" applyAlignment="1">
      <alignment horizontal="center" vertical="center"/>
    </xf>
    <xf numFmtId="171" fontId="213" fillId="0" borderId="0"/>
    <xf numFmtId="172" fontId="213" fillId="0" borderId="0"/>
    <xf numFmtId="0" fontId="2" fillId="0" borderId="64"/>
    <xf numFmtId="0" fontId="2" fillId="0" borderId="64"/>
    <xf numFmtId="0" fontId="2" fillId="0" borderId="64"/>
    <xf numFmtId="0" fontId="2" fillId="0" borderId="64"/>
    <xf numFmtId="0" fontId="2" fillId="0" borderId="64"/>
    <xf numFmtId="0" fontId="2" fillId="0" borderId="64"/>
    <xf numFmtId="0" fontId="2" fillId="0" borderId="64"/>
    <xf numFmtId="0" fontId="2" fillId="0" borderId="64"/>
    <xf numFmtId="2" fontId="214" fillId="0" borderId="13" applyAlignment="1">
      <alignment vertical="center"/>
    </xf>
    <xf numFmtId="212" fontId="78" fillId="0" borderId="0" applyProtection="1">
      <protection locked="0" hidden="0"/>
    </xf>
    <xf numFmtId="207" fontId="2" fillId="0" borderId="0" applyProtection="1">
      <protection locked="0" hidden="0"/>
    </xf>
    <xf numFmtId="221" fontId="20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12" fontId="78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212" fontId="78" fillId="0" borderId="0" applyProtection="1">
      <protection locked="0" hidden="0"/>
    </xf>
    <xf numFmtId="212" fontId="78" fillId="0" borderId="0" applyProtection="1">
      <protection locked="0" hidden="0"/>
    </xf>
    <xf numFmtId="212" fontId="78" fillId="0" borderId="0" applyProtection="1">
      <protection locked="0" hidden="0"/>
    </xf>
    <xf numFmtId="207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207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12" fontId="78" fillId="0" borderId="0" applyProtection="1">
      <protection locked="0" hidden="0"/>
    </xf>
    <xf numFmtId="212" fontId="78" fillId="0" borderId="0" applyProtection="1">
      <protection locked="0" hidden="0"/>
    </xf>
    <xf numFmtId="212" fontId="78" fillId="0" borderId="0" applyProtection="1">
      <protection locked="0" hidden="0"/>
    </xf>
    <xf numFmtId="212" fontId="78" fillId="0" borderId="0" applyProtection="1">
      <protection locked="0" hidden="0"/>
    </xf>
    <xf numFmtId="212" fontId="78" fillId="0" borderId="0" applyProtection="1">
      <protection locked="0" hidden="0"/>
    </xf>
    <xf numFmtId="212" fontId="78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169" fontId="209" fillId="0" borderId="0" applyProtection="1">
      <protection locked="0" hidden="0"/>
    </xf>
    <xf numFmtId="330" fontId="209" fillId="0" borderId="0" applyProtection="1">
      <protection locked="0" hidden="0"/>
    </xf>
    <xf numFmtId="169" fontId="209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212" fontId="78" fillId="0" borderId="0" applyProtection="1">
      <protection locked="0" hidden="0"/>
    </xf>
    <xf numFmtId="212" fontId="78" fillId="0" borderId="0" applyProtection="1">
      <protection locked="0" hidden="0"/>
    </xf>
    <xf numFmtId="212" fontId="78" fillId="0" borderId="0" applyProtection="1">
      <protection locked="0" hidden="0"/>
    </xf>
    <xf numFmtId="212" fontId="78" fillId="0" borderId="0" applyProtection="1">
      <protection locked="0" hidden="0"/>
    </xf>
    <xf numFmtId="207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12" fontId="78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12" fontId="78" fillId="0" borderId="0" applyProtection="1">
      <protection locked="0" hidden="0"/>
    </xf>
    <xf numFmtId="171" fontId="215" fillId="0" borderId="0"/>
    <xf numFmtId="338" fontId="2" fillId="0" borderId="0"/>
    <xf numFmtId="42" fontId="2" fillId="0" borderId="0"/>
    <xf numFmtId="42" fontId="2" fillId="0" borderId="0" applyAlignment="1">
      <alignment vertical="center"/>
    </xf>
    <xf numFmtId="228" fontId="20" fillId="0" borderId="0"/>
    <xf numFmtId="42" fontId="2" fillId="0" borderId="0" applyAlignment="1">
      <alignment vertical="center"/>
    </xf>
    <xf numFmtId="213" fontId="20" fillId="0" borderId="0"/>
    <xf numFmtId="228" fontId="20" fillId="0" borderId="0"/>
    <xf numFmtId="228" fontId="20" fillId="0" borderId="0"/>
    <xf numFmtId="228" fontId="20" fillId="0" borderId="0"/>
    <xf numFmtId="228" fontId="20" fillId="0" borderId="0"/>
    <xf numFmtId="0" fontId="20" fillId="0" borderId="0"/>
    <xf numFmtId="0" fontId="18" fillId="0" borderId="0"/>
    <xf numFmtId="339" fontId="2" fillId="0" borderId="0"/>
    <xf numFmtId="0" fontId="2" fillId="0" borderId="0"/>
    <xf numFmtId="0" fontId="175" fillId="0" borderId="13" applyAlignment="1">
      <alignment horizontal="center" vertical="center"/>
    </xf>
    <xf numFmtId="0" fontId="175" fillId="0" borderId="13" applyAlignment="1">
      <alignment horizontal="left" vertical="center"/>
    </xf>
    <xf numFmtId="0" fontId="175" fillId="0" borderId="13" applyAlignment="1">
      <alignment vertical="center" textRotation="255"/>
    </xf>
    <xf numFmtId="207" fontId="2" fillId="0" borderId="0" applyProtection="1">
      <protection locked="0" hidden="0"/>
    </xf>
    <xf numFmtId="221" fontId="20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12" fontId="78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0" fontId="2" fillId="0" borderId="0"/>
    <xf numFmtId="207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207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12" fontId="78" fillId="0" borderId="0" applyProtection="1">
      <protection locked="0" hidden="0"/>
    </xf>
    <xf numFmtId="212" fontId="78" fillId="0" borderId="0" applyProtection="1">
      <protection locked="0" hidden="0"/>
    </xf>
    <xf numFmtId="212" fontId="78" fillId="0" borderId="0" applyProtection="1">
      <protection locked="0" hidden="0"/>
    </xf>
    <xf numFmtId="212" fontId="78" fillId="0" borderId="0" applyProtection="1">
      <protection locked="0" hidden="0"/>
    </xf>
    <xf numFmtId="212" fontId="78" fillId="0" borderId="0" applyProtection="1">
      <protection locked="0" hidden="0"/>
    </xf>
    <xf numFmtId="212" fontId="78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169" fontId="209" fillId="0" borderId="0" applyProtection="1">
      <protection locked="0" hidden="0"/>
    </xf>
    <xf numFmtId="330" fontId="209" fillId="0" borderId="0" applyProtection="1">
      <protection locked="0" hidden="0"/>
    </xf>
    <xf numFmtId="169" fontId="209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0" fontId="2" fillId="0" borderId="0" applyProtection="1">
      <protection locked="0" hidden="0"/>
    </xf>
    <xf numFmtId="212" fontId="78" fillId="0" borderId="0" applyProtection="1">
      <protection locked="0" hidden="0"/>
    </xf>
    <xf numFmtId="212" fontId="78" fillId="0" borderId="0" applyProtection="1">
      <protection locked="0" hidden="0"/>
    </xf>
    <xf numFmtId="212" fontId="78" fillId="0" borderId="0" applyProtection="1">
      <protection locked="0" hidden="0"/>
    </xf>
    <xf numFmtId="212" fontId="78" fillId="0" borderId="0" applyProtection="1">
      <protection locked="0" hidden="0"/>
    </xf>
    <xf numFmtId="207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329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12" fontId="78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7" fontId="2" fillId="0" borderId="0" applyProtection="1">
      <protection locked="0" hidden="0"/>
    </xf>
    <xf numFmtId="209" fontId="21" fillId="0" borderId="5" applyAlignment="1">
      <alignment vertical="center"/>
    </xf>
    <xf numFmtId="0" fontId="8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9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 applyAlignment="1">
      <alignment vertical="center"/>
    </xf>
    <xf numFmtId="0" fontId="216" fillId="0" borderId="0" applyAlignment="1">
      <alignment vertical="center"/>
    </xf>
    <xf numFmtId="0" fontId="21" fillId="0" borderId="0"/>
    <xf numFmtId="0" fontId="82" fillId="0" borderId="0" applyAlignment="1">
      <alignment vertical="center"/>
    </xf>
    <xf numFmtId="0" fontId="82" fillId="0" borderId="0" applyAlignment="1">
      <alignment vertical="center"/>
    </xf>
    <xf numFmtId="0" fontId="82" fillId="0" borderId="0" applyAlignment="1">
      <alignment vertical="center"/>
    </xf>
    <xf numFmtId="0" fontId="82" fillId="0" borderId="0" applyAlignment="1">
      <alignment vertical="center"/>
    </xf>
    <xf numFmtId="0" fontId="82" fillId="0" borderId="0" applyAlignment="1">
      <alignment vertical="center"/>
    </xf>
    <xf numFmtId="0" fontId="81" fillId="0" borderId="0" applyAlignment="1">
      <alignment vertical="center"/>
    </xf>
    <xf numFmtId="0" fontId="2" fillId="0" borderId="0" applyAlignment="1">
      <alignment vertical="center"/>
    </xf>
    <xf numFmtId="0" fontId="82" fillId="0" borderId="0" applyAlignment="1">
      <alignment vertical="center"/>
    </xf>
    <xf numFmtId="0" fontId="82" fillId="0" borderId="0" applyAlignment="1">
      <alignment vertical="center"/>
    </xf>
    <xf numFmtId="0" fontId="82" fillId="0" borderId="0" applyAlignment="1">
      <alignment vertical="center"/>
    </xf>
    <xf numFmtId="0" fontId="82" fillId="0" borderId="0" applyAlignment="1">
      <alignment vertical="center"/>
    </xf>
    <xf numFmtId="0" fontId="82" fillId="0" borderId="0" applyAlignment="1">
      <alignment vertical="center"/>
    </xf>
    <xf numFmtId="0" fontId="82" fillId="0" borderId="0" applyAlignment="1">
      <alignment vertical="center"/>
    </xf>
    <xf numFmtId="0" fontId="82" fillId="0" borderId="0" applyAlignment="1">
      <alignment vertical="center"/>
    </xf>
    <xf numFmtId="0" fontId="8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 applyAlignment="1">
      <alignment vertical="center"/>
    </xf>
    <xf numFmtId="0" fontId="2" fillId="0" borderId="0"/>
    <xf numFmtId="0" fontId="82" fillId="0" borderId="0" applyAlignment="1">
      <alignment vertical="center"/>
    </xf>
    <xf numFmtId="0" fontId="64" fillId="0" borderId="0"/>
    <xf numFmtId="223" fontId="2" fillId="0" borderId="0" applyAlignment="1">
      <alignment vertical="center"/>
    </xf>
    <xf numFmtId="0" fontId="82" fillId="0" borderId="0" applyAlignment="1">
      <alignment vertical="center"/>
    </xf>
    <xf numFmtId="0" fontId="82" fillId="0" borderId="0" applyAlignment="1">
      <alignment vertical="center"/>
    </xf>
    <xf numFmtId="0" fontId="20" fillId="0" borderId="0"/>
    <xf numFmtId="0" fontId="64" fillId="0" borderId="0"/>
    <xf numFmtId="0" fontId="8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82" fillId="0" borderId="0" applyAlignment="1">
      <alignment vertical="center"/>
    </xf>
    <xf numFmtId="0" fontId="82" fillId="0" borderId="0" applyAlignment="1">
      <alignment vertical="center"/>
    </xf>
    <xf numFmtId="0" fontId="82" fillId="0" borderId="0" applyAlignment="1">
      <alignment vertical="center"/>
    </xf>
    <xf numFmtId="0" fontId="21" fillId="0" borderId="0"/>
    <xf numFmtId="0" fontId="2" fillId="0" borderId="0"/>
    <xf numFmtId="0" fontId="82" fillId="0" borderId="0"/>
    <xf numFmtId="0" fontId="2" fillId="0" borderId="0" applyAlignment="1">
      <alignment vertical="center"/>
    </xf>
    <xf numFmtId="223" fontId="82" fillId="0" borderId="0" applyAlignment="1">
      <alignment vertical="center"/>
    </xf>
    <xf numFmtId="0" fontId="2" fillId="0" borderId="0"/>
    <xf numFmtId="223" fontId="82" fillId="0" borderId="0" applyAlignment="1">
      <alignment vertical="center"/>
    </xf>
    <xf numFmtId="0" fontId="2" fillId="0" borderId="0"/>
    <xf numFmtId="0" fontId="2" fillId="0" borderId="0"/>
    <xf numFmtId="223" fontId="82" fillId="0" borderId="0" applyAlignment="1">
      <alignment vertical="center"/>
    </xf>
    <xf numFmtId="0" fontId="81" fillId="0" borderId="0" applyAlignment="1">
      <alignment vertical="center"/>
    </xf>
    <xf numFmtId="223" fontId="81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64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223" fontId="2" fillId="0" borderId="0" applyAlignment="1">
      <alignment vertical="center"/>
    </xf>
    <xf numFmtId="0" fontId="82" fillId="0" borderId="0" applyAlignment="1">
      <alignment vertical="center"/>
    </xf>
    <xf numFmtId="223" fontId="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82" fillId="0" borderId="0" applyAlignment="1">
      <alignment vertical="center"/>
    </xf>
    <xf numFmtId="223" fontId="217" fillId="0" borderId="0" applyAlignment="1">
      <alignment vertical="center"/>
    </xf>
    <xf numFmtId="0" fontId="81" fillId="0" borderId="0" applyAlignment="1">
      <alignment vertical="center"/>
    </xf>
    <xf numFmtId="223" fontId="217" fillId="0" borderId="0" applyAlignment="1">
      <alignment vertical="center"/>
    </xf>
    <xf numFmtId="223" fontId="2" fillId="0" borderId="0" applyAlignment="1">
      <alignment vertical="center"/>
    </xf>
    <xf numFmtId="0" fontId="2" fillId="0" borderId="0" applyAlignment="1">
      <alignment vertical="center"/>
    </xf>
    <xf numFmtId="223" fontId="217" fillId="0" borderId="0" applyAlignment="1">
      <alignment vertical="center"/>
    </xf>
    <xf numFmtId="0" fontId="2" fillId="0" borderId="0"/>
    <xf numFmtId="223" fontId="217" fillId="0" borderId="0" applyAlignment="1">
      <alignment vertical="center"/>
    </xf>
    <xf numFmtId="223" fontId="81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223" fontId="1" fillId="0" borderId="0" applyAlignment="1">
      <alignment vertical="center"/>
    </xf>
    <xf numFmtId="223" fontId="1" fillId="0" borderId="0" applyAlignment="1">
      <alignment vertical="center"/>
    </xf>
    <xf numFmtId="223" fontId="1" fillId="0" borderId="0" applyAlignment="1">
      <alignment vertical="center"/>
    </xf>
    <xf numFmtId="223" fontId="1" fillId="0" borderId="0" applyAlignment="1">
      <alignment vertical="center"/>
    </xf>
    <xf numFmtId="223" fontId="1" fillId="0" borderId="0" applyAlignment="1">
      <alignment vertical="center"/>
    </xf>
    <xf numFmtId="223" fontId="1" fillId="0" borderId="0" applyAlignment="1">
      <alignment vertical="center"/>
    </xf>
    <xf numFmtId="223" fontId="1" fillId="0" borderId="0" applyAlignment="1">
      <alignment vertical="center"/>
    </xf>
    <xf numFmtId="223" fontId="1" fillId="0" borderId="0" applyAlignment="1">
      <alignment vertical="center"/>
    </xf>
    <xf numFmtId="223" fontId="1" fillId="0" borderId="0" applyAlignment="1">
      <alignment vertical="center"/>
    </xf>
    <xf numFmtId="223" fontId="1" fillId="0" borderId="0" applyAlignment="1">
      <alignment vertical="center"/>
    </xf>
    <xf numFmtId="223" fontId="1" fillId="0" borderId="0" applyAlignment="1">
      <alignment vertical="center"/>
    </xf>
    <xf numFmtId="223" fontId="1" fillId="0" borderId="0" applyAlignment="1">
      <alignment vertical="center"/>
    </xf>
    <xf numFmtId="223" fontId="81" fillId="0" borderId="0" applyAlignment="1">
      <alignment vertical="center"/>
    </xf>
    <xf numFmtId="0" fontId="2" fillId="0" borderId="0" applyAlignment="1">
      <alignment vertical="center"/>
    </xf>
    <xf numFmtId="0" fontId="21" fillId="0" borderId="0"/>
    <xf numFmtId="0" fontId="2" fillId="0" borderId="0" applyAlignment="1">
      <alignment vertical="center"/>
    </xf>
    <xf numFmtId="0" fontId="21" fillId="0" borderId="0"/>
    <xf numFmtId="0" fontId="2" fillId="0" borderId="0"/>
    <xf numFmtId="223" fontId="2" fillId="0" borderId="0" applyAlignment="1">
      <alignment vertical="center"/>
    </xf>
    <xf numFmtId="0" fontId="2" fillId="0" borderId="0" applyAlignment="1">
      <alignment vertical="center"/>
    </xf>
    <xf numFmtId="0" fontId="218" fillId="0" borderId="0" applyAlignment="1">
      <alignment vertical="center"/>
    </xf>
    <xf numFmtId="0" fontId="2" fillId="0" borderId="0" applyAlignment="1">
      <alignment vertical="center"/>
    </xf>
    <xf numFmtId="0" fontId="21" fillId="0" borderId="0" applyAlignment="1">
      <alignment wrapText="1"/>
    </xf>
    <xf numFmtId="0" fontId="82" fillId="0" borderId="0" applyAlignment="1">
      <alignment vertical="center"/>
    </xf>
    <xf numFmtId="0" fontId="2" fillId="0" borderId="0"/>
    <xf numFmtId="223" fontId="2" fillId="0" borderId="0" applyAlignment="1">
      <alignment vertical="center"/>
    </xf>
    <xf numFmtId="340" fontId="219" fillId="0" borderId="13" applyAlignment="1">
      <alignment horizontal="distributed" vertical="center"/>
    </xf>
    <xf numFmtId="0" fontId="220" fillId="0" borderId="0"/>
    <xf numFmtId="0" fontId="221" fillId="0" borderId="0"/>
    <xf numFmtId="0" fontId="64" fillId="0" borderId="0"/>
    <xf numFmtId="0" fontId="64" fillId="0" borderId="0"/>
    <xf numFmtId="0" fontId="20" fillId="0" borderId="0"/>
    <xf numFmtId="14" fontId="66" fillId="0" borderId="0"/>
    <xf numFmtId="196" fontId="20" fillId="0" borderId="0"/>
    <xf numFmtId="0" fontId="86" fillId="0" borderId="52" applyAlignment="1">
      <alignment horizontal="center" vertical="center"/>
    </xf>
    <xf numFmtId="0" fontId="222" fillId="0" borderId="0" applyAlignment="1" applyProtection="1">
      <alignment vertical="top"/>
      <protection locked="0" hidden="0"/>
    </xf>
    <xf numFmtId="0" fontId="223" fillId="0" borderId="0" applyAlignment="1" applyProtection="1">
      <alignment vertical="top"/>
      <protection locked="0" hidden="0"/>
    </xf>
    <xf numFmtId="0" fontId="223" fillId="0" borderId="0" applyAlignment="1" applyProtection="1">
      <alignment vertical="top"/>
      <protection locked="0" hidden="0"/>
    </xf>
    <xf numFmtId="0" fontId="223" fillId="0" borderId="0" applyAlignment="1" applyProtection="1">
      <alignment vertical="top"/>
      <protection locked="0" hidden="0"/>
    </xf>
    <xf numFmtId="0" fontId="224" fillId="0" borderId="0" applyAlignment="1" applyProtection="1">
      <alignment vertical="top"/>
      <protection locked="0" hidden="0"/>
    </xf>
    <xf numFmtId="5" fontId="2" fillId="0" borderId="0"/>
    <xf numFmtId="0" fontId="21" fillId="0" borderId="0"/>
    <xf numFmtId="0" fontId="21" fillId="0" borderId="0"/>
    <xf numFmtId="176" fontId="21" fillId="0" borderId="0"/>
    <xf numFmtId="38" fontId="225" fillId="0" borderId="0" applyAlignment="1">
      <alignment vertical="center"/>
    </xf>
    <xf numFmtId="183" fontId="2" fillId="0" borderId="0" applyAlignment="1">
      <alignment horizontal="center" vertical="center" wrapText="1"/>
    </xf>
    <xf numFmtId="213" fontId="20" fillId="0" borderId="99"/>
    <xf numFmtId="213" fontId="20" fillId="0" borderId="99"/>
    <xf numFmtId="213" fontId="20" fillId="0" borderId="99"/>
    <xf numFmtId="213" fontId="20" fillId="0" borderId="99"/>
    <xf numFmtId="213" fontId="20" fillId="0" borderId="99"/>
    <xf numFmtId="213" fontId="20" fillId="0" borderId="99"/>
    <xf numFmtId="213" fontId="20" fillId="0" borderId="99"/>
    <xf numFmtId="213" fontId="20" fillId="0" borderId="99"/>
    <xf numFmtId="171" fontId="19" fillId="0" borderId="0"/>
    <xf numFmtId="172" fontId="19" fillId="0" borderId="0"/>
    <xf numFmtId="171" fontId="19" fillId="0" borderId="0"/>
    <xf numFmtId="172" fontId="19" fillId="0" borderId="0"/>
    <xf numFmtId="3" fontId="17" fillId="0" borderId="37"/>
    <xf numFmtId="0" fontId="27" fillId="0" borderId="0"/>
    <xf numFmtId="0" fontId="32" fillId="0" borderId="0" applyProtection="1">
      <protection locked="0" hidden="0"/>
    </xf>
    <xf numFmtId="0" fontId="32" fillId="0" borderId="0" applyProtection="1">
      <protection locked="0" hidden="0"/>
    </xf>
    <xf numFmtId="2" fontId="27" fillId="0" borderId="0"/>
    <xf numFmtId="0" fontId="36" fillId="0" borderId="0"/>
    <xf numFmtId="0" fontId="35" fillId="0" borderId="0"/>
    <xf numFmtId="180" fontId="2" fillId="0" borderId="0"/>
    <xf numFmtId="0" fontId="42" fillId="2" borderId="0" applyAlignment="1">
      <alignment horizontal="centerContinuous"/>
    </xf>
    <xf numFmtId="0" fontId="27" fillId="0" borderId="41"/>
    <xf numFmtId="182" fontId="2" fillId="0" borderId="0" applyProtection="1">
      <protection locked="0" hidden="0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84" fontId="21" fillId="0" borderId="0" applyAlignment="1">
      <alignment vertical="center"/>
    </xf>
    <xf numFmtId="186" fontId="19" fillId="0" borderId="0"/>
    <xf numFmtId="187" fontId="2" fillId="0" borderId="0" applyProtection="1">
      <protection locked="0" hidden="0"/>
    </xf>
    <xf numFmtId="188" fontId="20" fillId="5" borderId="0" applyAlignment="1">
      <alignment horizontal="right"/>
    </xf>
    <xf numFmtId="189" fontId="2" fillId="0" borderId="0" applyProtection="1">
      <protection locked="0" hidden="0"/>
    </xf>
    <xf numFmtId="191" fontId="2" fillId="0" borderId="0" applyProtection="1">
      <protection locked="0" hidden="0"/>
    </xf>
    <xf numFmtId="192" fontId="2" fillId="0" borderId="0" applyProtection="1">
      <protection locked="0" hidden="0"/>
    </xf>
    <xf numFmtId="0" fontId="13" fillId="0" borderId="0" applyAlignment="1">
      <alignment vertical="center"/>
    </xf>
    <xf numFmtId="0" fontId="2" fillId="0" borderId="0" applyAlignment="1">
      <alignment vertical="center"/>
    </xf>
  </cellStyleXfs>
  <cellXfs count="270">
    <xf numFmtId="0" fontId="0" fillId="0" borderId="0" pivotButton="0" quotePrefix="0" xfId="0"/>
    <xf numFmtId="164" fontId="7" fillId="0" borderId="6" applyAlignment="1" pivotButton="0" quotePrefix="0" xfId="0">
      <alignment horizontal="center" vertical="center"/>
    </xf>
    <xf numFmtId="165" fontId="7" fillId="0" borderId="36" applyAlignment="1" pivotButton="0" quotePrefix="0" xfId="0">
      <alignment vertical="center"/>
    </xf>
    <xf numFmtId="164" fontId="7" fillId="0" borderId="35" applyAlignment="1" pivotButton="0" quotePrefix="0" xfId="0">
      <alignment horizontal="center" vertical="center"/>
    </xf>
    <xf numFmtId="165" fontId="7" fillId="0" borderId="34" applyAlignment="1" pivotButton="0" quotePrefix="0" xfId="0">
      <alignment vertical="center"/>
    </xf>
    <xf numFmtId="164" fontId="7" fillId="0" borderId="32" applyAlignment="1" pivotButton="0" quotePrefix="0" xfId="0">
      <alignment horizontal="center" vertical="center"/>
    </xf>
    <xf numFmtId="165" fontId="7" fillId="0" borderId="31" applyAlignment="1" pivotButton="0" quotePrefix="0" xfId="0">
      <alignment vertical="center"/>
    </xf>
    <xf numFmtId="164" fontId="7" fillId="0" borderId="29" applyAlignment="1" pivotButton="0" quotePrefix="0" xfId="0">
      <alignment vertical="center"/>
    </xf>
    <xf numFmtId="0" fontId="14" fillId="0" borderId="0" applyAlignment="1" pivotButton="0" quotePrefix="0" xfId="1">
      <alignment vertical="center"/>
    </xf>
    <xf numFmtId="0" fontId="4" fillId="0" borderId="1" pivotButton="0" quotePrefix="0" xfId="0"/>
    <xf numFmtId="0" fontId="4" fillId="0" borderId="10" pivotButton="0" quotePrefix="0" xfId="0"/>
    <xf numFmtId="0" fontId="5" fillId="0" borderId="0" applyAlignment="1" pivotButton="0" quotePrefix="0" xfId="0">
      <alignment vertical="center"/>
    </xf>
    <xf numFmtId="0" fontId="4" fillId="0" borderId="5" pivotButton="0" quotePrefix="0" xfId="0"/>
    <xf numFmtId="0" fontId="4" fillId="0" borderId="0" pivotButton="0" quotePrefix="0" xfId="0"/>
    <xf numFmtId="0" fontId="4" fillId="0" borderId="6" pivotButton="0" quotePrefix="0" xfId="0"/>
    <xf numFmtId="0" fontId="12" fillId="0" borderId="0" applyAlignment="1" pivotButton="0" quotePrefix="0" xfId="0">
      <alignment horizontal="justify"/>
    </xf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164" fontId="8" fillId="0" borderId="0" pivotButton="0" quotePrefix="0" xfId="0"/>
    <xf numFmtId="166" fontId="7" fillId="0" borderId="0" pivotButton="0" quotePrefix="0" xfId="0"/>
    <xf numFmtId="49" fontId="7" fillId="0" borderId="0" pivotButton="0" quotePrefix="0" xfId="0"/>
    <xf numFmtId="9" fontId="7" fillId="0" borderId="0" pivotButton="0" quotePrefix="0" xfId="0"/>
    <xf numFmtId="49" fontId="8" fillId="0" borderId="0" applyAlignment="1" pivotButton="0" quotePrefix="0" xfId="0">
      <alignment horizontal="center"/>
    </xf>
    <xf numFmtId="166" fontId="8" fillId="0" borderId="0" applyAlignment="1" pivotButton="0" quotePrefix="0" xfId="0">
      <alignment horizontal="center"/>
    </xf>
    <xf numFmtId="9" fontId="8" fillId="0" borderId="0" applyAlignment="1" pivotButton="0" quotePrefix="0" xfId="0">
      <alignment horizontal="center"/>
    </xf>
    <xf numFmtId="166" fontId="11" fillId="0" borderId="22" applyAlignment="1" pivotButton="0" quotePrefix="0" xfId="0">
      <alignment horizontal="center" vertical="center"/>
    </xf>
    <xf numFmtId="166" fontId="8" fillId="0" borderId="0" pivotButton="0" quotePrefix="0" xfId="0"/>
    <xf numFmtId="9" fontId="8" fillId="0" borderId="0" pivotButton="0" quotePrefix="0" xfId="0"/>
    <xf numFmtId="49" fontId="7" fillId="0" borderId="5" applyAlignment="1" pivotButton="0" quotePrefix="0" xfId="0">
      <alignment horizontal="center" vertical="center"/>
    </xf>
    <xf numFmtId="49" fontId="7" fillId="0" borderId="23" applyAlignment="1" pivotButton="0" quotePrefix="0" xfId="0">
      <alignment horizontal="distributed" vertical="center" indent="1"/>
    </xf>
    <xf numFmtId="164" fontId="7" fillId="0" borderId="0" pivotButton="0" quotePrefix="0" xfId="0"/>
    <xf numFmtId="0" fontId="6" fillId="0" borderId="0" applyAlignment="1" pivotButton="0" quotePrefix="0" xfId="0">
      <alignment horizontal="justify"/>
    </xf>
    <xf numFmtId="0" fontId="7" fillId="0" borderId="5" pivotButton="0" quotePrefix="0" xfId="0"/>
    <xf numFmtId="164" fontId="8" fillId="0" borderId="0" applyAlignment="1" pivotButton="0" quotePrefix="0" xfId="0">
      <alignment horizontal="center"/>
    </xf>
    <xf numFmtId="49" fontId="9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166" fontId="9" fillId="0" borderId="0" applyAlignment="1" pivotButton="0" quotePrefix="0" xfId="0">
      <alignment horizontal="center"/>
    </xf>
    <xf numFmtId="9" fontId="9" fillId="0" borderId="0" applyAlignment="1" pivotButton="0" quotePrefix="0" xfId="0">
      <alignment horizontal="center"/>
    </xf>
    <xf numFmtId="9" fontId="7" fillId="0" borderId="15" applyAlignment="1" pivotButton="0" quotePrefix="0" xfId="0">
      <alignment vertical="center"/>
    </xf>
    <xf numFmtId="165" fontId="7" fillId="0" borderId="21" applyAlignment="1" pivotButton="0" quotePrefix="0" xfId="0">
      <alignment vertical="center"/>
    </xf>
    <xf numFmtId="165" fontId="7" fillId="0" borderId="13" applyAlignment="1" pivotButton="0" quotePrefix="0" xfId="0">
      <alignment vertical="center"/>
    </xf>
    <xf numFmtId="49" fontId="7" fillId="0" borderId="28" applyAlignment="1" pivotButton="0" quotePrefix="0" xfId="0">
      <alignment vertical="center"/>
    </xf>
    <xf numFmtId="164" fontId="7" fillId="0" borderId="24" applyAlignment="1" pivotButton="0" quotePrefix="0" xfId="0">
      <alignment horizontal="center" vertical="center"/>
    </xf>
    <xf numFmtId="164" fontId="7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64" fontId="8" fillId="0" borderId="0" pivotButton="0" quotePrefix="0" xfId="4"/>
    <xf numFmtId="167" fontId="7" fillId="0" borderId="0" pivotButton="0" quotePrefix="0" xfId="4"/>
    <xf numFmtId="164" fontId="8" fillId="0" borderId="0" pivotButton="0" quotePrefix="0" xfId="3"/>
    <xf numFmtId="0" fontId="4" fillId="0" borderId="60" pivotButton="0" quotePrefix="0" xfId="0"/>
    <xf numFmtId="164" fontId="8" fillId="0" borderId="0" applyAlignment="1" pivotButton="0" quotePrefix="0" xfId="4">
      <alignment vertical="center"/>
    </xf>
    <xf numFmtId="164" fontId="7" fillId="0" borderId="0" applyAlignment="1" pivotButton="0" quotePrefix="0" xfId="0">
      <alignment horizontal="left" vertical="center"/>
    </xf>
    <xf numFmtId="9" fontId="7" fillId="0" borderId="0" pivotButton="0" quotePrefix="0" xfId="2"/>
    <xf numFmtId="0" fontId="8" fillId="0" borderId="0" applyAlignment="1" pivotButton="0" quotePrefix="0" xfId="0">
      <alignment horizontal="center"/>
    </xf>
    <xf numFmtId="0" fontId="226" fillId="0" borderId="0" applyAlignment="1" pivotButton="0" quotePrefix="0" xfId="9146">
      <alignment vertical="center"/>
    </xf>
    <xf numFmtId="164" fontId="226" fillId="0" borderId="0" applyAlignment="1" pivotButton="0" quotePrefix="0" xfId="4">
      <alignment vertical="center"/>
    </xf>
    <xf numFmtId="164" fontId="226" fillId="0" borderId="0" applyAlignment="1" pivotButton="0" quotePrefix="0" xfId="9146">
      <alignment vertical="center"/>
    </xf>
    <xf numFmtId="164" fontId="227" fillId="0" borderId="0" applyAlignment="1" pivotButton="0" quotePrefix="0" xfId="4">
      <alignment vertical="center"/>
    </xf>
    <xf numFmtId="0" fontId="227" fillId="0" borderId="0" applyAlignment="1" pivotButton="0" quotePrefix="0" xfId="9146">
      <alignment horizontal="right" vertical="center"/>
    </xf>
    <xf numFmtId="164" fontId="227" fillId="0" borderId="0" applyAlignment="1" pivotButton="0" quotePrefix="0" xfId="9146">
      <alignment vertical="center"/>
    </xf>
    <xf numFmtId="164" fontId="228" fillId="0" borderId="0" applyAlignment="1" pivotButton="0" quotePrefix="0" xfId="4">
      <alignment vertical="center"/>
    </xf>
    <xf numFmtId="10" fontId="226" fillId="0" borderId="0" applyAlignment="1" pivotButton="0" quotePrefix="0" xfId="7564">
      <alignment vertical="center"/>
    </xf>
    <xf numFmtId="166" fontId="227" fillId="0" borderId="0" applyAlignment="1" pivotButton="0" quotePrefix="0" xfId="7564">
      <alignment vertical="center"/>
    </xf>
    <xf numFmtId="164" fontId="229" fillId="0" borderId="0" applyAlignment="1" pivotButton="0" quotePrefix="0" xfId="4">
      <alignment vertical="center"/>
    </xf>
    <xf numFmtId="9" fontId="227" fillId="0" borderId="0" applyAlignment="1" pivotButton="0" quotePrefix="0" xfId="7564">
      <alignment vertical="center"/>
    </xf>
    <xf numFmtId="164" fontId="230" fillId="0" borderId="0" applyAlignment="1" pivotButton="0" quotePrefix="0" xfId="4">
      <alignment vertical="center"/>
    </xf>
    <xf numFmtId="164" fontId="227" fillId="0" borderId="0" applyAlignment="1" pivotButton="0" quotePrefix="0" xfId="4">
      <alignment horizontal="center" vertical="center"/>
    </xf>
    <xf numFmtId="164" fontId="231" fillId="0" borderId="0" applyAlignment="1" pivotButton="0" quotePrefix="0" xfId="4">
      <alignment horizontal="center" vertical="center"/>
    </xf>
    <xf numFmtId="164" fontId="227" fillId="0" borderId="0" applyAlignment="1" pivotButton="0" quotePrefix="0" xfId="4">
      <alignment vertical="center"/>
    </xf>
    <xf numFmtId="0" fontId="227" fillId="0" borderId="0" applyAlignment="1" pivotButton="0" quotePrefix="0" xfId="0">
      <alignment vertical="center"/>
    </xf>
    <xf numFmtId="164" fontId="227" fillId="0" borderId="0" applyAlignment="1" pivotButton="0" quotePrefix="0" xfId="0">
      <alignment vertical="center"/>
    </xf>
    <xf numFmtId="164" fontId="227" fillId="0" borderId="0" applyAlignment="1" pivotButton="0" quotePrefix="0" xfId="0">
      <alignment horizontal="center" vertical="center"/>
    </xf>
    <xf numFmtId="9" fontId="227" fillId="0" borderId="0" applyAlignment="1" pivotButton="0" quotePrefix="0" xfId="7564">
      <alignment vertical="center"/>
    </xf>
    <xf numFmtId="164" fontId="226" fillId="0" borderId="0" applyAlignment="1" pivotButton="0" quotePrefix="0" xfId="9146">
      <alignment vertical="center"/>
    </xf>
    <xf numFmtId="168" fontId="227" fillId="0" borderId="0" applyAlignment="1" pivotButton="0" quotePrefix="0" xfId="0">
      <alignment vertical="center"/>
    </xf>
    <xf numFmtId="0" fontId="227" fillId="0" borderId="0" applyAlignment="1" pivotButton="0" quotePrefix="0" xfId="9146">
      <alignment horizontal="center" vertical="center"/>
    </xf>
    <xf numFmtId="168" fontId="227" fillId="0" borderId="0" applyAlignment="1" pivotButton="0" quotePrefix="0" xfId="9146">
      <alignment vertical="center"/>
    </xf>
    <xf numFmtId="0" fontId="227" fillId="0" borderId="0" applyAlignment="1" pivotButton="0" quotePrefix="0" xfId="9146">
      <alignment vertical="center"/>
    </xf>
    <xf numFmtId="9" fontId="226" fillId="0" borderId="0" applyAlignment="1" pivotButton="0" quotePrefix="0" xfId="7564">
      <alignment vertical="center"/>
    </xf>
    <xf numFmtId="166" fontId="232" fillId="0" borderId="99" applyAlignment="1" pivotButton="0" quotePrefix="0" xfId="4">
      <alignment vertical="center"/>
    </xf>
    <xf numFmtId="164" fontId="232" fillId="0" borderId="100" applyAlignment="1" pivotButton="0" quotePrefix="0" xfId="4">
      <alignment vertical="center"/>
    </xf>
    <xf numFmtId="166" fontId="232" fillId="0" borderId="100" applyAlignment="1" pivotButton="0" quotePrefix="0" xfId="4">
      <alignment vertical="center"/>
    </xf>
    <xf numFmtId="164" fontId="232" fillId="0" borderId="100" applyAlignment="1" pivotButton="0" quotePrefix="0" xfId="4">
      <alignment vertical="center"/>
    </xf>
    <xf numFmtId="166" fontId="232" fillId="0" borderId="100" applyAlignment="1" pivotButton="0" quotePrefix="0" xfId="4">
      <alignment horizontal="right" vertical="center"/>
    </xf>
    <xf numFmtId="0" fontId="232" fillId="0" borderId="101" applyAlignment="1" pivotButton="0" quotePrefix="0" xfId="9146">
      <alignment horizontal="distributed" vertical="center" wrapText="1" indent="2"/>
    </xf>
    <xf numFmtId="169" fontId="226" fillId="0" borderId="0" applyAlignment="1" pivotButton="0" quotePrefix="0" xfId="7564">
      <alignment vertical="center"/>
    </xf>
    <xf numFmtId="166" fontId="233" fillId="0" borderId="98" applyAlignment="1" pivotButton="0" quotePrefix="0" xfId="4">
      <alignment vertical="center"/>
    </xf>
    <xf numFmtId="164" fontId="233" fillId="0" borderId="13" applyAlignment="1" pivotButton="0" quotePrefix="0" xfId="4">
      <alignment vertical="center"/>
    </xf>
    <xf numFmtId="166" fontId="233" fillId="0" borderId="13" applyAlignment="1" pivotButton="0" quotePrefix="0" xfId="4">
      <alignment vertical="center"/>
    </xf>
    <xf numFmtId="166" fontId="233" fillId="0" borderId="13" applyAlignment="1" pivotButton="0" quotePrefix="0" xfId="4">
      <alignment horizontal="right" vertical="center"/>
    </xf>
    <xf numFmtId="0" fontId="232" fillId="0" borderId="43" applyAlignment="1" pivotButton="0" quotePrefix="0" xfId="9146">
      <alignment vertical="center"/>
    </xf>
    <xf numFmtId="9" fontId="226" fillId="0" borderId="0" applyAlignment="1" pivotButton="0" quotePrefix="0" xfId="9146">
      <alignment vertical="center"/>
    </xf>
    <xf numFmtId="164" fontId="234" fillId="0" borderId="102" applyAlignment="1" pivotButton="0" quotePrefix="0" xfId="4">
      <alignment horizontal="center" vertical="center"/>
    </xf>
    <xf numFmtId="164" fontId="234" fillId="0" borderId="30" applyAlignment="1" pivotButton="0" quotePrefix="0" xfId="4">
      <alignment horizontal="center" vertical="center"/>
    </xf>
    <xf numFmtId="164" fontId="232" fillId="0" borderId="12" applyAlignment="1" pivotButton="0" quotePrefix="0" xfId="4">
      <alignment horizontal="center" vertical="center"/>
    </xf>
    <xf numFmtId="0" fontId="227" fillId="0" borderId="0" applyAlignment="1" pivotButton="0" quotePrefix="0" xfId="9146">
      <alignment vertical="center"/>
    </xf>
    <xf numFmtId="0" fontId="235" fillId="0" borderId="0" applyAlignment="1" pivotButton="0" quotePrefix="0" xfId="9146">
      <alignment vertical="center"/>
    </xf>
    <xf numFmtId="0" fontId="231" fillId="0" borderId="0" applyAlignment="1" pivotButton="0" quotePrefix="0" xfId="9146">
      <alignment vertical="center"/>
    </xf>
    <xf numFmtId="0" fontId="227" fillId="0" borderId="0" applyAlignment="1" pivotButton="0" quotePrefix="0" xfId="9146">
      <alignment horizontal="left" vertical="center"/>
    </xf>
    <xf numFmtId="49" fontId="8" fillId="0" borderId="18" applyAlignment="1" pivotButton="0" quotePrefix="0" xfId="0">
      <alignment horizontal="center" vertical="center"/>
    </xf>
    <xf numFmtId="164" fontId="7" fillId="0" borderId="28" applyAlignment="1" pivotButton="0" quotePrefix="0" xfId="3">
      <alignment vertical="center"/>
    </xf>
    <xf numFmtId="9" fontId="7" fillId="0" borderId="0" pivotButton="0" quotePrefix="0" xfId="2"/>
    <xf numFmtId="9" fontId="7" fillId="0" borderId="13" applyAlignment="1" pivotButton="0" quotePrefix="0" xfId="2">
      <alignment vertical="center"/>
    </xf>
    <xf numFmtId="9" fontId="7" fillId="0" borderId="21" applyAlignment="1" pivotButton="0" quotePrefix="0" xfId="2">
      <alignment vertical="center"/>
    </xf>
    <xf numFmtId="49" fontId="9" fillId="0" borderId="33" applyAlignment="1" pivotButton="0" quotePrefix="0" xfId="0">
      <alignment horizontal="distributed" vertical="center" indent="2"/>
    </xf>
    <xf numFmtId="9" fontId="9" fillId="0" borderId="34" applyAlignment="1" pivotButton="0" quotePrefix="0" xfId="2">
      <alignment horizontal="center" vertical="center"/>
    </xf>
    <xf numFmtId="165" fontId="9" fillId="0" borderId="3" applyAlignment="1" pivotButton="0" quotePrefix="0" xfId="0">
      <alignment horizontal="center" vertical="center"/>
    </xf>
    <xf numFmtId="9" fontId="9" fillId="0" borderId="34" applyAlignment="1" pivotButton="0" quotePrefix="0" xfId="2">
      <alignment horizontal="distributed" vertical="center" indent="2"/>
    </xf>
    <xf numFmtId="165" fontId="9" fillId="0" borderId="3" applyAlignment="1" pivotButton="0" quotePrefix="0" xfId="0">
      <alignment horizontal="distributed" vertical="center" indent="2"/>
    </xf>
    <xf numFmtId="9" fontId="9" fillId="0" borderId="3" applyAlignment="1" pivotButton="0" quotePrefix="0" xfId="2">
      <alignment horizontal="distributed" vertical="center" indent="2"/>
    </xf>
    <xf numFmtId="49" fontId="9" fillId="0" borderId="35" applyAlignment="1" pivotButton="0" quotePrefix="0" xfId="0">
      <alignment horizontal="center" vertical="center"/>
    </xf>
    <xf numFmtId="49" fontId="8" fillId="0" borderId="109" applyAlignment="1" pivotButton="0" quotePrefix="0" xfId="0">
      <alignment horizontal="distributed" vertical="center" indent="2"/>
    </xf>
    <xf numFmtId="49" fontId="8" fillId="0" borderId="109" applyAlignment="1" pivotButton="0" quotePrefix="0" xfId="0">
      <alignment horizontal="center" vertical="center" wrapText="1"/>
    </xf>
    <xf numFmtId="9" fontId="8" fillId="0" borderId="110" applyAlignment="1" pivotButton="0" quotePrefix="0" xfId="2">
      <alignment horizontal="center" vertical="center"/>
    </xf>
    <xf numFmtId="9" fontId="8" fillId="0" borderId="110" applyAlignment="1" pivotButton="0" quotePrefix="0" xfId="2">
      <alignment horizontal="center" vertical="center"/>
    </xf>
    <xf numFmtId="49" fontId="8" fillId="0" borderId="9" applyAlignment="1" pivotButton="0" quotePrefix="0" xfId="0">
      <alignment horizontal="center" vertical="center"/>
    </xf>
    <xf numFmtId="0" fontId="232" fillId="0" borderId="103" applyAlignment="1" pivotButton="0" quotePrefix="0" xfId="9146">
      <alignment horizontal="left" vertical="center"/>
    </xf>
    <xf numFmtId="164" fontId="232" fillId="0" borderId="13" applyAlignment="1" pivotButton="0" quotePrefix="0" xfId="4">
      <alignment vertical="center"/>
    </xf>
    <xf numFmtId="164" fontId="232" fillId="0" borderId="30" applyAlignment="1" pivotButton="0" quotePrefix="0" xfId="4">
      <alignment horizontal="center" vertical="center"/>
    </xf>
    <xf numFmtId="166" fontId="232" fillId="0" borderId="13" applyAlignment="1" pivotButton="0" quotePrefix="0" xfId="4">
      <alignment horizontal="right" vertical="center"/>
    </xf>
    <xf numFmtId="166" fontId="232" fillId="0" borderId="13" applyAlignment="1" pivotButton="0" quotePrefix="0" xfId="4">
      <alignment vertical="center"/>
    </xf>
    <xf numFmtId="166" fontId="232" fillId="0" borderId="98" applyAlignment="1" pivotButton="0" quotePrefix="0" xfId="4">
      <alignment vertical="center"/>
    </xf>
    <xf numFmtId="0" fontId="7" fillId="0" borderId="0" pivotButton="0" quotePrefix="0" xfId="0"/>
    <xf numFmtId="49" fontId="7" fillId="0" borderId="14" applyAlignment="1" pivotButton="0" quotePrefix="0" xfId="0">
      <alignment horizontal="distributed" vertical="center" indent="1"/>
    </xf>
    <xf numFmtId="0" fontId="226" fillId="0" borderId="0" applyAlignment="1" pivotButton="0" quotePrefix="0" xfId="9146">
      <alignment vertical="center"/>
    </xf>
    <xf numFmtId="165" fontId="16" fillId="0" borderId="36" applyAlignment="1" pivotButton="0" quotePrefix="0" xfId="9145">
      <alignment vertical="center"/>
    </xf>
    <xf numFmtId="165" fontId="16" fillId="0" borderId="34" applyAlignment="1" pivotButton="0" quotePrefix="0" xfId="9145">
      <alignment vertical="center"/>
    </xf>
    <xf numFmtId="165" fontId="16" fillId="0" borderId="13" applyAlignment="1" pivotButton="0" quotePrefix="0" xfId="9145">
      <alignment vertical="center"/>
    </xf>
    <xf numFmtId="49" fontId="7" fillId="0" borderId="26" applyAlignment="1" pivotButton="0" quotePrefix="0" xfId="0">
      <alignment horizontal="center" vertical="center"/>
    </xf>
    <xf numFmtId="0" fontId="7" fillId="0" borderId="0" pivotButton="0" quotePrefix="0" xfId="0"/>
    <xf numFmtId="170" fontId="232" fillId="0" borderId="100" applyAlignment="1" pivotButton="0" quotePrefix="0" xfId="4">
      <alignment vertical="center"/>
    </xf>
    <xf numFmtId="0" fontId="240" fillId="0" borderId="5" applyAlignment="1" pivotButton="0" quotePrefix="0" xfId="0">
      <alignment horizontal="center" vertical="center"/>
    </xf>
    <xf numFmtId="0" fontId="240" fillId="0" borderId="0" applyAlignment="1" pivotButton="0" quotePrefix="0" xfId="0">
      <alignment horizontal="center" vertical="center"/>
    </xf>
    <xf numFmtId="0" fontId="240" fillId="0" borderId="6" applyAlignment="1" pivotButton="0" quotePrefix="0" xfId="0">
      <alignment horizontal="center" vertical="center"/>
    </xf>
    <xf numFmtId="0" fontId="237" fillId="0" borderId="111" applyAlignment="1" pivotButton="0" quotePrefix="0" xfId="0">
      <alignment horizontal="center" vertical="center"/>
    </xf>
    <xf numFmtId="0" fontId="237" fillId="0" borderId="0" applyAlignment="1" pivotButton="0" quotePrefix="0" xfId="0">
      <alignment horizontal="center" vertical="center"/>
    </xf>
    <xf numFmtId="0" fontId="237" fillId="0" borderId="112" applyAlignment="1" pivotButton="0" quotePrefix="0" xfId="0">
      <alignment horizontal="center" vertical="center"/>
    </xf>
    <xf numFmtId="0" fontId="238" fillId="0" borderId="5" applyAlignment="1" pivotButton="0" quotePrefix="0" xfId="0">
      <alignment horizontal="center" vertical="center"/>
    </xf>
    <xf numFmtId="0" fontId="238" fillId="0" borderId="0" applyAlignment="1" pivotButton="0" quotePrefix="0" xfId="0">
      <alignment horizontal="center" vertical="center"/>
    </xf>
    <xf numFmtId="0" fontId="238" fillId="0" borderId="6" applyAlignment="1" pivotButton="0" quotePrefix="0" xfId="0">
      <alignment horizontal="center" vertical="center"/>
    </xf>
    <xf numFmtId="0" fontId="239" fillId="0" borderId="5" applyAlignment="1" pivotButton="0" quotePrefix="0" xfId="0">
      <alignment horizontal="center" vertical="center"/>
    </xf>
    <xf numFmtId="0" fontId="239" fillId="0" borderId="0" applyAlignment="1" pivotButton="0" quotePrefix="0" xfId="0">
      <alignment horizontal="center" vertical="center"/>
    </xf>
    <xf numFmtId="0" fontId="239" fillId="0" borderId="6" applyAlignment="1" pivotButton="0" quotePrefix="0" xfId="0">
      <alignment horizontal="center" vertical="center"/>
    </xf>
    <xf numFmtId="0" fontId="227" fillId="0" borderId="0" applyAlignment="1" pivotButton="0" quotePrefix="0" xfId="9146">
      <alignment horizontal="left" vertical="center"/>
    </xf>
    <xf numFmtId="0" fontId="236" fillId="0" borderId="0" applyAlignment="1" pivotButton="0" quotePrefix="0" xfId="9146">
      <alignment horizontal="center" vertical="center"/>
    </xf>
    <xf numFmtId="0" fontId="227" fillId="0" borderId="1" applyAlignment="1" pivotButton="0" quotePrefix="0" xfId="9146">
      <alignment horizontal="center" vertical="center"/>
    </xf>
    <xf numFmtId="0" fontId="227" fillId="0" borderId="60" applyAlignment="1" pivotButton="0" quotePrefix="0" xfId="9146">
      <alignment horizontal="center" vertical="center"/>
    </xf>
    <xf numFmtId="0" fontId="227" fillId="0" borderId="5" applyAlignment="1" pivotButton="0" quotePrefix="0" xfId="9146">
      <alignment horizontal="center" vertical="center"/>
    </xf>
    <xf numFmtId="0" fontId="227" fillId="0" borderId="6" applyAlignment="1" pivotButton="0" quotePrefix="0" xfId="9146">
      <alignment horizontal="center" vertical="center"/>
    </xf>
    <xf numFmtId="0" fontId="227" fillId="0" borderId="7" applyAlignment="1" pivotButton="0" quotePrefix="0" xfId="9146">
      <alignment horizontal="center" vertical="center"/>
    </xf>
    <xf numFmtId="0" fontId="227" fillId="0" borderId="9" applyAlignment="1" pivotButton="0" quotePrefix="0" xfId="9146">
      <alignment horizontal="center" vertical="center"/>
    </xf>
    <xf numFmtId="0" fontId="232" fillId="0" borderId="11" applyAlignment="1" pivotButton="0" quotePrefix="0" xfId="9146">
      <alignment horizontal="center" vertical="center"/>
    </xf>
    <xf numFmtId="0" fontId="232" fillId="0" borderId="103" applyAlignment="1" pivotButton="0" quotePrefix="0" xfId="9146">
      <alignment horizontal="center" vertical="center"/>
    </xf>
    <xf numFmtId="164" fontId="232" fillId="0" borderId="12" applyAlignment="1" pivotButton="0" quotePrefix="0" xfId="4">
      <alignment horizontal="center" vertical="center"/>
    </xf>
    <xf numFmtId="164" fontId="232" fillId="0" borderId="104" applyAlignment="1" pivotButton="0" quotePrefix="0" xfId="4">
      <alignment horizontal="center" vertical="center"/>
    </xf>
    <xf numFmtId="49" fontId="11" fillId="0" borderId="27" applyAlignment="1" pivotButton="0" quotePrefix="0" xfId="0">
      <alignment horizontal="distributed" vertical="center" wrapText="1" indent="1"/>
    </xf>
    <xf numFmtId="49" fontId="11" fillId="0" borderId="16" applyAlignment="1" pivotButton="0" quotePrefix="0" xfId="0">
      <alignment horizontal="distributed" vertical="center" indent="1"/>
    </xf>
    <xf numFmtId="49" fontId="7" fillId="0" borderId="26" applyAlignment="1" pivotButton="0" quotePrefix="0" xfId="0">
      <alignment horizontal="distributed" vertical="center" indent="1"/>
    </xf>
    <xf numFmtId="49" fontId="7" fillId="0" borderId="14" applyAlignment="1" pivotButton="0" quotePrefix="0" xfId="0">
      <alignment horizontal="distributed" vertical="center" indent="1"/>
    </xf>
    <xf numFmtId="49" fontId="10" fillId="2" borderId="19" applyAlignment="1" pivotButton="0" quotePrefix="0" xfId="0">
      <alignment horizontal="distributed" vertical="center" indent="15"/>
    </xf>
    <xf numFmtId="49" fontId="10" fillId="2" borderId="4" applyAlignment="1" pivotButton="0" quotePrefix="0" xfId="0">
      <alignment horizontal="distributed" vertical="center" indent="15"/>
    </xf>
    <xf numFmtId="49" fontId="10" fillId="2" borderId="25" applyAlignment="1" pivotButton="0" quotePrefix="0" xfId="0">
      <alignment horizontal="distributed" indent="15"/>
    </xf>
    <xf numFmtId="49" fontId="9" fillId="0" borderId="26" applyAlignment="1" pivotButton="0" quotePrefix="0" xfId="0">
      <alignment horizontal="left" vertical="center"/>
    </xf>
    <xf numFmtId="49" fontId="9" fillId="0" borderId="14" applyAlignment="1" pivotButton="0" quotePrefix="0" xfId="0">
      <alignment horizontal="left" vertical="center"/>
    </xf>
    <xf numFmtId="49" fontId="9" fillId="0" borderId="105" applyAlignment="1" pivotButton="0" quotePrefix="0" xfId="0">
      <alignment horizontal="left" vertical="center"/>
    </xf>
    <xf numFmtId="49" fontId="9" fillId="0" borderId="66" applyAlignment="1" pivotButton="0" quotePrefix="0" xfId="0">
      <alignment horizontal="left" vertical="center"/>
    </xf>
    <xf numFmtId="49" fontId="8" fillId="0" borderId="17" applyAlignment="1" pivotButton="0" quotePrefix="0" xfId="0">
      <alignment horizontal="center" vertical="center" wrapText="1"/>
    </xf>
    <xf numFmtId="49" fontId="8" fillId="0" borderId="20" applyAlignment="1" pivotButton="0" quotePrefix="0" xfId="0">
      <alignment horizontal="center" vertical="center" wrapText="1"/>
    </xf>
    <xf numFmtId="49" fontId="8" fillId="0" borderId="17" applyAlignment="1" pivotButton="0" quotePrefix="0" xfId="0">
      <alignment horizontal="center" vertical="center"/>
    </xf>
    <xf numFmtId="49" fontId="8" fillId="0" borderId="106" applyAlignment="1" pivotButton="0" quotePrefix="0" xfId="0">
      <alignment horizontal="center" vertical="center"/>
    </xf>
    <xf numFmtId="49" fontId="8" fillId="0" borderId="106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/>
    </xf>
    <xf numFmtId="49" fontId="8" fillId="0" borderId="10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49" fontId="8" fillId="0" borderId="108" applyAlignment="1" pivotButton="0" quotePrefix="0" xfId="0">
      <alignment horizontal="center" vertical="center"/>
    </xf>
    <xf numFmtId="0" fontId="240" fillId="0" borderId="86" applyAlignment="1" pivotButton="0" quotePrefix="0" xfId="0">
      <alignment horizontal="center" vertical="center"/>
    </xf>
    <xf numFmtId="0" fontId="0" fillId="0" borderId="6" pivotButton="0" quotePrefix="0" xfId="0"/>
    <xf numFmtId="0" fontId="237" fillId="0" borderId="113" applyAlignment="1" pivotButton="0" quotePrefix="0" xfId="0">
      <alignment horizontal="center" vertical="center"/>
    </xf>
    <xf numFmtId="0" fontId="0" fillId="0" borderId="112" pivotButton="0" quotePrefix="0" xfId="0"/>
    <xf numFmtId="0" fontId="238" fillId="0" borderId="86" applyAlignment="1" pivotButton="0" quotePrefix="0" xfId="0">
      <alignment horizontal="center" vertical="center"/>
    </xf>
    <xf numFmtId="0" fontId="239" fillId="0" borderId="86" applyAlignment="1" pivotButton="0" quotePrefix="0" xfId="0">
      <alignment horizontal="center" vertical="center"/>
    </xf>
    <xf numFmtId="164" fontId="226" fillId="0" borderId="0" applyAlignment="1" pivotButton="0" quotePrefix="0" xfId="4">
      <alignment vertical="center"/>
    </xf>
    <xf numFmtId="0" fontId="227" fillId="0" borderId="70" applyAlignment="1" pivotButton="0" quotePrefix="0" xfId="9146">
      <alignment horizontal="center" vertical="center"/>
    </xf>
    <xf numFmtId="0" fontId="0" fillId="0" borderId="60" pivotButton="0" quotePrefix="0" xfId="0"/>
    <xf numFmtId="0" fontId="227" fillId="0" borderId="37" applyAlignment="1" pivotButton="0" quotePrefix="0" xfId="9146">
      <alignment horizontal="center" vertical="center"/>
    </xf>
    <xf numFmtId="0" fontId="0" fillId="0" borderId="5" pivotButton="0" quotePrefix="0" xfId="0"/>
    <xf numFmtId="0" fontId="0" fillId="0" borderId="7" pivotButton="0" quotePrefix="0" xfId="0"/>
    <xf numFmtId="0" fontId="0" fillId="0" borderId="9" pivotButton="0" quotePrefix="0" xfId="0"/>
    <xf numFmtId="170" fontId="232" fillId="0" borderId="100" applyAlignment="1" pivotButton="0" quotePrefix="0" xfId="4">
      <alignment vertical="center"/>
    </xf>
    <xf numFmtId="164" fontId="227" fillId="0" borderId="0" applyAlignment="1" pivotButton="0" quotePrefix="0" xfId="4">
      <alignment vertical="center"/>
    </xf>
    <xf numFmtId="164" fontId="232" fillId="0" borderId="12" applyAlignment="1" pivotButton="0" quotePrefix="0" xfId="4">
      <alignment horizontal="center" vertical="center"/>
    </xf>
    <xf numFmtId="0" fontId="0" fillId="0" borderId="106" pivotButton="0" quotePrefix="0" xfId="0"/>
    <xf numFmtId="0" fontId="0" fillId="0" borderId="114" pivotButton="0" quotePrefix="0" xfId="0"/>
    <xf numFmtId="164" fontId="234" fillId="0" borderId="30" applyAlignment="1" pivotButton="0" quotePrefix="0" xfId="4">
      <alignment horizontal="center" vertical="center"/>
    </xf>
    <xf numFmtId="164" fontId="234" fillId="0" borderId="102" applyAlignment="1" pivotButton="0" quotePrefix="0" xfId="4">
      <alignment horizontal="center" vertical="center"/>
    </xf>
    <xf numFmtId="164" fontId="226" fillId="0" borderId="0" applyAlignment="1" pivotButton="0" quotePrefix="0" xfId="9146">
      <alignment vertical="center"/>
    </xf>
    <xf numFmtId="164" fontId="232" fillId="0" borderId="30" applyAlignment="1" pivotButton="0" quotePrefix="0" xfId="4">
      <alignment horizontal="center" vertical="center"/>
    </xf>
    <xf numFmtId="164" fontId="233" fillId="0" borderId="13" applyAlignment="1" pivotButton="0" quotePrefix="0" xfId="4">
      <alignment vertical="center"/>
    </xf>
    <xf numFmtId="166" fontId="233" fillId="0" borderId="13" applyAlignment="1" pivotButton="0" quotePrefix="0" xfId="4">
      <alignment horizontal="right" vertical="center"/>
    </xf>
    <xf numFmtId="166" fontId="232" fillId="0" borderId="13" applyAlignment="1" pivotButton="0" quotePrefix="0" xfId="4">
      <alignment horizontal="right" vertical="center"/>
    </xf>
    <xf numFmtId="166" fontId="232" fillId="0" borderId="13" applyAlignment="1" pivotButton="0" quotePrefix="0" xfId="4">
      <alignment vertical="center"/>
    </xf>
    <xf numFmtId="164" fontId="232" fillId="0" borderId="13" applyAlignment="1" pivotButton="0" quotePrefix="0" xfId="4">
      <alignment vertical="center"/>
    </xf>
    <xf numFmtId="166" fontId="232" fillId="0" borderId="98" applyAlignment="1" pivotButton="0" quotePrefix="0" xfId="4">
      <alignment vertical="center"/>
    </xf>
    <xf numFmtId="166" fontId="233" fillId="0" borderId="13" applyAlignment="1" pivotButton="0" quotePrefix="0" xfId="4">
      <alignment vertical="center"/>
    </xf>
    <xf numFmtId="166" fontId="233" fillId="0" borderId="98" applyAlignment="1" pivotButton="0" quotePrefix="0" xfId="4">
      <alignment vertical="center"/>
    </xf>
    <xf numFmtId="169" fontId="226" fillId="0" borderId="0" applyAlignment="1" pivotButton="0" quotePrefix="0" xfId="7564">
      <alignment vertical="center"/>
    </xf>
    <xf numFmtId="164" fontId="232" fillId="0" borderId="100" applyAlignment="1" pivotButton="0" quotePrefix="0" xfId="4">
      <alignment vertical="center"/>
    </xf>
    <xf numFmtId="166" fontId="232" fillId="0" borderId="100" applyAlignment="1" pivotButton="0" quotePrefix="0" xfId="4">
      <alignment horizontal="right" vertical="center"/>
    </xf>
    <xf numFmtId="166" fontId="232" fillId="0" borderId="100" applyAlignment="1" pivotButton="0" quotePrefix="0" xfId="4">
      <alignment vertical="center"/>
    </xf>
    <xf numFmtId="166" fontId="232" fillId="0" borderId="99" applyAlignment="1" pivotButton="0" quotePrefix="0" xfId="4">
      <alignment vertical="center"/>
    </xf>
    <xf numFmtId="168" fontId="227" fillId="0" borderId="0" applyAlignment="1" pivotButton="0" quotePrefix="0" xfId="9146">
      <alignment vertical="center"/>
    </xf>
    <xf numFmtId="168" fontId="227" fillId="0" borderId="0" applyAlignment="1" pivotButton="0" quotePrefix="0" xfId="0">
      <alignment vertical="center"/>
    </xf>
    <xf numFmtId="164" fontId="227" fillId="0" borderId="0" applyAlignment="1" pivotButton="0" quotePrefix="0" xfId="4">
      <alignment horizontal="center" vertical="center"/>
    </xf>
    <xf numFmtId="164" fontId="227" fillId="0" borderId="0" applyAlignment="1" pivotButton="0" quotePrefix="0" xfId="0">
      <alignment horizontal="center" vertical="center"/>
    </xf>
    <xf numFmtId="164" fontId="227" fillId="0" borderId="0" applyAlignment="1" pivotButton="0" quotePrefix="0" xfId="0">
      <alignment vertical="center"/>
    </xf>
    <xf numFmtId="164" fontId="231" fillId="0" borderId="0" applyAlignment="1" pivotButton="0" quotePrefix="0" xfId="4">
      <alignment horizontal="center" vertical="center"/>
    </xf>
    <xf numFmtId="164" fontId="230" fillId="0" borderId="0" applyAlignment="1" pivotButton="0" quotePrefix="0" xfId="4">
      <alignment vertical="center"/>
    </xf>
    <xf numFmtId="164" fontId="227" fillId="0" borderId="0" applyAlignment="1" pivotButton="0" quotePrefix="0" xfId="9146">
      <alignment vertical="center"/>
    </xf>
    <xf numFmtId="164" fontId="229" fillId="0" borderId="0" applyAlignment="1" pivotButton="0" quotePrefix="0" xfId="4">
      <alignment vertical="center"/>
    </xf>
    <xf numFmtId="166" fontId="227" fillId="0" borderId="0" applyAlignment="1" pivotButton="0" quotePrefix="0" xfId="7564">
      <alignment vertical="center"/>
    </xf>
    <xf numFmtId="164" fontId="228" fillId="0" borderId="0" applyAlignment="1" pivotButton="0" quotePrefix="0" xfId="4">
      <alignment vertical="center"/>
    </xf>
    <xf numFmtId="164" fontId="7" fillId="0" borderId="0" pivotButton="0" quotePrefix="0" xfId="0"/>
    <xf numFmtId="166" fontId="7" fillId="0" borderId="0" pivotButton="0" quotePrefix="0" xfId="0"/>
    <xf numFmtId="49" fontId="10" fillId="2" borderId="37" applyAlignment="1" pivotButton="0" quotePrefix="0" xfId="0">
      <alignment horizontal="distributed" vertical="center" indent="15"/>
    </xf>
    <xf numFmtId="0" fontId="0" fillId="0" borderId="4" pivotButton="0" quotePrefix="0" xfId="0"/>
    <xf numFmtId="0" fontId="0" fillId="0" borderId="25" pivotButton="0" quotePrefix="0" xfId="0"/>
    <xf numFmtId="49" fontId="8" fillId="0" borderId="101" applyAlignment="1" pivotButton="0" quotePrefix="0" xfId="0">
      <alignment horizontal="center" vertical="center"/>
    </xf>
    <xf numFmtId="0" fontId="0" fillId="0" borderId="107" pivotButton="0" quotePrefix="0" xfId="0"/>
    <xf numFmtId="49" fontId="8" fillId="0" borderId="12" applyAlignment="1" pivotButton="0" quotePrefix="0" xfId="0">
      <alignment horizontal="center" vertical="center"/>
    </xf>
    <xf numFmtId="49" fontId="8" fillId="0" borderId="12" applyAlignment="1" pivotButton="0" quotePrefix="0" xfId="0">
      <alignment horizontal="center" vertical="center" wrapText="1"/>
    </xf>
    <xf numFmtId="0" fontId="0" fillId="0" borderId="20" pivotButton="0" quotePrefix="0" xfId="0"/>
    <xf numFmtId="164" fontId="8" fillId="0" borderId="0" applyAlignment="1" pivotButton="0" quotePrefix="0" xfId="0">
      <alignment horizontal="center"/>
    </xf>
    <xf numFmtId="166" fontId="8" fillId="0" borderId="0" applyAlignment="1" pivotButton="0" quotePrefix="0" xfId="0">
      <alignment horizontal="center"/>
    </xf>
    <xf numFmtId="0" fontId="0" fillId="0" borderId="108" pivotButton="0" quotePrefix="0" xfId="0"/>
    <xf numFmtId="49" fontId="9" fillId="0" borderId="114" applyAlignment="1" pivotButton="0" quotePrefix="0" xfId="0">
      <alignment horizontal="left" vertical="center"/>
    </xf>
    <xf numFmtId="0" fontId="0" fillId="0" borderId="66" pivotButton="0" quotePrefix="0" xfId="0"/>
    <xf numFmtId="165" fontId="9" fillId="0" borderId="3" applyAlignment="1" pivotButton="0" quotePrefix="0" xfId="0">
      <alignment horizontal="center" vertical="center"/>
    </xf>
    <xf numFmtId="165" fontId="9" fillId="0" borderId="3" applyAlignment="1" pivotButton="0" quotePrefix="0" xfId="0">
      <alignment horizontal="distributed" vertical="center" indent="2"/>
    </xf>
    <xf numFmtId="164" fontId="9" fillId="0" borderId="0" applyAlignment="1" pivotButton="0" quotePrefix="0" xfId="0">
      <alignment horizontal="center"/>
    </xf>
    <xf numFmtId="166" fontId="9" fillId="0" borderId="0" applyAlignment="1" pivotButton="0" quotePrefix="0" xfId="0">
      <alignment horizontal="center"/>
    </xf>
    <xf numFmtId="164" fontId="8" fillId="0" borderId="0" pivotButton="0" quotePrefix="0" xfId="0"/>
    <xf numFmtId="49" fontId="7" fillId="0" borderId="43" applyAlignment="1" pivotButton="0" quotePrefix="0" xfId="0">
      <alignment horizontal="distributed" vertical="center" indent="1"/>
    </xf>
    <xf numFmtId="0" fontId="0" fillId="0" borderId="14" pivotButton="0" quotePrefix="0" xfId="0"/>
    <xf numFmtId="165" fontId="7" fillId="0" borderId="13" applyAlignment="1" pivotButton="0" quotePrefix="0" xfId="0">
      <alignment vertical="center"/>
    </xf>
    <xf numFmtId="164" fontId="7" fillId="0" borderId="29" applyAlignment="1" pivotButton="0" quotePrefix="0" xfId="0">
      <alignment vertical="center"/>
    </xf>
    <xf numFmtId="165" fontId="7" fillId="0" borderId="31" applyAlignment="1" pivotButton="0" quotePrefix="0" xfId="0">
      <alignment vertical="center"/>
    </xf>
    <xf numFmtId="165" fontId="7" fillId="0" borderId="21" applyAlignment="1" pivotButton="0" quotePrefix="0" xfId="0">
      <alignment vertical="center"/>
    </xf>
    <xf numFmtId="166" fontId="11" fillId="0" borderId="22" applyAlignment="1" pivotButton="0" quotePrefix="0" xfId="0">
      <alignment horizontal="center" vertical="center"/>
    </xf>
    <xf numFmtId="165" fontId="16" fillId="0" borderId="13" applyAlignment="1" pivotButton="0" quotePrefix="0" xfId="9145">
      <alignment vertical="center"/>
    </xf>
    <xf numFmtId="164" fontId="7" fillId="0" borderId="32" applyAlignment="1" pivotButton="0" quotePrefix="0" xfId="0">
      <alignment horizontal="center" vertical="center"/>
    </xf>
    <xf numFmtId="164" fontId="7" fillId="0" borderId="0" applyAlignment="1" pivotButton="0" quotePrefix="0" xfId="0">
      <alignment vertical="center"/>
    </xf>
    <xf numFmtId="164" fontId="8" fillId="0" borderId="0" applyAlignment="1" pivotButton="0" quotePrefix="0" xfId="4">
      <alignment vertical="center"/>
    </xf>
    <xf numFmtId="164" fontId="8" fillId="0" borderId="0" pivotButton="0" quotePrefix="0" xfId="4"/>
    <xf numFmtId="164" fontId="8" fillId="0" borderId="0" pivotButton="0" quotePrefix="0" xfId="3"/>
    <xf numFmtId="165" fontId="7" fillId="0" borderId="34" applyAlignment="1" pivotButton="0" quotePrefix="0" xfId="0">
      <alignment vertical="center"/>
    </xf>
    <xf numFmtId="165" fontId="16" fillId="0" borderId="34" applyAlignment="1" pivotButton="0" quotePrefix="0" xfId="9145">
      <alignment vertical="center"/>
    </xf>
    <xf numFmtId="164" fontId="7" fillId="0" borderId="35" applyAlignment="1" pivotButton="0" quotePrefix="0" xfId="0">
      <alignment horizontal="center" vertical="center"/>
    </xf>
    <xf numFmtId="164" fontId="7" fillId="0" borderId="0" applyAlignment="1" pivotButton="0" quotePrefix="0" xfId="0">
      <alignment horizontal="left" vertical="center"/>
    </xf>
    <xf numFmtId="49" fontId="9" fillId="0" borderId="43" applyAlignment="1" pivotButton="0" quotePrefix="0" xfId="0">
      <alignment horizontal="left" vertical="center"/>
    </xf>
    <xf numFmtId="167" fontId="7" fillId="0" borderId="0" pivotButton="0" quotePrefix="0" xfId="4"/>
    <xf numFmtId="166" fontId="8" fillId="0" borderId="0" pivotButton="0" quotePrefix="0" xfId="0"/>
    <xf numFmtId="164" fontId="8" fillId="0" borderId="0" applyAlignment="1" pivotButton="0" quotePrefix="0" xfId="0">
      <alignment vertical="center"/>
    </xf>
    <xf numFmtId="165" fontId="7" fillId="0" borderId="36" applyAlignment="1" pivotButton="0" quotePrefix="0" xfId="0">
      <alignment vertical="center"/>
    </xf>
    <xf numFmtId="165" fontId="16" fillId="0" borderId="36" applyAlignment="1" pivotButton="0" quotePrefix="0" xfId="9145">
      <alignment vertical="center"/>
    </xf>
    <xf numFmtId="164" fontId="7" fillId="0" borderId="6" applyAlignment="1" pivotButton="0" quotePrefix="0" xfId="0">
      <alignment horizontal="center" vertical="center"/>
    </xf>
    <xf numFmtId="49" fontId="11" fillId="0" borderId="115" applyAlignment="1" pivotButton="0" quotePrefix="0" xfId="0">
      <alignment horizontal="distributed" vertical="center" wrapText="1" indent="1"/>
    </xf>
    <xf numFmtId="0" fontId="0" fillId="0" borderId="16" pivotButton="0" quotePrefix="0" xfId="0"/>
    <xf numFmtId="164" fontId="7" fillId="0" borderId="28" applyAlignment="1" pivotButton="0" quotePrefix="0" xfId="3">
      <alignment vertical="center"/>
    </xf>
    <xf numFmtId="164" fontId="7" fillId="0" borderId="24" applyAlignment="1" pivotButton="0" quotePrefix="0" xfId="0">
      <alignment horizontal="center" vertical="center"/>
    </xf>
    <xf numFmtId="3" fontId="232" fillId="0" borderId="100" applyAlignment="1" pivotButton="0" quotePrefix="0" xfId="4">
      <alignment vertical="center"/>
    </xf>
  </cellXfs>
  <cellStyles count="9147">
    <cellStyle name="표준" xfId="0" builtinId="0"/>
    <cellStyle name="표준 16" xfId="1"/>
    <cellStyle name="백분율" xfId="2" builtinId="5"/>
    <cellStyle name="쉼표 [0]" xfId="3" builtinId="6"/>
    <cellStyle name="쉼표 [0] 2" xfId="4"/>
    <cellStyle name="통화 [0] 2" xfId="5"/>
    <cellStyle name="#,##0" xfId="6"/>
    <cellStyle name="$" xfId="7"/>
    <cellStyle name="$_db진흥" xfId="8"/>
    <cellStyle name="$_SE40" xfId="9"/>
    <cellStyle name="$_견적2" xfId="10"/>
    <cellStyle name="$_기아" xfId="11"/>
    <cellStyle name="(1)" xfId="12"/>
    <cellStyle name="??&amp;O?&amp;H?_x0008__x000f__x0007_?_x0007__x0001__x0001_" xfId="13"/>
    <cellStyle name="??&amp;O?&amp;H?_x0008_??_x0007__x0001__x0001_" xfId="14"/>
    <cellStyle name="_DB구축설계서(남양주0816)" xfId="15"/>
    <cellStyle name="_디지털산업단지견적서" xfId="16"/>
    <cellStyle name="0.0" xfId="17"/>
    <cellStyle name="0.00" xfId="18"/>
    <cellStyle name="60" xfId="19"/>
    <cellStyle name="9.6" xfId="20"/>
    <cellStyle name="AeE­ [0]_°eE¹_11¿a½A " xfId="21"/>
    <cellStyle name="AeE­_°eE¹_11¿a½A " xfId="22"/>
    <cellStyle name="ALIGNMENT" xfId="23"/>
    <cellStyle name="AÞ¸¶ [0]_°eE¹_11¿a½A " xfId="24"/>
    <cellStyle name="AÞ¸¶_°eE¹_11¿a½A " xfId="25"/>
    <cellStyle name="C￥AØ_¸AAa.¼OAI " xfId="26"/>
    <cellStyle name="Calc Currency (0)" xfId="27"/>
    <cellStyle name="category" xfId="28"/>
    <cellStyle name="Comma" xfId="29"/>
    <cellStyle name="Comma [0]" xfId="30"/>
    <cellStyle name="comma zerodec" xfId="31"/>
    <cellStyle name="Comma0" xfId="32"/>
    <cellStyle name="Commm_laroux_12~3SO2_97회비_laroux" xfId="33"/>
    <cellStyle name="Copied" xfId="34"/>
    <cellStyle name="Currency" xfId="35"/>
    <cellStyle name="Currency [0]" xfId="36"/>
    <cellStyle name="Currency0" xfId="37"/>
    <cellStyle name="Currency1" xfId="38"/>
    <cellStyle name="Date" xfId="39"/>
    <cellStyle name="Date 2" xfId="40"/>
    <cellStyle name="Dollar (zero dec)" xfId="41"/>
    <cellStyle name="Entered" xfId="42"/>
    <cellStyle name="F2" xfId="43"/>
    <cellStyle name="F3" xfId="44"/>
    <cellStyle name="F4" xfId="45"/>
    <cellStyle name="F5" xfId="46"/>
    <cellStyle name="F6" xfId="47"/>
    <cellStyle name="F7" xfId="48"/>
    <cellStyle name="F8" xfId="49"/>
    <cellStyle name="Fixed" xfId="50"/>
    <cellStyle name="Fixed 2" xfId="51"/>
    <cellStyle name="Fixed_2009년 주민숙원사업 정비공사(설계내역서)" xfId="52"/>
    <cellStyle name="Grey" xfId="53"/>
    <cellStyle name="HEADER" xfId="54"/>
    <cellStyle name="Header1" xfId="55"/>
    <cellStyle name="Header2" xfId="56"/>
    <cellStyle name="Heading 1" xfId="57"/>
    <cellStyle name="Heading 2" xfId="58"/>
    <cellStyle name="Heading1" xfId="59"/>
    <cellStyle name="HEADING1 2" xfId="60"/>
    <cellStyle name="Heading1_남계-유마간 군도 설계예산서" xfId="61"/>
    <cellStyle name="Heading2" xfId="62"/>
    <cellStyle name="HEADING2 2" xfId="63"/>
    <cellStyle name="Heading2_남계-유마간 군도 설계예산서" xfId="64"/>
    <cellStyle name="HelpStyle" xfId="65"/>
    <cellStyle name="Helv8_PFD4.XLS" xfId="66"/>
    <cellStyle name="Input [yellow]" xfId="67"/>
    <cellStyle name="left" xfId="68"/>
    <cellStyle name="Model" xfId="69"/>
    <cellStyle name="no dec" xfId="70"/>
    <cellStyle name="Normal - Style1" xfId="71"/>
    <cellStyle name="Normal - Style1 2" xfId="72"/>
    <cellStyle name="Normal - Style1_2009년 주민숙원사업 정비공사(설계내역서)" xfId="73"/>
    <cellStyle name="Normal - 유형1" xfId="74"/>
    <cellStyle name="Percent" xfId="75"/>
    <cellStyle name="Percent [2]" xfId="76"/>
    <cellStyle name="RevList" xfId="77"/>
    <cellStyle name="subhead" xfId="78"/>
    <cellStyle name="Subtotal" xfId="79"/>
    <cellStyle name="Title" xfId="80"/>
    <cellStyle name="title [1]" xfId="81"/>
    <cellStyle name="title [2]" xfId="82"/>
    <cellStyle name="Total" xfId="83"/>
    <cellStyle name="Total 2" xfId="84"/>
    <cellStyle name="Total_2009년 주민숙원사업 정비공사(설계내역서)" xfId="85"/>
    <cellStyle name="UM" xfId="86"/>
    <cellStyle name="wrap" xfId="87"/>
    <cellStyle name="고정소숫점" xfId="88"/>
    <cellStyle name="고정출력1" xfId="89"/>
    <cellStyle name="고정출력2" xfId="90"/>
    <cellStyle name="咬訌裝?INCOM1" xfId="91"/>
    <cellStyle name="咬訌裝?INCOM10" xfId="92"/>
    <cellStyle name="咬訌裝?INCOM2" xfId="93"/>
    <cellStyle name="咬訌裝?INCOM3" xfId="94"/>
    <cellStyle name="咬訌裝?INCOM4" xfId="95"/>
    <cellStyle name="咬訌裝?INCOM5" xfId="96"/>
    <cellStyle name="咬訌裝?INCOM6" xfId="97"/>
    <cellStyle name="咬訌裝?INCOM7" xfId="98"/>
    <cellStyle name="咬訌裝?INCOM8" xfId="99"/>
    <cellStyle name="咬訌裝?INCOM9" xfId="100"/>
    <cellStyle name="咬訌裝?PRIB11" xfId="101"/>
    <cellStyle name="기호 숫자" xfId="102"/>
    <cellStyle name="날짜" xfId="103"/>
    <cellStyle name="남기옥" xfId="104"/>
    <cellStyle name="내역서" xfId="105"/>
    <cellStyle name="달러" xfId="106"/>
    <cellStyle name="백분율 [0]" xfId="107"/>
    <cellStyle name="백분율 [2]" xfId="108"/>
    <cellStyle name="凤준" xfId="109"/>
    <cellStyle name="설계서" xfId="110"/>
    <cellStyle name="숫자(R)" xfId="111"/>
    <cellStyle name="스타일 1" xfId="112"/>
    <cellStyle name="안건회계법인" xfId="113"/>
    <cellStyle name="원" xfId="114"/>
    <cellStyle name="원_매내천" xfId="115"/>
    <cellStyle name="자리수" xfId="116"/>
    <cellStyle name="자리수 - 유형1" xfId="117"/>
    <cellStyle name="자리수0" xfId="118"/>
    <cellStyle name="ܸ준" xfId="119"/>
    <cellStyle name="千分位[0]_GARMENT STEP FORM HK" xfId="120"/>
    <cellStyle name="千分位_GARMENT STEP FORM HK" xfId="121"/>
    <cellStyle name="콤마 [2]" xfId="122"/>
    <cellStyle name="콤마(1)" xfId="123"/>
    <cellStyle name="퍼센트" xfId="124"/>
    <cellStyle name="표준 2" xfId="125"/>
    <cellStyle name="표준1" xfId="126"/>
    <cellStyle name="합계" xfId="127"/>
    <cellStyle name="합산" xfId="128"/>
    <cellStyle name="貨幣 [0]_GARMENT STEP FORM HK" xfId="129"/>
    <cellStyle name="貨幣_GARMENT STEP FORM HK" xfId="130"/>
    <cellStyle name="화폐기호" xfId="131"/>
    <cellStyle name="화폐기호0" xfId="132"/>
    <cellStyle name="표준 5" xfId="133"/>
    <cellStyle name=" " xfId="134"/>
    <cellStyle name="' '" xfId="135"/>
    <cellStyle name="          _x000d__x000a_386grabber=vga.3gr_x000d__x000a_" xfId="136"/>
    <cellStyle name=" _97연말" xfId="137"/>
    <cellStyle name=" _97연말1" xfId="138"/>
    <cellStyle name=" _Book1" xfId="139"/>
    <cellStyle name="_x000a_386grabber=M" xfId="140"/>
    <cellStyle name="_x000c_ーセン_x000c_" xfId="141"/>
    <cellStyle name="_x000d__x000a_JournalTemplate=C:\COMFO\CTALK\JOURSTD.TPL_x000d__x000a_LbStateAddress=3 3 0 251 1 89 2 311_x000d__x000a_LbStateJou" xfId="142"/>
    <cellStyle name="&quot;" xfId="143"/>
    <cellStyle name="&quot; 2" xfId="144"/>
    <cellStyle name="&quot; 2 2" xfId="145"/>
    <cellStyle name="&quot; 3" xfId="146"/>
    <cellStyle name="&quot; 3 2" xfId="147"/>
    <cellStyle name="&quot; 4" xfId="148"/>
    <cellStyle name="&quot; 4 2" xfId="149"/>
    <cellStyle name="&quot; 5" xfId="150"/>
    <cellStyle name="&quot;_백석지구지구단위계획_도급내역서" xfId="151"/>
    <cellStyle name="&quot;_백석지구지구단위계획_도급내역서 2" xfId="152"/>
    <cellStyle name="&quot;_백석지구지구단위계획_도급내역서 2 2" xfId="153"/>
    <cellStyle name="&quot;_백석지구지구단위계획_도급내역서 3" xfId="154"/>
    <cellStyle name="&quot;_백석지구지구단위계획_도급내역서 3 2" xfId="155"/>
    <cellStyle name="&quot;_백석지구지구단위계획_도급내역서 4" xfId="156"/>
    <cellStyle name="&quot;_백석지구지구단위계획_도급내역서 4 2" xfId="157"/>
    <cellStyle name="&quot;_백석지구지구단위계획_도급내역서 5" xfId="158"/>
    <cellStyle name="#" xfId="159"/>
    <cellStyle name="#,##0 2" xfId="160"/>
    <cellStyle name="#,##0 2 2" xfId="161"/>
    <cellStyle name="#,##0 3" xfId="162"/>
    <cellStyle name="#,##0 3 2" xfId="163"/>
    <cellStyle name="#,##0 4" xfId="164"/>
    <cellStyle name="#,##0 4 2" xfId="165"/>
    <cellStyle name="#,##0 5" xfId="166"/>
    <cellStyle name="#,##0.0" xfId="167"/>
    <cellStyle name="#,##0.00" xfId="168"/>
    <cellStyle name="#,##0.000" xfId="169"/>
    <cellStyle name="#_cost9702 (2)_계통도 (2)_계통도 " xfId="170"/>
    <cellStyle name="#_cost9702 (2)_공사비예산서 (2)_계통도 " xfId="171"/>
    <cellStyle name="#_cost9702 (2)_공사비예산서_계통도 " xfId="172"/>
    <cellStyle name="#_cost9702 (2)_예정공정표 (2)_계통도 " xfId="173"/>
    <cellStyle name="#_cost9702 (2)_주요자재_계통도 " xfId="174"/>
    <cellStyle name="#_경제인문사회연구회 BPRISP 수립 2008-09-04 1613" xfId="175"/>
    <cellStyle name="#_예정공정표_계통도 " xfId="176"/>
    <cellStyle name="#_원가(도천5교제출본)" xfId="177"/>
    <cellStyle name="#_정보보안시스템 구축 2008-10-02 1315" xfId="178"/>
    <cellStyle name="#_특수유형 기록물 관리시스템 구축 사업 2008-09-22 1940" xfId="179"/>
    <cellStyle name="#_특수유형 기록물 관리시스템 구축 사업 2008-09-22 1940_ERP기반의 통합경영정보시스템 구축 2009-03-11 1028" xfId="180"/>
    <cellStyle name="#_특수유형 기록물 관리시스템 구축 사업 2008-09-22 1940_IT인프라 관리체계 2단계 구축 2008-09-24 1521" xfId="181"/>
    <cellStyle name="#_특수유형 기록물 관리시스템 구축 사업 2008-09-22 1940_IT인프라 관리체계 2단계 구축 2008-09-24 1521_정보보안시스템 구축 2008-10-02 1315" xfId="182"/>
    <cellStyle name="#_특수유형 기록물 관리시스템 구축 사업 2008-09-22 1940_정보보안시스템 구축 2008-10-06 1005" xfId="183"/>
    <cellStyle name="#_특수유형 기록물 관리시스템 구축 사업 2008-09-22 1951" xfId="184"/>
    <cellStyle name="#_특수유형 기록물 관리시스템 구축 사업 2008-09-22 1951_ERP기반의 통합경영정보시스템 구축 2009-03-11 1028" xfId="185"/>
    <cellStyle name="#_특수유형 기록물 관리시스템 구축 사업 2008-09-22 1951_IT인프라 관리체계 2단계 구축 2008-09-24 1521" xfId="186"/>
    <cellStyle name="#_특수유형 기록물 관리시스템 구축 사업 2008-09-22 1951_IT인프라 관리체계 2단계 구축 2008-09-24 1521_정보보안시스템 구축 2008-10-02 1315" xfId="187"/>
    <cellStyle name="#_특수유형 기록물 관리시스템 구축 사업 2008-09-22 1951_정보보안시스템 구축 2008-10-06 1005" xfId="188"/>
    <cellStyle name="#_품셈 " xfId="189"/>
    <cellStyle name="#_품셈_계통도 " xfId="190"/>
    <cellStyle name="#_한국기계공업(총제조원가)1" xfId="191"/>
    <cellStyle name="$_0008금감원통합감독검사정보시스템" xfId="192"/>
    <cellStyle name="$_0009김포공항LED교체공사(광일)" xfId="193"/>
    <cellStyle name="$_0011KIST소각설비제작설치" xfId="194"/>
    <cellStyle name="$_0011긴급전화기정산(99년형광일)" xfId="195"/>
    <cellStyle name="$_0011부산종합경기장전광판" xfId="196"/>
    <cellStyle name="$_0012문화유적지표석제작설치" xfId="197"/>
    <cellStyle name="$_0102국제조명신공항분수조명" xfId="198"/>
    <cellStyle name="$_0103회전식현수막게시대제작설치" xfId="199"/>
    <cellStyle name="$_0104포항시침출수처리시스템" xfId="200"/>
    <cellStyle name="$_0105담배자판기개조원가" xfId="201"/>
    <cellStyle name="$_0106LG인버터냉난방기제작-1" xfId="202"/>
    <cellStyle name="$_0107광전송장비구매설치" xfId="203"/>
    <cellStyle name="$_0107도공IBS설비SW부문(참조)" xfId="204"/>
    <cellStyle name="$_0107문화재복원용목재-8월6일" xfId="205"/>
    <cellStyle name="$_0107포천영중수배전반(제조,설치)" xfId="206"/>
    <cellStyle name="$_0108농기반미곡건조기제작설치" xfId="207"/>
    <cellStyle name="$_0108담배인삼공사영업춘추복" xfId="208"/>
    <cellStyle name="$_0108한국전기교통-LED교통신호등((원본))" xfId="209"/>
    <cellStyle name="$_0111해양수산부등명기제작" xfId="210"/>
    <cellStyle name="$_0111핸디소프트-전자표준문서시스템" xfId="211"/>
    <cellStyle name="$_0112금감원사무자동화시스템" xfId="212"/>
    <cellStyle name="$_0112수도권매립지SW원가" xfId="213"/>
    <cellStyle name="$_0112중고원-HRD종합정보망구축(完)" xfId="214"/>
    <cellStyle name="$_0201종합예술회관의자제작설치-1" xfId="215"/>
    <cellStyle name="$_0202마사회근무복" xfId="216"/>
    <cellStyle name="$_0202부경교재-승강칠판" xfId="217"/>
    <cellStyle name="$_0204한국석묘납골함-1규격" xfId="218"/>
    <cellStyle name="$_0206금감원금융정보교환망재구축" xfId="219"/>
    <cellStyle name="$_0206정통부수납장표기기제작설치" xfId="220"/>
    <cellStyle name="$_0207담배인삼공사-담요" xfId="221"/>
    <cellStyle name="$_0208레비텍-다층여과기설계변경" xfId="222"/>
    <cellStyle name="$_0209이산화염소발생기-설치(50K)" xfId="223"/>
    <cellStyle name="$_0210현대정보기술-TD이중계" xfId="224"/>
    <cellStyle name="$_0211조달청-#1대북지원사업정산(1월7일)" xfId="225"/>
    <cellStyle name="$_0212금감원-법규정보시스템(完)" xfId="226"/>
    <cellStyle name="$_0301교통방송-CCTV유지보수" xfId="227"/>
    <cellStyle name="$_0302인천경찰청-무인단속기위탁관리" xfId="228"/>
    <cellStyle name="$_0302조달청-대북지원2차(안성연)" xfId="229"/>
    <cellStyle name="$_0302조달청-대북지원2차(최수현)" xfId="230"/>
    <cellStyle name="$_0302표준문서-쌍용정보통신(신)" xfId="231"/>
    <cellStyle name="$_0304소프트파워-정부표준전자문서시스템" xfId="232"/>
    <cellStyle name="$_0304소프트파워-정부표준전자문서시스템(完)" xfId="233"/>
    <cellStyle name="$_0304철도청-주변환장치-1" xfId="234"/>
    <cellStyle name="$_0305금감원-금융통계정보시스템구축(完)" xfId="235"/>
    <cellStyle name="$_0305제낭조합-면범포지" xfId="236"/>
    <cellStyle name="$_0306제낭공업협동조합-면범포지원단(경비까지)" xfId="237"/>
    <cellStyle name="$_0307경찰청-무인교통단속표준SW개발용역(完)" xfId="238"/>
    <cellStyle name="$_0308조달청-#8대북지원사업정산" xfId="239"/>
    <cellStyle name="$_0309두합크린텍-설치원가" xfId="240"/>
    <cellStyle name="$_0309조달청-#9대북지원사업정산" xfId="241"/>
    <cellStyle name="$_0310여주상수도-탈수기(유천ENG)" xfId="242"/>
    <cellStyle name="$_0311대기해양작업시간" xfId="243"/>
    <cellStyle name="$_0311대기해양중형등명기" xfId="244"/>
    <cellStyle name="$_0312국민체육진흥공단-전기부문" xfId="245"/>
    <cellStyle name="$_0312대기해양-중형등명기제작설치" xfId="246"/>
    <cellStyle name="$_0312라이준-칼라아스콘4규격" xfId="247"/>
    <cellStyle name="$_0401집진기프로그램SW개발비산정" xfId="248"/>
    <cellStyle name="$_0404도로공사-전자지불(SW부문)" xfId="249"/>
    <cellStyle name="$_08한국데이터베이스진흥센터" xfId="250"/>
    <cellStyle name="$_2001-06조달청신성-한냉지형" xfId="251"/>
    <cellStyle name="$_2002-03경찰대학-졸업식" xfId="252"/>
    <cellStyle name="$_2002-03경찰청-경찰표지장" xfId="253"/>
    <cellStyle name="$_2002-03반디-가로등(열주형)" xfId="254"/>
    <cellStyle name="$_2002-03신화전자-감지기" xfId="255"/>
    <cellStyle name="$_2002-04강원랜드-슬러트머신" xfId="256"/>
    <cellStyle name="$_2002-04메가컴-외주무대" xfId="257"/>
    <cellStyle name="$_2002-04엘지애드-무대" xfId="258"/>
    <cellStyle name="$_2002-05강원랜드-슬러트머신(넥스터)" xfId="259"/>
    <cellStyle name="$_2002-05경기경찰청-냉온수기공사" xfId="260"/>
    <cellStyle name="$_2002-05대통령비서실-카페트" xfId="261"/>
    <cellStyle name="$_2002결과표" xfId="262"/>
    <cellStyle name="$_2002결과표1" xfId="263"/>
    <cellStyle name="$_2003-01정일사-표창5종" xfId="264"/>
    <cellStyle name="$_Pilot플랜트-계변경" xfId="265"/>
    <cellStyle name="$_Pilot플랜트이전설치-변경최종" xfId="266"/>
    <cellStyle name="$_SW(케이비)" xfId="267"/>
    <cellStyle name="$_간지,목차,페이지,표지" xfId="268"/>
    <cellStyle name="$_경찰청-근무,기동복" xfId="269"/>
    <cellStyle name="$_공사일반관리비양식" xfId="270"/>
    <cellStyle name="$_기초공사" xfId="271"/>
    <cellStyle name="$_네인텍정보기술-회로카드(수현)" xfId="272"/>
    <cellStyle name="$_대기해양노무비" xfId="273"/>
    <cellStyle name="$_대북자재8월분" xfId="274"/>
    <cellStyle name="$_대북자재8월분-1" xfId="275"/>
    <cellStyle name="$_도로공사MM" xfId="276"/>
    <cellStyle name="$_도로공사tcssw" xfId="277"/>
    <cellStyle name="$_도장면적환산" xfId="278"/>
    <cellStyle name="$_동구초등학교스텐드캐노피외제작설치" xfId="279"/>
    <cellStyle name="$_동산용사촌수현(원본)" xfId="280"/>
    <cellStyle name="$_메리츠증권견적서_유비닉스(예가)" xfId="281"/>
    <cellStyle name="$_백제군사전시1" xfId="282"/>
    <cellStyle name="$_석재조합0224" xfId="283"/>
    <cellStyle name="$_수초제거기(대양기계)" xfId="284"/>
    <cellStyle name="$_시설용역" xfId="285"/>
    <cellStyle name="$_오리엔탈" xfId="286"/>
    <cellStyle name="$_원본 - 한국전기교통-개선형신호등 4종" xfId="287"/>
    <cellStyle name="$_제경비율모음" xfId="288"/>
    <cellStyle name="$_제조원가" xfId="289"/>
    <cellStyle name="$_조달청-B판사천강교제작(최종본)" xfId="290"/>
    <cellStyle name="$_조달청-대북지원3차(최수현)" xfId="291"/>
    <cellStyle name="$_조달청-대북지원4차(최수현)" xfId="292"/>
    <cellStyle name="$_조달청-대북지원5차(최수현)" xfId="293"/>
    <cellStyle name="$_조달청-대북지원6차(번호)" xfId="294"/>
    <cellStyle name="$_조달청-대북지원6차(최수현)" xfId="295"/>
    <cellStyle name="$_조달청-대북지원7차(최수현)" xfId="296"/>
    <cellStyle name="$_조달청-대북지원8차(최수현)" xfId="297"/>
    <cellStyle name="$_조달청-대북지원9차(최수현)" xfId="298"/>
    <cellStyle name="$_중앙선관위(투표,개표)" xfId="299"/>
    <cellStyle name="$_중앙선관위(투표,개표)-사본" xfId="300"/>
    <cellStyle name="$_철공가공조립" xfId="301"/>
    <cellStyle name="$_최종-한국전기교통-개선형신호등 4종(공수조정)" xfId="302"/>
    <cellStyle name="$_코솔라-제조원가" xfId="303"/>
    <cellStyle name="$_탄천보도교 정비 및 개선공사 제작,설치(수정)1216" xfId="304"/>
    <cellStyle name="$_토지공사-간접비" xfId="305"/>
    <cellStyle name="$_한국도로공사" xfId="306"/>
    <cellStyle name="$_한양프레임도로명판외91종(제작설치원가)" xfId="307"/>
    <cellStyle name="$_한전내역서-최종" xfId="308"/>
    <cellStyle name="$_해양종합휴양지조성사업9.13" xfId="309"/>
    <cellStyle name="%" xfId="310"/>
    <cellStyle name="%(+,-,0)" xfId="311"/>
    <cellStyle name="&amp;A" xfId="312"/>
    <cellStyle name="(##.00)" xfId="313"/>
    <cellStyle name="(△콤마)" xfId="314"/>
    <cellStyle name="(백분율)" xfId="315"/>
    <cellStyle name="(콤마)" xfId="316"/>
    <cellStyle name="(표준)" xfId="317"/>
    <cellStyle name="(표준) 2" xfId="318"/>
    <cellStyle name="(표준) 2 2" xfId="319"/>
    <cellStyle name="(표준) 3" xfId="320"/>
    <cellStyle name="(표준) 3 2" xfId="321"/>
    <cellStyle name="(표준) 4" xfId="322"/>
    <cellStyle name="(표준) 4 2" xfId="323"/>
    <cellStyle name="(표준) 5" xfId="324"/>
    <cellStyle name=")" xfId="325"/>
    <cellStyle name=";;;" xfId="326"/>
    <cellStyle name="?? [0]_????? " xfId="327"/>
    <cellStyle name="??_x000c_@?_x000d_3?_x0001__x000b_" xfId="328"/>
    <cellStyle name="??&amp;O?&amp;H??" xfId="329"/>
    <cellStyle name="??&amp;O?&amp;H???" xfId="330"/>
    <cellStyle name="??&amp;쏗?뷐9_x0008__x0011__x0007_?_x0007__x0001__x0001_" xfId="331"/>
    <cellStyle name="???­ [0]_??º?¼?·®??°? " xfId="332"/>
    <cellStyle name="???­_??º?¼?·®??°? " xfId="333"/>
    <cellStyle name="???Ø_??º?¼?·®??°? " xfId="334"/>
    <cellStyle name="??_????? " xfId="335"/>
    <cellStyle name="?Þ¸¶ [0]_??º?¼?·®??°? " xfId="336"/>
    <cellStyle name="?Þ¸¶_??º?¼?·®??°? " xfId="337"/>
    <cellStyle name="?W?_laroux" xfId="338"/>
    <cellStyle name="?曹%U?&amp;H?_x0008__x001a__x0004_?_x0007__x0001__x0001_" xfId="339"/>
    <cellStyle name="?曹%U?&amp;H?_x0008_?s_x000a__x0007__x0001__x0001_" xfId="340"/>
    <cellStyle name="?珠??? " xfId="341"/>
    <cellStyle name="@" xfId="342"/>
    <cellStyle name="@_1.총괄표" xfId="343"/>
    <cellStyle name="@_laroux" xfId="344"/>
    <cellStyle name="@_laroux_제트베인" xfId="345"/>
    <cellStyle name="@_laroux_제트베인_1" xfId="346"/>
    <cellStyle name="@_견적실적용간접공사비" xfId="347"/>
    <cellStyle name="@_결제용시행대비표" xfId="348"/>
    <cellStyle name="@_고속국도1공구간접공사비" xfId="349"/>
    <cellStyle name="@_복사본 03. 부대입찰결과" xfId="350"/>
    <cellStyle name="@_시화1공구BD" xfId="351"/>
    <cellStyle name="@_지역업체결재" xfId="352"/>
    <cellStyle name="@_춘천동홍천2공구BD" xfId="353"/>
    <cellStyle name="_----" xfId="354"/>
    <cellStyle name="_(06-07-11) UPIS DB 설계내역서(우대)" xfId="355"/>
    <cellStyle name="_(B지구택지개발사업)_원용역_충북개발공사수행분포함" xfId="356"/>
    <cellStyle name="_(NT서버)소비자가" xfId="357"/>
    <cellStyle name="_(견)메리츠_증권-IC_카드_발급_시스템_예가_산정_견적__20081020-최종본" xfId="358"/>
    <cellStyle name="_(붙임5)소요예산산출근거(1)" xfId="359"/>
    <cellStyle name="_(한국농촌경제연구원)퍼스트클래스솔루션_견적서(v2.2)" xfId="360"/>
    <cellStyle name="_0.실시설계-총괄" xfId="361"/>
    <cellStyle name="_00 예정지 항공측량용역_총괄표" xfId="362"/>
    <cellStyle name="_00.연도별_장비예산요구견적종합_제출용_v1.1" xfId="363"/>
    <cellStyle name="_00.총괄표" xfId="364"/>
    <cellStyle name="_000" xfId="365"/>
    <cellStyle name="_00-04-구조물총괄" xfId="366"/>
    <cellStyle name="_00-04-구조물총괄_강관압입구조물공" xfId="367"/>
    <cellStyle name="_00-04-구조물총괄_강관압입구조물공_내지농로(변경)" xfId="368"/>
    <cellStyle name="_00-04-구조물총괄_강관압입구조물공_내지농로(변경)_돈지수량산출" xfId="369"/>
    <cellStyle name="_00-04-구조물총괄_강관압입구조물공_능양수량산출" xfId="370"/>
    <cellStyle name="_00-04-구조물총괄_강관압입구조물공_능양수량산출_돈지수량산출" xfId="371"/>
    <cellStyle name="_00-04-구조물총괄_강관압입구조물공_돈지안길" xfId="372"/>
    <cellStyle name="_00-04-구조물총괄_강관압입구조물공_돈지안길_배수로" xfId="373"/>
    <cellStyle name="_00-04-구조물총괄_강관압입구조물공_돈지안길1000" xfId="374"/>
    <cellStyle name="_00-04-구조물총괄_강관압입구조물공_돈지안길1000_배수로" xfId="375"/>
    <cellStyle name="_00-04-구조물총괄_강관압입구조물공_배수로" xfId="376"/>
    <cellStyle name="_00-04-구조물총괄_강관압입구조물공_배수로_배수로" xfId="377"/>
    <cellStyle name="_00-04-구조물총괄_강관압입구조물공_석축쌓기" xfId="378"/>
    <cellStyle name="_00-04-구조물총괄_강관압입구조물공_석축쌓기_내지농로(변경)" xfId="379"/>
    <cellStyle name="_00-04-구조물총괄_강관압입구조물공_석축쌓기_내지농로(변경)_돈지수량산출" xfId="380"/>
    <cellStyle name="_00-04-구조물총괄_강관압입구조물공_석축쌓기_능양수량산출" xfId="381"/>
    <cellStyle name="_00-04-구조물총괄_강관압입구조물공_석축쌓기_능양수량산출_돈지수량산출" xfId="382"/>
    <cellStyle name="_00-04-구조물총괄_강관압입구조물공_석축쌓기_돈지안길" xfId="383"/>
    <cellStyle name="_00-04-구조물총괄_강관압입구조물공_석축쌓기_돈지안길_배수로" xfId="384"/>
    <cellStyle name="_00-04-구조물총괄_강관압입구조물공_석축쌓기_돈지안길1000" xfId="385"/>
    <cellStyle name="_00-04-구조물총괄_강관압입구조물공_석축쌓기_돈지안길1000_배수로" xfId="386"/>
    <cellStyle name="_00-04-구조물총괄_강관압입구조물공_석축쌓기_배수공(명품센터)" xfId="387"/>
    <cellStyle name="_00-04-구조물총괄_강관압입구조물공_석축쌓기_배수공(명품센터)_내지농로(변경)" xfId="388"/>
    <cellStyle name="_00-04-구조물총괄_강관압입구조물공_석축쌓기_배수공(명품센터)_내지농로(변경)_돈지수량산출" xfId="389"/>
    <cellStyle name="_00-04-구조물총괄_강관압입구조물공_석축쌓기_배수공(명품센터)_능양수량산출" xfId="390"/>
    <cellStyle name="_00-04-구조물총괄_강관압입구조물공_석축쌓기_배수공(명품센터)_능양수량산출_돈지수량산출" xfId="391"/>
    <cellStyle name="_00-04-구조물총괄_강관압입구조물공_석축쌓기_배수공(명품센터)_돈지안길" xfId="392"/>
    <cellStyle name="_00-04-구조물총괄_강관압입구조물공_석축쌓기_배수공(명품센터)_돈지안길_배수로" xfId="393"/>
    <cellStyle name="_00-04-구조물총괄_강관압입구조물공_석축쌓기_배수공(명품센터)_돈지안길1000" xfId="394"/>
    <cellStyle name="_00-04-구조물총괄_강관압입구조물공_석축쌓기_배수공(명품센터)_돈지안길1000_배수로" xfId="395"/>
    <cellStyle name="_00-04-구조물총괄_강관압입구조물공_석축쌓기_배수공(명품센터)_배수로" xfId="396"/>
    <cellStyle name="_00-04-구조물총괄_강관압입구조물공_석축쌓기_배수공(명품센터)_배수로_배수로" xfId="397"/>
    <cellStyle name="_00-04-구조물총괄_강관압입구조물공_석축쌓기_배수로" xfId="398"/>
    <cellStyle name="_00-04-구조물총괄_강관압입구조물공_석축쌓기_배수로_배수로" xfId="399"/>
    <cellStyle name="_00-04-구조물총괄_강관압입구조물공_석축쌓기_수량(전안수해복구)" xfId="400"/>
    <cellStyle name="_00-04-구조물총괄_강관압입구조물공_석축쌓기_수량(전안수해복구)_내지농로(변경)" xfId="401"/>
    <cellStyle name="_00-04-구조물총괄_강관압입구조물공_석축쌓기_수량(전안수해복구)_내지농로(변경)_돈지수량산출" xfId="402"/>
    <cellStyle name="_00-04-구조물총괄_강관압입구조물공_석축쌓기_수량(전안수해복구)_능양수량산출" xfId="403"/>
    <cellStyle name="_00-04-구조물총괄_강관압입구조물공_석축쌓기_수량(전안수해복구)_능양수량산출_돈지수량산출" xfId="404"/>
    <cellStyle name="_00-04-구조물총괄_강관압입구조물공_석축쌓기_수량(전안수해복구)_돈지안길" xfId="405"/>
    <cellStyle name="_00-04-구조물총괄_강관압입구조물공_석축쌓기_수량(전안수해복구)_돈지안길_배수로" xfId="406"/>
    <cellStyle name="_00-04-구조물총괄_강관압입구조물공_석축쌓기_수량(전안수해복구)_돈지안길1000" xfId="407"/>
    <cellStyle name="_00-04-구조물총괄_강관압입구조물공_석축쌓기_수량(전안수해복구)_돈지안길1000_배수로" xfId="408"/>
    <cellStyle name="_00-04-구조물총괄_강관압입구조물공_석축쌓기_수량(전안수해복구)_배수로" xfId="409"/>
    <cellStyle name="_00-04-구조물총괄_강관압입구조물공_석축쌓기_수량(전안수해복구)_배수로_배수로" xfId="410"/>
    <cellStyle name="_00-04-구조물총괄_강관압입구조물공_석축쌓기_우수공(k2)" xfId="411"/>
    <cellStyle name="_00-04-구조물총괄_강관압입구조물공_석축쌓기_우수공(k2)_내지농로(변경)" xfId="412"/>
    <cellStyle name="_00-04-구조물총괄_강관압입구조물공_석축쌓기_우수공(k2)_내지농로(변경)_돈지수량산출" xfId="413"/>
    <cellStyle name="_00-04-구조물총괄_강관압입구조물공_석축쌓기_우수공(k2)_능양수량산출" xfId="414"/>
    <cellStyle name="_00-04-구조물총괄_강관압입구조물공_석축쌓기_우수공(k2)_능양수량산출_돈지수량산출" xfId="415"/>
    <cellStyle name="_00-04-구조물총괄_강관압입구조물공_석축쌓기_우수공(k2)_돈지안길" xfId="416"/>
    <cellStyle name="_00-04-구조물총괄_강관압입구조물공_석축쌓기_우수공(k2)_돈지안길_배수로" xfId="417"/>
    <cellStyle name="_00-04-구조물총괄_강관압입구조물공_석축쌓기_우수공(k2)_돈지안길1000" xfId="418"/>
    <cellStyle name="_00-04-구조물총괄_강관압입구조물공_석축쌓기_우수공(k2)_돈지안길1000_배수로" xfId="419"/>
    <cellStyle name="_00-04-구조물총괄_강관압입구조물공_석축쌓기_우수공(k2)_배수로" xfId="420"/>
    <cellStyle name="_00-04-구조물총괄_강관압입구조물공_석축쌓기_우수공(k2)_배수로_배수로" xfId="421"/>
    <cellStyle name="_00-04-구조물총괄_내지농로(변경)" xfId="422"/>
    <cellStyle name="_00-04-구조물총괄_내지농로(변경)_돈지수량산출" xfId="423"/>
    <cellStyle name="_00-04-구조물총괄_능양수량산출" xfId="424"/>
    <cellStyle name="_00-04-구조물총괄_능양수량산출_돈지수량산출" xfId="425"/>
    <cellStyle name="_00-04-구조물총괄_돈지안길" xfId="426"/>
    <cellStyle name="_00-04-구조물총괄_돈지안길_배수로" xfId="427"/>
    <cellStyle name="_00-04-구조물총괄_돈지안길1000" xfId="428"/>
    <cellStyle name="_00-04-구조물총괄_돈지안길1000_배수로" xfId="429"/>
    <cellStyle name="_00-04-구조물총괄_배수로" xfId="430"/>
    <cellStyle name="_00-04-구조물총괄_배수로_배수로" xfId="431"/>
    <cellStyle name="_00-04-구조물총괄_석축쌓기" xfId="432"/>
    <cellStyle name="_00-04-구조물총괄_석축쌓기_내지농로(변경)" xfId="433"/>
    <cellStyle name="_00-04-구조물총괄_석축쌓기_내지농로(변경)_돈지수량산출" xfId="434"/>
    <cellStyle name="_00-04-구조물총괄_석축쌓기_능양수량산출" xfId="435"/>
    <cellStyle name="_00-04-구조물총괄_석축쌓기_능양수량산출_돈지수량산출" xfId="436"/>
    <cellStyle name="_00-04-구조물총괄_석축쌓기_돈지안길" xfId="437"/>
    <cellStyle name="_00-04-구조물총괄_석축쌓기_돈지안길_배수로" xfId="438"/>
    <cellStyle name="_00-04-구조물총괄_석축쌓기_돈지안길1000" xfId="439"/>
    <cellStyle name="_00-04-구조물총괄_석축쌓기_돈지안길1000_배수로" xfId="440"/>
    <cellStyle name="_00-04-구조물총괄_석축쌓기_배수공(명품센터)" xfId="441"/>
    <cellStyle name="_00-04-구조물총괄_석축쌓기_배수공(명품센터)_내지농로(변경)" xfId="442"/>
    <cellStyle name="_00-04-구조물총괄_석축쌓기_배수공(명품센터)_내지농로(변경)_돈지수량산출" xfId="443"/>
    <cellStyle name="_00-04-구조물총괄_석축쌓기_배수공(명품센터)_능양수량산출" xfId="444"/>
    <cellStyle name="_00-04-구조물총괄_석축쌓기_배수공(명품센터)_능양수량산출_돈지수량산출" xfId="445"/>
    <cellStyle name="_00-04-구조물총괄_석축쌓기_배수공(명품센터)_돈지안길" xfId="446"/>
    <cellStyle name="_00-04-구조물총괄_석축쌓기_배수공(명품센터)_돈지안길_배수로" xfId="447"/>
    <cellStyle name="_00-04-구조물총괄_석축쌓기_배수공(명품센터)_돈지안길1000" xfId="448"/>
    <cellStyle name="_00-04-구조물총괄_석축쌓기_배수공(명품센터)_돈지안길1000_배수로" xfId="449"/>
    <cellStyle name="_00-04-구조물총괄_석축쌓기_배수공(명품센터)_배수로" xfId="450"/>
    <cellStyle name="_00-04-구조물총괄_석축쌓기_배수공(명품센터)_배수로_배수로" xfId="451"/>
    <cellStyle name="_00-04-구조물총괄_석축쌓기_배수로" xfId="452"/>
    <cellStyle name="_00-04-구조물총괄_석축쌓기_배수로_배수로" xfId="453"/>
    <cellStyle name="_00-04-구조물총괄_석축쌓기_수량(전안수해복구)" xfId="454"/>
    <cellStyle name="_00-04-구조물총괄_석축쌓기_수량(전안수해복구)_내지농로(변경)" xfId="455"/>
    <cellStyle name="_00-04-구조물총괄_석축쌓기_수량(전안수해복구)_내지농로(변경)_돈지수량산출" xfId="456"/>
    <cellStyle name="_00-04-구조물총괄_석축쌓기_수량(전안수해복구)_능양수량산출" xfId="457"/>
    <cellStyle name="_00-04-구조물총괄_석축쌓기_수량(전안수해복구)_능양수량산출_돈지수량산출" xfId="458"/>
    <cellStyle name="_00-04-구조물총괄_석축쌓기_수량(전안수해복구)_돈지안길" xfId="459"/>
    <cellStyle name="_00-04-구조물총괄_석축쌓기_수량(전안수해복구)_돈지안길_배수로" xfId="460"/>
    <cellStyle name="_00-04-구조물총괄_석축쌓기_수량(전안수해복구)_돈지안길1000" xfId="461"/>
    <cellStyle name="_00-04-구조물총괄_석축쌓기_수량(전안수해복구)_돈지안길1000_배수로" xfId="462"/>
    <cellStyle name="_00-04-구조물총괄_석축쌓기_수량(전안수해복구)_배수로" xfId="463"/>
    <cellStyle name="_00-04-구조물총괄_석축쌓기_수량(전안수해복구)_배수로_배수로" xfId="464"/>
    <cellStyle name="_00-04-구조물총괄_석축쌓기_우수공(k2)" xfId="465"/>
    <cellStyle name="_00-04-구조물총괄_석축쌓기_우수공(k2)_내지농로(변경)" xfId="466"/>
    <cellStyle name="_00-04-구조물총괄_석축쌓기_우수공(k2)_내지농로(변경)_돈지수량산출" xfId="467"/>
    <cellStyle name="_00-04-구조물총괄_석축쌓기_우수공(k2)_능양수량산출" xfId="468"/>
    <cellStyle name="_00-04-구조물총괄_석축쌓기_우수공(k2)_능양수량산출_돈지수량산출" xfId="469"/>
    <cellStyle name="_00-04-구조물총괄_석축쌓기_우수공(k2)_돈지안길" xfId="470"/>
    <cellStyle name="_00-04-구조물총괄_석축쌓기_우수공(k2)_돈지안길_배수로" xfId="471"/>
    <cellStyle name="_00-04-구조물총괄_석축쌓기_우수공(k2)_돈지안길1000" xfId="472"/>
    <cellStyle name="_00-04-구조물총괄_석축쌓기_우수공(k2)_돈지안길1000_배수로" xfId="473"/>
    <cellStyle name="_00-04-구조물총괄_석축쌓기_우수공(k2)_배수로" xfId="474"/>
    <cellStyle name="_00-04-구조물총괄_석축쌓기_우수공(k2)_배수로_배수로" xfId="475"/>
    <cellStyle name="_000-명동-삼포간 해안관광도로(8-14)" xfId="476"/>
    <cellStyle name="_000-명동-삼포간 해안관광도로(8-14)_2004년 완선공사(최종본)" xfId="477"/>
    <cellStyle name="_000-명동-삼포간 해안관광도로(8-14)_안동전통문화콘텐츠박물관전시영상물구축(전시시설물)" xfId="478"/>
    <cellStyle name="_000-명동-삼포간 해안관광도로(8-14)_안동전통문화콘텐츠박물관전시영상물구축(전시시설물)_원가보고서(종합)-조달" xfId="479"/>
    <cellStyle name="_000-명동-삼포간 해안관광도로(8-14)_안동전통문화콘텐츠박물관전시영상물구축(전시시설물)_원가보고서(흑색)-조달" xfId="480"/>
    <cellStyle name="_000-명동-삼포간 해안관광도로(8-14)_원가계산서(화성상록)" xfId="481"/>
    <cellStyle name="_000-명동-삼포간 해안관광도로(8-14)_원가계산서(화성상록) (version 1)" xfId="482"/>
    <cellStyle name="_000-명동-삼포간 해안관광도로(8-14)_원가계산서(화성상록) (version 1)_원가보고서(종합)-조달" xfId="483"/>
    <cellStyle name="_000-명동-삼포간 해안관광도로(8-14)_원가계산서(화성상록) (version 1)_원가보고서(흑색)-조달" xfId="484"/>
    <cellStyle name="_000-명동-삼포간 해안관광도로(8-14)_원가계산서(화성상록)_원가보고서(종합)-조달" xfId="485"/>
    <cellStyle name="_000-명동-삼포간 해안관광도로(8-14)_원가계산서(화성상록)_원가보고서(흑색)-조달" xfId="486"/>
    <cellStyle name="_000-용호고(최종)" xfId="487"/>
    <cellStyle name="_000-용호고(최종)_000-용호고(최종)" xfId="488"/>
    <cellStyle name="_000-용호고(최종)_000-용호고(최종)_00-명동-삼포간 해안관광도로" xfId="489"/>
    <cellStyle name="_000-용호고(최종)_000-용호고(최종)_00-명동-삼포간 해안관광도로_2004년 완선공사(최종본)" xfId="490"/>
    <cellStyle name="_000-용호고(최종)_000-용호고(최종)_00-명동-삼포간 해안관광도로_안동전통문화콘텐츠박물관전시영상물구축(전시시설물)" xfId="491"/>
    <cellStyle name="_000-용호고(최종)_000-용호고(최종)_00-명동-삼포간 해안관광도로_안동전통문화콘텐츠박물관전시영상물구축(전시시설물)_원가보고서(종합)-조달" xfId="492"/>
    <cellStyle name="_000-용호고(최종)_000-용호고(최종)_00-명동-삼포간 해안관광도로_안동전통문화콘텐츠박물관전시영상물구축(전시시설물)_원가보고서(흑색)-조달" xfId="493"/>
    <cellStyle name="_000-용호고(최종)_000-용호고(최종)_00-명동-삼포간 해안관광도로_원가계산서(화성상록)" xfId="494"/>
    <cellStyle name="_000-용호고(최종)_000-용호고(최종)_00-명동-삼포간 해안관광도로_원가계산서(화성상록) (version 1)" xfId="495"/>
    <cellStyle name="_000-용호고(최종)_000-용호고(최종)_00-명동-삼포간 해안관광도로_원가계산서(화성상록) (version 1)_원가보고서(종합)-조달" xfId="496"/>
    <cellStyle name="_000-용호고(최종)_000-용호고(최종)_00-명동-삼포간 해안관광도로_원가계산서(화성상록) (version 1)_원가보고서(흑색)-조달" xfId="497"/>
    <cellStyle name="_000-용호고(최종)_000-용호고(최종)_00-명동-삼포간 해안관광도로_원가계산서(화성상록)_원가보고서(종합)-조달" xfId="498"/>
    <cellStyle name="_000-용호고(최종)_000-용호고(최종)_00-명동-삼포간 해안관광도로_원가계산서(화성상록)_원가보고서(흑색)-조달" xfId="499"/>
    <cellStyle name="_000-용호고(최종)_000-용호고(최종)_00-미점-정서간도로확.포장공사(서)-12-14" xfId="500"/>
    <cellStyle name="_000-용호고(최종)_000-용호고(최종)_00-미점-정서간도로확.포장공사(서)-12-14_2004년 완선공사(최종본)" xfId="501"/>
    <cellStyle name="_000-용호고(최종)_000-용호고(최종)_00-미점-정서간도로확.포장공사(서)-12-14_안동전통문화콘텐츠박물관전시영상물구축(전시시설물)" xfId="502"/>
    <cellStyle name="_000-용호고(최종)_000-용호고(최종)_00-미점-정서간도로확.포장공사(서)-12-14_안동전통문화콘텐츠박물관전시영상물구축(전시시설물)_원가보고서(종합)-조달" xfId="503"/>
    <cellStyle name="_000-용호고(최종)_000-용호고(최종)_00-미점-정서간도로확.포장공사(서)-12-14_안동전통문화콘텐츠박물관전시영상물구축(전시시설물)_원가보고서(흑색)-조달" xfId="504"/>
    <cellStyle name="_000-용호고(최종)_000-용호고(최종)_00-미점-정서간도로확.포장공사(서)-12-14_원가계산서(화성상록)" xfId="505"/>
    <cellStyle name="_000-용호고(최종)_000-용호고(최종)_00-미점-정서간도로확.포장공사(서)-12-14_원가계산서(화성상록) (version 1)" xfId="506"/>
    <cellStyle name="_000-용호고(최종)_000-용호고(최종)_00-미점-정서간도로확.포장공사(서)-12-14_원가계산서(화성상록) (version 1)_원가보고서(종합)-조달" xfId="507"/>
    <cellStyle name="_000-용호고(최종)_000-용호고(최종)_00-미점-정서간도로확.포장공사(서)-12-14_원가계산서(화성상록) (version 1)_원가보고서(흑색)-조달" xfId="508"/>
    <cellStyle name="_000-용호고(최종)_000-용호고(최종)_00-미점-정서간도로확.포장공사(서)-12-14_원가계산서(화성상록)_원가보고서(종합)-조달" xfId="509"/>
    <cellStyle name="_000-용호고(최종)_000-용호고(최종)_00-미점-정서간도로확.포장공사(서)-12-14_원가계산서(화성상록)_원가보고서(흑색)-조달" xfId="510"/>
    <cellStyle name="_000-용호고(최종)_000-용호고(최종)_00-미점-정서간도로확.포장공사-12-17일 기준" xfId="511"/>
    <cellStyle name="_000-용호고(최종)_000-용호고(최종)_00-미점-정서간도로확.포장공사-12-17일 기준_2004년 완선공사(최종본)" xfId="512"/>
    <cellStyle name="_000-용호고(최종)_000-용호고(최종)_00-미점-정서간도로확.포장공사-12-17일 기준_안동전통문화콘텐츠박물관전시영상물구축(전시시설물)" xfId="513"/>
    <cellStyle name="_000-용호고(최종)_000-용호고(최종)_00-미점-정서간도로확.포장공사-12-17일 기준_안동전통문화콘텐츠박물관전시영상물구축(전시시설물)_원가보고서(종합)-조달" xfId="514"/>
    <cellStyle name="_000-용호고(최종)_000-용호고(최종)_00-미점-정서간도로확.포장공사-12-17일 기준_안동전통문화콘텐츠박물관전시영상물구축(전시시설물)_원가보고서(흑색)-조달" xfId="515"/>
    <cellStyle name="_000-용호고(최종)_000-용호고(최종)_00-미점-정서간도로확.포장공사-12-17일 기준_원가계산서(화성상록)" xfId="516"/>
    <cellStyle name="_000-용호고(최종)_000-용호고(최종)_00-미점-정서간도로확.포장공사-12-17일 기준_원가계산서(화성상록) (version 1)" xfId="517"/>
    <cellStyle name="_000-용호고(최종)_000-용호고(최종)_00-미점-정서간도로확.포장공사-12-17일 기준_원가계산서(화성상록) (version 1)_원가보고서(종합)-조달" xfId="518"/>
    <cellStyle name="_000-용호고(최종)_000-용호고(최종)_00-미점-정서간도로확.포장공사-12-17일 기준_원가계산서(화성상록) (version 1)_원가보고서(흑색)-조달" xfId="519"/>
    <cellStyle name="_000-용호고(최종)_000-용호고(최종)_00-미점-정서간도로확.포장공사-12-17일 기준_원가계산서(화성상록)_원가보고서(종합)-조달" xfId="520"/>
    <cellStyle name="_000-용호고(최종)_000-용호고(최종)_00-미점-정서간도로확.포장공사-12-17일 기준_원가계산서(화성상록)_원가보고서(흑색)-조달" xfId="521"/>
    <cellStyle name="_000-용호고(최종)_000-용호고(최종)_01-미점-정서간도로확.포장공사" xfId="522"/>
    <cellStyle name="_000-용호고(최종)_000-용호고(최종)_01-미점-정서간도로확.포장공사_2004년 완선공사(최종본)" xfId="523"/>
    <cellStyle name="_000-용호고(최종)_000-용호고(최종)_01-미점-정서간도로확.포장공사_안동전통문화콘텐츠박물관전시영상물구축(전시시설물)" xfId="524"/>
    <cellStyle name="_000-용호고(최종)_000-용호고(최종)_01-미점-정서간도로확.포장공사_안동전통문화콘텐츠박물관전시영상물구축(전시시설물)_원가보고서(종합)-조달" xfId="525"/>
    <cellStyle name="_000-용호고(최종)_000-용호고(최종)_01-미점-정서간도로확.포장공사_안동전통문화콘텐츠박물관전시영상물구축(전시시설물)_원가보고서(흑색)-조달" xfId="526"/>
    <cellStyle name="_000-용호고(최종)_000-용호고(최종)_01-미점-정서간도로확.포장공사_원가계산서(화성상록)" xfId="527"/>
    <cellStyle name="_000-용호고(최종)_000-용호고(최종)_01-미점-정서간도로확.포장공사_원가계산서(화성상록) (version 1)" xfId="528"/>
    <cellStyle name="_000-용호고(최종)_000-용호고(최종)_01-미점-정서간도로확.포장공사_원가계산서(화성상록) (version 1)_원가보고서(종합)-조달" xfId="529"/>
    <cellStyle name="_000-용호고(최종)_000-용호고(최종)_01-미점-정서간도로확.포장공사_원가계산서(화성상록) (version 1)_원가보고서(흑색)-조달" xfId="530"/>
    <cellStyle name="_000-용호고(최종)_000-용호고(최종)_01-미점-정서간도로확.포장공사_원가계산서(화성상록)_원가보고서(종합)-조달" xfId="531"/>
    <cellStyle name="_000-용호고(최종)_000-용호고(최종)_01-미점-정서간도로확.포장공사_원가계산서(화성상록)_원가보고서(흑색)-조달" xfId="532"/>
    <cellStyle name="_000-용호고(최종)_000-용호고(최종)_2004년 완선공사(최종본)" xfId="533"/>
    <cellStyle name="_000-용호고(최종)_000-용호고(최종)_안동전통문화콘텐츠박물관전시영상물구축(전시시설물)" xfId="534"/>
    <cellStyle name="_000-용호고(최종)_000-용호고(최종)_안동전통문화콘텐츠박물관전시영상물구축(전시시설물)_원가보고서(종합)-조달" xfId="535"/>
    <cellStyle name="_000-용호고(최종)_000-용호고(최종)_안동전통문화콘텐츠박물관전시영상물구축(전시시설물)_원가보고서(흑색)-조달" xfId="536"/>
    <cellStyle name="_000-용호고(최종)_000-용호고(최종)_원가계산서(화성상록)" xfId="537"/>
    <cellStyle name="_000-용호고(최종)_000-용호고(최종)_원가계산서(화성상록) (version 1)" xfId="538"/>
    <cellStyle name="_000-용호고(최종)_000-용호고(최종)_원가계산서(화성상록) (version 1)_원가보고서(종합)-조달" xfId="539"/>
    <cellStyle name="_000-용호고(최종)_000-용호고(최종)_원가계산서(화성상록) (version 1)_원가보고서(흑색)-조달" xfId="540"/>
    <cellStyle name="_000-용호고(최종)_000-용호고(최종)_원가계산서(화성상록)_원가보고서(종합)-조달" xfId="541"/>
    <cellStyle name="_000-용호고(최종)_000-용호고(최종)_원가계산서(화성상록)_원가보고서(흑색)-조달" xfId="542"/>
    <cellStyle name="_000-용호고(최종)_1" xfId="543"/>
    <cellStyle name="_000-용호고(최종)_1_00-명동-삼포간 해안관광도로" xfId="544"/>
    <cellStyle name="_000-용호고(최종)_1_00-명동-삼포간 해안관광도로_2004년 완선공사(최종본)" xfId="545"/>
    <cellStyle name="_000-용호고(최종)_1_00-명동-삼포간 해안관광도로_안동전통문화콘텐츠박물관전시영상물구축(전시시설물)" xfId="546"/>
    <cellStyle name="_000-용호고(최종)_1_00-명동-삼포간 해안관광도로_안동전통문화콘텐츠박물관전시영상물구축(전시시설물)_원가보고서(종합)-조달" xfId="547"/>
    <cellStyle name="_000-용호고(최종)_1_00-명동-삼포간 해안관광도로_안동전통문화콘텐츠박물관전시영상물구축(전시시설물)_원가보고서(흑색)-조달" xfId="548"/>
    <cellStyle name="_000-용호고(최종)_1_00-명동-삼포간 해안관광도로_원가계산서(화성상록)" xfId="549"/>
    <cellStyle name="_000-용호고(최종)_1_00-명동-삼포간 해안관광도로_원가계산서(화성상록) (version 1)" xfId="550"/>
    <cellStyle name="_000-용호고(최종)_1_00-명동-삼포간 해안관광도로_원가계산서(화성상록) (version 1)_원가보고서(종합)-조달" xfId="551"/>
    <cellStyle name="_000-용호고(최종)_1_00-명동-삼포간 해안관광도로_원가계산서(화성상록) (version 1)_원가보고서(흑색)-조달" xfId="552"/>
    <cellStyle name="_000-용호고(최종)_1_00-명동-삼포간 해안관광도로_원가계산서(화성상록)_원가보고서(종합)-조달" xfId="553"/>
    <cellStyle name="_000-용호고(최종)_1_00-명동-삼포간 해안관광도로_원가계산서(화성상록)_원가보고서(흑색)-조달" xfId="554"/>
    <cellStyle name="_000-용호고(최종)_1_00-미점-정서간도로확.포장공사(서)-12-14" xfId="555"/>
    <cellStyle name="_000-용호고(최종)_1_00-미점-정서간도로확.포장공사(서)-12-14_2004년 완선공사(최종본)" xfId="556"/>
    <cellStyle name="_000-용호고(최종)_1_00-미점-정서간도로확.포장공사(서)-12-14_안동전통문화콘텐츠박물관전시영상물구축(전시시설물)" xfId="557"/>
    <cellStyle name="_000-용호고(최종)_1_00-미점-정서간도로확.포장공사(서)-12-14_안동전통문화콘텐츠박물관전시영상물구축(전시시설물)_원가보고서(종합)-조달" xfId="558"/>
    <cellStyle name="_000-용호고(최종)_1_00-미점-정서간도로확.포장공사(서)-12-14_안동전통문화콘텐츠박물관전시영상물구축(전시시설물)_원가보고서(흑색)-조달" xfId="559"/>
    <cellStyle name="_000-용호고(최종)_1_00-미점-정서간도로확.포장공사(서)-12-14_원가계산서(화성상록)" xfId="560"/>
    <cellStyle name="_000-용호고(최종)_1_00-미점-정서간도로확.포장공사(서)-12-14_원가계산서(화성상록) (version 1)" xfId="561"/>
    <cellStyle name="_000-용호고(최종)_1_00-미점-정서간도로확.포장공사(서)-12-14_원가계산서(화성상록) (version 1)_원가보고서(종합)-조달" xfId="562"/>
    <cellStyle name="_000-용호고(최종)_1_00-미점-정서간도로확.포장공사(서)-12-14_원가계산서(화성상록) (version 1)_원가보고서(흑색)-조달" xfId="563"/>
    <cellStyle name="_000-용호고(최종)_1_00-미점-정서간도로확.포장공사(서)-12-14_원가계산서(화성상록)_원가보고서(종합)-조달" xfId="564"/>
    <cellStyle name="_000-용호고(최종)_1_00-미점-정서간도로확.포장공사(서)-12-14_원가계산서(화성상록)_원가보고서(흑색)-조달" xfId="565"/>
    <cellStyle name="_000-용호고(최종)_1_00-미점-정서간도로확.포장공사-12-17일 기준" xfId="566"/>
    <cellStyle name="_000-용호고(최종)_1_00-미점-정서간도로확.포장공사-12-17일 기준_2004년 완선공사(최종본)" xfId="567"/>
    <cellStyle name="_000-용호고(최종)_1_00-미점-정서간도로확.포장공사-12-17일 기준_안동전통문화콘텐츠박물관전시영상물구축(전시시설물)" xfId="568"/>
    <cellStyle name="_000-용호고(최종)_1_00-미점-정서간도로확.포장공사-12-17일 기준_안동전통문화콘텐츠박물관전시영상물구축(전시시설물)_원가보고서(종합)-조달" xfId="569"/>
    <cellStyle name="_000-용호고(최종)_1_00-미점-정서간도로확.포장공사-12-17일 기준_안동전통문화콘텐츠박물관전시영상물구축(전시시설물)_원가보고서(흑색)-조달" xfId="570"/>
    <cellStyle name="_000-용호고(최종)_1_00-미점-정서간도로확.포장공사-12-17일 기준_원가계산서(화성상록)" xfId="571"/>
    <cellStyle name="_000-용호고(최종)_1_00-미점-정서간도로확.포장공사-12-17일 기준_원가계산서(화성상록) (version 1)" xfId="572"/>
    <cellStyle name="_000-용호고(최종)_1_00-미점-정서간도로확.포장공사-12-17일 기준_원가계산서(화성상록) (version 1)_원가보고서(종합)-조달" xfId="573"/>
    <cellStyle name="_000-용호고(최종)_1_00-미점-정서간도로확.포장공사-12-17일 기준_원가계산서(화성상록) (version 1)_원가보고서(흑색)-조달" xfId="574"/>
    <cellStyle name="_000-용호고(최종)_1_00-미점-정서간도로확.포장공사-12-17일 기준_원가계산서(화성상록)_원가보고서(종합)-조달" xfId="575"/>
    <cellStyle name="_000-용호고(최종)_1_00-미점-정서간도로확.포장공사-12-17일 기준_원가계산서(화성상록)_원가보고서(흑색)-조달" xfId="576"/>
    <cellStyle name="_000-용호고(최종)_1_01-미점-정서간도로확.포장공사" xfId="577"/>
    <cellStyle name="_000-용호고(최종)_1_01-미점-정서간도로확.포장공사_2004년 완선공사(최종본)" xfId="578"/>
    <cellStyle name="_000-용호고(최종)_1_01-미점-정서간도로확.포장공사_안동전통문화콘텐츠박물관전시영상물구축(전시시설물)" xfId="579"/>
    <cellStyle name="_000-용호고(최종)_1_01-미점-정서간도로확.포장공사_안동전통문화콘텐츠박물관전시영상물구축(전시시설물)_원가보고서(종합)-조달" xfId="580"/>
    <cellStyle name="_000-용호고(최종)_1_01-미점-정서간도로확.포장공사_안동전통문화콘텐츠박물관전시영상물구축(전시시설물)_원가보고서(흑색)-조달" xfId="581"/>
    <cellStyle name="_000-용호고(최종)_1_01-미점-정서간도로확.포장공사_원가계산서(화성상록)" xfId="582"/>
    <cellStyle name="_000-용호고(최종)_1_01-미점-정서간도로확.포장공사_원가계산서(화성상록) (version 1)" xfId="583"/>
    <cellStyle name="_000-용호고(최종)_1_01-미점-정서간도로확.포장공사_원가계산서(화성상록) (version 1)_원가보고서(종합)-조달" xfId="584"/>
    <cellStyle name="_000-용호고(최종)_1_01-미점-정서간도로확.포장공사_원가계산서(화성상록) (version 1)_원가보고서(흑색)-조달" xfId="585"/>
    <cellStyle name="_000-용호고(최종)_1_01-미점-정서간도로확.포장공사_원가계산서(화성상록)_원가보고서(종합)-조달" xfId="586"/>
    <cellStyle name="_000-용호고(최종)_1_01-미점-정서간도로확.포장공사_원가계산서(화성상록)_원가보고서(흑색)-조달" xfId="587"/>
    <cellStyle name="_000-용호고(최종)_1_2004년 완선공사(최종본)" xfId="588"/>
    <cellStyle name="_000-용호고(최종)_1_안동전통문화콘텐츠박물관전시영상물구축(전시시설물)" xfId="589"/>
    <cellStyle name="_000-용호고(최종)_1_안동전통문화콘텐츠박물관전시영상물구축(전시시설물)_원가보고서(종합)-조달" xfId="590"/>
    <cellStyle name="_000-용호고(최종)_1_안동전통문화콘텐츠박물관전시영상물구축(전시시설물)_원가보고서(흑색)-조달" xfId="591"/>
    <cellStyle name="_000-용호고(최종)_1_원가계산서(화성상록)" xfId="592"/>
    <cellStyle name="_000-용호고(최종)_1_원가계산서(화성상록) (version 1)" xfId="593"/>
    <cellStyle name="_000-용호고(최종)_1_원가계산서(화성상록) (version 1)_원가보고서(종합)-조달" xfId="594"/>
    <cellStyle name="_000-용호고(최종)_1_원가계산서(화성상록) (version 1)_원가보고서(흑색)-조달" xfId="595"/>
    <cellStyle name="_000-용호고(최종)_1_원가계산서(화성상록)_원가보고서(종합)-조달" xfId="596"/>
    <cellStyle name="_000-용호고(최종)_1_원가계산서(화성상록)_원가보고서(흑색)-조달" xfId="597"/>
    <cellStyle name="_000-용호고(최종)_2004년 완선공사(최종본)" xfId="598"/>
    <cellStyle name="_000-용호고(최종)_안동전통문화콘텐츠박물관전시영상물구축(전시시설물)" xfId="599"/>
    <cellStyle name="_000-용호고(최종)_안동전통문화콘텐츠박물관전시영상물구축(전시시설물)_원가보고서(종합)-조달" xfId="600"/>
    <cellStyle name="_000-용호고(최종)_안동전통문화콘텐츠박물관전시영상물구축(전시시설물)_원가보고서(흑색)-조달" xfId="601"/>
    <cellStyle name="_000-용호고(최종)_원가계산서(화성상록)" xfId="602"/>
    <cellStyle name="_000-용호고(최종)_원가계산서(화성상록) (version 1)" xfId="603"/>
    <cellStyle name="_000-용호고(최종)_원가계산서(화성상록) (version 1)_원가보고서(종합)-조달" xfId="604"/>
    <cellStyle name="_000-용호고(최종)_원가계산서(화성상록) (version 1)_원가보고서(흑색)-조달" xfId="605"/>
    <cellStyle name="_000-용호고(최종)_원가계산서(화성상록)_원가보고서(종합)-조달" xfId="606"/>
    <cellStyle name="_000-용호고(최종)_원가계산서(화성상록)_원가보고서(흑색)-조달" xfId="607"/>
    <cellStyle name="_001_교통영향평가" xfId="608"/>
    <cellStyle name="_001_지형측량(항공)" xfId="609"/>
    <cellStyle name="_004 - 환경기초 민간위탁(공동오수-개별오수-하수관로) " xfId="610"/>
    <cellStyle name="_004 - 환경기초 민간위탁(공동오수-개별오수-하수관로) _1-(금액상승)변경-아치텐트-PVDF-(3mx3mx2.5m)" xfId="611"/>
    <cellStyle name="_004 - 환경기초 민간위탁(공동오수-개별오수-하수관로) _1-(금액상승)변경-아치텐트-PVDF-(3mx3mx2.5m)_(조폐공사발송) 약품처리시설" xfId="612"/>
    <cellStyle name="_004 - 환경기초 민간위탁(공동오수-개별오수-하수관로) _1-(금액상승)변경-아치텐트-PVDF-(3mx3mx2.5m)_(조폐공사발송) 약품처리시설_2004년 완선공사(최종본)" xfId="613"/>
    <cellStyle name="_004 - 환경기초 민간위탁(공동오수-개별오수-하수관로) _1-(금액상승)변경-아치텐트-PVDF-(3mx3mx2.5m)_(조폐공사발송) 약품처리시설_안동전통문화콘텐츠박물관전시영상물구축(전시시설물)" xfId="614"/>
    <cellStyle name="_004 - 환경기초 민간위탁(공동오수-개별오수-하수관로) _1-(금액상승)변경-아치텐트-PVDF-(3mx3mx2.5m)_(조폐공사발송) 약품처리시설_안동전통문화콘텐츠박물관전시영상물구축(전시시설물)_원가보고서(종합)-조달" xfId="615"/>
    <cellStyle name="_004 - 환경기초 민간위탁(공동오수-개별오수-하수관로) _1-(금액상승)변경-아치텐트-PVDF-(3mx3mx2.5m)_(조폐공사발송) 약품처리시설_안동전통문화콘텐츠박물관전시영상물구축(전시시설물)_원가보고서(흑색)-조달" xfId="616"/>
    <cellStyle name="_004 - 환경기초 민간위탁(공동오수-개별오수-하수관로) _1-(금액상승)변경-아치텐트-PVDF-(3mx3mx2.5m)_(조폐공사발송) 약품처리시설_원가계산서(화성상록)" xfId="617"/>
    <cellStyle name="_004 - 환경기초 민간위탁(공동오수-개별오수-하수관로) _1-(금액상승)변경-아치텐트-PVDF-(3mx3mx2.5m)_(조폐공사발송) 약품처리시설_원가계산서(화성상록) (version 1)" xfId="618"/>
    <cellStyle name="_004 - 환경기초 민간위탁(공동오수-개별오수-하수관로) _1-(금액상승)변경-아치텐트-PVDF-(3mx3mx2.5m)_(조폐공사발송) 약품처리시설_원가계산서(화성상록) (version 1)_원가보고서(종합)-조달" xfId="619"/>
    <cellStyle name="_004 - 환경기초 민간위탁(공동오수-개별오수-하수관로) _1-(금액상승)변경-아치텐트-PVDF-(3mx3mx2.5m)_(조폐공사발송) 약품처리시설_원가계산서(화성상록) (version 1)_원가보고서(흑색)-조달" xfId="620"/>
    <cellStyle name="_004 - 환경기초 민간위탁(공동오수-개별오수-하수관로) _1-(금액상승)변경-아치텐트-PVDF-(3mx3mx2.5m)_(조폐공사발송) 약품처리시설_원가계산서(화성상록)_원가보고서(종합)-조달" xfId="621"/>
    <cellStyle name="_004 - 환경기초 민간위탁(공동오수-개별오수-하수관로) _1-(금액상승)변경-아치텐트-PVDF-(3mx3mx2.5m)_(조폐공사발송) 약품처리시설_원가계산서(화성상록)_원가보고서(흑색)-조달" xfId="622"/>
    <cellStyle name="_004 - 환경기초 민간위탁(공동오수-개별오수-하수관로) _1-(금액상승)변경-아치텐트-PVDF-(3mx3mx2.5m)_2004년 완선공사(최종본)" xfId="623"/>
    <cellStyle name="_004 - 환경기초 민간위탁(공동오수-개별오수-하수관로) _1-(금액상승)변경-아치텐트-PVDF-(3mx3mx2.5m)_안동전통문화콘텐츠박물관전시영상물구축(전시시설물)" xfId="624"/>
    <cellStyle name="_004 - 환경기초 민간위탁(공동오수-개별오수-하수관로) _1-(금액상승)변경-아치텐트-PVDF-(3mx3mx2.5m)_안동전통문화콘텐츠박물관전시영상물구축(전시시설물)_원가보고서(종합)-조달" xfId="625"/>
    <cellStyle name="_004 - 환경기초 민간위탁(공동오수-개별오수-하수관로) _1-(금액상승)변경-아치텐트-PVDF-(3mx3mx2.5m)_안동전통문화콘텐츠박물관전시영상물구축(전시시설물)_원가보고서(흑색)-조달" xfId="626"/>
    <cellStyle name="_004 - 환경기초 민간위탁(공동오수-개별오수-하수관로) _1-(금액상승)변경-아치텐트-PVDF-(3mx3mx2.5m)_원가계산서(화성상록)" xfId="627"/>
    <cellStyle name="_004 - 환경기초 민간위탁(공동오수-개별오수-하수관로) _1-(금액상승)변경-아치텐트-PVDF-(3mx3mx2.5m)_원가계산서(화성상록) (version 1)" xfId="628"/>
    <cellStyle name="_004 - 환경기초 민간위탁(공동오수-개별오수-하수관로) _1-(금액상승)변경-아치텐트-PVDF-(3mx3mx2.5m)_원가계산서(화성상록) (version 1)_원가보고서(종합)-조달" xfId="629"/>
    <cellStyle name="_004 - 환경기초 민간위탁(공동오수-개별오수-하수관로) _1-(금액상승)변경-아치텐트-PVDF-(3mx3mx2.5m)_원가계산서(화성상록) (version 1)_원가보고서(흑색)-조달" xfId="630"/>
    <cellStyle name="_004 - 환경기초 민간위탁(공동오수-개별오수-하수관로) _1-(금액상승)변경-아치텐트-PVDF-(3mx3mx2.5m)_원가계산서(화성상록)_원가보고서(종합)-조달" xfId="631"/>
    <cellStyle name="_004 - 환경기초 민간위탁(공동오수-개별오수-하수관로) _1-(금액상승)변경-아치텐트-PVDF-(3mx3mx2.5m)_원가계산서(화성상록)_원가보고서(흑색)-조달" xfId="632"/>
    <cellStyle name="_004 - 환경기초 민간위탁(공동오수-개별오수-하수관로) _1.컴퓨터용 책상" xfId="633"/>
    <cellStyle name="_004 - 환경기초 민간위탁(공동오수-개별오수-하수관로) _1.컴퓨터용 책상_2004년 완선공사(최종본)" xfId="634"/>
    <cellStyle name="_004 - 환경기초 민간위탁(공동오수-개별오수-하수관로) _1.컴퓨터용 책상_안동전통문화콘텐츠박물관전시영상물구축(전시시설물)" xfId="635"/>
    <cellStyle name="_004 - 환경기초 민간위탁(공동오수-개별오수-하수관로) _1.컴퓨터용 책상_안동전통문화콘텐츠박물관전시영상물구축(전시시설물)_원가보고서(종합)-조달" xfId="636"/>
    <cellStyle name="_004 - 환경기초 민간위탁(공동오수-개별오수-하수관로) _1.컴퓨터용 책상_안동전통문화콘텐츠박물관전시영상물구축(전시시설물)_원가보고서(흑색)-조달" xfId="637"/>
    <cellStyle name="_004 - 환경기초 민간위탁(공동오수-개별오수-하수관로) _1.컴퓨터용 책상_원가계산서(화성상록)" xfId="638"/>
    <cellStyle name="_004 - 환경기초 민간위탁(공동오수-개별오수-하수관로) _1.컴퓨터용 책상_원가계산서(화성상록) (version 1)" xfId="639"/>
    <cellStyle name="_004 - 환경기초 민간위탁(공동오수-개별오수-하수관로) _1.컴퓨터용 책상_원가계산서(화성상록) (version 1)_원가보고서(종합)-조달" xfId="640"/>
    <cellStyle name="_004 - 환경기초 민간위탁(공동오수-개별오수-하수관로) _1.컴퓨터용 책상_원가계산서(화성상록) (version 1)_원가보고서(흑색)-조달" xfId="641"/>
    <cellStyle name="_004 - 환경기초 민간위탁(공동오수-개별오수-하수관로) _1.컴퓨터용 책상_원가계산서(화성상록)_원가보고서(종합)-조달" xfId="642"/>
    <cellStyle name="_004 - 환경기초 민간위탁(공동오수-개별오수-하수관로) _1.컴퓨터용 책상_원가계산서(화성상록)_원가보고서(흑색)-조달" xfId="643"/>
    <cellStyle name="_004 - 환경기초 민간위탁(공동오수-개별오수-하수관로) _2004년 완선공사(최종본)" xfId="644"/>
    <cellStyle name="_004 - 환경기초 민간위탁(공동오수-개별오수-하수관로) _발안천교(수정)" xfId="645"/>
    <cellStyle name="_004 - 환경기초 민간위탁(공동오수-개별오수-하수관로) _안동전통문화콘텐츠박물관전시영상물구축(전시시설물)" xfId="646"/>
    <cellStyle name="_004 - 환경기초 민간위탁(공동오수-개별오수-하수관로) _안동전통문화콘텐츠박물관전시영상물구축(전시시설물)_원가보고서(종합)-조달" xfId="647"/>
    <cellStyle name="_004 - 환경기초 민간위탁(공동오수-개별오수-하수관로) _안동전통문화콘텐츠박물관전시영상물구축(전시시설물)_원가보고서(흑색)-조달" xfId="648"/>
    <cellStyle name="_004 - 환경기초 민간위탁(공동오수-개별오수-하수관로) _원가계산서(화성상록)" xfId="649"/>
    <cellStyle name="_004 - 환경기초 민간위탁(공동오수-개별오수-하수관로) _원가계산서(화성상록) (version 1)" xfId="650"/>
    <cellStyle name="_004 - 환경기초 민간위탁(공동오수-개별오수-하수관로) _원가계산서(화성상록) (version 1)_원가보고서(종합)-조달" xfId="651"/>
    <cellStyle name="_004 - 환경기초 민간위탁(공동오수-개별오수-하수관로) _원가계산서(화성상록) (version 1)_원가보고서(흑색)-조달" xfId="652"/>
    <cellStyle name="_004 - 환경기초 민간위탁(공동오수-개별오수-하수관로) _원가계산서(화성상록)_원가보고서(종합)-조달" xfId="653"/>
    <cellStyle name="_004 - 환경기초 민간위탁(공동오수-개별오수-하수관로) _원가계산서(화성상록)_원가보고서(흑색)-조달" xfId="654"/>
    <cellStyle name="_004 - 환경기초 민간위탁(공동오수-개별오수-하수관로) _초지기 2라인 광택시설 보완" xfId="655"/>
    <cellStyle name="_004 - 환경기초 민간위탁(공동오수-개별오수-하수관로) _초지기 2라인 광택시설 보완_2004년 완선공사(최종본)" xfId="656"/>
    <cellStyle name="_004 - 환경기초 민간위탁(공동오수-개별오수-하수관로) _초지기 2라인 광택시설 보완_안동전통문화콘텐츠박물관전시영상물구축(전시시설물)" xfId="657"/>
    <cellStyle name="_004 - 환경기초 민간위탁(공동오수-개별오수-하수관로) _초지기 2라인 광택시설 보완_안동전통문화콘텐츠박물관전시영상물구축(전시시설물)_원가보고서(종합)-조달" xfId="658"/>
    <cellStyle name="_004 - 환경기초 민간위탁(공동오수-개별오수-하수관로) _초지기 2라인 광택시설 보완_안동전통문화콘텐츠박물관전시영상물구축(전시시설물)_원가보고서(흑색)-조달" xfId="659"/>
    <cellStyle name="_004 - 환경기초 민간위탁(공동오수-개별오수-하수관로) _초지기 2라인 광택시설 보완_원가계산서(화성상록)" xfId="660"/>
    <cellStyle name="_004 - 환경기초 민간위탁(공동오수-개별오수-하수관로) _초지기 2라인 광택시설 보완_원가계산서(화성상록) (version 1)" xfId="661"/>
    <cellStyle name="_004 - 환경기초 민간위탁(공동오수-개별오수-하수관로) _초지기 2라인 광택시설 보완_원가계산서(화성상록) (version 1)_원가보고서(종합)-조달" xfId="662"/>
    <cellStyle name="_004 - 환경기초 민간위탁(공동오수-개별오수-하수관로) _초지기 2라인 광택시설 보완_원가계산서(화성상록) (version 1)_원가보고서(흑색)-조달" xfId="663"/>
    <cellStyle name="_004 - 환경기초 민간위탁(공동오수-개별오수-하수관로) _초지기 2라인 광택시설 보완_원가계산서(화성상록)_원가보고서(종합)-조달" xfId="664"/>
    <cellStyle name="_004 - 환경기초 민간위탁(공동오수-개별오수-하수관로) _초지기 2라인 광택시설 보완_원가계산서(화성상록)_원가보고서(흑색)-조달" xfId="665"/>
    <cellStyle name="_009_사전재해영향성검토" xfId="666"/>
    <cellStyle name="_00관광지내역서(계획,설계)" xfId="667"/>
    <cellStyle name="_00납골시설용역비산출-시설결정" xfId="668"/>
    <cellStyle name="_00-내역서(명진초등학교)" xfId="669"/>
    <cellStyle name="_00-내역서(명진초등학교)_000-용호고(최종)" xfId="670"/>
    <cellStyle name="_00-내역서(명진초등학교)_000-용호고(최종)_00-명동-삼포간 해안관광도로" xfId="671"/>
    <cellStyle name="_00-내역서(명진초등학교)_000-용호고(최종)_00-명동-삼포간 해안관광도로_2004년 완선공사(최종본)" xfId="672"/>
    <cellStyle name="_00-내역서(명진초등학교)_000-용호고(최종)_00-명동-삼포간 해안관광도로_안동전통문화콘텐츠박물관전시영상물구축(전시시설물)" xfId="673"/>
    <cellStyle name="_00-내역서(명진초등학교)_000-용호고(최종)_00-명동-삼포간 해안관광도로_안동전통문화콘텐츠박물관전시영상물구축(전시시설물)_원가보고서(종합)-조달" xfId="674"/>
    <cellStyle name="_00-내역서(명진초등학교)_000-용호고(최종)_00-명동-삼포간 해안관광도로_안동전통문화콘텐츠박물관전시영상물구축(전시시설물)_원가보고서(흑색)-조달" xfId="675"/>
    <cellStyle name="_00-내역서(명진초등학교)_000-용호고(최종)_00-명동-삼포간 해안관광도로_원가계산서(화성상록)" xfId="676"/>
    <cellStyle name="_00-내역서(명진초등학교)_000-용호고(최종)_00-명동-삼포간 해안관광도로_원가계산서(화성상록) (version 1)" xfId="677"/>
    <cellStyle name="_00-내역서(명진초등학교)_000-용호고(최종)_00-명동-삼포간 해안관광도로_원가계산서(화성상록) (version 1)_원가보고서(종합)-조달" xfId="678"/>
    <cellStyle name="_00-내역서(명진초등학교)_000-용호고(최종)_00-명동-삼포간 해안관광도로_원가계산서(화성상록) (version 1)_원가보고서(흑색)-조달" xfId="679"/>
    <cellStyle name="_00-내역서(명진초등학교)_000-용호고(최종)_00-명동-삼포간 해안관광도로_원가계산서(화성상록)_원가보고서(종합)-조달" xfId="680"/>
    <cellStyle name="_00-내역서(명진초등학교)_000-용호고(최종)_00-명동-삼포간 해안관광도로_원가계산서(화성상록)_원가보고서(흑색)-조달" xfId="681"/>
    <cellStyle name="_00-내역서(명진초등학교)_000-용호고(최종)_00-미점-정서간도로확.포장공사(서)-12-14" xfId="682"/>
    <cellStyle name="_00-내역서(명진초등학교)_000-용호고(최종)_00-미점-정서간도로확.포장공사(서)-12-14_2004년 완선공사(최종본)" xfId="683"/>
    <cellStyle name="_00-내역서(명진초등학교)_000-용호고(최종)_00-미점-정서간도로확.포장공사(서)-12-14_안동전통문화콘텐츠박물관전시영상물구축(전시시설물)" xfId="684"/>
    <cellStyle name="_00-내역서(명진초등학교)_000-용호고(최종)_00-미점-정서간도로확.포장공사(서)-12-14_안동전통문화콘텐츠박물관전시영상물구축(전시시설물)_원가보고서(종합)-조달" xfId="685"/>
    <cellStyle name="_00-내역서(명진초등학교)_000-용호고(최종)_00-미점-정서간도로확.포장공사(서)-12-14_안동전통문화콘텐츠박물관전시영상물구축(전시시설물)_원가보고서(흑색)-조달" xfId="686"/>
    <cellStyle name="_00-내역서(명진초등학교)_000-용호고(최종)_00-미점-정서간도로확.포장공사(서)-12-14_원가계산서(화성상록)" xfId="687"/>
    <cellStyle name="_00-내역서(명진초등학교)_000-용호고(최종)_00-미점-정서간도로확.포장공사(서)-12-14_원가계산서(화성상록) (version 1)" xfId="688"/>
    <cellStyle name="_00-내역서(명진초등학교)_000-용호고(최종)_00-미점-정서간도로확.포장공사(서)-12-14_원가계산서(화성상록) (version 1)_원가보고서(종합)-조달" xfId="689"/>
    <cellStyle name="_00-내역서(명진초등학교)_000-용호고(최종)_00-미점-정서간도로확.포장공사(서)-12-14_원가계산서(화성상록) (version 1)_원가보고서(흑색)-조달" xfId="690"/>
    <cellStyle name="_00-내역서(명진초등학교)_000-용호고(최종)_00-미점-정서간도로확.포장공사(서)-12-14_원가계산서(화성상록)_원가보고서(종합)-조달" xfId="691"/>
    <cellStyle name="_00-내역서(명진초등학교)_000-용호고(최종)_00-미점-정서간도로확.포장공사(서)-12-14_원가계산서(화성상록)_원가보고서(흑색)-조달" xfId="692"/>
    <cellStyle name="_00-내역서(명진초등학교)_000-용호고(최종)_00-미점-정서간도로확.포장공사-12-17일 기준" xfId="693"/>
    <cellStyle name="_00-내역서(명진초등학교)_000-용호고(최종)_00-미점-정서간도로확.포장공사-12-17일 기준_2004년 완선공사(최종본)" xfId="694"/>
    <cellStyle name="_00-내역서(명진초등학교)_000-용호고(최종)_00-미점-정서간도로확.포장공사-12-17일 기준_안동전통문화콘텐츠박물관전시영상물구축(전시시설물)" xfId="695"/>
    <cellStyle name="_00-내역서(명진초등학교)_000-용호고(최종)_00-미점-정서간도로확.포장공사-12-17일 기준_안동전통문화콘텐츠박물관전시영상물구축(전시시설물)_원가보고서(종합)-조달" xfId="696"/>
    <cellStyle name="_00-내역서(명진초등학교)_000-용호고(최종)_00-미점-정서간도로확.포장공사-12-17일 기준_안동전통문화콘텐츠박물관전시영상물구축(전시시설물)_원가보고서(흑색)-조달" xfId="697"/>
    <cellStyle name="_00-내역서(명진초등학교)_000-용호고(최종)_00-미점-정서간도로확.포장공사-12-17일 기준_원가계산서(화성상록)" xfId="698"/>
    <cellStyle name="_00-내역서(명진초등학교)_000-용호고(최종)_00-미점-정서간도로확.포장공사-12-17일 기준_원가계산서(화성상록) (version 1)" xfId="699"/>
    <cellStyle name="_00-내역서(명진초등학교)_000-용호고(최종)_00-미점-정서간도로확.포장공사-12-17일 기준_원가계산서(화성상록) (version 1)_원가보고서(종합)-조달" xfId="700"/>
    <cellStyle name="_00-내역서(명진초등학교)_000-용호고(최종)_00-미점-정서간도로확.포장공사-12-17일 기준_원가계산서(화성상록) (version 1)_원가보고서(흑색)-조달" xfId="701"/>
    <cellStyle name="_00-내역서(명진초등학교)_000-용호고(최종)_00-미점-정서간도로확.포장공사-12-17일 기준_원가계산서(화성상록)_원가보고서(종합)-조달" xfId="702"/>
    <cellStyle name="_00-내역서(명진초등학교)_000-용호고(최종)_00-미점-정서간도로확.포장공사-12-17일 기준_원가계산서(화성상록)_원가보고서(흑색)-조달" xfId="703"/>
    <cellStyle name="_00-내역서(명진초등학교)_000-용호고(최종)_01-미점-정서간도로확.포장공사" xfId="704"/>
    <cellStyle name="_00-내역서(명진초등학교)_000-용호고(최종)_01-미점-정서간도로확.포장공사_2004년 완선공사(최종본)" xfId="705"/>
    <cellStyle name="_00-내역서(명진초등학교)_000-용호고(최종)_01-미점-정서간도로확.포장공사_안동전통문화콘텐츠박물관전시영상물구축(전시시설물)" xfId="706"/>
    <cellStyle name="_00-내역서(명진초등학교)_000-용호고(최종)_01-미점-정서간도로확.포장공사_안동전통문화콘텐츠박물관전시영상물구축(전시시설물)_원가보고서(종합)-조달" xfId="707"/>
    <cellStyle name="_00-내역서(명진초등학교)_000-용호고(최종)_01-미점-정서간도로확.포장공사_안동전통문화콘텐츠박물관전시영상물구축(전시시설물)_원가보고서(흑색)-조달" xfId="708"/>
    <cellStyle name="_00-내역서(명진초등학교)_000-용호고(최종)_01-미점-정서간도로확.포장공사_원가계산서(화성상록)" xfId="709"/>
    <cellStyle name="_00-내역서(명진초등학교)_000-용호고(최종)_01-미점-정서간도로확.포장공사_원가계산서(화성상록) (version 1)" xfId="710"/>
    <cellStyle name="_00-내역서(명진초등학교)_000-용호고(최종)_01-미점-정서간도로확.포장공사_원가계산서(화성상록) (version 1)_원가보고서(종합)-조달" xfId="711"/>
    <cellStyle name="_00-내역서(명진초등학교)_000-용호고(최종)_01-미점-정서간도로확.포장공사_원가계산서(화성상록) (version 1)_원가보고서(흑색)-조달" xfId="712"/>
    <cellStyle name="_00-내역서(명진초등학교)_000-용호고(최종)_01-미점-정서간도로확.포장공사_원가계산서(화성상록)_원가보고서(종합)-조달" xfId="713"/>
    <cellStyle name="_00-내역서(명진초등학교)_000-용호고(최종)_01-미점-정서간도로확.포장공사_원가계산서(화성상록)_원가보고서(흑색)-조달" xfId="714"/>
    <cellStyle name="_00-내역서(명진초등학교)_000-용호고(최종)_2004년 완선공사(최종본)" xfId="715"/>
    <cellStyle name="_00-내역서(명진초등학교)_000-용호고(최종)_안동전통문화콘텐츠박물관전시영상물구축(전시시설물)" xfId="716"/>
    <cellStyle name="_00-내역서(명진초등학교)_000-용호고(최종)_안동전통문화콘텐츠박물관전시영상물구축(전시시설물)_원가보고서(종합)-조달" xfId="717"/>
    <cellStyle name="_00-내역서(명진초등학교)_000-용호고(최종)_안동전통문화콘텐츠박물관전시영상물구축(전시시설물)_원가보고서(흑색)-조달" xfId="718"/>
    <cellStyle name="_00-내역서(명진초등학교)_000-용호고(최종)_원가계산서(화성상록)" xfId="719"/>
    <cellStyle name="_00-내역서(명진초등학교)_000-용호고(최종)_원가계산서(화성상록) (version 1)" xfId="720"/>
    <cellStyle name="_00-내역서(명진초등학교)_000-용호고(최종)_원가계산서(화성상록) (version 1)_원가보고서(종합)-조달" xfId="721"/>
    <cellStyle name="_00-내역서(명진초등학교)_000-용호고(최종)_원가계산서(화성상록) (version 1)_원가보고서(흑색)-조달" xfId="722"/>
    <cellStyle name="_00-내역서(명진초등학교)_000-용호고(최종)_원가계산서(화성상록)_원가보고서(종합)-조달" xfId="723"/>
    <cellStyle name="_00-내역서(명진초등학교)_000-용호고(최종)_원가계산서(화성상록)_원가보고서(흑색)-조달" xfId="724"/>
    <cellStyle name="_00-내역서(명진초등학교)_2004년 완선공사(최종본)" xfId="725"/>
    <cellStyle name="_00-내역서(명진초등학교)_안동전통문화콘텐츠박물관전시영상물구축(전시시설물)" xfId="726"/>
    <cellStyle name="_00-내역서(명진초등학교)_안동전통문화콘텐츠박물관전시영상물구축(전시시설물)_원가보고서(종합)-조달" xfId="727"/>
    <cellStyle name="_00-내역서(명진초등학교)_안동전통문화콘텐츠박물관전시영상물구축(전시시설물)_원가보고서(흑색)-조달" xfId="728"/>
    <cellStyle name="_00-내역서(명진초등학교)_원가계산서(화성상록)" xfId="729"/>
    <cellStyle name="_00-내역서(명진초등학교)_원가계산서(화성상록) (version 1)" xfId="730"/>
    <cellStyle name="_00-내역서(명진초등학교)_원가계산서(화성상록) (version 1)_원가보고서(종합)-조달" xfId="731"/>
    <cellStyle name="_00-내역서(명진초등학교)_원가계산서(화성상록) (version 1)_원가보고서(흑색)-조달" xfId="732"/>
    <cellStyle name="_00-내역서(명진초등학교)_원가계산서(화성상록)_원가보고서(종합)-조달" xfId="733"/>
    <cellStyle name="_00-내역서(명진초등학교)_원가계산서(화성상록)_원가보고서(흑색)-조달" xfId="734"/>
    <cellStyle name="_00-매암(최종완료)-02-10-24" xfId="735"/>
    <cellStyle name="_00-매암(최종완료)-02-10-24_000-용호고(최종)" xfId="736"/>
    <cellStyle name="_00-매암(최종완료)-02-10-24_000-용호고(최종)_00-명동-삼포간 해안관광도로" xfId="737"/>
    <cellStyle name="_00-매암(최종완료)-02-10-24_000-용호고(최종)_00-명동-삼포간 해안관광도로_2004년 완선공사(최종본)" xfId="738"/>
    <cellStyle name="_00-매암(최종완료)-02-10-24_000-용호고(최종)_00-명동-삼포간 해안관광도로_안동전통문화콘텐츠박물관전시영상물구축(전시시설물)" xfId="739"/>
    <cellStyle name="_00-매암(최종완료)-02-10-24_000-용호고(최종)_00-명동-삼포간 해안관광도로_안동전통문화콘텐츠박물관전시영상물구축(전시시설물)_원가보고서(종합)-조달" xfId="740"/>
    <cellStyle name="_00-매암(최종완료)-02-10-24_000-용호고(최종)_00-명동-삼포간 해안관광도로_안동전통문화콘텐츠박물관전시영상물구축(전시시설물)_원가보고서(흑색)-조달" xfId="741"/>
    <cellStyle name="_00-매암(최종완료)-02-10-24_000-용호고(최종)_00-명동-삼포간 해안관광도로_원가계산서(화성상록)" xfId="742"/>
    <cellStyle name="_00-매암(최종완료)-02-10-24_000-용호고(최종)_00-명동-삼포간 해안관광도로_원가계산서(화성상록) (version 1)" xfId="743"/>
    <cellStyle name="_00-매암(최종완료)-02-10-24_000-용호고(최종)_00-명동-삼포간 해안관광도로_원가계산서(화성상록) (version 1)_원가보고서(종합)-조달" xfId="744"/>
    <cellStyle name="_00-매암(최종완료)-02-10-24_000-용호고(최종)_00-명동-삼포간 해안관광도로_원가계산서(화성상록) (version 1)_원가보고서(흑색)-조달" xfId="745"/>
    <cellStyle name="_00-매암(최종완료)-02-10-24_000-용호고(최종)_00-명동-삼포간 해안관광도로_원가계산서(화성상록)_원가보고서(종합)-조달" xfId="746"/>
    <cellStyle name="_00-매암(최종완료)-02-10-24_000-용호고(최종)_00-명동-삼포간 해안관광도로_원가계산서(화성상록)_원가보고서(흑색)-조달" xfId="747"/>
    <cellStyle name="_00-매암(최종완료)-02-10-24_000-용호고(최종)_00-미점-정서간도로확.포장공사(서)-12-14" xfId="748"/>
    <cellStyle name="_00-매암(최종완료)-02-10-24_000-용호고(최종)_00-미점-정서간도로확.포장공사(서)-12-14_2004년 완선공사(최종본)" xfId="749"/>
    <cellStyle name="_00-매암(최종완료)-02-10-24_000-용호고(최종)_00-미점-정서간도로확.포장공사(서)-12-14_안동전통문화콘텐츠박물관전시영상물구축(전시시설물)" xfId="750"/>
    <cellStyle name="_00-매암(최종완료)-02-10-24_000-용호고(최종)_00-미점-정서간도로확.포장공사(서)-12-14_안동전통문화콘텐츠박물관전시영상물구축(전시시설물)_원가보고서(종합)-조달" xfId="751"/>
    <cellStyle name="_00-매암(최종완료)-02-10-24_000-용호고(최종)_00-미점-정서간도로확.포장공사(서)-12-14_안동전통문화콘텐츠박물관전시영상물구축(전시시설물)_원가보고서(흑색)-조달" xfId="752"/>
    <cellStyle name="_00-매암(최종완료)-02-10-24_000-용호고(최종)_00-미점-정서간도로확.포장공사(서)-12-14_원가계산서(화성상록)" xfId="753"/>
    <cellStyle name="_00-매암(최종완료)-02-10-24_000-용호고(최종)_00-미점-정서간도로확.포장공사(서)-12-14_원가계산서(화성상록) (version 1)" xfId="754"/>
    <cellStyle name="_00-매암(최종완료)-02-10-24_000-용호고(최종)_00-미점-정서간도로확.포장공사(서)-12-14_원가계산서(화성상록) (version 1)_원가보고서(종합)-조달" xfId="755"/>
    <cellStyle name="_00-매암(최종완료)-02-10-24_000-용호고(최종)_00-미점-정서간도로확.포장공사(서)-12-14_원가계산서(화성상록) (version 1)_원가보고서(흑색)-조달" xfId="756"/>
    <cellStyle name="_00-매암(최종완료)-02-10-24_000-용호고(최종)_00-미점-정서간도로확.포장공사(서)-12-14_원가계산서(화성상록)_원가보고서(종합)-조달" xfId="757"/>
    <cellStyle name="_00-매암(최종완료)-02-10-24_000-용호고(최종)_00-미점-정서간도로확.포장공사(서)-12-14_원가계산서(화성상록)_원가보고서(흑색)-조달" xfId="758"/>
    <cellStyle name="_00-매암(최종완료)-02-10-24_000-용호고(최종)_00-미점-정서간도로확.포장공사-12-17일 기준" xfId="759"/>
    <cellStyle name="_00-매암(최종완료)-02-10-24_000-용호고(최종)_00-미점-정서간도로확.포장공사-12-17일 기준_2004년 완선공사(최종본)" xfId="760"/>
    <cellStyle name="_00-매암(최종완료)-02-10-24_000-용호고(최종)_00-미점-정서간도로확.포장공사-12-17일 기준_안동전통문화콘텐츠박물관전시영상물구축(전시시설물)" xfId="761"/>
    <cellStyle name="_00-매암(최종완료)-02-10-24_000-용호고(최종)_00-미점-정서간도로확.포장공사-12-17일 기준_안동전통문화콘텐츠박물관전시영상물구축(전시시설물)_원가보고서(종합)-조달" xfId="762"/>
    <cellStyle name="_00-매암(최종완료)-02-10-24_000-용호고(최종)_00-미점-정서간도로확.포장공사-12-17일 기준_안동전통문화콘텐츠박물관전시영상물구축(전시시설물)_원가보고서(흑색)-조달" xfId="763"/>
    <cellStyle name="_00-매암(최종완료)-02-10-24_000-용호고(최종)_00-미점-정서간도로확.포장공사-12-17일 기준_원가계산서(화성상록)" xfId="764"/>
    <cellStyle name="_00-매암(최종완료)-02-10-24_000-용호고(최종)_00-미점-정서간도로확.포장공사-12-17일 기준_원가계산서(화성상록) (version 1)" xfId="765"/>
    <cellStyle name="_00-매암(최종완료)-02-10-24_000-용호고(최종)_00-미점-정서간도로확.포장공사-12-17일 기준_원가계산서(화성상록) (version 1)_원가보고서(종합)-조달" xfId="766"/>
    <cellStyle name="_00-매암(최종완료)-02-10-24_000-용호고(최종)_00-미점-정서간도로확.포장공사-12-17일 기준_원가계산서(화성상록) (version 1)_원가보고서(흑색)-조달" xfId="767"/>
    <cellStyle name="_00-매암(최종완료)-02-10-24_000-용호고(최종)_00-미점-정서간도로확.포장공사-12-17일 기준_원가계산서(화성상록)_원가보고서(종합)-조달" xfId="768"/>
    <cellStyle name="_00-매암(최종완료)-02-10-24_000-용호고(최종)_00-미점-정서간도로확.포장공사-12-17일 기준_원가계산서(화성상록)_원가보고서(흑색)-조달" xfId="769"/>
    <cellStyle name="_00-매암(최종완료)-02-10-24_000-용호고(최종)_01-미점-정서간도로확.포장공사" xfId="770"/>
    <cellStyle name="_00-매암(최종완료)-02-10-24_000-용호고(최종)_01-미점-정서간도로확.포장공사_2004년 완선공사(최종본)" xfId="771"/>
    <cellStyle name="_00-매암(최종완료)-02-10-24_000-용호고(최종)_01-미점-정서간도로확.포장공사_안동전통문화콘텐츠박물관전시영상물구축(전시시설물)" xfId="772"/>
    <cellStyle name="_00-매암(최종완료)-02-10-24_000-용호고(최종)_01-미점-정서간도로확.포장공사_안동전통문화콘텐츠박물관전시영상물구축(전시시설물)_원가보고서(종합)-조달" xfId="773"/>
    <cellStyle name="_00-매암(최종완료)-02-10-24_000-용호고(최종)_01-미점-정서간도로확.포장공사_안동전통문화콘텐츠박물관전시영상물구축(전시시설물)_원가보고서(흑색)-조달" xfId="774"/>
    <cellStyle name="_00-매암(최종완료)-02-10-24_000-용호고(최종)_01-미점-정서간도로확.포장공사_원가계산서(화성상록)" xfId="775"/>
    <cellStyle name="_00-매암(최종완료)-02-10-24_000-용호고(최종)_01-미점-정서간도로확.포장공사_원가계산서(화성상록) (version 1)" xfId="776"/>
    <cellStyle name="_00-매암(최종완료)-02-10-24_000-용호고(최종)_01-미점-정서간도로확.포장공사_원가계산서(화성상록) (version 1)_원가보고서(종합)-조달" xfId="777"/>
    <cellStyle name="_00-매암(최종완료)-02-10-24_000-용호고(최종)_01-미점-정서간도로확.포장공사_원가계산서(화성상록) (version 1)_원가보고서(흑색)-조달" xfId="778"/>
    <cellStyle name="_00-매암(최종완료)-02-10-24_000-용호고(최종)_01-미점-정서간도로확.포장공사_원가계산서(화성상록)_원가보고서(종합)-조달" xfId="779"/>
    <cellStyle name="_00-매암(최종완료)-02-10-24_000-용호고(최종)_01-미점-정서간도로확.포장공사_원가계산서(화성상록)_원가보고서(흑색)-조달" xfId="780"/>
    <cellStyle name="_00-매암(최종완료)-02-10-24_000-용호고(최종)_2004년 완선공사(최종본)" xfId="781"/>
    <cellStyle name="_00-매암(최종완료)-02-10-24_000-용호고(최종)_안동전통문화콘텐츠박물관전시영상물구축(전시시설물)" xfId="782"/>
    <cellStyle name="_00-매암(최종완료)-02-10-24_000-용호고(최종)_안동전통문화콘텐츠박물관전시영상물구축(전시시설물)_원가보고서(종합)-조달" xfId="783"/>
    <cellStyle name="_00-매암(최종완료)-02-10-24_000-용호고(최종)_안동전통문화콘텐츠박물관전시영상물구축(전시시설물)_원가보고서(흑색)-조달" xfId="784"/>
    <cellStyle name="_00-매암(최종완료)-02-10-24_000-용호고(최종)_원가계산서(화성상록)" xfId="785"/>
    <cellStyle name="_00-매암(최종완료)-02-10-24_000-용호고(최종)_원가계산서(화성상록) (version 1)" xfId="786"/>
    <cellStyle name="_00-매암(최종완료)-02-10-24_000-용호고(최종)_원가계산서(화성상록) (version 1)_원가보고서(종합)-조달" xfId="787"/>
    <cellStyle name="_00-매암(최종완료)-02-10-24_000-용호고(최종)_원가계산서(화성상록) (version 1)_원가보고서(흑색)-조달" xfId="788"/>
    <cellStyle name="_00-매암(최종완료)-02-10-24_000-용호고(최종)_원가계산서(화성상록)_원가보고서(종합)-조달" xfId="789"/>
    <cellStyle name="_00-매암(최종완료)-02-10-24_000-용호고(최종)_원가계산서(화성상록)_원가보고서(흑색)-조달" xfId="790"/>
    <cellStyle name="_00-매암(최종완료)-02-10-24_2004년 완선공사(최종본)" xfId="791"/>
    <cellStyle name="_00-매암(최종완료)-02-10-24_안동전통문화콘텐츠박물관전시영상물구축(전시시설물)" xfId="792"/>
    <cellStyle name="_00-매암(최종완료)-02-10-24_안동전통문화콘텐츠박물관전시영상물구축(전시시설물)_원가보고서(종합)-조달" xfId="793"/>
    <cellStyle name="_00-매암(최종완료)-02-10-24_안동전통문화콘텐츠박물관전시영상물구축(전시시설물)_원가보고서(흑색)-조달" xfId="794"/>
    <cellStyle name="_00-매암(최종완료)-02-10-24_원가계산서(화성상록)" xfId="795"/>
    <cellStyle name="_00-매암(최종완료)-02-10-24_원가계산서(화성상록) (version 1)" xfId="796"/>
    <cellStyle name="_00-매암(최종완료)-02-10-24_원가계산서(화성상록) (version 1)_원가보고서(종합)-조달" xfId="797"/>
    <cellStyle name="_00-매암(최종완료)-02-10-24_원가계산서(화성상록) (version 1)_원가보고서(흑색)-조달" xfId="798"/>
    <cellStyle name="_00-매암(최종완료)-02-10-24_원가계산서(화성상록)_원가보고서(종합)-조달" xfId="799"/>
    <cellStyle name="_00-매암(최종완료)-02-10-24_원가계산서(화성상록)_원가보고서(흑색)-조달" xfId="800"/>
    <cellStyle name="_00시관리계획내역서1-2" xfId="801"/>
    <cellStyle name="_00시기본계획내역서1-1" xfId="802"/>
    <cellStyle name="_00-제적부 전산화사업 원가산출(최종)-334원" xfId="803"/>
    <cellStyle name="_00지구 일반산업단지 조성사업(50만평)" xfId="804"/>
    <cellStyle name="_01 실행(군장산단) Rev00" xfId="805"/>
    <cellStyle name="_01 실행(군장산단) Rev00_01 실행(부산남컨가호안109-원안분) REV04" xfId="806"/>
    <cellStyle name="_01 투찰(원안-최종)-050817작업" xfId="807"/>
    <cellStyle name="_01(1).산업단지개발계획" xfId="808"/>
    <cellStyle name="_01.견적서-강릉시청_한글과컴퓨터아시아눅스및워크데스크_유파트너_20070628" xfId="809"/>
    <cellStyle name="_01.산림항공관리본부-도시계획시설결정내역서(전체분)" xfId="810"/>
    <cellStyle name="_01.산업단지개발계획" xfId="811"/>
    <cellStyle name="_01.설계내역2" xfId="812"/>
    <cellStyle name="_01_지형현황측량(0.823㎢)" xfId="813"/>
    <cellStyle name="_0106-06-007 금속 및 수장공사 단가견적- 대림" xfId="814"/>
    <cellStyle name="_015_LGPOWER" xfId="815"/>
    <cellStyle name="_01구미레포츠용역비산출" xfId="816"/>
    <cellStyle name="_01토공" xfId="817"/>
    <cellStyle name="_01토공_01.설계내역2" xfId="818"/>
    <cellStyle name="_01토공_라멘교 토공" xfId="819"/>
    <cellStyle name="_01토공_라멘교 토공_01.설계내역2" xfId="820"/>
    <cellStyle name="_01토공_라멘교 토공_제2종지구단위계획_선바위관광지" xfId="821"/>
    <cellStyle name="_01토공_라멘교 토공_제2종지구단위계획_선바위관광지_20090609_영덕농공단지내역서" xfId="822"/>
    <cellStyle name="_01토공_라멘교 토공_제2종지구단위계획_선바위관광지_총괄내역서(090223)" xfId="823"/>
    <cellStyle name="_01토공_라멘교 토공_총괄내역서_도시관리계획결정(070907)_계약" xfId="824"/>
    <cellStyle name="_01토공_라멘교 토공_총괄내역서_타당성조사및도시관리계획결정(090115)" xfId="825"/>
    <cellStyle name="_01토공_라멘교 토공_총괄내역서_타당성조사및도시관리계획결정(090115)_20090609_영덕농공단지내역서" xfId="826"/>
    <cellStyle name="_01토공_라멘교 토공_총괄내역서_타당성조사및도시관리계획결정(090115)_총괄내역서(090223)" xfId="827"/>
    <cellStyle name="_01토공_제2종지구단위계획_선바위관광지" xfId="828"/>
    <cellStyle name="_01토공_제2종지구단위계획_선바위관광지_20090609_영덕농공단지내역서" xfId="829"/>
    <cellStyle name="_01토공_제2종지구단위계획_선바위관광지_총괄내역서(090223)" xfId="830"/>
    <cellStyle name="_01토공_철거" xfId="831"/>
    <cellStyle name="_01토공_철거_01.설계내역2" xfId="832"/>
    <cellStyle name="_01토공_철거_라멘교 토공" xfId="833"/>
    <cellStyle name="_01토공_철거_라멘교 토공_01.설계내역2" xfId="834"/>
    <cellStyle name="_01토공_철거_라멘교 토공_제2종지구단위계획_선바위관광지" xfId="835"/>
    <cellStyle name="_01토공_철거_라멘교 토공_제2종지구단위계획_선바위관광지_20090609_영덕농공단지내역서" xfId="836"/>
    <cellStyle name="_01토공_철거_라멘교 토공_제2종지구단위계획_선바위관광지_총괄내역서(090223)" xfId="837"/>
    <cellStyle name="_01토공_철거_라멘교 토공_총괄내역서_도시관리계획결정(070907)_계약" xfId="838"/>
    <cellStyle name="_01토공_철거_라멘교 토공_총괄내역서_타당성조사및도시관리계획결정(090115)" xfId="839"/>
    <cellStyle name="_01토공_철거_라멘교 토공_총괄내역서_타당성조사및도시관리계획결정(090115)_20090609_영덕농공단지내역서" xfId="840"/>
    <cellStyle name="_01토공_철거_라멘교 토공_총괄내역서_타당성조사및도시관리계획결정(090115)_총괄내역서(090223)" xfId="841"/>
    <cellStyle name="_01토공_철거_제2종지구단위계획_선바위관광지" xfId="842"/>
    <cellStyle name="_01토공_철거_제2종지구단위계획_선바위관광지_20090609_영덕농공단지내역서" xfId="843"/>
    <cellStyle name="_01토공_철거_제2종지구단위계획_선바위관광지_총괄내역서(090223)" xfId="844"/>
    <cellStyle name="_01토공_철거_총괄내역서_도시관리계획결정(070907)_계약" xfId="845"/>
    <cellStyle name="_01토공_철거_총괄내역서_타당성조사및도시관리계획결정(090115)" xfId="846"/>
    <cellStyle name="_01토공_철거_총괄내역서_타당성조사및도시관리계획결정(090115)_20090609_영덕농공단지내역서" xfId="847"/>
    <cellStyle name="_01토공_철거_총괄내역서_타당성조사및도시관리계획결정(090115)_총괄내역서(090223)" xfId="848"/>
    <cellStyle name="_01토공_총괄내역서_도시관리계획결정(070907)_계약" xfId="849"/>
    <cellStyle name="_01토공_총괄내역서_타당성조사및도시관리계획결정(090115)" xfId="850"/>
    <cellStyle name="_01토공_총괄내역서_타당성조사및도시관리계획결정(090115)_20090609_영덕농공단지내역서" xfId="851"/>
    <cellStyle name="_01토공_총괄내역서_타당성조사및도시관리계획결정(090115)_총괄내역서(090223)" xfId="852"/>
    <cellStyle name="_02(1).지구단위계획" xfId="853"/>
    <cellStyle name="_02.지구단위계획" xfId="854"/>
    <cellStyle name="_02_토질조사(823천)" xfId="855"/>
    <cellStyle name="_02-02-맨홀토공" xfId="856"/>
    <cellStyle name="_02-02-맨홀토공_내지농로(변경)" xfId="857"/>
    <cellStyle name="_02-02-맨홀토공_내지농로(변경)_돈지수량산출" xfId="858"/>
    <cellStyle name="_02-02-맨홀토공_능양수량산출" xfId="859"/>
    <cellStyle name="_02-02-맨홀토공_능양수량산출_돈지수량산출" xfId="860"/>
    <cellStyle name="_02-02-맨홀토공_돈지안길" xfId="861"/>
    <cellStyle name="_02-02-맨홀토공_돈지안길_배수로" xfId="862"/>
    <cellStyle name="_02-02-맨홀토공_돈지안길1000" xfId="863"/>
    <cellStyle name="_02-02-맨홀토공_돈지안길1000_배수로" xfId="864"/>
    <cellStyle name="_02-02-맨홀토공_배수로" xfId="865"/>
    <cellStyle name="_02-02-맨홀토공_배수로_배수로" xfId="866"/>
    <cellStyle name="_02-02-맨홀토공_석축쌓기" xfId="867"/>
    <cellStyle name="_02-02-맨홀토공_석축쌓기_내지농로(변경)" xfId="868"/>
    <cellStyle name="_02-02-맨홀토공_석축쌓기_내지농로(변경)_돈지수량산출" xfId="869"/>
    <cellStyle name="_02-02-맨홀토공_석축쌓기_능양수량산출" xfId="870"/>
    <cellStyle name="_02-02-맨홀토공_석축쌓기_능양수량산출_돈지수량산출" xfId="871"/>
    <cellStyle name="_02-02-맨홀토공_석축쌓기_돈지안길" xfId="872"/>
    <cellStyle name="_02-02-맨홀토공_석축쌓기_돈지안길_배수로" xfId="873"/>
    <cellStyle name="_02-02-맨홀토공_석축쌓기_돈지안길1000" xfId="874"/>
    <cellStyle name="_02-02-맨홀토공_석축쌓기_돈지안길1000_배수로" xfId="875"/>
    <cellStyle name="_02-02-맨홀토공_석축쌓기_배수공(명품센터)" xfId="876"/>
    <cellStyle name="_02-02-맨홀토공_석축쌓기_배수공(명품센터)_내지농로(변경)" xfId="877"/>
    <cellStyle name="_02-02-맨홀토공_석축쌓기_배수공(명품센터)_내지농로(변경)_돈지수량산출" xfId="878"/>
    <cellStyle name="_02-02-맨홀토공_석축쌓기_배수공(명품센터)_능양수량산출" xfId="879"/>
    <cellStyle name="_02-02-맨홀토공_석축쌓기_배수공(명품센터)_능양수량산출_돈지수량산출" xfId="880"/>
    <cellStyle name="_02-02-맨홀토공_석축쌓기_배수공(명품센터)_돈지안길" xfId="881"/>
    <cellStyle name="_02-02-맨홀토공_석축쌓기_배수공(명품센터)_돈지안길_배수로" xfId="882"/>
    <cellStyle name="_02-02-맨홀토공_석축쌓기_배수공(명품센터)_돈지안길1000" xfId="883"/>
    <cellStyle name="_02-02-맨홀토공_석축쌓기_배수공(명품센터)_돈지안길1000_배수로" xfId="884"/>
    <cellStyle name="_02-02-맨홀토공_석축쌓기_배수공(명품센터)_배수로" xfId="885"/>
    <cellStyle name="_02-02-맨홀토공_석축쌓기_배수공(명품센터)_배수로_배수로" xfId="886"/>
    <cellStyle name="_02-02-맨홀토공_석축쌓기_배수로" xfId="887"/>
    <cellStyle name="_02-02-맨홀토공_석축쌓기_배수로_배수로" xfId="888"/>
    <cellStyle name="_02-02-맨홀토공_석축쌓기_수량(전안수해복구)" xfId="889"/>
    <cellStyle name="_02-02-맨홀토공_석축쌓기_수량(전안수해복구)_내지농로(변경)" xfId="890"/>
    <cellStyle name="_02-02-맨홀토공_석축쌓기_수량(전안수해복구)_내지농로(변경)_돈지수량산출" xfId="891"/>
    <cellStyle name="_02-02-맨홀토공_석축쌓기_수량(전안수해복구)_능양수량산출" xfId="892"/>
    <cellStyle name="_02-02-맨홀토공_석축쌓기_수량(전안수해복구)_능양수량산출_돈지수량산출" xfId="893"/>
    <cellStyle name="_02-02-맨홀토공_석축쌓기_수량(전안수해복구)_돈지안길" xfId="894"/>
    <cellStyle name="_02-02-맨홀토공_석축쌓기_수량(전안수해복구)_돈지안길_배수로" xfId="895"/>
    <cellStyle name="_02-02-맨홀토공_석축쌓기_수량(전안수해복구)_돈지안길1000" xfId="896"/>
    <cellStyle name="_02-02-맨홀토공_석축쌓기_수량(전안수해복구)_돈지안길1000_배수로" xfId="897"/>
    <cellStyle name="_02-02-맨홀토공_석축쌓기_수량(전안수해복구)_배수로" xfId="898"/>
    <cellStyle name="_02-02-맨홀토공_석축쌓기_수량(전안수해복구)_배수로_배수로" xfId="899"/>
    <cellStyle name="_02-02-맨홀토공_석축쌓기_우수공(k2)" xfId="900"/>
    <cellStyle name="_02-02-맨홀토공_석축쌓기_우수공(k2)_내지농로(변경)" xfId="901"/>
    <cellStyle name="_02-02-맨홀토공_석축쌓기_우수공(k2)_내지농로(변경)_돈지수량산출" xfId="902"/>
    <cellStyle name="_02-02-맨홀토공_석축쌓기_우수공(k2)_능양수량산출" xfId="903"/>
    <cellStyle name="_02-02-맨홀토공_석축쌓기_우수공(k2)_능양수량산출_돈지수량산출" xfId="904"/>
    <cellStyle name="_02-02-맨홀토공_석축쌓기_우수공(k2)_돈지안길" xfId="905"/>
    <cellStyle name="_02-02-맨홀토공_석축쌓기_우수공(k2)_돈지안길_배수로" xfId="906"/>
    <cellStyle name="_02-02-맨홀토공_석축쌓기_우수공(k2)_돈지안길1000" xfId="907"/>
    <cellStyle name="_02-02-맨홀토공_석축쌓기_우수공(k2)_돈지안길1000_배수로" xfId="908"/>
    <cellStyle name="_02-02-맨홀토공_석축쌓기_우수공(k2)_배수로" xfId="909"/>
    <cellStyle name="_02-02-맨홀토공_석축쌓기_우수공(k2)_배수로_배수로" xfId="910"/>
    <cellStyle name="_021126_목포시청(총괄)" xfId="911"/>
    <cellStyle name="_02-15작업(건총)" xfId="912"/>
    <cellStyle name="_02년1차(수정)" xfId="913"/>
    <cellStyle name="_02용역내역서060306" xfId="914"/>
    <cellStyle name="_02-충남도청이전내역서" xfId="915"/>
    <cellStyle name="_03 항공측량(L=36.0)" xfId="916"/>
    <cellStyle name="_030424서울위생병원제출" xfId="917"/>
    <cellStyle name="_0306_HS20외" xfId="918"/>
    <cellStyle name="_030623 ml350 CDS 유형석(1)" xfId="919"/>
    <cellStyle name="_030818천안성모병원견적서" xfId="920"/>
    <cellStyle name="_03기본및실시설계" xfId="921"/>
    <cellStyle name="_04 설계내역서(도시계획정보체계)" xfId="922"/>
    <cellStyle name="_04.차선도색" xfId="923"/>
    <cellStyle name="_04.차선도색_1차변경수량" xfId="924"/>
    <cellStyle name="_04.차선도색_1차변경수량_1차변경수량" xfId="925"/>
    <cellStyle name="_04_사전환경영향성검토" xfId="926"/>
    <cellStyle name="_040212_분당병원_DL580G2_원가" xfId="927"/>
    <cellStyle name="_040917 ML350" xfId="928"/>
    <cellStyle name="_04제일기술" xfId="929"/>
    <cellStyle name="_05.SEM2_유파트너_강릉시청_견적서" xfId="930"/>
    <cellStyle name="_051014_데이타베이스진흥센터_XWEB" xfId="931"/>
    <cellStyle name="_06.컨텐츠목록" xfId="932"/>
    <cellStyle name="_060213_Cisco1721_견적" xfId="933"/>
    <cellStyle name="_060324_방화벽 견적서" xfId="934"/>
    <cellStyle name="_060517대신체육공원실시설계용역_낙찰가조정" xfId="935"/>
    <cellStyle name="_060811-화이트정보(인포데이타)-x346외" xfId="936"/>
    <cellStyle name="_0621_용역비설계내역서(수변공원_경기도반영)" xfId="937"/>
    <cellStyle name="_06포항시" xfId="938"/>
    <cellStyle name="_0702_6_중앙배수로 원설계 공사비(조경,호안,관로)최종v1" xfId="939"/>
    <cellStyle name="_070718_산자부G4B_한국데이터베이스진흥센터_견적서" xfId="940"/>
    <cellStyle name="_07-096_견적서(농촌경제연구원 E KP 업그레이드_070703)" xfId="941"/>
    <cellStyle name="_071214_견적서_한국수출보험공사_차세대통합정보시스템(EAI)_DB진흥센터" xfId="942"/>
    <cellStyle name="_0728_인천공항(매출관리)" xfId="943"/>
    <cellStyle name="_0728_인천공항(매출관리)- 비교견적" xfId="944"/>
    <cellStyle name="_080108-서산시 운석근린공원 환경교통재해영향영가용역" xfId="945"/>
    <cellStyle name="_080111-웰빙공원 환경재해교통영향평가용역비 산출-수정" xfId="946"/>
    <cellStyle name="_080826_문경골프아카데미" xfId="947"/>
    <cellStyle name="_0829_V440외 견적서" xfId="948"/>
    <cellStyle name="_08한국데이터베이스진흥센터" xfId="949"/>
    <cellStyle name="_09 군관리계획_적성-전산화내역서" xfId="950"/>
    <cellStyle name="_09 군관리계획_적성-전산화내역서(최종)" xfId="951"/>
    <cellStyle name="_0재릉내역서(원내역서)" xfId="952"/>
    <cellStyle name="_1-(금액상승)변경-아치텐트-PVDF-(3mx3mx2.5m)" xfId="953"/>
    <cellStyle name="_1-(금액상승)변경-아치텐트-PVDF-(3mx3mx2.5m)_(조폐공사발송) 약품처리시설" xfId="954"/>
    <cellStyle name="_1-(금액상승)변경-아치텐트-PVDF-(3mx3mx2.5m)_(조폐공사발송) 약품처리시설_2004년 완선공사(최종본)" xfId="955"/>
    <cellStyle name="_1-(금액상승)변경-아치텐트-PVDF-(3mx3mx2.5m)_(조폐공사발송) 약품처리시설_안동전통문화콘텐츠박물관전시영상물구축(전시시설물)" xfId="956"/>
    <cellStyle name="_1-(금액상승)변경-아치텐트-PVDF-(3mx3mx2.5m)_(조폐공사발송) 약품처리시설_안동전통문화콘텐츠박물관전시영상물구축(전시시설물)_원가보고서(종합)-조달" xfId="957"/>
    <cellStyle name="_1-(금액상승)변경-아치텐트-PVDF-(3mx3mx2.5m)_(조폐공사발송) 약품처리시설_안동전통문화콘텐츠박물관전시영상물구축(전시시설물)_원가보고서(흑색)-조달" xfId="958"/>
    <cellStyle name="_1-(금액상승)변경-아치텐트-PVDF-(3mx3mx2.5m)_(조폐공사발송) 약품처리시설_원가계산서(화성상록)" xfId="959"/>
    <cellStyle name="_1-(금액상승)변경-아치텐트-PVDF-(3mx3mx2.5m)_(조폐공사발송) 약품처리시설_원가계산서(화성상록) (version 1)" xfId="960"/>
    <cellStyle name="_1-(금액상승)변경-아치텐트-PVDF-(3mx3mx2.5m)_(조폐공사발송) 약품처리시설_원가계산서(화성상록) (version 1)_원가보고서(종합)-조달" xfId="961"/>
    <cellStyle name="_1-(금액상승)변경-아치텐트-PVDF-(3mx3mx2.5m)_(조폐공사발송) 약품처리시설_원가계산서(화성상록) (version 1)_원가보고서(흑색)-조달" xfId="962"/>
    <cellStyle name="_1-(금액상승)변경-아치텐트-PVDF-(3mx3mx2.5m)_(조폐공사발송) 약품처리시설_원가계산서(화성상록)_원가보고서(종합)-조달" xfId="963"/>
    <cellStyle name="_1-(금액상승)변경-아치텐트-PVDF-(3mx3mx2.5m)_(조폐공사발송) 약품처리시설_원가계산서(화성상록)_원가보고서(흑색)-조달" xfId="964"/>
    <cellStyle name="_1-(금액상승)변경-아치텐트-PVDF-(3mx3mx2.5m)_2004년 완선공사(최종본)" xfId="965"/>
    <cellStyle name="_1-(금액상승)변경-아치텐트-PVDF-(3mx3mx2.5m)_안동전통문화콘텐츠박물관전시영상물구축(전시시설물)" xfId="966"/>
    <cellStyle name="_1-(금액상승)변경-아치텐트-PVDF-(3mx3mx2.5m)_안동전통문화콘텐츠박물관전시영상물구축(전시시설물)_원가보고서(종합)-조달" xfId="967"/>
    <cellStyle name="_1-(금액상승)변경-아치텐트-PVDF-(3mx3mx2.5m)_안동전통문화콘텐츠박물관전시영상물구축(전시시설물)_원가보고서(흑색)-조달" xfId="968"/>
    <cellStyle name="_1-(금액상승)변경-아치텐트-PVDF-(3mx3mx2.5m)_원가계산서(화성상록)" xfId="969"/>
    <cellStyle name="_1-(금액상승)변경-아치텐트-PVDF-(3mx3mx2.5m)_원가계산서(화성상록) (version 1)" xfId="970"/>
    <cellStyle name="_1-(금액상승)변경-아치텐트-PVDF-(3mx3mx2.5m)_원가계산서(화성상록) (version 1)_원가보고서(종합)-조달" xfId="971"/>
    <cellStyle name="_1-(금액상승)변경-아치텐트-PVDF-(3mx3mx2.5m)_원가계산서(화성상록) (version 1)_원가보고서(흑색)-조달" xfId="972"/>
    <cellStyle name="_1-(금액상승)변경-아치텐트-PVDF-(3mx3mx2.5m)_원가계산서(화성상록)_원가보고서(종합)-조달" xfId="973"/>
    <cellStyle name="_1-(금액상승)변경-아치텐트-PVDF-(3mx3mx2.5m)_원가계산서(화성상록)_원가보고서(흑색)-조달" xfId="974"/>
    <cellStyle name="_1) 교대토공수량" xfId="975"/>
    <cellStyle name="_1) 교대토공수량_1) 교대토공수량" xfId="976"/>
    <cellStyle name="_1) 교대토공수량_1) 교대토공수량_1.여주JCT6교" xfId="977"/>
    <cellStyle name="_1) 교대토공수량_1) 교대토공수량_2.여주jc7교" xfId="978"/>
    <cellStyle name="_1) 교대토공수량_1) 대토공수량" xfId="979"/>
    <cellStyle name="_1) 교대토공수량_1) 대토공수량_1.여주JCT6교" xfId="980"/>
    <cellStyle name="_1) 교대토공수량_1) 대토공수량_2.여주jc7교" xfId="981"/>
    <cellStyle name="_1) 교대토공수량_1.여주JCT6교" xfId="982"/>
    <cellStyle name="_1) 교대토공수량_2.여주jc7교" xfId="983"/>
    <cellStyle name="_1,2공구 깨기 집계표" xfId="984"/>
    <cellStyle name="_1. ○○적성평가관리계획내역서" xfId="985"/>
    <cellStyle name="_1.기성내역서" xfId="986"/>
    <cellStyle name="_1.실시설계비" xfId="987"/>
    <cellStyle name="_1.여주JCT6교" xfId="988"/>
    <cellStyle name="_1.토공" xfId="989"/>
    <cellStyle name="_1_광복60주년 은소전(최종발송)" xfId="990"/>
    <cellStyle name="_1_광복60주년 은소전(최종발송)_2004년 완선공사(최종본)" xfId="991"/>
    <cellStyle name="_1_광복60주년 은소전(최종발송)_안동전통문화콘텐츠박물관전시영상물구축(전시시설물)" xfId="992"/>
    <cellStyle name="_1_광복60주년 은소전(최종발송)_안동전통문화콘텐츠박물관전시영상물구축(전시시설물)_원가보고서(종합)-조달" xfId="993"/>
    <cellStyle name="_1_광복60주년 은소전(최종발송)_안동전통문화콘텐츠박물관전시영상물구축(전시시설물)_원가보고서(흑색)-조달" xfId="994"/>
    <cellStyle name="_1_광복60주년 은소전(최종발송)_원가계산서(화성상록)" xfId="995"/>
    <cellStyle name="_1_광복60주년 은소전(최종발송)_원가계산서(화성상록) (version 1)" xfId="996"/>
    <cellStyle name="_1_광복60주년 은소전(최종발송)_원가계산서(화성상록) (version 1)_원가보고서(종합)-조달" xfId="997"/>
    <cellStyle name="_1_광복60주년 은소전(최종발송)_원가계산서(화성상록) (version 1)_원가보고서(흑색)-조달" xfId="998"/>
    <cellStyle name="_1_광복60주년 은소전(최종발송)_원가계산서(화성상록)_원가보고서(종합)-조달" xfId="999"/>
    <cellStyle name="_1_광복60주년 은소전(최종발송)_원가계산서(화성상록)_원가보고서(흑색)-조달" xfId="1000"/>
    <cellStyle name="_10.역T형옹벽(H=5.0),개거(0.5X0.5)" xfId="1001"/>
    <cellStyle name="_1000억(공사비)기본및실시설계-1" xfId="1002"/>
    <cellStyle name="_100121_영주한국문화테마파크(최종본)" xfId="1003"/>
    <cellStyle name="_1018_국민연금(홈페이지)" xfId="1004"/>
    <cellStyle name="_10만평기준(토지적성평가)" xfId="1005"/>
    <cellStyle name="_11. 석축" xfId="1006"/>
    <cellStyle name="_11. 석축_2(변경)-토공" xfId="1007"/>
    <cellStyle name="_1-1-1(1).인허가용역비세부(06,12재조정-진짜최종)" xfId="1008"/>
    <cellStyle name="_11월 가격표 hp workstation" xfId="1009"/>
    <cellStyle name="_1220-원가조사-전자지불" xfId="1010"/>
    <cellStyle name="_13(석축)" xfId="1011"/>
    <cellStyle name="_13(석축)_2(변경)-토공" xfId="1012"/>
    <cellStyle name="_18-건축설계(별도)" xfId="1013"/>
    <cellStyle name="_19.수중보(옹벽포함)" xfId="1014"/>
    <cellStyle name="_19.수중보(옹벽포함)_2(변경)-토공" xfId="1015"/>
    <cellStyle name="_1공구" xfId="1016"/>
    <cellStyle name="_1공구 깨기" xfId="1017"/>
    <cellStyle name="_1공구_1" xfId="1018"/>
    <cellStyle name="_1-상평통보-10돈(최종)" xfId="1019"/>
    <cellStyle name="_1-상평통보-10돈(최종)_2004년 완선공사(최종본)" xfId="1020"/>
    <cellStyle name="_1-상평통보-10돈(최종)_안동전통문화콘텐츠박물관전시영상물구축(전시시설물)" xfId="1021"/>
    <cellStyle name="_1-상평통보-10돈(최종)_안동전통문화콘텐츠박물관전시영상물구축(전시시설물)_원가보고서(종합)-조달" xfId="1022"/>
    <cellStyle name="_1-상평통보-10돈(최종)_안동전통문화콘텐츠박물관전시영상물구축(전시시설물)_원가보고서(흑색)-조달" xfId="1023"/>
    <cellStyle name="_1-상평통보-10돈(최종)_원가계산서(화성상록)" xfId="1024"/>
    <cellStyle name="_1-상평통보-10돈(최종)_원가계산서(화성상록) (version 1)" xfId="1025"/>
    <cellStyle name="_1-상평통보-10돈(최종)_원가계산서(화성상록) (version 1)_원가보고서(종합)-조달" xfId="1026"/>
    <cellStyle name="_1-상평통보-10돈(최종)_원가계산서(화성상록) (version 1)_원가보고서(흑색)-조달" xfId="1027"/>
    <cellStyle name="_1-상평통보-10돈(최종)_원가계산서(화성상록)_원가보고서(종합)-조달" xfId="1028"/>
    <cellStyle name="_1-상평통보-10돈(최종)_원가계산서(화성상록)_원가보고서(흑색)-조달" xfId="1029"/>
    <cellStyle name="_1차도로(통영1105)" xfId="1030"/>
    <cellStyle name="_1차변경내역" xfId="1031"/>
    <cellStyle name="_1차변경내역-변경" xfId="1032"/>
    <cellStyle name="_1차변경수량" xfId="1033"/>
    <cellStyle name="_1차변경수량_1차변경수량" xfId="1034"/>
    <cellStyle name="_1-토공" xfId="1035"/>
    <cellStyle name="_2) 교대일반수량2" xfId="1036"/>
    <cellStyle name="_2) 교대일반수량2_1) 교대토공수량" xfId="1037"/>
    <cellStyle name="_2) 교대일반수량2_1) 교대토공수량_1.여주JCT6교" xfId="1038"/>
    <cellStyle name="_2) 교대일반수량2_1) 교대토공수량_2.여주jc7교" xfId="1039"/>
    <cellStyle name="_2) 교대일반수량2_1) 대토공수량" xfId="1040"/>
    <cellStyle name="_2) 교대일반수량2_1) 대토공수량_1.여주JCT6교" xfId="1041"/>
    <cellStyle name="_2) 교대일반수량2_1) 대토공수량_2.여주jc7교" xfId="1042"/>
    <cellStyle name="_2) 교대일반수량2_1.여주JCT6교" xfId="1043"/>
    <cellStyle name="_2) 교대일반수량2_2.여주jc7교" xfId="1044"/>
    <cellStyle name="_2) 교대토공수량" xfId="1045"/>
    <cellStyle name="_2) 교대토공수량_1) 교대토공수량" xfId="1046"/>
    <cellStyle name="_2) 교대토공수량_1) 교대토공수량_1.여주JCT6교" xfId="1047"/>
    <cellStyle name="_2) 교대토공수량_1) 교대토공수량_2.여주jc7교" xfId="1048"/>
    <cellStyle name="_2) 교대토공수량_1) 대토공수량" xfId="1049"/>
    <cellStyle name="_2) 교대토공수량_1) 대토공수량_1.여주JCT6교" xfId="1050"/>
    <cellStyle name="_2) 교대토공수량_1) 대토공수량_2.여주jc7교" xfId="1051"/>
    <cellStyle name="_2) 교대토공수량_1.여주JCT6교" xfId="1052"/>
    <cellStyle name="_2) 교대토공수량_2.여주jc7교" xfId="1053"/>
    <cellStyle name="_2. ○○도면제작지적고시" xfId="1054"/>
    <cellStyle name="_2.24받은기성(울산교육청사)(26.91%)" xfId="1055"/>
    <cellStyle name="_2.남양주진관산단변경내역서" xfId="1056"/>
    <cellStyle name="_2.여주jc7교" xfId="1057"/>
    <cellStyle name="_2.측량비" xfId="1058"/>
    <cellStyle name="_2001 장애조치" xfId="1059"/>
    <cellStyle name="_2002결과표1" xfId="1060"/>
    <cellStyle name="_2002년 환경기초 민간위탁(2003년 물가상승적용) " xfId="1061"/>
    <cellStyle name="_2002년 환경기초 민간위탁(2003년 물가상승적용) _1-(금액상승)변경-아치텐트-PVDF-(3mx3mx2.5m)" xfId="1062"/>
    <cellStyle name="_2002년 환경기초 민간위탁(2003년 물가상승적용) _1-(금액상승)변경-아치텐트-PVDF-(3mx3mx2.5m)_(조폐공사발송) 약품처리시설" xfId="1063"/>
    <cellStyle name="_2002년 환경기초 민간위탁(2003년 물가상승적용) _1-(금액상승)변경-아치텐트-PVDF-(3mx3mx2.5m)_(조폐공사발송) 약품처리시설_2004년 완선공사(최종본)" xfId="1064"/>
    <cellStyle name="_2002년 환경기초 민간위탁(2003년 물가상승적용) _1-(금액상승)변경-아치텐트-PVDF-(3mx3mx2.5m)_(조폐공사발송) 약품처리시설_안동전통문화콘텐츠박물관전시영상물구축(전시시설물)" xfId="1065"/>
    <cellStyle name="_2002년 환경기초 민간위탁(2003년 물가상승적용) _1-(금액상승)변경-아치텐트-PVDF-(3mx3mx2.5m)_(조폐공사발송) 약품처리시설_안동전통문화콘텐츠박물관전시영상물구축(전시시설물)_원가보고서(종합)-조달" xfId="1066"/>
    <cellStyle name="_2002년 환경기초 민간위탁(2003년 물가상승적용) _1-(금액상승)변경-아치텐트-PVDF-(3mx3mx2.5m)_(조폐공사발송) 약품처리시설_안동전통문화콘텐츠박물관전시영상물구축(전시시설물)_원가보고서(흑색)-조달" xfId="1067"/>
    <cellStyle name="_2002년 환경기초 민간위탁(2003년 물가상승적용) _1-(금액상승)변경-아치텐트-PVDF-(3mx3mx2.5m)_(조폐공사발송) 약품처리시설_원가계산서(화성상록)" xfId="1068"/>
    <cellStyle name="_2002년 환경기초 민간위탁(2003년 물가상승적용) _1-(금액상승)변경-아치텐트-PVDF-(3mx3mx2.5m)_(조폐공사발송) 약품처리시설_원가계산서(화성상록) (version 1)" xfId="1069"/>
    <cellStyle name="_2002년 환경기초 민간위탁(2003년 물가상승적용) _1-(금액상승)변경-아치텐트-PVDF-(3mx3mx2.5m)_(조폐공사발송) 약품처리시설_원가계산서(화성상록) (version 1)_원가보고서(종합)-조달" xfId="1070"/>
    <cellStyle name="_2002년 환경기초 민간위탁(2003년 물가상승적용) _1-(금액상승)변경-아치텐트-PVDF-(3mx3mx2.5m)_(조폐공사발송) 약품처리시설_원가계산서(화성상록) (version 1)_원가보고서(흑색)-조달" xfId="1071"/>
    <cellStyle name="_2002년 환경기초 민간위탁(2003년 물가상승적용) _1-(금액상승)변경-아치텐트-PVDF-(3mx3mx2.5m)_(조폐공사발송) 약품처리시설_원가계산서(화성상록)_원가보고서(종합)-조달" xfId="1072"/>
    <cellStyle name="_2002년 환경기초 민간위탁(2003년 물가상승적용) _1-(금액상승)변경-아치텐트-PVDF-(3mx3mx2.5m)_(조폐공사발송) 약품처리시설_원가계산서(화성상록)_원가보고서(흑색)-조달" xfId="1073"/>
    <cellStyle name="_2002년 환경기초 민간위탁(2003년 물가상승적용) _1-(금액상승)변경-아치텐트-PVDF-(3mx3mx2.5m)_2004년 완선공사(최종본)" xfId="1074"/>
    <cellStyle name="_2002년 환경기초 민간위탁(2003년 물가상승적용) _1-(금액상승)변경-아치텐트-PVDF-(3mx3mx2.5m)_안동전통문화콘텐츠박물관전시영상물구축(전시시설물)" xfId="1075"/>
    <cellStyle name="_2002년 환경기초 민간위탁(2003년 물가상승적용) _1-(금액상승)변경-아치텐트-PVDF-(3mx3mx2.5m)_안동전통문화콘텐츠박물관전시영상물구축(전시시설물)_원가보고서(종합)-조달" xfId="1076"/>
    <cellStyle name="_2002년 환경기초 민간위탁(2003년 물가상승적용) _1-(금액상승)변경-아치텐트-PVDF-(3mx3mx2.5m)_안동전통문화콘텐츠박물관전시영상물구축(전시시설물)_원가보고서(흑색)-조달" xfId="1077"/>
    <cellStyle name="_2002년 환경기초 민간위탁(2003년 물가상승적용) _1-(금액상승)변경-아치텐트-PVDF-(3mx3mx2.5m)_원가계산서(화성상록)" xfId="1078"/>
    <cellStyle name="_2002년 환경기초 민간위탁(2003년 물가상승적용) _1-(금액상승)변경-아치텐트-PVDF-(3mx3mx2.5m)_원가계산서(화성상록) (version 1)" xfId="1079"/>
    <cellStyle name="_2002년 환경기초 민간위탁(2003년 물가상승적용) _1-(금액상승)변경-아치텐트-PVDF-(3mx3mx2.5m)_원가계산서(화성상록) (version 1)_원가보고서(종합)-조달" xfId="1080"/>
    <cellStyle name="_2002년 환경기초 민간위탁(2003년 물가상승적용) _1-(금액상승)변경-아치텐트-PVDF-(3mx3mx2.5m)_원가계산서(화성상록) (version 1)_원가보고서(흑색)-조달" xfId="1081"/>
    <cellStyle name="_2002년 환경기초 민간위탁(2003년 물가상승적용) _1-(금액상승)변경-아치텐트-PVDF-(3mx3mx2.5m)_원가계산서(화성상록)_원가보고서(종합)-조달" xfId="1082"/>
    <cellStyle name="_2002년 환경기초 민간위탁(2003년 물가상승적용) _1-(금액상승)변경-아치텐트-PVDF-(3mx3mx2.5m)_원가계산서(화성상록)_원가보고서(흑색)-조달" xfId="1083"/>
    <cellStyle name="_2002년 환경기초 민간위탁(2003년 물가상승적용) _1.컴퓨터용 책상" xfId="1084"/>
    <cellStyle name="_2002년 환경기초 민간위탁(2003년 물가상승적용) _1.컴퓨터용 책상_2004년 완선공사(최종본)" xfId="1085"/>
    <cellStyle name="_2002년 환경기초 민간위탁(2003년 물가상승적용) _1.컴퓨터용 책상_안동전통문화콘텐츠박물관전시영상물구축(전시시설물)" xfId="1086"/>
    <cellStyle name="_2002년 환경기초 민간위탁(2003년 물가상승적용) _1.컴퓨터용 책상_안동전통문화콘텐츠박물관전시영상물구축(전시시설물)_원가보고서(종합)-조달" xfId="1087"/>
    <cellStyle name="_2002년 환경기초 민간위탁(2003년 물가상승적용) _1.컴퓨터용 책상_안동전통문화콘텐츠박물관전시영상물구축(전시시설물)_원가보고서(흑색)-조달" xfId="1088"/>
    <cellStyle name="_2002년 환경기초 민간위탁(2003년 물가상승적용) _1.컴퓨터용 책상_원가계산서(화성상록)" xfId="1089"/>
    <cellStyle name="_2002년 환경기초 민간위탁(2003년 물가상승적용) _1.컴퓨터용 책상_원가계산서(화성상록) (version 1)" xfId="1090"/>
    <cellStyle name="_2002년 환경기초 민간위탁(2003년 물가상승적용) _1.컴퓨터용 책상_원가계산서(화성상록) (version 1)_원가보고서(종합)-조달" xfId="1091"/>
    <cellStyle name="_2002년 환경기초 민간위탁(2003년 물가상승적용) _1.컴퓨터용 책상_원가계산서(화성상록) (version 1)_원가보고서(흑색)-조달" xfId="1092"/>
    <cellStyle name="_2002년 환경기초 민간위탁(2003년 물가상승적용) _1.컴퓨터용 책상_원가계산서(화성상록)_원가보고서(종합)-조달" xfId="1093"/>
    <cellStyle name="_2002년 환경기초 민간위탁(2003년 물가상승적용) _1.컴퓨터용 책상_원가계산서(화성상록)_원가보고서(흑색)-조달" xfId="1094"/>
    <cellStyle name="_2002년 환경기초 민간위탁(2003년 물가상승적용) _2004년 완선공사(최종본)" xfId="1095"/>
    <cellStyle name="_2002년 환경기초 민간위탁(2003년 물가상승적용) _발안천교(수정)" xfId="1096"/>
    <cellStyle name="_2002년 환경기초 민간위탁(2003년 물가상승적용) _안동전통문화콘텐츠박물관전시영상물구축(전시시설물)" xfId="1097"/>
    <cellStyle name="_2002년 환경기초 민간위탁(2003년 물가상승적용) _안동전통문화콘텐츠박물관전시영상물구축(전시시설물)_원가보고서(종합)-조달" xfId="1098"/>
    <cellStyle name="_2002년 환경기초 민간위탁(2003년 물가상승적용) _안동전통문화콘텐츠박물관전시영상물구축(전시시설물)_원가보고서(흑색)-조달" xfId="1099"/>
    <cellStyle name="_2002년 환경기초 민간위탁(2003년 물가상승적용) _원가계산서(화성상록)" xfId="1100"/>
    <cellStyle name="_2002년 환경기초 민간위탁(2003년 물가상승적용) _원가계산서(화성상록) (version 1)" xfId="1101"/>
    <cellStyle name="_2002년 환경기초 민간위탁(2003년 물가상승적용) _원가계산서(화성상록) (version 1)_원가보고서(종합)-조달" xfId="1102"/>
    <cellStyle name="_2002년 환경기초 민간위탁(2003년 물가상승적용) _원가계산서(화성상록) (version 1)_원가보고서(흑색)-조달" xfId="1103"/>
    <cellStyle name="_2002년 환경기초 민간위탁(2003년 물가상승적용) _원가계산서(화성상록)_원가보고서(종합)-조달" xfId="1104"/>
    <cellStyle name="_2002년 환경기초 민간위탁(2003년 물가상승적용) _원가계산서(화성상록)_원가보고서(흑색)-조달" xfId="1105"/>
    <cellStyle name="_2002년 환경기초 민간위탁(2003년 물가상승적용) _초지기 2라인 광택시설 보완" xfId="1106"/>
    <cellStyle name="_2002년 환경기초 민간위탁(2003년 물가상승적용) _초지기 2라인 광택시설 보완_2004년 완선공사(최종본)" xfId="1107"/>
    <cellStyle name="_2002년 환경기초 민간위탁(2003년 물가상승적용) _초지기 2라인 광택시설 보완_안동전통문화콘텐츠박물관전시영상물구축(전시시설물)" xfId="1108"/>
    <cellStyle name="_2002년 환경기초 민간위탁(2003년 물가상승적용) _초지기 2라인 광택시설 보완_안동전통문화콘텐츠박물관전시영상물구축(전시시설물)_원가보고서(종합)-조달" xfId="1109"/>
    <cellStyle name="_2002년 환경기초 민간위탁(2003년 물가상승적용) _초지기 2라인 광택시설 보완_안동전통문화콘텐츠박물관전시영상물구축(전시시설물)_원가보고서(흑색)-조달" xfId="1110"/>
    <cellStyle name="_2002년 환경기초 민간위탁(2003년 물가상승적용) _초지기 2라인 광택시설 보완_원가계산서(화성상록)" xfId="1111"/>
    <cellStyle name="_2002년 환경기초 민간위탁(2003년 물가상승적용) _초지기 2라인 광택시설 보완_원가계산서(화성상록) (version 1)" xfId="1112"/>
    <cellStyle name="_2002년 환경기초 민간위탁(2003년 물가상승적용) _초지기 2라인 광택시설 보완_원가계산서(화성상록) (version 1)_원가보고서(종합)-조달" xfId="1113"/>
    <cellStyle name="_2002년 환경기초 민간위탁(2003년 물가상승적용) _초지기 2라인 광택시설 보완_원가계산서(화성상록) (version 1)_원가보고서(흑색)-조달" xfId="1114"/>
    <cellStyle name="_2002년 환경기초 민간위탁(2003년 물가상승적용) _초지기 2라인 광택시설 보완_원가계산서(화성상록)_원가보고서(종합)-조달" xfId="1115"/>
    <cellStyle name="_2002년 환경기초 민간위탁(2003년 물가상승적용) _초지기 2라인 광택시설 보완_원가계산서(화성상록)_원가보고서(흑색)-조달" xfId="1116"/>
    <cellStyle name="_20030807-TGIF견적" xfId="1117"/>
    <cellStyle name="_2003년설계품v2.1" xfId="1118"/>
    <cellStyle name="_2004(하반기)단가서" xfId="1119"/>
    <cellStyle name="_2004(하반기)단가서_간이배수펌프장설치에 따른 타당성용역내역" xfId="1120"/>
    <cellStyle name="_2004_가격산출 근거서" xfId="1121"/>
    <cellStyle name="_2004_가격산출 근거서_수정" xfId="1122"/>
    <cellStyle name="_2004_산출내역서(최종)_검토_041013" xfId="1123"/>
    <cellStyle name="_20040413_견적_V480_280_조영호과장" xfId="1124"/>
    <cellStyle name="_2004년 도로와 지하시설물 공동구축 제1회 설계변경내역서(기환형작업)" xfId="1125"/>
    <cellStyle name="_2004년 설계내역서-추경" xfId="1126"/>
    <cellStyle name="_2004년 추경예산 도로와 지하시설물 공동구축 설계내역서" xfId="1127"/>
    <cellStyle name="_2004년도상수,하수,도로내역(기본폼)" xfId="1128"/>
    <cellStyle name="_2004년도상수,하수,도로내역(물량조정완료218)" xfId="1129"/>
    <cellStyle name="_2004년도상수,하수,도로내역(물량조정중)" xfId="1130"/>
    <cellStyle name="_2004년도상수,하수,도로설계변경내역(예정3)" xfId="1131"/>
    <cellStyle name="_2005_11_21_도시개발_이익창실장_(p550_1.65Ghz)" xfId="1132"/>
    <cellStyle name="_20050126_p550" xfId="1133"/>
    <cellStyle name="_20050510(지노시스템_서울시청 도로 굴착,복구)" xfId="1134"/>
    <cellStyle name="_2005년 가로등 시설물 복구공사(송파)" xfId="1135"/>
    <cellStyle name="_2005년 가로등(연간단가)원본" xfId="1136"/>
    <cellStyle name="_2005년 가로등공사(공통대가)" xfId="1137"/>
    <cellStyle name="_2005년 사업 시스템 부문 설계내역서_2.0" xfId="1138"/>
    <cellStyle name="_20060829_화이트정보통신(대웅제약)" xfId="1139"/>
    <cellStyle name="_2006수위계설치계약내역서(5월17일)" xfId="1140"/>
    <cellStyle name="_2006수해복구수위계설치설계예산서" xfId="1141"/>
    <cellStyle name="_2006유지보수견적" xfId="1142"/>
    <cellStyle name="_2006홍천군관리계획설계예산서060223" xfId="1143"/>
    <cellStyle name="_2007-06-19-x3850-이종서연구원님-verA" xfId="1144"/>
    <cellStyle name="_20071121_한국DB진흥센터_견적" xfId="1145"/>
    <cellStyle name="_2007년 항공사진측량_설계품_흑백" xfId="1146"/>
    <cellStyle name="_2007년 항공사진측량_흑백" xfId="1147"/>
    <cellStyle name="_2008.12.30_가평군기본계획변경및관리계획변경설계내역서" xfId="1148"/>
    <cellStyle name="_20080321 메리츠증권 운영리스크 관리시스템 구축 견적" xfId="1149"/>
    <cellStyle name="_2008년신설영업점-통신장비내역" xfId="1150"/>
    <cellStyle name="_20100402내역-도시개발사업조사설계용역" xfId="1151"/>
    <cellStyle name="_2-4.상반기실적부문별요약" xfId="1152"/>
    <cellStyle name="_2-4.상반기실적부문별요약(표지및목차포함)" xfId="1153"/>
    <cellStyle name="_2-4.상반기실적부문별요약(표지및목차포함)_1" xfId="1154"/>
    <cellStyle name="_2-4.상반기실적부문별요약_1" xfId="1155"/>
    <cellStyle name="_2500정사사진(2005년도2차물량 위성과 통합)" xfId="1156"/>
    <cellStyle name="_251Q-339(지오투정보기술_토지적성평가용)" xfId="1157"/>
    <cellStyle name="_2공구" xfId="1158"/>
    <cellStyle name="_2공구 깨기" xfId="1159"/>
    <cellStyle name="_2공구_1" xfId="1160"/>
    <cellStyle name="_2차계약설계서" xfId="1161"/>
    <cellStyle name="_3(석축,con포장)" xfId="1162"/>
    <cellStyle name="_3(석축,con포장)_2(변경)-토공" xfId="1163"/>
    <cellStyle name="_3. ○○주거개발진흥지구" xfId="1164"/>
    <cellStyle name="_3.1 제1배수문(1.5×1.5×1련)" xfId="1165"/>
    <cellStyle name="_3.1제1배수통관(시례우안3제)" xfId="1166"/>
    <cellStyle name="_3.2 제2배수통관" xfId="1167"/>
    <cellStyle name="_3.3 제3배수통관" xfId="1168"/>
    <cellStyle name="_3.교통영향평가" xfId="1169"/>
    <cellStyle name="_3.구조물공" xfId="1170"/>
    <cellStyle name="_3.구조물공(시례우안2제)" xfId="1171"/>
    <cellStyle name="_3.구조물공_01.설계내역2" xfId="1172"/>
    <cellStyle name="_3.구조물공_제2종지구단위계획_선바위관광지" xfId="1173"/>
    <cellStyle name="_3.구조물공_제2종지구단위계획_선바위관광지_20090609_영덕농공단지내역서" xfId="1174"/>
    <cellStyle name="_3.구조물공_제2종지구단위계획_선바위관광지_총괄내역서(090223)" xfId="1175"/>
    <cellStyle name="_3.구조물공_총괄내역서_도시관리계획결정(070907)_계약" xfId="1176"/>
    <cellStyle name="_3.구조물공_총괄내역서_타당성조사및도시관리계획결정(090115)" xfId="1177"/>
    <cellStyle name="_3.구조물공_총괄내역서_타당성조사및도시관리계획결정(090115)_20090609_영덕농공단지내역서" xfId="1178"/>
    <cellStyle name="_3.구조물공_총괄내역서_타당성조사및도시관리계획결정(090115)_총괄내역서(090223)" xfId="1179"/>
    <cellStyle name="_4506-델코레미-최종" xfId="1180"/>
    <cellStyle name="_4단지내역및수량산출서" xfId="1181"/>
    <cellStyle name="_4차발주" xfId="1182"/>
    <cellStyle name="_4차사업설계서(계약가)" xfId="1183"/>
    <cellStyle name="_5옹벽공" xfId="1184"/>
    <cellStyle name="_5옹벽공_개봉TL수량산출서-1" xfId="1185"/>
    <cellStyle name="_6 항공사진측량" xfId="1186"/>
    <cellStyle name="_6월 가격표 hp workstation(수정중)" xfId="1187"/>
    <cellStyle name="_7월 가격표 hp workstation" xfId="1188"/>
    <cellStyle name="_8월 가격표 hp workstation" xfId="1189"/>
    <cellStyle name="_'99상반기경영개선활동결과(게시용)" xfId="1190"/>
    <cellStyle name="_A1-토공-유점1L-1" xfId="1191"/>
    <cellStyle name="_Account Total" xfId="1192"/>
    <cellStyle name="_ACQ 서버 DL580G2 MSA1000_0205" xfId="1193"/>
    <cellStyle name="_Book1" xfId="1194"/>
    <cellStyle name="_Book1_0808 FY08Q4 HP Low end server 가격표(WS)" xfId="1195"/>
    <cellStyle name="_Book1_1" xfId="1196"/>
    <cellStyle name="_Book1_1_임목축적조사견적서" xfId="1197"/>
    <cellStyle name="_Book1_1차변경수량" xfId="1198"/>
    <cellStyle name="_Book1_1차변경수량_1차변경수량" xfId="1199"/>
    <cellStyle name="_Book1_2008_5월 100시리즈 HP Low end server 가격표(WS)v1" xfId="1200"/>
    <cellStyle name="_Book1_Book1" xfId="1201"/>
    <cellStyle name="_Book1_ISS_FY08_8월가격표" xfId="1202"/>
    <cellStyle name="_Book13" xfId="1203"/>
    <cellStyle name="_Book13_0808 FY08Q4 HP Low end server 가격표(WS)" xfId="1204"/>
    <cellStyle name="_Book13_2008_5월 100시리즈 HP Low end server 가격표(WS)v1" xfId="1205"/>
    <cellStyle name="_Book13_Book1" xfId="1206"/>
    <cellStyle name="_Book13_ISS_FY08_8월가격표" xfId="1207"/>
    <cellStyle name="_Book2" xfId="1208"/>
    <cellStyle name="_Book3" xfId="1209"/>
    <cellStyle name="_CDS_ML350_견적서_030623_곽효길(1)" xfId="1210"/>
    <cellStyle name="_CDS235견적(1)" xfId="1211"/>
    <cellStyle name="_CH부지" xfId="1212"/>
    <cellStyle name="_Cisco 6509 원가분석 Sample" xfId="1213"/>
    <cellStyle name="_Cisco 견적" xfId="1214"/>
    <cellStyle name="_CNTECH_견적서(1)" xfId="1215"/>
    <cellStyle name="_Compaq ML530_20040218" xfId="1216"/>
    <cellStyle name="_CPQRC_Storage_Dec05" xfId="1217"/>
    <cellStyle name="_cx500(1TB)" xfId="1218"/>
    <cellStyle name="_C앤C" xfId="1219"/>
    <cellStyle name="_C앤C(네트웍)" xfId="1220"/>
    <cellStyle name="_C앤C원가계산" xfId="1221"/>
    <cellStyle name="_Data Size(보바스병원)" xfId="1222"/>
    <cellStyle name="_DB설계" xfId="1223"/>
    <cellStyle name="_DL580G2 (11.11)" xfId="1224"/>
    <cellStyle name="_DPC(080219)_DL580G5 X7320" xfId="1225"/>
    <cellStyle name="_D공사진측량용역 설계서(20만평)_내역수정" xfId="1226"/>
    <cellStyle name="_Eclipse approval" xfId="1227"/>
    <cellStyle name="_Eclipse approval_0808 FY08Q4 HP Low end server 가격표(WS)" xfId="1228"/>
    <cellStyle name="_Eclipse approval_2008_5월 100시리즈 HP Low end server 가격표(WS)v1" xfId="1229"/>
    <cellStyle name="_Eclipse approval_Book1" xfId="1230"/>
    <cellStyle name="_Eclipse approval_ISS_FY08_8월가격표" xfId="1231"/>
    <cellStyle name="_eclipse-1110" xfId="1232"/>
    <cellStyle name="_EDMS_성우시스템" xfId="1233"/>
    <cellStyle name="_EMC" xfId="1234"/>
    <cellStyle name="_EMC_10121" xfId="1235"/>
    <cellStyle name="_EMC_견적" xfId="1236"/>
    <cellStyle name="_EMC소프트_Order(New)" xfId="1237"/>
    <cellStyle name="_e-Notis 기능개선 견적_마음정보(20050304)" xfId="1238"/>
    <cellStyle name="_FAX1" xfId="1239"/>
    <cellStyle name="_FAX1_간이배수펌프장설치에 따른 타당성용역내역" xfId="1240"/>
    <cellStyle name="_FAX1_선정안(삼산)" xfId="1241"/>
    <cellStyle name="_FAX1_선정안(삼산)_간이배수펌프장설치에 따른 타당성용역내역" xfId="1242"/>
    <cellStyle name="_FAX1_추풍령" xfId="1243"/>
    <cellStyle name="_FAX1_추풍령_간이배수펌프장설치에 따른 타당성용역내역" xfId="1244"/>
    <cellStyle name="_FAX1_추풍령-1" xfId="1245"/>
    <cellStyle name="_FAX1_추풍령-1_간이배수펌프장설치에 따른 타당성용역내역" xfId="1246"/>
    <cellStyle name="_FAX2" xfId="1247"/>
    <cellStyle name="_FAX2_간이배수펌프장설치에 따른 타당성용역내역" xfId="1248"/>
    <cellStyle name="_FAX2_선정안(삼산)" xfId="1249"/>
    <cellStyle name="_FAX2_선정안(삼산)_간이배수펌프장설치에 따른 타당성용역내역" xfId="1250"/>
    <cellStyle name="_FAX2_추풍령" xfId="1251"/>
    <cellStyle name="_FAX2_추풍령_간이배수펌프장설치에 따른 타당성용역내역" xfId="1252"/>
    <cellStyle name="_FAX2_추풍령-1" xfId="1253"/>
    <cellStyle name="_FAX2_추풍령-1_간이배수펌프장설치에 따른 타당성용역내역" xfId="1254"/>
    <cellStyle name="_FCST (2)" xfId="1255"/>
    <cellStyle name="_FCST TTL" xfId="1256"/>
    <cellStyle name="_FP_설계내역샘플_(가중치직접산정방식)_New" xfId="1257"/>
    <cellStyle name="_FP_설계내역샘플_(평균가중치방식)_New" xfId="1258"/>
    <cellStyle name="_FY05 1X Weekly Stock Report(as of Aug 28)" xfId="1259"/>
    <cellStyle name="_FY05 1X Weekly Stock Report(as of Dec.12)" xfId="1260"/>
    <cellStyle name="_FY05 1X Weekly Stock Report(as of Dec.19)" xfId="1261"/>
    <cellStyle name="_FY05 1X Weekly Stock Report(as of Feb 13)" xfId="1262"/>
    <cellStyle name="_FY05 1X Weekly Stock Report(as of Nov.30)" xfId="1263"/>
    <cellStyle name="_FY05 1X Weekly Stock Report(as of Sep 18)" xfId="1264"/>
    <cellStyle name="_fy051H quota_v3" xfId="1265"/>
    <cellStyle name="_FY05'2H ISS WOS(0812)1" xfId="1266"/>
    <cellStyle name="_FY05'2H ISS WOS(0821)1 (2)" xfId="1267"/>
    <cellStyle name="_FY06 1X Weekly Stock Report(as of Dec 18)" xfId="1268"/>
    <cellStyle name="_FY06 1X Weekly Stock Status Report(as of Apr 30) (2)" xfId="1269"/>
    <cellStyle name="_FY06 1X Weekly Stock Status Report(as of Feb.5)1" xfId="1270"/>
    <cellStyle name="_FY06 1X Weekly Stock Status Report(as of Jan 29)" xfId="1271"/>
    <cellStyle name="_GIS총괄설계서(Version3.0)" xfId="1272"/>
    <cellStyle name="_GIS포털시스템기능고도화 용역예산설계서(050406)" xfId="1273"/>
    <cellStyle name="_GM fcst OCT06" xfId="1274"/>
    <cellStyle name="_GM fcst OCT06_0808 FY08Q4 HP Low end server 가격표(WS)" xfId="1275"/>
    <cellStyle name="_GM fcst OCT06_2008_5월 100시리즈 HP Low end server 가격표(WS)v1" xfId="1276"/>
    <cellStyle name="_GM fcst OCT06_Book1" xfId="1277"/>
    <cellStyle name="_GM fcst OCT06_ISS_FY08_8월가격표" xfId="1278"/>
    <cellStyle name="_gr 신풍-우성간" xfId="1279"/>
    <cellStyle name="_gr 신풍-우성간_부대공1" xfId="1280"/>
    <cellStyle name="_GS140CPU 가격" xfId="1281"/>
    <cellStyle name="_HIT(5월21일,MSL5030L1,이재근,원가)" xfId="1282"/>
    <cellStyle name="_HP" xfId="1283"/>
    <cellStyle name="_HP_UX(hardware)" xfId="1284"/>
    <cellStyle name="_HP모델별 원가산정0412" xfId="1285"/>
    <cellStyle name="_HW_PLM_테크윈" xfId="1286"/>
    <cellStyle name="_HW견적" xfId="1287"/>
    <cellStyle name="_i2006-020(토지공사_용인시문화유적분포지도제작)" xfId="1288"/>
    <cellStyle name="_IBM" xfId="1289"/>
    <cellStyle name="_IBM서버(p570,p550,x366)" xfId="1290"/>
    <cellStyle name="_Intel" xfId="1291"/>
    <cellStyle name="_inventory-Dec5_04" xfId="1292"/>
    <cellStyle name="_ITSM_Remedy_BMC_0319" xfId="1293"/>
    <cellStyle name="_KB_IC카드발급시스템_050613_김승일" xfId="1294"/>
    <cellStyle name="_KB_운영시스템확장_20031212" xfId="1295"/>
    <cellStyle name="_KB_콜센터이전_20040119_2(final)" xfId="1296"/>
    <cellStyle name="_KCB 링네트 견적-2" xfId="1297"/>
    <cellStyle name="_KCB_SI_가격제안서_Infra_v2.1_최종" xfId="1298"/>
    <cellStyle name="_KCB_SI_가격제안서_SI_v2.2_이경진수정" xfId="1299"/>
    <cellStyle name="_KCB_SI_가격제안서_SI_v2.2_최종" xfId="1300"/>
    <cellStyle name="_L50703(인천국제공항공사)" xfId="1301"/>
    <cellStyle name="_L50703(인천국제공항공사)-0801" xfId="1302"/>
    <cellStyle name="_L50802(기상청)" xfId="1303"/>
    <cellStyle name="_L51003(국민연금관리공단)" xfId="1304"/>
    <cellStyle name="_L60204(한국데이타 IBM)" xfId="1305"/>
    <cellStyle name="_L70212(한국데이타베이스진흥센터)" xfId="1306"/>
    <cellStyle name="_L70213(한국데이타베이스진흥센터)" xfId="1307"/>
    <cellStyle name="_L70301(dpc)" xfId="1308"/>
    <cellStyle name="_L70401(한국데이타베이스진흥센터) 2007 04 10" xfId="1309"/>
    <cellStyle name="_L70501(dpc)" xfId="1310"/>
    <cellStyle name="_L70508(DPCV440)" xfId="1311"/>
    <cellStyle name="_L70702(DPC V440)" xfId="1312"/>
    <cellStyle name="_L71115(한국데이타베이스진흥센터)" xfId="1313"/>
    <cellStyle name="_L71202(한국데이타베이스진흥센터)" xfId="1314"/>
    <cellStyle name="_L80204(dbs)" xfId="1315"/>
    <cellStyle name="_L80908(한국데이타베이스진흥센터)1" xfId="1316"/>
    <cellStyle name="_L81010%28DBS%29(1)" xfId="1317"/>
    <cellStyle name="_L90402(한국DBS)" xfId="1318"/>
    <cellStyle name="_LG CNS-041102-서울고속도로법인(6)_p630" xfId="1319"/>
    <cellStyle name="_Log Book 0930" xfId="1320"/>
    <cellStyle name="_Log Book 0930_0808 FY08Q4 HP Low end server 가격표(WS)" xfId="1321"/>
    <cellStyle name="_Log Book 0930_2008_5월 100시리즈 HP Low end server 가격표(WS)v1" xfId="1322"/>
    <cellStyle name="_Log Book 0930_Book1" xfId="1323"/>
    <cellStyle name="_Log Book 0930_ISS_FY08_8월가격표" xfId="1324"/>
    <cellStyle name="_Log Book_050805" xfId="1325"/>
    <cellStyle name="_Log Book_050805_0808 FY08Q4 HP Low end server 가격표(WS)" xfId="1326"/>
    <cellStyle name="_Log Book_050805_2008_5월 100시리즈 HP Low end server 가격표(WS)v1" xfId="1327"/>
    <cellStyle name="_Log Book_050805_Book1" xfId="1328"/>
    <cellStyle name="_Log Book_050805_ISS_FY08_8월가격표" xfId="1329"/>
    <cellStyle name="_Log Book_050822" xfId="1330"/>
    <cellStyle name="_Log Book_050822_0808 FY08Q4 HP Low end server 가격표(WS)" xfId="1331"/>
    <cellStyle name="_Log Book_050822_2008_5월 100시리즈 HP Low end server 가격표(WS)v1" xfId="1332"/>
    <cellStyle name="_Log Book_050822_Book1" xfId="1333"/>
    <cellStyle name="_Log Book_050822_ISS_FY08_8월가격표" xfId="1334"/>
    <cellStyle name="_Log Book_050905" xfId="1335"/>
    <cellStyle name="_Log Book_050905_0808 FY08Q4 HP Low end server 가격표(WS)" xfId="1336"/>
    <cellStyle name="_Log Book_050905_2008_5월 100시리즈 HP Low end server 가격표(WS)v1" xfId="1337"/>
    <cellStyle name="_Log Book_050905_Book1" xfId="1338"/>
    <cellStyle name="_Log Book_050905_ISS_FY08_8월가격표" xfId="1339"/>
    <cellStyle name="_Log Book_050906" xfId="1340"/>
    <cellStyle name="_Log Book_050906_0808 FY08Q4 HP Low end server 가격표(WS)" xfId="1341"/>
    <cellStyle name="_Log Book_050906_2008_5월 100시리즈 HP Low end server 가격표(WS)v1" xfId="1342"/>
    <cellStyle name="_Log Book_050906_Book1" xfId="1343"/>
    <cellStyle name="_Log Book_050906_ISS_FY08_8월가격표" xfId="1344"/>
    <cellStyle name="_Log Book_050930" xfId="1345"/>
    <cellStyle name="_Log Book_050930_0808 FY08Q4 HP Low end server 가격표(WS)" xfId="1346"/>
    <cellStyle name="_Log Book_050930_2008_5월 100시리즈 HP Low end server 가격표(WS)v1" xfId="1347"/>
    <cellStyle name="_Log Book_050930_Book1" xfId="1348"/>
    <cellStyle name="_Log Book_050930_ISS_FY08_8월가격표" xfId="1349"/>
    <cellStyle name="_Log Book_051107" xfId="1350"/>
    <cellStyle name="_Log Book_051107_0808 FY08Q4 HP Low end server 가격표(WS)" xfId="1351"/>
    <cellStyle name="_Log Book_051107_2008_5월 100시리즈 HP Low end server 가격표(WS)v1" xfId="1352"/>
    <cellStyle name="_Log Book_051107_Book1" xfId="1353"/>
    <cellStyle name="_Log Book_051107_ISS_FY08_8월가격표" xfId="1354"/>
    <cellStyle name="_Log Book_060301" xfId="1355"/>
    <cellStyle name="_Log Book_060301_0808 FY08Q4 HP Low end server 가격표(WS)" xfId="1356"/>
    <cellStyle name="_Log Book_060301_2008_5월 100시리즈 HP Low end server 가격표(WS)v1" xfId="1357"/>
    <cellStyle name="_Log Book_060301_Book1" xfId="1358"/>
    <cellStyle name="_Log Book_060301_ISS_FY08_8월가격표" xfId="1359"/>
    <cellStyle name="_Log Book_060601" xfId="1360"/>
    <cellStyle name="_Log Book_060601_0808 FY08Q4 HP Low end server 가격표(WS)" xfId="1361"/>
    <cellStyle name="_Log Book_060601_2008_5월 100시리즈 HP Low end server 가격표(WS)v1" xfId="1362"/>
    <cellStyle name="_Log Book_060601_Book1" xfId="1363"/>
    <cellStyle name="_Log Book_060601_ISS_FY08_8월가격표" xfId="1364"/>
    <cellStyle name="_ML570T02(040218)A영우" xfId="1365"/>
    <cellStyle name="_MM" xfId="1366"/>
    <cellStyle name="_molp양식(강동구청)" xfId="1367"/>
    <cellStyle name="_NCRPOS견적(3(1).26)" xfId="1368"/>
    <cellStyle name="_new_FY05 1X Weekly Stock Report(as of July 31)" xfId="1369"/>
    <cellStyle name="_p660_6H1_4월15일" xfId="1370"/>
    <cellStyle name="_PNC24-299-003" xfId="1371"/>
    <cellStyle name="_PNC45-007-009 충남도청-(DB 진흥원)" xfId="1372"/>
    <cellStyle name="_Portal 시스템연계 및 K-Bank 기능개선 견적(20040823)_마음정보" xfId="1373"/>
    <cellStyle name="_ProCurve Quick Reference Card - April 2006" xfId="1374"/>
    <cellStyle name="_ProCurve Quick Reference Card - August 2006" xfId="1375"/>
    <cellStyle name="_ProCurve Quick Reference Card - December 2005" xfId="1376"/>
    <cellStyle name="_ProCurve Quick Reference Card - December 2006" xfId="1377"/>
    <cellStyle name="_ProCurve Quick Reference Card - February 2007" xfId="1378"/>
    <cellStyle name="_ProCurve Quick Reference Card - January 2006" xfId="1379"/>
    <cellStyle name="_ProCurve Quick Reference Card - July 1 2005" xfId="1380"/>
    <cellStyle name="_ProCurve Quick Reference Card - July 1 2005_Book1" xfId="1381"/>
    <cellStyle name="_ProCurve Quick Reference Card - July 1 2005_HP_Care_Pack_Aug05" xfId="1382"/>
    <cellStyle name="_ProCurve Quick Reference Card - July 1 2005_HP_Care_Pack_Dec06" xfId="1383"/>
    <cellStyle name="_ProCurve Quick Reference Card - July 1 2005_HP_Care_Pack_July05" xfId="1384"/>
    <cellStyle name="_ProCurve Quick Reference Card - July 2006" xfId="1385"/>
    <cellStyle name="_ProCurve Quick Reference Card - July 2007" xfId="1386"/>
    <cellStyle name="_ProCurve Quick Reference Card - June 2006" xfId="1387"/>
    <cellStyle name="_ProCurve Quick Reference Card - March 2007" xfId="1388"/>
    <cellStyle name="_ProCurve Quick Reference Card - May 2006" xfId="1389"/>
    <cellStyle name="_ProCurve Quick Reference Card - May 2007" xfId="1390"/>
    <cellStyle name="_ProCurve Quick Reference Card - October 1  2005" xfId="1391"/>
    <cellStyle name="_ProCurve Quick Reference Card - October 2005 v2" xfId="1392"/>
    <cellStyle name="_PSG inventory_14.Dec" xfId="1393"/>
    <cellStyle name="_PSG inventory_23.Dec" xfId="1394"/>
    <cellStyle name="_PSG inventory_28.Dec" xfId="1395"/>
    <cellStyle name="_psg stock" xfId="1396"/>
    <cellStyle name="_Pum_2006" xfId="1397"/>
    <cellStyle name="_R8_CPQRC Storage 7-29-05" xfId="1398"/>
    <cellStyle name="_RAMP-E교-최종000" xfId="1399"/>
    <cellStyle name="_RAMP-E교-최종000_공유수면매립도시관리계획및실시설계용역" xfId="1400"/>
    <cellStyle name="_RAMP-E교-최종000_로하스변경내역서-5(06.6.7)" xfId="1401"/>
    <cellStyle name="_RAMP-E교-최종000_로하스변경내역서-5(06.6.7)_로하스변경내역서-6(06(1).6.27 당초변경)" xfId="1402"/>
    <cellStyle name="_RAMP-E교-최종000_로하스변경내역서-6(06.6.21)" xfId="1403"/>
    <cellStyle name="_RAMP-E교-최종000_로하스변경내역서-6(06.6.21)_로하스변경내역서-6(06(1).6.27 당초변경)" xfId="1404"/>
    <cellStyle name="_RAMP-E교-최종000_시방서" xfId="1405"/>
    <cellStyle name="_RAMP-E교-최종000_시방서_공유수면매립도시관리계획및실시설계용역" xfId="1406"/>
    <cellStyle name="_RAMP-E교-최종000_시방서_로하스변경내역서-5(06.6.7)" xfId="1407"/>
    <cellStyle name="_RAMP-E교-최종000_시방서_로하스변경내역서-5(06.6.7)_로하스변경내역서-6(06(1).6.27 당초변경)" xfId="1408"/>
    <cellStyle name="_RAMP-E교-최종000_시방서_로하스변경내역서-6(06.6.21)" xfId="1409"/>
    <cellStyle name="_RAMP-E교-최종000_시방서_로하스변경내역서-6(06.6.21)_로하스변경내역서-6(06(1).6.27 당초변경)" xfId="1410"/>
    <cellStyle name="_RAMP-E교-최종000_파도 - 모항선 횡배수관 확장" xfId="1411"/>
    <cellStyle name="_RAMP-E교-최종000_파도 - 모항선 횡배수관 확장_공유수면매립도시관리계획및실시설계용역" xfId="1412"/>
    <cellStyle name="_RAMP-E교-최종000_파도 - 모항선 횡배수관 확장_로하스변경내역서-5(06.6.7)" xfId="1413"/>
    <cellStyle name="_RAMP-E교-최종000_파도 - 모항선 횡배수관 확장_로하스변경내역서-5(06.6.7)_로하스변경내역서-6(06(1).6.27 당초변경)" xfId="1414"/>
    <cellStyle name="_RAMP-E교-최종000_파도 - 모항선 횡배수관 확장_로하스변경내역서-6(06.6.21)" xfId="1415"/>
    <cellStyle name="_RAMP-E교-최종000_파도 - 모항선 횡배수관 확장_로하스변경내역서-6(06.6.21)_로하스변경내역서-6(06(1).6.27 당초변경)" xfId="1416"/>
    <cellStyle name="_RAMP-E교-최종000_파도 - 모항선 횡배수관 확장_시방서" xfId="1417"/>
    <cellStyle name="_RAMP-E교-최종000_파도 - 모항선 횡배수관 확장_시방서_공유수면매립도시관리계획및실시설계용역" xfId="1418"/>
    <cellStyle name="_RAMP-E교-최종000_파도 - 모항선 횡배수관 확장_시방서_로하스변경내역서-5(06.6.7)" xfId="1419"/>
    <cellStyle name="_RAMP-E교-최종000_파도 - 모항선 횡배수관 확장_시방서_로하스변경내역서-5(06.6.7)_로하스변경내역서-6(06(1).6.27 당초변경)" xfId="1420"/>
    <cellStyle name="_RAMP-E교-최종000_파도 - 모항선 횡배수관 확장_시방서_로하스변경내역서-6(06.6.21)" xfId="1421"/>
    <cellStyle name="_RAMP-E교-최종000_파도 - 모항선 횡배수관 확장_시방서_로하스변경내역서-6(06.6.21)_로하스변경내역서-6(06(1).6.27 당초변경)" xfId="1422"/>
    <cellStyle name="_RESULTS" xfId="1423"/>
    <cellStyle name="_SA-08009-446한국DB진흥센타(IGM Public)" xfId="1424"/>
    <cellStyle name="_SC제일_개인신용여신부(부산+광주+잠실서+대전+광나루대한제지)견적서_V1.2" xfId="1425"/>
    <cellStyle name="_SC제일_목동 PRB 견적서_V1.1" xfId="1426"/>
    <cellStyle name="_SDQ031036캐드랜드(거제시청)" xfId="1427"/>
    <cellStyle name="_Server" xfId="1428"/>
    <cellStyle name="_SI부문_김천시" xfId="1429"/>
    <cellStyle name="_SMS_ITOP" xfId="1430"/>
    <cellStyle name="_SSG0520 견적서(061025)" xfId="1431"/>
    <cellStyle name="_SSO  견적-대한지적공사" xfId="1432"/>
    <cellStyle name="_SUN(유닉스계열)" xfId="1433"/>
    <cellStyle name="_TGIF견적(AS및개발비,20030307)" xfId="1434"/>
    <cellStyle name="_TGIF견적(POS,20030307)" xfId="1435"/>
    <cellStyle name="_THP관설치" xfId="1436"/>
    <cellStyle name="_THP관설치_두릉1제 수량산출서" xfId="1437"/>
    <cellStyle name="_THP관설치_인계1공구 수량산출" xfId="1438"/>
    <cellStyle name="_THP관설치_총자재집계표" xfId="1439"/>
    <cellStyle name="_TmaxSoft견적_080619" xfId="1440"/>
    <cellStyle name="_to_IBK_COLD_HP7405_HP2405_EMC_TMAX" xfId="1441"/>
    <cellStyle name="_to_IBK_EFPS_030326" xfId="1442"/>
    <cellStyle name="_to_IBK_eFPS-혁성030109_수정" xfId="1443"/>
    <cellStyle name="_to_IBK_eFPS-혁성030113" xfId="1444"/>
    <cellStyle name="_to_ibk_IBKPOINT(031008)_1" xfId="1445"/>
    <cellStyle name="_to_IBK_IBS증설4차_030423" xfId="1446"/>
    <cellStyle name="_to_IBK_국외점포망(030212)" xfId="1447"/>
    <cellStyle name="_to_IBK_방카2차증설_DB2_WAS2_테스트_채널(031001)_제출용_수정" xfId="1448"/>
    <cellStyle name="_to_ibk_방카최종견적(031009)" xfId="1449"/>
    <cellStyle name="_to_sds_방카(030605)" xfId="1450"/>
    <cellStyle name="_to_강재훈과장_Bankon_4way(031209)_수정" xfId="1451"/>
    <cellStyle name="_to_김경수kj_뱅킹SAN구성(031009)" xfId="1452"/>
    <cellStyle name="_to_노윤규cj_IBS5th증설_최종낙찰견적(031125)" xfId="1453"/>
    <cellStyle name="_to_노윤규cj_최종낙찰견적(030731)" xfId="1454"/>
    <cellStyle name="_to_손인표과장_뱅크온(031203)" xfId="1455"/>
    <cellStyle name="_to_이병남cj_방카(030318)제출용" xfId="1456"/>
    <cellStyle name="_UIS설계내역서_1차년도(우대칼스_041029_v1)" xfId="1457"/>
    <cellStyle name="_UPIS(B)" xfId="1458"/>
    <cellStyle name="_U수량" xfId="1459"/>
    <cellStyle name="_U수량_01.토공-월암교차로" xfId="1460"/>
    <cellStyle name="_U수량_01.토공-월암교차로_깨기수량샘플1" xfId="1461"/>
    <cellStyle name="_U수량_01.토공-월암교차로_깨기수량샘플1_변경내역" xfId="1462"/>
    <cellStyle name="_U수량_01.토공-월암교차로_깨기수량샘플1_신규단가및표지" xfId="1463"/>
    <cellStyle name="_U수량_01.토공-월암교차로_깨기수량샘플1_신규단산" xfId="1464"/>
    <cellStyle name="_U수량_01.토공-월암교차로_변경내역" xfId="1465"/>
    <cellStyle name="_U수량_01.토공-월암교차로_신규단가및표지" xfId="1466"/>
    <cellStyle name="_U수량_01.토공-월암교차로_신규단산" xfId="1467"/>
    <cellStyle name="_U수량_02.배수공" xfId="1468"/>
    <cellStyle name="_U수량_02.배수공_변경내역" xfId="1469"/>
    <cellStyle name="_U수량_02.배수공_신규단가및표지" xfId="1470"/>
    <cellStyle name="_U수량_02.배수공_신규단산" xfId="1471"/>
    <cellStyle name="_U수량_강경읍염천리" xfId="1472"/>
    <cellStyle name="_U수량_강경읍염천리_01.토공-월암교차로" xfId="1473"/>
    <cellStyle name="_U수량_강경읍염천리_01.토공-월암교차로_깨기수량샘플1" xfId="1474"/>
    <cellStyle name="_U수량_강경읍염천리_01.토공-월암교차로_깨기수량샘플1_변경내역" xfId="1475"/>
    <cellStyle name="_U수량_강경읍염천리_01.토공-월암교차로_깨기수량샘플1_신규단가및표지" xfId="1476"/>
    <cellStyle name="_U수량_강경읍염천리_01.토공-월암교차로_깨기수량샘플1_신규단산" xfId="1477"/>
    <cellStyle name="_U수량_강경읍염천리_01.토공-월암교차로_변경내역" xfId="1478"/>
    <cellStyle name="_U수량_강경읍염천리_01.토공-월암교차로_신규단가및표지" xfId="1479"/>
    <cellStyle name="_U수량_강경읍염천리_01.토공-월암교차로_신규단산" xfId="1480"/>
    <cellStyle name="_U수량_강경읍염천리_02.배수공" xfId="1481"/>
    <cellStyle name="_U수량_강경읍염천리_02.배수공_변경내역" xfId="1482"/>
    <cellStyle name="_U수량_강경읍염천리_02.배수공_신규단가및표지" xfId="1483"/>
    <cellStyle name="_U수량_강경읍염천리_02.배수공_신규단산" xfId="1484"/>
    <cellStyle name="_U수량_강경읍염천리_깨기수량(38호선)" xfId="1485"/>
    <cellStyle name="_U수량_강경읍염천리_깨기수량(38호선)_깨기수량샘플1" xfId="1486"/>
    <cellStyle name="_U수량_강경읍염천리_깨기수량(38호선)_깨기수량샘플1_변경내역" xfId="1487"/>
    <cellStyle name="_U수량_강경읍염천리_깨기수량(38호선)_깨기수량샘플1_신규단가및표지" xfId="1488"/>
    <cellStyle name="_U수량_강경읍염천리_깨기수량(38호선)_깨기수량샘플1_신규단산" xfId="1489"/>
    <cellStyle name="_U수량_강경읍염천리_깨기수량(38호선)_변경내역" xfId="1490"/>
    <cellStyle name="_U수량_강경읍염천리_깨기수량(38호선)_신규단가및표지" xfId="1491"/>
    <cellStyle name="_U수량_강경읍염천리_깨기수량(38호선)_신규단산" xfId="1492"/>
    <cellStyle name="_U수량_강경읍염천리_대야포장공" xfId="1493"/>
    <cellStyle name="_U수량_강경읍염천리_대야포장공_01.토공-월암교차로" xfId="1494"/>
    <cellStyle name="_U수량_강경읍염천리_대야포장공_01.토공-월암교차로_깨기수량샘플1" xfId="1495"/>
    <cellStyle name="_U수량_강경읍염천리_대야포장공_01.토공-월암교차로_깨기수량샘플1_변경내역" xfId="1496"/>
    <cellStyle name="_U수량_강경읍염천리_대야포장공_01.토공-월암교차로_깨기수량샘플1_신규단가및표지" xfId="1497"/>
    <cellStyle name="_U수량_강경읍염천리_대야포장공_01.토공-월암교차로_깨기수량샘플1_신규단산" xfId="1498"/>
    <cellStyle name="_U수량_강경읍염천리_대야포장공_01.토공-월암교차로_변경내역" xfId="1499"/>
    <cellStyle name="_U수량_강경읍염천리_대야포장공_01.토공-월암교차로_신규단가및표지" xfId="1500"/>
    <cellStyle name="_U수량_강경읍염천리_대야포장공_01.토공-월암교차로_신규단산" xfId="1501"/>
    <cellStyle name="_U수량_강경읍염천리_대야포장공_02.배수공" xfId="1502"/>
    <cellStyle name="_U수량_강경읍염천리_대야포장공_02.배수공_변경내역" xfId="1503"/>
    <cellStyle name="_U수량_강경읍염천리_대야포장공_02.배수공_신규단가및표지" xfId="1504"/>
    <cellStyle name="_U수량_강경읍염천리_대야포장공_02.배수공_신규단산" xfId="1505"/>
    <cellStyle name="_U수량_강경읍염천리_대야포장공_깨기수량(38호선)" xfId="1506"/>
    <cellStyle name="_U수량_강경읍염천리_대야포장공_깨기수량(38호선)_깨기수량샘플1" xfId="1507"/>
    <cellStyle name="_U수량_강경읍염천리_대야포장공_깨기수량(38호선)_깨기수량샘플1_변경내역" xfId="1508"/>
    <cellStyle name="_U수량_강경읍염천리_대야포장공_깨기수량(38호선)_깨기수량샘플1_신규단가및표지" xfId="1509"/>
    <cellStyle name="_U수량_강경읍염천리_대야포장공_깨기수량(38호선)_깨기수량샘플1_신규단산" xfId="1510"/>
    <cellStyle name="_U수량_강경읍염천리_대야포장공_깨기수량(38호선)_변경내역" xfId="1511"/>
    <cellStyle name="_U수량_강경읍염천리_대야포장공_깨기수량(38호선)_신규단가및표지" xfId="1512"/>
    <cellStyle name="_U수량_강경읍염천리_대야포장공_깨기수량(38호선)_신규단산" xfId="1513"/>
    <cellStyle name="_U수량_강경읍염천리_대야포장공_배수공" xfId="1514"/>
    <cellStyle name="_U수량_강경읍염천리_대야포장공_배수공(7월30일)" xfId="1515"/>
    <cellStyle name="_U수량_강경읍염천리_대야포장공_배수공(7월30일)_깨기수량샘플1" xfId="1516"/>
    <cellStyle name="_U수량_강경읍염천리_대야포장공_배수공(7월30일)_깨기수량샘플1_변경내역" xfId="1517"/>
    <cellStyle name="_U수량_강경읍염천리_대야포장공_배수공(7월30일)_깨기수량샘플1_신규단가및표지" xfId="1518"/>
    <cellStyle name="_U수량_강경읍염천리_대야포장공_배수공(7월30일)_깨기수량샘플1_신규단산" xfId="1519"/>
    <cellStyle name="_U수량_강경읍염천리_대야포장공_배수공(7월30일)_변경내역" xfId="1520"/>
    <cellStyle name="_U수량_강경읍염천리_대야포장공_배수공(7월30일)_신규단가및표지" xfId="1521"/>
    <cellStyle name="_U수량_강경읍염천리_대야포장공_배수공(7월30일)_신규단산" xfId="1522"/>
    <cellStyle name="_U수량_강경읍염천리_대야포장공_배수공_배수공" xfId="1523"/>
    <cellStyle name="_U수량_강경읍염천리_대야포장공_배수공_배수공_변경내역" xfId="1524"/>
    <cellStyle name="_U수량_강경읍염천리_대야포장공_배수공_배수공_신규단가및표지" xfId="1525"/>
    <cellStyle name="_U수량_강경읍염천리_대야포장공_배수공_배수공_신규단산" xfId="1526"/>
    <cellStyle name="_U수량_강경읍염천리_대야포장공_배수공_변경내역" xfId="1527"/>
    <cellStyle name="_U수량_강경읍염천리_대야포장공_배수공_신규단가및표지" xfId="1528"/>
    <cellStyle name="_U수량_강경읍염천리_대야포장공_배수공_신규단산" xfId="1529"/>
    <cellStyle name="_U수량_강경읍염천리_대야포장공_변경내역" xfId="1530"/>
    <cellStyle name="_U수량_강경읍염천리_대야포장공_신규단가및표지" xfId="1531"/>
    <cellStyle name="_U수량_강경읍염천리_대야포장공_신규단산" xfId="1532"/>
    <cellStyle name="_U수량_강경읍염천리_배수공" xfId="1533"/>
    <cellStyle name="_U수량_강경읍염천리_배수공(7월30일)" xfId="1534"/>
    <cellStyle name="_U수량_강경읍염천리_배수공(7월30일)_깨기수량샘플1" xfId="1535"/>
    <cellStyle name="_U수량_강경읍염천리_배수공(7월30일)_깨기수량샘플1_변경내역" xfId="1536"/>
    <cellStyle name="_U수량_강경읍염천리_배수공(7월30일)_깨기수량샘플1_신규단가및표지" xfId="1537"/>
    <cellStyle name="_U수량_강경읍염천리_배수공(7월30일)_깨기수량샘플1_신규단산" xfId="1538"/>
    <cellStyle name="_U수량_강경읍염천리_배수공(7월30일)_변경내역" xfId="1539"/>
    <cellStyle name="_U수량_강경읍염천리_배수공(7월30일)_신규단가및표지" xfId="1540"/>
    <cellStyle name="_U수량_강경읍염천리_배수공(7월30일)_신규단산" xfId="1541"/>
    <cellStyle name="_U수량_강경읍염천리_배수공_배수공" xfId="1542"/>
    <cellStyle name="_U수량_강경읍염천리_배수공_배수공_변경내역" xfId="1543"/>
    <cellStyle name="_U수량_강경읍염천리_배수공_배수공_신규단가및표지" xfId="1544"/>
    <cellStyle name="_U수량_강경읍염천리_배수공_배수공_신규단산" xfId="1545"/>
    <cellStyle name="_U수량_강경읍염천리_배수공_변경내역" xfId="1546"/>
    <cellStyle name="_U수량_강경읍염천리_배수공_신규단가및표지" xfId="1547"/>
    <cellStyle name="_U수량_강경읍염천리_배수공_신규단산" xfId="1548"/>
    <cellStyle name="_U수량_강경읍염천리_변경내역" xfId="1549"/>
    <cellStyle name="_U수량_강경읍염천리_신규단가및표지" xfId="1550"/>
    <cellStyle name="_U수량_강경읍염천리_신규단산" xfId="1551"/>
    <cellStyle name="_U수량_공설시장내" xfId="1552"/>
    <cellStyle name="_U수량_공설시장내_01.토공-월암교차로" xfId="1553"/>
    <cellStyle name="_U수량_공설시장내_01.토공-월암교차로_깨기수량샘플1" xfId="1554"/>
    <cellStyle name="_U수량_공설시장내_01.토공-월암교차로_깨기수량샘플1_변경내역" xfId="1555"/>
    <cellStyle name="_U수량_공설시장내_01.토공-월암교차로_깨기수량샘플1_신규단가및표지" xfId="1556"/>
    <cellStyle name="_U수량_공설시장내_01.토공-월암교차로_깨기수량샘플1_신규단산" xfId="1557"/>
    <cellStyle name="_U수량_공설시장내_01.토공-월암교차로_변경내역" xfId="1558"/>
    <cellStyle name="_U수량_공설시장내_01.토공-월암교차로_신규단가및표지" xfId="1559"/>
    <cellStyle name="_U수량_공설시장내_01.토공-월암교차로_신규단산" xfId="1560"/>
    <cellStyle name="_U수량_공설시장내_02.배수공" xfId="1561"/>
    <cellStyle name="_U수량_공설시장내_02.배수공_변경내역" xfId="1562"/>
    <cellStyle name="_U수량_공설시장내_02.배수공_신규단가및표지" xfId="1563"/>
    <cellStyle name="_U수량_공설시장내_02.배수공_신규단산" xfId="1564"/>
    <cellStyle name="_U수량_공설시장내_깨기수량(38호선)" xfId="1565"/>
    <cellStyle name="_U수량_공설시장내_깨기수량(38호선)_깨기수량샘플1" xfId="1566"/>
    <cellStyle name="_U수량_공설시장내_깨기수량(38호선)_깨기수량샘플1_변경내역" xfId="1567"/>
    <cellStyle name="_U수량_공설시장내_깨기수량(38호선)_깨기수량샘플1_신규단가및표지" xfId="1568"/>
    <cellStyle name="_U수량_공설시장내_깨기수량(38호선)_깨기수량샘플1_신규단산" xfId="1569"/>
    <cellStyle name="_U수량_공설시장내_깨기수량(38호선)_변경내역" xfId="1570"/>
    <cellStyle name="_U수량_공설시장내_깨기수량(38호선)_신규단가및표지" xfId="1571"/>
    <cellStyle name="_U수량_공설시장내_깨기수량(38호선)_신규단산" xfId="1572"/>
    <cellStyle name="_U수량_공설시장내_대야포장공" xfId="1573"/>
    <cellStyle name="_U수량_공설시장내_대야포장공_01.토공-월암교차로" xfId="1574"/>
    <cellStyle name="_U수량_공설시장내_대야포장공_01.토공-월암교차로_깨기수량샘플1" xfId="1575"/>
    <cellStyle name="_U수량_공설시장내_대야포장공_01.토공-월암교차로_깨기수량샘플1_변경내역" xfId="1576"/>
    <cellStyle name="_U수량_공설시장내_대야포장공_01.토공-월암교차로_깨기수량샘플1_신규단가및표지" xfId="1577"/>
    <cellStyle name="_U수량_공설시장내_대야포장공_01.토공-월암교차로_깨기수량샘플1_신규단산" xfId="1578"/>
    <cellStyle name="_U수량_공설시장내_대야포장공_01.토공-월암교차로_변경내역" xfId="1579"/>
    <cellStyle name="_U수량_공설시장내_대야포장공_01.토공-월암교차로_신규단가및표지" xfId="1580"/>
    <cellStyle name="_U수량_공설시장내_대야포장공_01.토공-월암교차로_신규단산" xfId="1581"/>
    <cellStyle name="_U수량_공설시장내_대야포장공_02.배수공" xfId="1582"/>
    <cellStyle name="_U수량_공설시장내_대야포장공_02.배수공_변경내역" xfId="1583"/>
    <cellStyle name="_U수량_공설시장내_대야포장공_02.배수공_신규단가및표지" xfId="1584"/>
    <cellStyle name="_U수량_공설시장내_대야포장공_02.배수공_신규단산" xfId="1585"/>
    <cellStyle name="_U수량_공설시장내_대야포장공_깨기수량(38호선)" xfId="1586"/>
    <cellStyle name="_U수량_공설시장내_대야포장공_깨기수량(38호선)_깨기수량샘플1" xfId="1587"/>
    <cellStyle name="_U수량_공설시장내_대야포장공_깨기수량(38호선)_깨기수량샘플1_변경내역" xfId="1588"/>
    <cellStyle name="_U수량_공설시장내_대야포장공_깨기수량(38호선)_깨기수량샘플1_신규단가및표지" xfId="1589"/>
    <cellStyle name="_U수량_공설시장내_대야포장공_깨기수량(38호선)_깨기수량샘플1_신규단산" xfId="1590"/>
    <cellStyle name="_U수량_공설시장내_대야포장공_깨기수량(38호선)_변경내역" xfId="1591"/>
    <cellStyle name="_U수량_공설시장내_대야포장공_깨기수량(38호선)_신규단가및표지" xfId="1592"/>
    <cellStyle name="_U수량_공설시장내_대야포장공_깨기수량(38호선)_신규단산" xfId="1593"/>
    <cellStyle name="_U수량_공설시장내_대야포장공_배수공" xfId="1594"/>
    <cellStyle name="_U수량_공설시장내_대야포장공_배수공(7월30일)" xfId="1595"/>
    <cellStyle name="_U수량_공설시장내_대야포장공_배수공(7월30일)_깨기수량샘플1" xfId="1596"/>
    <cellStyle name="_U수량_공설시장내_대야포장공_배수공(7월30일)_깨기수량샘플1_변경내역" xfId="1597"/>
    <cellStyle name="_U수량_공설시장내_대야포장공_배수공(7월30일)_깨기수량샘플1_신규단가및표지" xfId="1598"/>
    <cellStyle name="_U수량_공설시장내_대야포장공_배수공(7월30일)_깨기수량샘플1_신규단산" xfId="1599"/>
    <cellStyle name="_U수량_공설시장내_대야포장공_배수공(7월30일)_변경내역" xfId="1600"/>
    <cellStyle name="_U수량_공설시장내_대야포장공_배수공(7월30일)_신규단가및표지" xfId="1601"/>
    <cellStyle name="_U수량_공설시장내_대야포장공_배수공(7월30일)_신규단산" xfId="1602"/>
    <cellStyle name="_U수량_공설시장내_대야포장공_배수공_배수공" xfId="1603"/>
    <cellStyle name="_U수량_공설시장내_대야포장공_배수공_배수공_변경내역" xfId="1604"/>
    <cellStyle name="_U수량_공설시장내_대야포장공_배수공_배수공_신규단가및표지" xfId="1605"/>
    <cellStyle name="_U수량_공설시장내_대야포장공_배수공_배수공_신규단산" xfId="1606"/>
    <cellStyle name="_U수량_공설시장내_대야포장공_배수공_변경내역" xfId="1607"/>
    <cellStyle name="_U수량_공설시장내_대야포장공_배수공_신규단가및표지" xfId="1608"/>
    <cellStyle name="_U수량_공설시장내_대야포장공_배수공_신규단산" xfId="1609"/>
    <cellStyle name="_U수량_공설시장내_대야포장공_변경내역" xfId="1610"/>
    <cellStyle name="_U수량_공설시장내_대야포장공_신규단가및표지" xfId="1611"/>
    <cellStyle name="_U수량_공설시장내_대야포장공_신규단산" xfId="1612"/>
    <cellStyle name="_U수량_공설시장내_배수공" xfId="1613"/>
    <cellStyle name="_U수량_공설시장내_배수공(7월30일)" xfId="1614"/>
    <cellStyle name="_U수량_공설시장내_배수공(7월30일)_깨기수량샘플1" xfId="1615"/>
    <cellStyle name="_U수량_공설시장내_배수공(7월30일)_깨기수량샘플1_변경내역" xfId="1616"/>
    <cellStyle name="_U수량_공설시장내_배수공(7월30일)_깨기수량샘플1_신규단가및표지" xfId="1617"/>
    <cellStyle name="_U수량_공설시장내_배수공(7월30일)_깨기수량샘플1_신규단산" xfId="1618"/>
    <cellStyle name="_U수량_공설시장내_배수공(7월30일)_변경내역" xfId="1619"/>
    <cellStyle name="_U수량_공설시장내_배수공(7월30일)_신규단가및표지" xfId="1620"/>
    <cellStyle name="_U수량_공설시장내_배수공(7월30일)_신규단산" xfId="1621"/>
    <cellStyle name="_U수량_공설시장내_배수공_배수공" xfId="1622"/>
    <cellStyle name="_U수량_공설시장내_배수공_배수공_변경내역" xfId="1623"/>
    <cellStyle name="_U수량_공설시장내_배수공_배수공_신규단가및표지" xfId="1624"/>
    <cellStyle name="_U수량_공설시장내_배수공_배수공_신규단산" xfId="1625"/>
    <cellStyle name="_U수량_공설시장내_배수공_변경내역" xfId="1626"/>
    <cellStyle name="_U수량_공설시장내_배수공_신규단가및표지" xfId="1627"/>
    <cellStyle name="_U수량_공설시장내_배수공_신규단산" xfId="1628"/>
    <cellStyle name="_U수량_공설시장내_변경내역" xfId="1629"/>
    <cellStyle name="_U수량_공설시장내_신규단가및표지" xfId="1630"/>
    <cellStyle name="_U수량_공설시장내_신규단산" xfId="1631"/>
    <cellStyle name="_U수량_깨기수량(38호선)" xfId="1632"/>
    <cellStyle name="_U수량_깨기수량(38호선)_깨기수량샘플1" xfId="1633"/>
    <cellStyle name="_U수량_깨기수량(38호선)_깨기수량샘플1_변경내역" xfId="1634"/>
    <cellStyle name="_U수량_깨기수량(38호선)_깨기수량샘플1_신규단가및표지" xfId="1635"/>
    <cellStyle name="_U수량_깨기수량(38호선)_깨기수량샘플1_신규단산" xfId="1636"/>
    <cellStyle name="_U수량_깨기수량(38호선)_변경내역" xfId="1637"/>
    <cellStyle name="_U수량_깨기수량(38호선)_신규단가및표지" xfId="1638"/>
    <cellStyle name="_U수량_깨기수량(38호선)_신규단산" xfId="1639"/>
    <cellStyle name="_U수량_대야포장공" xfId="1640"/>
    <cellStyle name="_U수량_대야포장공_01.토공-월암교차로" xfId="1641"/>
    <cellStyle name="_U수량_대야포장공_01.토공-월암교차로_깨기수량샘플1" xfId="1642"/>
    <cellStyle name="_U수량_대야포장공_01.토공-월암교차로_깨기수량샘플1_변경내역" xfId="1643"/>
    <cellStyle name="_U수량_대야포장공_01.토공-월암교차로_깨기수량샘플1_신규단가및표지" xfId="1644"/>
    <cellStyle name="_U수량_대야포장공_01.토공-월암교차로_깨기수량샘플1_신규단산" xfId="1645"/>
    <cellStyle name="_U수량_대야포장공_01.토공-월암교차로_변경내역" xfId="1646"/>
    <cellStyle name="_U수량_대야포장공_01.토공-월암교차로_신규단가및표지" xfId="1647"/>
    <cellStyle name="_U수량_대야포장공_01.토공-월암교차로_신규단산" xfId="1648"/>
    <cellStyle name="_U수량_대야포장공_02.배수공" xfId="1649"/>
    <cellStyle name="_U수량_대야포장공_02.배수공_변경내역" xfId="1650"/>
    <cellStyle name="_U수량_대야포장공_02.배수공_신규단가및표지" xfId="1651"/>
    <cellStyle name="_U수량_대야포장공_02.배수공_신규단산" xfId="1652"/>
    <cellStyle name="_U수량_대야포장공_깨기수량(38호선)" xfId="1653"/>
    <cellStyle name="_U수량_대야포장공_깨기수량(38호선)_깨기수량샘플1" xfId="1654"/>
    <cellStyle name="_U수량_대야포장공_깨기수량(38호선)_깨기수량샘플1_변경내역" xfId="1655"/>
    <cellStyle name="_U수량_대야포장공_깨기수량(38호선)_깨기수량샘플1_신규단가및표지" xfId="1656"/>
    <cellStyle name="_U수량_대야포장공_깨기수량(38호선)_깨기수량샘플1_신규단산" xfId="1657"/>
    <cellStyle name="_U수량_대야포장공_깨기수량(38호선)_변경내역" xfId="1658"/>
    <cellStyle name="_U수량_대야포장공_깨기수량(38호선)_신규단가및표지" xfId="1659"/>
    <cellStyle name="_U수량_대야포장공_깨기수량(38호선)_신규단산" xfId="1660"/>
    <cellStyle name="_U수량_대야포장공_배수공" xfId="1661"/>
    <cellStyle name="_U수량_대야포장공_배수공(7월30일)" xfId="1662"/>
    <cellStyle name="_U수량_대야포장공_배수공(7월30일)_깨기수량샘플1" xfId="1663"/>
    <cellStyle name="_U수량_대야포장공_배수공(7월30일)_깨기수량샘플1_변경내역" xfId="1664"/>
    <cellStyle name="_U수량_대야포장공_배수공(7월30일)_깨기수량샘플1_신규단가및표지" xfId="1665"/>
    <cellStyle name="_U수량_대야포장공_배수공(7월30일)_깨기수량샘플1_신규단산" xfId="1666"/>
    <cellStyle name="_U수량_대야포장공_배수공(7월30일)_변경내역" xfId="1667"/>
    <cellStyle name="_U수량_대야포장공_배수공(7월30일)_신규단가및표지" xfId="1668"/>
    <cellStyle name="_U수량_대야포장공_배수공(7월30일)_신규단산" xfId="1669"/>
    <cellStyle name="_U수량_대야포장공_배수공_배수공" xfId="1670"/>
    <cellStyle name="_U수량_대야포장공_배수공_배수공_변경내역" xfId="1671"/>
    <cellStyle name="_U수량_대야포장공_배수공_배수공_신규단가및표지" xfId="1672"/>
    <cellStyle name="_U수량_대야포장공_배수공_배수공_신규단산" xfId="1673"/>
    <cellStyle name="_U수량_대야포장공_배수공_변경내역" xfId="1674"/>
    <cellStyle name="_U수량_대야포장공_배수공_신규단가및표지" xfId="1675"/>
    <cellStyle name="_U수량_대야포장공_배수공_신규단산" xfId="1676"/>
    <cellStyle name="_U수량_대야포장공_변경내역" xfId="1677"/>
    <cellStyle name="_U수량_대야포장공_신규단가및표지" xfId="1678"/>
    <cellStyle name="_U수량_대야포장공_신규단산" xfId="1679"/>
    <cellStyle name="_U수량_배수공" xfId="1680"/>
    <cellStyle name="_U수량_배수공(7월30일)" xfId="1681"/>
    <cellStyle name="_U수량_배수공(7월30일)_깨기수량샘플1" xfId="1682"/>
    <cellStyle name="_U수량_배수공(7월30일)_깨기수량샘플1_변경내역" xfId="1683"/>
    <cellStyle name="_U수량_배수공(7월30일)_깨기수량샘플1_신규단가및표지" xfId="1684"/>
    <cellStyle name="_U수량_배수공(7월30일)_깨기수량샘플1_신규단산" xfId="1685"/>
    <cellStyle name="_U수량_배수공(7월30일)_변경내역" xfId="1686"/>
    <cellStyle name="_U수량_배수공(7월30일)_신규단가및표지" xfId="1687"/>
    <cellStyle name="_U수량_배수공(7월30일)_신규단산" xfId="1688"/>
    <cellStyle name="_U수량_배수공_배수공" xfId="1689"/>
    <cellStyle name="_U수량_배수공_배수공_변경내역" xfId="1690"/>
    <cellStyle name="_U수량_배수공_배수공_신규단가및표지" xfId="1691"/>
    <cellStyle name="_U수량_배수공_배수공_신규단산" xfId="1692"/>
    <cellStyle name="_U수량_배수공_변경내역" xfId="1693"/>
    <cellStyle name="_U수량_배수공_신규단가및표지" xfId="1694"/>
    <cellStyle name="_U수량_배수공_신규단산" xfId="1695"/>
    <cellStyle name="_U수량_변경내역" xfId="1696"/>
    <cellStyle name="_U수량_신규단가및표지" xfId="1697"/>
    <cellStyle name="_U수량_신규단산" xfId="1698"/>
    <cellStyle name="_U수량_취암sample" xfId="1699"/>
    <cellStyle name="_U수량_취암sample_01.토공-월암교차로" xfId="1700"/>
    <cellStyle name="_U수량_취암sample_01.토공-월암교차로_깨기수량샘플1" xfId="1701"/>
    <cellStyle name="_U수량_취암sample_01.토공-월암교차로_깨기수량샘플1_변경내역" xfId="1702"/>
    <cellStyle name="_U수량_취암sample_01.토공-월암교차로_깨기수량샘플1_신규단가및표지" xfId="1703"/>
    <cellStyle name="_U수량_취암sample_01.토공-월암교차로_깨기수량샘플1_신규단산" xfId="1704"/>
    <cellStyle name="_U수량_취암sample_01.토공-월암교차로_변경내역" xfId="1705"/>
    <cellStyle name="_U수량_취암sample_01.토공-월암교차로_신규단가및표지" xfId="1706"/>
    <cellStyle name="_U수량_취암sample_01.토공-월암교차로_신규단산" xfId="1707"/>
    <cellStyle name="_U수량_취암sample_02.배수공" xfId="1708"/>
    <cellStyle name="_U수량_취암sample_02.배수공_변경내역" xfId="1709"/>
    <cellStyle name="_U수량_취암sample_02.배수공_신규단가및표지" xfId="1710"/>
    <cellStyle name="_U수량_취암sample_02.배수공_신규단산" xfId="1711"/>
    <cellStyle name="_U수량_취암sample_깨기수량(38호선)" xfId="1712"/>
    <cellStyle name="_U수량_취암sample_깨기수량(38호선)_깨기수량샘플1" xfId="1713"/>
    <cellStyle name="_U수량_취암sample_깨기수량(38호선)_깨기수량샘플1_변경내역" xfId="1714"/>
    <cellStyle name="_U수량_취암sample_깨기수량(38호선)_깨기수량샘플1_신규단가및표지" xfId="1715"/>
    <cellStyle name="_U수량_취암sample_깨기수량(38호선)_깨기수량샘플1_신규단산" xfId="1716"/>
    <cellStyle name="_U수량_취암sample_깨기수량(38호선)_변경내역" xfId="1717"/>
    <cellStyle name="_U수량_취암sample_깨기수량(38호선)_신규단가및표지" xfId="1718"/>
    <cellStyle name="_U수량_취암sample_깨기수량(38호선)_신규단산" xfId="1719"/>
    <cellStyle name="_U수량_취암sample_대야포장공" xfId="1720"/>
    <cellStyle name="_U수량_취암sample_대야포장공_01.토공-월암교차로" xfId="1721"/>
    <cellStyle name="_U수량_취암sample_대야포장공_01.토공-월암교차로_깨기수량샘플1" xfId="1722"/>
    <cellStyle name="_U수량_취암sample_대야포장공_01.토공-월암교차로_깨기수량샘플1_변경내역" xfId="1723"/>
    <cellStyle name="_U수량_취암sample_대야포장공_01.토공-월암교차로_깨기수량샘플1_신규단가및표지" xfId="1724"/>
    <cellStyle name="_U수량_취암sample_대야포장공_01.토공-월암교차로_깨기수량샘플1_신규단산" xfId="1725"/>
    <cellStyle name="_U수량_취암sample_대야포장공_01.토공-월암교차로_변경내역" xfId="1726"/>
    <cellStyle name="_U수량_취암sample_대야포장공_01.토공-월암교차로_신규단가및표지" xfId="1727"/>
    <cellStyle name="_U수량_취암sample_대야포장공_01.토공-월암교차로_신규단산" xfId="1728"/>
    <cellStyle name="_U수량_취암sample_대야포장공_02.배수공" xfId="1729"/>
    <cellStyle name="_U수량_취암sample_대야포장공_02.배수공_변경내역" xfId="1730"/>
    <cellStyle name="_U수량_취암sample_대야포장공_02.배수공_신규단가및표지" xfId="1731"/>
    <cellStyle name="_U수량_취암sample_대야포장공_02.배수공_신규단산" xfId="1732"/>
    <cellStyle name="_U수량_취암sample_대야포장공_깨기수량(38호선)" xfId="1733"/>
    <cellStyle name="_U수량_취암sample_대야포장공_깨기수량(38호선)_깨기수량샘플1" xfId="1734"/>
    <cellStyle name="_U수량_취암sample_대야포장공_깨기수량(38호선)_깨기수량샘플1_변경내역" xfId="1735"/>
    <cellStyle name="_U수량_취암sample_대야포장공_깨기수량(38호선)_깨기수량샘플1_신규단가및표지" xfId="1736"/>
    <cellStyle name="_U수량_취암sample_대야포장공_깨기수량(38호선)_깨기수량샘플1_신규단산" xfId="1737"/>
    <cellStyle name="_U수량_취암sample_대야포장공_깨기수량(38호선)_변경내역" xfId="1738"/>
    <cellStyle name="_U수량_취암sample_대야포장공_깨기수량(38호선)_신규단가및표지" xfId="1739"/>
    <cellStyle name="_U수량_취암sample_대야포장공_깨기수량(38호선)_신규단산" xfId="1740"/>
    <cellStyle name="_U수량_취암sample_대야포장공_배수공" xfId="1741"/>
    <cellStyle name="_U수량_취암sample_대야포장공_배수공(7월30일)" xfId="1742"/>
    <cellStyle name="_U수량_취암sample_대야포장공_배수공(7월30일)_깨기수량샘플1" xfId="1743"/>
    <cellStyle name="_U수량_취암sample_대야포장공_배수공(7월30일)_깨기수량샘플1_변경내역" xfId="1744"/>
    <cellStyle name="_U수량_취암sample_대야포장공_배수공(7월30일)_깨기수량샘플1_신규단가및표지" xfId="1745"/>
    <cellStyle name="_U수량_취암sample_대야포장공_배수공(7월30일)_깨기수량샘플1_신규단산" xfId="1746"/>
    <cellStyle name="_U수량_취암sample_대야포장공_배수공(7월30일)_변경내역" xfId="1747"/>
    <cellStyle name="_U수량_취암sample_대야포장공_배수공(7월30일)_신규단가및표지" xfId="1748"/>
    <cellStyle name="_U수량_취암sample_대야포장공_배수공(7월30일)_신규단산" xfId="1749"/>
    <cellStyle name="_U수량_취암sample_대야포장공_배수공_배수공" xfId="1750"/>
    <cellStyle name="_U수량_취암sample_대야포장공_배수공_배수공_변경내역" xfId="1751"/>
    <cellStyle name="_U수량_취암sample_대야포장공_배수공_배수공_신규단가및표지" xfId="1752"/>
    <cellStyle name="_U수량_취암sample_대야포장공_배수공_배수공_신규단산" xfId="1753"/>
    <cellStyle name="_U수량_취암sample_대야포장공_배수공_변경내역" xfId="1754"/>
    <cellStyle name="_U수량_취암sample_대야포장공_배수공_신규단가및표지" xfId="1755"/>
    <cellStyle name="_U수량_취암sample_대야포장공_배수공_신규단산" xfId="1756"/>
    <cellStyle name="_U수량_취암sample_대야포장공_변경내역" xfId="1757"/>
    <cellStyle name="_U수량_취암sample_대야포장공_신규단가및표지" xfId="1758"/>
    <cellStyle name="_U수량_취암sample_대야포장공_신규단산" xfId="1759"/>
    <cellStyle name="_U수량_취암sample_배수공" xfId="1760"/>
    <cellStyle name="_U수량_취암sample_배수공(7월30일)" xfId="1761"/>
    <cellStyle name="_U수량_취암sample_배수공(7월30일)_깨기수량샘플1" xfId="1762"/>
    <cellStyle name="_U수량_취암sample_배수공(7월30일)_깨기수량샘플1_변경내역" xfId="1763"/>
    <cellStyle name="_U수량_취암sample_배수공(7월30일)_깨기수량샘플1_신규단가및표지" xfId="1764"/>
    <cellStyle name="_U수량_취암sample_배수공(7월30일)_깨기수량샘플1_신규단산" xfId="1765"/>
    <cellStyle name="_U수량_취암sample_배수공(7월30일)_변경내역" xfId="1766"/>
    <cellStyle name="_U수량_취암sample_배수공(7월30일)_신규단가및표지" xfId="1767"/>
    <cellStyle name="_U수량_취암sample_배수공(7월30일)_신규단산" xfId="1768"/>
    <cellStyle name="_U수량_취암sample_배수공_배수공" xfId="1769"/>
    <cellStyle name="_U수량_취암sample_배수공_배수공_변경내역" xfId="1770"/>
    <cellStyle name="_U수량_취암sample_배수공_배수공_신규단가및표지" xfId="1771"/>
    <cellStyle name="_U수량_취암sample_배수공_배수공_신규단산" xfId="1772"/>
    <cellStyle name="_U수량_취암sample_배수공_변경내역" xfId="1773"/>
    <cellStyle name="_U수량_취암sample_배수공_신규단가및표지" xfId="1774"/>
    <cellStyle name="_U수량_취암sample_배수공_신규단산" xfId="1775"/>
    <cellStyle name="_U수량_취암sample_변경내역" xfId="1776"/>
    <cellStyle name="_U수량_취암sample_신규단가및표지" xfId="1777"/>
    <cellStyle name="_U수량_취암sample_신규단산" xfId="1778"/>
    <cellStyle name="_V2_봉화군_UPIS품셈(안)_설계내역서_이력관리_77천_최종" xfId="1779"/>
    <cellStyle name="_V4_upis_서버및엔지_070529" xfId="1780"/>
    <cellStyle name="_WebGIS기능_본수_데이터(ver1.0)" xfId="1781"/>
    <cellStyle name="_White-HMS 프로그램 목록(2007.04.05)" xfId="1782"/>
    <cellStyle name="_WS(0404)" xfId="1783"/>
    <cellStyle name="_X" xfId="1784"/>
    <cellStyle name="_Y08925_대한지적공사_한국DB센터_TAS_견적서v1 0-001" xfId="1785"/>
    <cellStyle name="_Y-Project(최종)" xfId="1786"/>
    <cellStyle name="_Y-Project(최종)_창구즉시발급시스템견적서_070820(최종)" xfId="1787"/>
    <cellStyle name="_Y--PROJECT_물량산출서-0306" xfId="1788"/>
    <cellStyle name="_가격산출내역서_93" xfId="1789"/>
    <cellStyle name="_가고리" xfId="1790"/>
    <cellStyle name="_가물막이수량" xfId="1791"/>
    <cellStyle name="_가양-화곡내역(일위대가)" xfId="1792"/>
    <cellStyle name="_가양-화곡내역(일위대가)_5옹벽공" xfId="1793"/>
    <cellStyle name="_가양-화곡내역(일위대가)_5옹벽공_개봉TL수량산출서-1" xfId="1794"/>
    <cellStyle name="_가양-화곡내역(일위대가)_가양-화곡내역(토형100M)" xfId="1795"/>
    <cellStyle name="_가양-화곡내역(일위대가)_가양-화곡내역(토형100M)_5옹벽공" xfId="1796"/>
    <cellStyle name="_가양-화곡내역(일위대가)_가양-화곡내역(토형100M)_5옹벽공_개봉TL수량산출서-1" xfId="1797"/>
    <cellStyle name="_가양-화곡내역(일위대가)_가양-화곡내역(토형100M)_개봉TL수량산출서-1" xfId="1798"/>
    <cellStyle name="_가양-화곡내역(일위대가)_가양-화곡내역(토형100M)_수량산출" xfId="1799"/>
    <cellStyle name="_가양-화곡내역(일위대가)_가양-화곡내역(토형100M)_수량산출_5옹벽공" xfId="1800"/>
    <cellStyle name="_가양-화곡내역(일위대가)_가양-화곡내역(토형100M)_수량산출_5옹벽공_개봉TL수량산출서-1" xfId="1801"/>
    <cellStyle name="_가양-화곡내역(일위대가)_가양-화곡내역(토형100M)_수량산출_개봉TL수량산출서-1" xfId="1802"/>
    <cellStyle name="_가양-화곡내역(일위대가)_가양-화곡내역(토형100M)_수량산출_옹벽공" xfId="1803"/>
    <cellStyle name="_가양-화곡내역(일위대가)_가양-화곡내역(토형100M)_수량산출_옹벽공_개봉TL수량산출서-1" xfId="1804"/>
    <cellStyle name="_가양-화곡내역(일위대가)_가양-화곡내역(토형100M)_수량산출_옹벽수량" xfId="1805"/>
    <cellStyle name="_가양-화곡내역(일위대가)_가양-화곡내역(토형100M)_수량산출_옹벽수량_개봉TL수량산출서-1" xfId="1806"/>
    <cellStyle name="_가양-화곡내역(일위대가)_가양-화곡내역(토형100M)_옹벽공" xfId="1807"/>
    <cellStyle name="_가양-화곡내역(일위대가)_가양-화곡내역(토형100M)_옹벽공_개봉TL수량산출서-1" xfId="1808"/>
    <cellStyle name="_가양-화곡내역(일위대가)_가양-화곡내역(토형100M)_옹벽수량" xfId="1809"/>
    <cellStyle name="_가양-화곡내역(일위대가)_가양-화곡내역(토형100M)_옹벽수량_개봉TL수량산출서-1" xfId="1810"/>
    <cellStyle name="_가양-화곡내역(일위대가)_개봉TL수량산출서-1" xfId="1811"/>
    <cellStyle name="_가양-화곡내역(일위대가)_옹벽공" xfId="1812"/>
    <cellStyle name="_가양-화곡내역(일위대가)_옹벽공_개봉TL수량산출서-1" xfId="1813"/>
    <cellStyle name="_가양-화곡내역(일위대가)_옹벽수량" xfId="1814"/>
    <cellStyle name="_가양-화곡내역(일위대가)_옹벽수량_개봉TL수량산출서-1" xfId="1815"/>
    <cellStyle name="_가양-화곡내역(토형100M)" xfId="1816"/>
    <cellStyle name="_가양-화곡내역(토형100M)_5옹벽공" xfId="1817"/>
    <cellStyle name="_가양-화곡내역(토형100M)_5옹벽공_개봉TL수량산출서-1" xfId="1818"/>
    <cellStyle name="_가양-화곡내역(토형100M)_개봉TL수량산출서-1" xfId="1819"/>
    <cellStyle name="_가양-화곡내역(토형100M)_수량산출" xfId="1820"/>
    <cellStyle name="_가양-화곡내역(토형100M)_수량산출_5옹벽공" xfId="1821"/>
    <cellStyle name="_가양-화곡내역(토형100M)_수량산출_5옹벽공_개봉TL수량산출서-1" xfId="1822"/>
    <cellStyle name="_가양-화곡내역(토형100M)_수량산출_개봉TL수량산출서-1" xfId="1823"/>
    <cellStyle name="_가양-화곡내역(토형100M)_수량산출_옹벽공" xfId="1824"/>
    <cellStyle name="_가양-화곡내역(토형100M)_수량산출_옹벽공_개봉TL수량산출서-1" xfId="1825"/>
    <cellStyle name="_가양-화곡내역(토형100M)_수량산출_옹벽수량" xfId="1826"/>
    <cellStyle name="_가양-화곡내역(토형100M)_수량산출_옹벽수량_개봉TL수량산출서-1" xfId="1827"/>
    <cellStyle name="_가양-화곡내역(토형100M)_옹벽공" xfId="1828"/>
    <cellStyle name="_가양-화곡내역(토형100M)_옹벽공_개봉TL수량산출서-1" xfId="1829"/>
    <cellStyle name="_가양-화곡내역(토형100M)_옹벽수량" xfId="1830"/>
    <cellStyle name="_가양-화곡내역(토형100M)_옹벽수량_개봉TL수량산출서-1" xfId="1831"/>
    <cellStyle name="_가천지방산단-사전&amp;평가" xfId="1832"/>
    <cellStyle name="_간지(횡)" xfId="1833"/>
    <cellStyle name="_간지,목차,페이지,표지" xfId="1834"/>
    <cellStyle name="_감가상각(01년도) (2)" xfId="1835"/>
    <cellStyle name="_감가상각(01년도) (3)" xfId="1836"/>
    <cellStyle name="_강구구상_내역서" xfId="1837"/>
    <cellStyle name="_강남대_네트웍_컴스(시스코쓰리콤견적)" xfId="1838"/>
    <cellStyle name="_강내 인도설치1" xfId="1839"/>
    <cellStyle name="_강내 인도설치1_01.설계내역2" xfId="1840"/>
    <cellStyle name="_강내 인도설치1_제2종지구단위계획_선바위관광지" xfId="1841"/>
    <cellStyle name="_강내 인도설치1_제2종지구단위계획_선바위관광지_20090609_영덕농공단지내역서" xfId="1842"/>
    <cellStyle name="_강내 인도설치1_제2종지구단위계획_선바위관광지_총괄내역서(090223)" xfId="1843"/>
    <cellStyle name="_강내 인도설치1_총괄내역서_도시관리계획결정(070907)_계약" xfId="1844"/>
    <cellStyle name="_강내 인도설치1_총괄내역서_타당성조사및도시관리계획결정(090115)" xfId="1845"/>
    <cellStyle name="_강내 인도설치1_총괄내역서_타당성조사및도시관리계획결정(090115)_20090609_영덕농공단지내역서" xfId="1846"/>
    <cellStyle name="_강내 인도설치1_총괄내역서_타당성조사및도시관리계획결정(090115)_총괄내역서(090223)" xfId="1847"/>
    <cellStyle name="_강릉대학술정보지원센터총괄(월드2낙찰)" xfId="1848"/>
    <cellStyle name="_강명산익" xfId="1849"/>
    <cellStyle name="_강산FRP" xfId="1850"/>
    <cellStyle name="_강원도 정책결정지원 인트라넷 구축사업_내역서" xfId="1851"/>
    <cellStyle name="_개  거" xfId="1852"/>
    <cellStyle name="_개  거_두릉1제 수량산출서" xfId="1853"/>
    <cellStyle name="_개  거_인계1공구 수량산출" xfId="1854"/>
    <cellStyle name="_개  거_총자재집계표" xfId="1855"/>
    <cellStyle name="_개거공사비" xfId="1856"/>
    <cellStyle name="_개략공사비(최종)" xfId="1857"/>
    <cellStyle name="_개발계획 및 실시계획변경 내역서(검토보고서)" xfId="1858"/>
    <cellStyle name="_개봉TL수량산출서-1" xfId="1859"/>
    <cellStyle name="_개요" xfId="1860"/>
    <cellStyle name="_갯벌생태공원 평가부문내역(REV01)" xfId="1861"/>
    <cellStyle name="_건국대학교 매체제작실 견적서 03.0929" xfId="1862"/>
    <cellStyle name="_게다블럭" xfId="1863"/>
    <cellStyle name="_견적 051004-농림부-농림부안전관리(코오롱)" xfId="1864"/>
    <cellStyle name="_견적 제출 양식" xfId="1865"/>
    <cellStyle name="_견적 총괄표" xfId="1866"/>
    <cellStyle name="_견적_081017" xfId="1867"/>
    <cellStyle name="_견적_60_희소공동체_라듐50_신후랑" xfId="1868"/>
    <cellStyle name="_견적_검색엔진_한솔텔레컴_20070213" xfId="1869"/>
    <cellStyle name="_견적_솔루션_한솔텔레컴_20070202" xfId="1870"/>
    <cellStyle name="_견적_인프라_바이텍정보통신_20070202" xfId="1871"/>
    <cellStyle name="_견적_인프라_한솔텔레컴_20070202" xfId="1872"/>
    <cellStyle name="_견적21.11.16(신용리스크관리-Oracle,F4800)★" xfId="1873"/>
    <cellStyle name="_견적-NXG IPS 2000-데이터베이스진흥센타" xfId="1874"/>
    <cellStyle name="_견적결과" xfId="1875"/>
    <cellStyle name="_견적결과_간이배수펌프장설치에 따른 타당성용역내역" xfId="1876"/>
    <cellStyle name="_견적결과_선정안(삼산)" xfId="1877"/>
    <cellStyle name="_견적결과_선정안(삼산)_간이배수펌프장설치에 따른 타당성용역내역" xfId="1878"/>
    <cellStyle name="_견적결과_추풍령" xfId="1879"/>
    <cellStyle name="_견적결과_추풍령_간이배수펌프장설치에 따른 타당성용역내역" xfId="1880"/>
    <cellStyle name="_견적결과_추풍령-1" xfId="1881"/>
    <cellStyle name="_견적결과_추풍령-1_간이배수펌프장설치에 따른 타당성용역내역" xfId="1882"/>
    <cellStyle name="_견적결과보고서 양식(2002 09 04)" xfId="1883"/>
    <cellStyle name="_견적상세-1" xfId="1884"/>
    <cellStyle name="_견적상세-2" xfId="1885"/>
    <cellStyle name="_견적상세-3" xfId="1886"/>
    <cellStyle name="_견적서" xfId="1887"/>
    <cellStyle name="_견적서 0528 교보생명 JuckBox" xfId="1888"/>
    <cellStyle name="_견적서 07-0220" xfId="1889"/>
    <cellStyle name="_견적서 07-0221" xfId="1890"/>
    <cellStyle name="_견적서(1014)" xfId="1891"/>
    <cellStyle name="_견적서(sun480V)040108-펜타시큐리티" xfId="1892"/>
    <cellStyle name="_견적서(발송용-rp7410-원본)-20030318" xfId="1893"/>
    <cellStyle name="_견적서(서울도시개발공사, 이익창실장님  20051121)" xfId="1894"/>
    <cellStyle name="_견적서(송인정보) 07-0216" xfId="1895"/>
    <cellStyle name="_견적서(수신-서울여성-한국데이터베이스진흥센터(오라클버전 수정본))" xfId="1896"/>
    <cellStyle name="_견적서(에스비시스템) 07-0222" xfId="1897"/>
    <cellStyle name="_견적서(이익창실장님, 기상청 20051101)" xfId="1898"/>
    <cellStyle name="_견적서(한국데이터베이스진흥센터) - 06 01" xfId="1899"/>
    <cellStyle name="_견적서_2006년 유지보수(대비)_20060306" xfId="1900"/>
    <cellStyle name="_견적서_SK네트웍스 2008 04 17" xfId="1901"/>
    <cellStyle name="_견적서_산자부G4B_한국데이터베이스진흥센터_(20070713)" xfId="1902"/>
    <cellStyle name="_견적서_수출보험공사 WLAN_071213" xfId="1903"/>
    <cellStyle name="_견적서4" xfId="1904"/>
    <cellStyle name="_견적서-G4B3차_한국데이터베이스진흥센터_20070716" xfId="1905"/>
    <cellStyle name="_견적서-한국청소년상담원-x346-0323 닉스" xfId="1906"/>
    <cellStyle name="_견적요청_050412_sky" xfId="1907"/>
    <cellStyle name="_견적조건" xfId="1908"/>
    <cellStyle name="_견적조건_간이배수펌프장설치에 따른 타당성용역내역" xfId="1909"/>
    <cellStyle name="_견적조건_선정안(삼산)" xfId="1910"/>
    <cellStyle name="_견적조건_선정안(삼산)_간이배수펌프장설치에 따른 타당성용역내역" xfId="1911"/>
    <cellStyle name="_견적조건_추풍령" xfId="1912"/>
    <cellStyle name="_견적조건_추풍령_간이배수펌프장설치에 따른 타당성용역내역" xfId="1913"/>
    <cellStyle name="_견적조건_추풍령-1" xfId="1914"/>
    <cellStyle name="_견적조건_추풍령-1_간이배수펌프장설치에 따른 타당성용역내역" xfId="1915"/>
    <cellStyle name="_경계표주수량산출" xfId="1916"/>
    <cellStyle name="_경계표주수량산출_내지농로(변경)" xfId="1917"/>
    <cellStyle name="_경계표주수량산출_내지농로(변경)_돈지수량산출" xfId="1918"/>
    <cellStyle name="_경계표주수량산출_능양수량산출" xfId="1919"/>
    <cellStyle name="_경계표주수량산출_능양수량산출_돈지수량산출" xfId="1920"/>
    <cellStyle name="_경계표주수량산출_돈지안길" xfId="1921"/>
    <cellStyle name="_경계표주수량산출_돈지안길_배수로" xfId="1922"/>
    <cellStyle name="_경계표주수량산출_돈지안길1000" xfId="1923"/>
    <cellStyle name="_경계표주수량산출_돈지안길1000_배수로" xfId="1924"/>
    <cellStyle name="_경계표주수량산출_배수로" xfId="1925"/>
    <cellStyle name="_경계표주수량산출_배수로_배수로" xfId="1926"/>
    <cellStyle name="_경계표주수량산출_석축쌓기" xfId="1927"/>
    <cellStyle name="_경계표주수량산출_석축쌓기_내지농로(변경)" xfId="1928"/>
    <cellStyle name="_경계표주수량산출_석축쌓기_내지농로(변경)_돈지수량산출" xfId="1929"/>
    <cellStyle name="_경계표주수량산출_석축쌓기_능양수량산출" xfId="1930"/>
    <cellStyle name="_경계표주수량산출_석축쌓기_능양수량산출_돈지수량산출" xfId="1931"/>
    <cellStyle name="_경계표주수량산출_석축쌓기_돈지안길" xfId="1932"/>
    <cellStyle name="_경계표주수량산출_석축쌓기_돈지안길_배수로" xfId="1933"/>
    <cellStyle name="_경계표주수량산출_석축쌓기_돈지안길1000" xfId="1934"/>
    <cellStyle name="_경계표주수량산출_석축쌓기_돈지안길1000_배수로" xfId="1935"/>
    <cellStyle name="_경계표주수량산출_석축쌓기_배수공(명품센터)" xfId="1936"/>
    <cellStyle name="_경계표주수량산출_석축쌓기_배수공(명품센터)_내지농로(변경)" xfId="1937"/>
    <cellStyle name="_경계표주수량산출_석축쌓기_배수공(명품센터)_내지농로(변경)_돈지수량산출" xfId="1938"/>
    <cellStyle name="_경계표주수량산출_석축쌓기_배수공(명품센터)_능양수량산출" xfId="1939"/>
    <cellStyle name="_경계표주수량산출_석축쌓기_배수공(명품센터)_능양수량산출_돈지수량산출" xfId="1940"/>
    <cellStyle name="_경계표주수량산출_석축쌓기_배수공(명품센터)_돈지안길" xfId="1941"/>
    <cellStyle name="_경계표주수량산출_석축쌓기_배수공(명품센터)_돈지안길_배수로" xfId="1942"/>
    <cellStyle name="_경계표주수량산출_석축쌓기_배수공(명품센터)_돈지안길1000" xfId="1943"/>
    <cellStyle name="_경계표주수량산출_석축쌓기_배수공(명품센터)_돈지안길1000_배수로" xfId="1944"/>
    <cellStyle name="_경계표주수량산출_석축쌓기_배수공(명품센터)_배수로" xfId="1945"/>
    <cellStyle name="_경계표주수량산출_석축쌓기_배수공(명품센터)_배수로_배수로" xfId="1946"/>
    <cellStyle name="_경계표주수량산출_석축쌓기_배수로" xfId="1947"/>
    <cellStyle name="_경계표주수량산출_석축쌓기_배수로_배수로" xfId="1948"/>
    <cellStyle name="_경계표주수량산출_석축쌓기_수량(전안수해복구)" xfId="1949"/>
    <cellStyle name="_경계표주수량산출_석축쌓기_수량(전안수해복구)_내지농로(변경)" xfId="1950"/>
    <cellStyle name="_경계표주수량산출_석축쌓기_수량(전안수해복구)_내지농로(변경)_돈지수량산출" xfId="1951"/>
    <cellStyle name="_경계표주수량산출_석축쌓기_수량(전안수해복구)_능양수량산출" xfId="1952"/>
    <cellStyle name="_경계표주수량산출_석축쌓기_수량(전안수해복구)_능양수량산출_돈지수량산출" xfId="1953"/>
    <cellStyle name="_경계표주수량산출_석축쌓기_수량(전안수해복구)_돈지안길" xfId="1954"/>
    <cellStyle name="_경계표주수량산출_석축쌓기_수량(전안수해복구)_돈지안길_배수로" xfId="1955"/>
    <cellStyle name="_경계표주수량산출_석축쌓기_수량(전안수해복구)_돈지안길1000" xfId="1956"/>
    <cellStyle name="_경계표주수량산출_석축쌓기_수량(전안수해복구)_돈지안길1000_배수로" xfId="1957"/>
    <cellStyle name="_경계표주수량산출_석축쌓기_수량(전안수해복구)_배수로" xfId="1958"/>
    <cellStyle name="_경계표주수량산출_석축쌓기_수량(전안수해복구)_배수로_배수로" xfId="1959"/>
    <cellStyle name="_경계표주수량산출_석축쌓기_우수공(k2)" xfId="1960"/>
    <cellStyle name="_경계표주수량산출_석축쌓기_우수공(k2)_내지농로(변경)" xfId="1961"/>
    <cellStyle name="_경계표주수량산출_석축쌓기_우수공(k2)_내지농로(변경)_돈지수량산출" xfId="1962"/>
    <cellStyle name="_경계표주수량산출_석축쌓기_우수공(k2)_능양수량산출" xfId="1963"/>
    <cellStyle name="_경계표주수량산출_석축쌓기_우수공(k2)_능양수량산출_돈지수량산출" xfId="1964"/>
    <cellStyle name="_경계표주수량산출_석축쌓기_우수공(k2)_돈지안길" xfId="1965"/>
    <cellStyle name="_경계표주수량산출_석축쌓기_우수공(k2)_돈지안길_배수로" xfId="1966"/>
    <cellStyle name="_경계표주수량산출_석축쌓기_우수공(k2)_돈지안길1000" xfId="1967"/>
    <cellStyle name="_경계표주수량산출_석축쌓기_우수공(k2)_돈지안길1000_배수로" xfId="1968"/>
    <cellStyle name="_경계표주수량산출_석축쌓기_우수공(k2)_배수로" xfId="1969"/>
    <cellStyle name="_경계표주수량산출_석축쌓기_우수공(k2)_배수로_배수로" xfId="1970"/>
    <cellStyle name="_경계확인측량" xfId="1971"/>
    <cellStyle name="_경관성검토 설계예산서" xfId="1972"/>
    <cellStyle name="_경남교통표지판" xfId="1973"/>
    <cellStyle name="_경남교통표지판_문화의 거리 농로포장(김병국2차)" xfId="1974"/>
    <cellStyle name="_경남교통표지판_문화의 거리 농로포장(김병국2차)_문화의 거리 농로포장(김병국2차)" xfId="1975"/>
    <cellStyle name="_경대,한대,상대 (실계산) (3)" xfId="1976"/>
    <cellStyle name="_경영개선활동상반기실적(990708)" xfId="1977"/>
    <cellStyle name="_경영개선활동상반기실적(990708)_1" xfId="1978"/>
    <cellStyle name="_경영개선활동상반기실적(990708)_2" xfId="1979"/>
    <cellStyle name="_경영개선활성화방안(990802)" xfId="1980"/>
    <cellStyle name="_경영개선활성화방안(990802)_1" xfId="1981"/>
    <cellStyle name="_경전철조사측량내역" xfId="1982"/>
    <cellStyle name="_경주대학교_Order(New)기숙사" xfId="1983"/>
    <cellStyle name="_경희대병원 ABC 제안 견적" xfId="1984"/>
    <cellStyle name="_계약변경 일위대가_수정" xfId="1985"/>
    <cellStyle name="_고대산평가용역내역(환경,교통,재해)" xfId="1986"/>
    <cellStyle name="_고려개발 통합 시스템 견적_20040204" xfId="1987"/>
    <cellStyle name="_고령_UPIS구축_070828" xfId="1988"/>
    <cellStyle name="_고령군설계서_지형구분" xfId="1989"/>
    <cellStyle name="_고무방충재" xfId="1990"/>
    <cellStyle name="_고산투찰" xfId="1991"/>
    <cellStyle name="_고속도로 영업소 시뮬레이터 개발2" xfId="1992"/>
    <cellStyle name="_고양시(2005) 웹기반 수치지도 관리시스템 개발 용역 계약용 산출내역서_1.0" xfId="1993"/>
    <cellStyle name="_골지2리농로(양지말)1공구" xfId="1994"/>
    <cellStyle name="_골프장27홀(3억)-체육" xfId="1995"/>
    <cellStyle name="_공문 " xfId="1996"/>
    <cellStyle name="_공문 _내역서" xfId="1997"/>
    <cellStyle name="_공문양식" xfId="1998"/>
    <cellStyle name="_공원조성계획내역" xfId="1999"/>
    <cellStyle name="_공통" xfId="2000"/>
    <cellStyle name="_공통_MM" xfId="2001"/>
    <cellStyle name="_공통_외교통상정보화 4단계 구축_2.0_장비" xfId="2002"/>
    <cellStyle name="_공항_3440" xfId="2003"/>
    <cellStyle name="_과기원재료비" xfId="2004"/>
    <cellStyle name="_과업내역서(변경4)" xfId="2005"/>
    <cellStyle name="_곽지관광지내역서" xfId="2006"/>
    <cellStyle name="_관곡역사공원 조성사업 도시계획시설결정 및 공원조성계획용역" xfId="2007"/>
    <cellStyle name="_광가입자전송장비(FLC)삼성" xfId="2008"/>
    <cellStyle name="_광고물제작협회" xfId="2009"/>
    <cellStyle name="_광고물제작협회_2004년 완선공사(최종본)" xfId="2010"/>
    <cellStyle name="_광고물제작협회_안동전통문화콘텐츠박물관전시영상물구축(전시시설물)" xfId="2011"/>
    <cellStyle name="_광고물제작협회_안동전통문화콘텐츠박물관전시영상물구축(전시시설물)_원가보고서(종합)-조달" xfId="2012"/>
    <cellStyle name="_광고물제작협회_안동전통문화콘텐츠박물관전시영상물구축(전시시설물)_원가보고서(흑색)-조달" xfId="2013"/>
    <cellStyle name="_광고물제작협회_원가계산서(화성상록)" xfId="2014"/>
    <cellStyle name="_광고물제작협회_원가계산서(화성상록) (version 1)" xfId="2015"/>
    <cellStyle name="_광고물제작협회_원가계산서(화성상록) (version 1)_원가보고서(종합)-조달" xfId="2016"/>
    <cellStyle name="_광고물제작협회_원가계산서(화성상록) (version 1)_원가보고서(흑색)-조달" xfId="2017"/>
    <cellStyle name="_광고물제작협회_원가계산서(화성상록)_원가보고서(종합)-조달" xfId="2018"/>
    <cellStyle name="_광고물제작협회_원가계산서(화성상록)_원가보고서(흑색)-조달" xfId="2019"/>
    <cellStyle name="_광릉투찰" xfId="2020"/>
    <cellStyle name="_광릉투찰_무촌투찰" xfId="2021"/>
    <cellStyle name="_광안리내역서(구도)" xfId="2022"/>
    <cellStyle name="_광양시우회도로(투찰)" xfId="2023"/>
    <cellStyle name="_광주광역시 UPIS ISP 설계내역서_060530_V2" xfId="2024"/>
    <cellStyle name="_광주시 2차 시스템" xfId="2025"/>
    <cellStyle name="_광주시 도로와 지하시설물도 공동구축사업(2차) 설계내역서_1.0" xfId="2026"/>
    <cellStyle name="_광주시 도로와 지하시설물도 공동구축사업(2차) 설계내역서_2.0" xfId="2027"/>
    <cellStyle name="_광주시도로와지하시설물도공동구축사업_04072" xfId="2028"/>
    <cellStyle name="_교대토공" xfId="2029"/>
    <cellStyle name="_교대토공_1.여주JCT6교" xfId="2030"/>
    <cellStyle name="_교대토공_2.여주jc7교" xfId="2031"/>
    <cellStyle name="_교대토공수량" xfId="2032"/>
    <cellStyle name="_교대토공수량_1.여주JCT6교" xfId="2033"/>
    <cellStyle name="_교대토공수량_2.여주jc7교" xfId="2034"/>
    <cellStyle name="_교통-영덕00지역" xfId="2035"/>
    <cellStyle name="_구문소철암투찰" xfId="2036"/>
    <cellStyle name="_구문소철암투찰_광릉투찰" xfId="2037"/>
    <cellStyle name="_구문소철암투찰_광릉투찰_무촌투찰" xfId="2038"/>
    <cellStyle name="_구문소철암투찰_무창투찰" xfId="2039"/>
    <cellStyle name="_구문소철암투찰_무창투찰_무촌투찰" xfId="2040"/>
    <cellStyle name="_구문소철암투찰_무촌투찰" xfId="2041"/>
    <cellStyle name="_구조물공" xfId="2042"/>
    <cellStyle name="_구조물공_1" xfId="2043"/>
    <cellStyle name="_구조물공-옹벽" xfId="2044"/>
    <cellStyle name="_구즉내역서" xfId="2045"/>
    <cellStyle name="_국도23호선영암연소지구내역서" xfId="2046"/>
    <cellStyle name="_국도38호선통리지구내역서" xfId="2047"/>
    <cellStyle name="_국도42호선여량지구오르막차로" xfId="2048"/>
    <cellStyle name="_국민연금관리공단 e-HR시스템 구축 견적서_동양시스템즈(2007.05.20_)" xfId="2049"/>
    <cellStyle name="_국민은행 기술지원내역" xfId="2050"/>
    <cellStyle name="_국수교수량" xfId="2051"/>
    <cellStyle name="_국수교수량_04.차선도색" xfId="2052"/>
    <cellStyle name="_국수교수량_04.차선도색_1차변경수량" xfId="2053"/>
    <cellStyle name="_국수교수량_04.차선도색_1차변경수량_1차변경수량" xfId="2054"/>
    <cellStyle name="_국수교수량_070201  정삼각뿔형어초 설계예산서(국화도해역)-최종2" xfId="2055"/>
    <cellStyle name="_국수교수량_070201  정삼각뿔형어초 설계예산서(국화도해역)-최종2_0704" xfId="2056"/>
    <cellStyle name="_국수교수량_070201  정삼각뿔형어초 설계예산서(국화도해역)-최종2_도급내역서" xfId="2057"/>
    <cellStyle name="_국수교수량_070201  정삼각뿔형어초 설계예산서(국화도해역)-최종2_도급내역서_외파수도 정삼각뿔형 인공어초 도면수정" xfId="2058"/>
    <cellStyle name="_국수교수량_070201  정삼각뿔형어초 설계예산서(국화도해역)-최종2_도급내역서_외파수도 정삼각뿔형 인공어초 설치-20070801" xfId="2059"/>
    <cellStyle name="_국수교수량_070201  정삼각뿔형어초 설계예산서(국화도해역)-최종2_도급내역서_정삼각뿔형어초(2월29일)수정작업(1)" xfId="2060"/>
    <cellStyle name="_국수교수량_070201정삼각뿔형어초설계예산서(국화도해역)-최종2" xfId="2061"/>
    <cellStyle name="_국수교수량_1차변경수량" xfId="2062"/>
    <cellStyle name="_국수교수량_1차변경수량_1차변경수량" xfId="2063"/>
    <cellStyle name="_국수교수량_2007남해군 소규모바다목장조성사업(통합)" xfId="2064"/>
    <cellStyle name="_국수교수량_2007남해군 소규모바다목장조성사업(팔각상자,TTP)" xfId="2065"/>
    <cellStyle name="_국수교수량_2007팔각상자형설계서(1차년도)" xfId="2066"/>
    <cellStyle name="_국수교수량_2007팔각상자형설계서(1차년도)(수정작업1월14일)" xfId="2067"/>
    <cellStyle name="_국수교수량_Book1" xfId="2068"/>
    <cellStyle name="_국수교수량_Book1_1차변경수량" xfId="2069"/>
    <cellStyle name="_국수교수량_Book1_1차변경수량_1차변경수량" xfId="2070"/>
    <cellStyle name="_국수교수량_TTP및피복석시설공사설계서(5월6일)" xfId="2071"/>
    <cellStyle name="_국수교수량_TTP시설공사설계서(1차년도)(1월14일수정작업)" xfId="2072"/>
    <cellStyle name="_국수교수량_TTP시설공사설계서(2차년도)" xfId="2073"/>
    <cellStyle name="_국수교수량_거제 남부다대" xfId="2074"/>
    <cellStyle name="_국수교수량_경기도 - 도급내역서" xfId="2075"/>
    <cellStyle name="_국수교수량_남해 상주 노도해역 인공어초 제작 및 시설공사-착공내역" xfId="2076"/>
    <cellStyle name="_국수교수량_내역서" xfId="2077"/>
    <cellStyle name="_국수교수량_동서동권역 소규모바다목장 사업(정삼각뿔형어초)설계서" xfId="2078"/>
    <cellStyle name="_국수교수량_동서동권역소규모바다목장사업(정삼각뿔형어초)설계서(1)" xfId="2079"/>
    <cellStyle name="_국수교수량_동서동권역소규모바다목장사업(정삼각뿔형어초)설계서(10월)" xfId="2080"/>
    <cellStyle name="_국수교수량_사천시 소규모 바다목장사업(상자형)수정중" xfId="2081"/>
    <cellStyle name="_국수교수량_외파수도 정삼각뿔형 인공어초 도면수정" xfId="2082"/>
    <cellStyle name="_국수교수량_외파수도 정삼각뿔형 인공어초 설치-20070801" xfId="2083"/>
    <cellStyle name="_국수교수량_정삼각뿔어초 설계예산서(1월9일)" xfId="2084"/>
    <cellStyle name="_국수교수량_정삼각뿔어초 설계예산서(1월9일)_도급내역서" xfId="2085"/>
    <cellStyle name="_국수교수량_정삼각뿔어초 설계예산서(1월9일)_도급내역서_외파수도 정삼각뿔형 인공어초 도면수정" xfId="2086"/>
    <cellStyle name="_국수교수량_정삼각뿔어초 설계예산서(1월9일)_도급내역서_외파수도 정삼각뿔형 인공어초 설치-20070801" xfId="2087"/>
    <cellStyle name="_국수교수량_정삼각뿔어초 설계예산서(1월9일)_도급내역서_정삼각뿔형어초(2월29일)수정작업(1)" xfId="2088"/>
    <cellStyle name="_국수교수량_정삼각뿔어초 설계예산서(2007년)" xfId="2089"/>
    <cellStyle name="_국수교수량_정삼각뿔어초 설계예산서(2007년)_도급내역서" xfId="2090"/>
    <cellStyle name="_국수교수량_정삼각뿔어초 설계예산서(2007년)_도급내역서_외파수도 정삼각뿔형 인공어초 도면수정" xfId="2091"/>
    <cellStyle name="_국수교수량_정삼각뿔어초 설계예산서(2007년)_도급내역서_외파수도 정삼각뿔형 인공어초 설치-20070801" xfId="2092"/>
    <cellStyle name="_국수교수량_정삼각뿔어초 설계예산서(2007년)_도급내역서_정삼각뿔형어초(2월29일)수정작업(1)" xfId="2093"/>
    <cellStyle name="_국수교수량_정삼각뿔어초 설계예산서(중구소무이도.영흥외리)-관급별도" xfId="2094"/>
    <cellStyle name="_국수교수량_정삼각뿔어초 설계예산서(중구소무이도.영흥외리)-관급별도(자재단가변경)" xfId="2095"/>
    <cellStyle name="_국수교수량_정삼각뿔어초 설계예산서(중구소무이도.영흥외리)-관급별도(자재단가변경)_외파수도 정삼각뿔형 인공어초 도면수정" xfId="2096"/>
    <cellStyle name="_국수교수량_정삼각뿔어초 설계예산서(중구소무이도.영흥외리)-관급별도(자재단가변경)_외파수도 정삼각뿔형 인공어초 설치-20070801" xfId="2097"/>
    <cellStyle name="_국수교수량_정삼각뿔어초 설계예산서(중구소무이도.영흥외리)-관급별도(자재단가변경)_정삼각뿔형어초(2월29일)수정작업(1)" xfId="2098"/>
    <cellStyle name="_국수교수량_정삼각뿔어초 설계예산서(중구소무이도.영흥외리)-관급별도_도급내역서" xfId="2099"/>
    <cellStyle name="_국수교수량_정삼각뿔어초 설계예산서(중구소무이도.영흥외리)-관급별도_도급내역서_외파수도 정삼각뿔형 인공어초 도면수정" xfId="2100"/>
    <cellStyle name="_국수교수량_정삼각뿔어초 설계예산서(중구소무이도.영흥외리)-관급별도_도급내역서_외파수도 정삼각뿔형 인공어초 설치-20070801" xfId="2101"/>
    <cellStyle name="_국수교수량_정삼각뿔어초 설계예산서(중구소무이도.영흥외리)-관급별도_도급내역서_정삼각뿔형어초(2월29일)수정작업(1)" xfId="2102"/>
    <cellStyle name="_국수교수량_정삼각뿔형 인공어초 설계예산서 (전체분)" xfId="2103"/>
    <cellStyle name="_국수교수량_정삼각뿔형 인공어초 설계예산서 (전체분)_도급내역서" xfId="2104"/>
    <cellStyle name="_국수교수량_정삼각뿔형 인공어초 설계예산서 (전체분)_도급내역서_외파수도 정삼각뿔형 인공어초 도면수정" xfId="2105"/>
    <cellStyle name="_국수교수량_정삼각뿔형 인공어초 설계예산서 (전체분)_도급내역서_외파수도 정삼각뿔형 인공어초 설치-20070801" xfId="2106"/>
    <cellStyle name="_국수교수량_정삼각뿔형 인공어초 설계예산서 (전체분)_도급내역서_정삼각뿔형어초(2월29일)수정작업(1)" xfId="2107"/>
    <cellStyle name="_국수교수량_정삼각뿔형어초(2월29일)수정작업(1)" xfId="2108"/>
    <cellStyle name="_국수교수량_정삼각뿔형어초(비계공 포함시)" xfId="2109"/>
    <cellStyle name="_국수교수량_정삼각뿔형어초설계서(100개)금오도" xfId="2110"/>
    <cellStyle name="_국수교수량_정삼각뿔형어초설계서(2차년도)" xfId="2111"/>
    <cellStyle name="_국수교수량_정삼각뿔형어초설계서(2차년도)(변경 준비)" xfId="2112"/>
    <cellStyle name="_국수교수량_정삼각뿔형어초설계서(2차년도)(일상감사후)" xfId="2113"/>
    <cellStyle name="_국수교수량_정삼각뿔형어초설계서(60개)" xfId="2114"/>
    <cellStyle name="_국수교수량_정삼각뿔형어초설계서(사천시)" xfId="2115"/>
    <cellStyle name="_국수교수량_정삼각형뿔형(시설공사)" xfId="2116"/>
    <cellStyle name="_국수교수량_착공내역서" xfId="2117"/>
    <cellStyle name="_국수교수량_화성도급" xfId="2118"/>
    <cellStyle name="_국토지리정보원 홈페이지 개선용역 예산설계_v2.1" xfId="2119"/>
    <cellStyle name="_군립공원기본계획(변경)" xfId="2120"/>
    <cellStyle name="_군산내항-품셈기준" xfId="2121"/>
    <cellStyle name="_군산시_UIS설계서(0308)" xfId="2122"/>
    <cellStyle name="_군산시_UIS설계서(0308) 2" xfId="2123"/>
    <cellStyle name="_군포시 지하시설물통합정보시스템 구축사업 설계내역서_2.3" xfId="2124"/>
    <cellStyle name="_균촉-기본설계비변경" xfId="2125"/>
    <cellStyle name="_금강Ⅱ지구김제2-2공구토목공사(동도)" xfId="2126"/>
    <cellStyle name="_금산제수량(70m)" xfId="2127"/>
    <cellStyle name="_금산제수량(70m)_두릉1제 수량산출서" xfId="2128"/>
    <cellStyle name="_금산제수량(70m)_인계1공구 수량산출" xfId="2129"/>
    <cellStyle name="_금산제수량(70m)_총자재집계표" xfId="2130"/>
    <cellStyle name="_금산제수량(전체최종)" xfId="2131"/>
    <cellStyle name="_금산제수량(전체최종)_두릉1제 수량산출서" xfId="2132"/>
    <cellStyle name="_금산제수량(전체최종)_인계1공구 수량산출" xfId="2133"/>
    <cellStyle name="_금산제수량(전체최종)_총자재집계표" xfId="2134"/>
    <cellStyle name="_금산제수량산출서" xfId="2135"/>
    <cellStyle name="_금산제수량산출서_두릉1제 수량산출서" xfId="2136"/>
    <cellStyle name="_금산제수량산출서_인계1공구 수량산출" xfId="2137"/>
    <cellStyle name="_금산제수량산출서_총자재집계표" xfId="2138"/>
    <cellStyle name="_금천청소년수련관(토목林)" xfId="2139"/>
    <cellStyle name="_기능점수 2006 05 22-001" xfId="2140"/>
    <cellStyle name="_기본견적(2003년 01월)" xfId="2141"/>
    <cellStyle name="_기본견적(2003년 05월)" xfId="2142"/>
    <cellStyle name="_기본계획내역(단호,선어대)-계약내역" xfId="2143"/>
    <cellStyle name="_기본계획산출내역서(최종)" xfId="2144"/>
    <cellStyle name="_기본형" xfId="2145"/>
    <cellStyle name="_기상청 견적(한국데이타베이스진흥센터)_060223" xfId="2146"/>
    <cellStyle name="_기상청 성과관리 NT 서버 견적서(051027)" xfId="2147"/>
    <cellStyle name="_기상청_슈퍼컴_COMIS_총괄표_0320" xfId="2148"/>
    <cellStyle name="_기상청-견적산출(안)_050907" xfId="2149"/>
    <cellStyle name="_기성검사원" xfId="2150"/>
    <cellStyle name="_기성검사원_내역서" xfId="2151"/>
    <cellStyle name="_기초공사" xfId="2152"/>
    <cellStyle name="_기흥읍청사신축공사(조원)" xfId="2153"/>
    <cellStyle name="_길동배수지건설공사(구보)" xfId="2154"/>
    <cellStyle name="_김제시 GIS 구축사업 설계내역서_시스템부문_4" xfId="2155"/>
    <cellStyle name="_김제시 도로와 지하시설물 공동구축사업 설계서_계약(1차년도)_1" xfId="2156"/>
    <cellStyle name="_김제시 도로와 지하시설물 공동구축사업 설계서_계약(1차년도)_1 2" xfId="2157"/>
    <cellStyle name="_김제시_UIS설계서(0706)" xfId="2158"/>
    <cellStyle name="_김천시설계서(제출용)" xfId="2159"/>
    <cellStyle name="_김천시설계서(제출용) 2" xfId="2160"/>
    <cellStyle name="_김포00지구도시개발사업내역서-109000평xls" xfId="2161"/>
    <cellStyle name="_김포GIS설계1차(최종본.01.05)" xfId="2162"/>
    <cellStyle name="_김포시 UIS-설계내역서" xfId="2163"/>
    <cellStyle name="_김해분성고(동성)" xfId="2164"/>
    <cellStyle name="_김해시_도로와지하시설물도공동구축사업 설계내역서.2.9" xfId="2165"/>
    <cellStyle name="_김해임도" xfId="2166"/>
    <cellStyle name="_나노엔텍(임금)" xfId="2167"/>
    <cellStyle name="_나온소프트_ 문서관리견적서" xfId="2168"/>
    <cellStyle name="_나주시우회도로(투찰)-0.331%" xfId="2169"/>
    <cellStyle name="_나주시-품셈기준" xfId="2170"/>
    <cellStyle name="_남산등산로" xfId="2171"/>
    <cellStyle name="_남원시_UIS설계서(0624)" xfId="2172"/>
    <cellStyle name="_내역(구미시)기능점수 수정" xfId="2173"/>
    <cellStyle name="_내역및수량산출서(실적)" xfId="2174"/>
    <cellStyle name="_내역및수량산출서(위례성길)-new" xfId="2175"/>
    <cellStyle name="_내역서" xfId="2176"/>
    <cellStyle name="_내역서(2003)" xfId="2177"/>
    <cellStyle name="_내역서(개발계획단계-환지)" xfId="2178"/>
    <cellStyle name="_내역서(변경)-성주군관리전산화" xfId="2179"/>
    <cellStyle name="_내역서(실시계획)수정" xfId="2180"/>
    <cellStyle name="_내역서(제영향평가)" xfId="2181"/>
    <cellStyle name="_내역서(총괄착수내역서)" xfId="2182"/>
    <cellStyle name="_내역서_문화의 거리 농로포장(김병국2차)" xfId="2183"/>
    <cellStyle name="_내역서_문화의 거리 농로포장(김병국2차)_문화의 거리 농로포장(김병국2차)" xfId="2184"/>
    <cellStyle name="_내역서-구룡지구" xfId="2185"/>
    <cellStyle name="_내역서합치기7(1).25" xfId="2186"/>
    <cellStyle name="_노천1지구1공구" xfId="2187"/>
    <cellStyle name="_노천1지구2공구" xfId="2188"/>
    <cellStyle name="_노천1지구2공구_2(변경)-토공" xfId="2189"/>
    <cellStyle name="_노천3지구3공구" xfId="2190"/>
    <cellStyle name="_노틸러스 효성 원가 분석표 v1.3" xfId="2191"/>
    <cellStyle name="_농경연_견적서_20070628" xfId="2192"/>
    <cellStyle name="_농수로3종외-최종" xfId="2193"/>
    <cellStyle name="_농심(서인철팀장님)-ML570외_X3.0-20040527" xfId="2194"/>
    <cellStyle name="_농악마을조성계획수립(06.10.16)" xfId="2195"/>
    <cellStyle name="_농협중앙회_범용스캐너 견적_070810" xfId="2196"/>
    <cellStyle name="_다우SW(1023)" xfId="2197"/>
    <cellStyle name="_단계천(수량)" xfId="2198"/>
    <cellStyle name="_단계천(수량)_두릉1제 수량산출서" xfId="2199"/>
    <cellStyle name="_단계천(수량)_인계1공구 수량산출" xfId="2200"/>
    <cellStyle name="_단계천(수량)_총자재집계표" xfId="2201"/>
    <cellStyle name="_달성 3차산업단지(항측)_수정_2차(최종)" xfId="2202"/>
    <cellStyle name="_담양군 수치정사영상지도 제작_최종" xfId="2203"/>
    <cellStyle name="_당동(청강)" xfId="2204"/>
    <cellStyle name="_당동(청강디스켓1)" xfId="2205"/>
    <cellStyle name="_당진군 지역 항공측량 2㎢" xfId="2206"/>
    <cellStyle name="_당평변경" xfId="2207"/>
    <cellStyle name="_대곡리(한실도로)" xfId="2208"/>
    <cellStyle name="_대곡이설(투찰)" xfId="2209"/>
    <cellStyle name="_대곡이설(투찰)_01 실행(군장산단) Rev00" xfId="2210"/>
    <cellStyle name="_대곡이설(투찰)_01 실행(군장산단) Rev00_01 실행(부산남컨가호안109-원안분) REV04" xfId="2211"/>
    <cellStyle name="_대곡이설(투찰)_1" xfId="2212"/>
    <cellStyle name="_대곡이설(투찰)_1_01 실행(군장산단) Rev00" xfId="2213"/>
    <cellStyle name="_대곡이설(투찰)_1_01 실행(군장산단) Rev00_01 실행(부산남컨가호안109-원안분) REV04" xfId="2214"/>
    <cellStyle name="_대곡이설(투찰)_1_경찰서-터미널간도로(투찰)②" xfId="2215"/>
    <cellStyle name="_대곡이설(투찰)_1_경찰서-터미널간도로(투찰)②_01 실행(군장산단) Rev00" xfId="2216"/>
    <cellStyle name="_대곡이설(투찰)_1_경찰서-터미널간도로(투찰)②_01 실행(군장산단) Rev00_01 실행(부산남컨가호안109-원안분) REV04" xfId="2217"/>
    <cellStyle name="_대곡이설(투찰)_1_봉무지방산업단지도로(투찰)②" xfId="2218"/>
    <cellStyle name="_대곡이설(투찰)_1_봉무지방산업단지도로(투찰)②_01 실행(군장산단) Rev00" xfId="2219"/>
    <cellStyle name="_대곡이설(투찰)_1_봉무지방산업단지도로(투찰)②_01 실행(군장산단) Rev00_01 실행(부산남컨가호안109-원안분) REV04" xfId="2220"/>
    <cellStyle name="_대곡이설(투찰)_1_봉무지방산업단지도로(투찰)②+0.250%" xfId="2221"/>
    <cellStyle name="_대곡이설(투찰)_1_봉무지방산업단지도로(투찰)②+0.250%_01 실행(군장산단) Rev00" xfId="2222"/>
    <cellStyle name="_대곡이설(투찰)_1_봉무지방산업단지도로(투찰)②+0.250%_01 실행(군장산단) Rev00_01 실행(부산남컨가호안109-원안분) REV04" xfId="2223"/>
    <cellStyle name="_대곡이설(투찰)_1_합덕-신례원(2공구)투찰" xfId="2224"/>
    <cellStyle name="_대곡이설(투찰)_1_합덕-신례원(2공구)투찰_01 실행(군장산단) Rev00" xfId="2225"/>
    <cellStyle name="_대곡이설(투찰)_1_합덕-신례원(2공구)투찰_01 실행(군장산단) Rev00_01 실행(부산남컨가호안109-원안분) REV04" xfId="2226"/>
    <cellStyle name="_대곡이설(투찰)_1_합덕-신례원(2공구)투찰_경찰서-터미널간도로(투찰)②" xfId="2227"/>
    <cellStyle name="_대곡이설(투찰)_1_합덕-신례원(2공구)투찰_경찰서-터미널간도로(투찰)②_01 실행(군장산단) Rev00" xfId="2228"/>
    <cellStyle name="_대곡이설(투찰)_1_합덕-신례원(2공구)투찰_경찰서-터미널간도로(투찰)②_01 실행(군장산단) Rev00_01 실행(부산남컨가호안109-원안분) REV04" xfId="2229"/>
    <cellStyle name="_대곡이설(투찰)_1_합덕-신례원(2공구)투찰_봉무지방산업단지도로(투찰)②" xfId="2230"/>
    <cellStyle name="_대곡이설(투찰)_1_합덕-신례원(2공구)투찰_봉무지방산업단지도로(투찰)②_01 실행(군장산단) Rev00" xfId="2231"/>
    <cellStyle name="_대곡이설(투찰)_1_합덕-신례원(2공구)투찰_봉무지방산업단지도로(투찰)②_01 실행(군장산단) Rev00_01 실행(부산남컨가호안109-원안분) REV04" xfId="2232"/>
    <cellStyle name="_대곡이설(투찰)_1_합덕-신례원(2공구)투찰_봉무지방산업단지도로(투찰)②+0.250%" xfId="2233"/>
    <cellStyle name="_대곡이설(투찰)_1_합덕-신례원(2공구)투찰_봉무지방산업단지도로(투찰)②+0.250%_01 실행(군장산단) Rev00" xfId="2234"/>
    <cellStyle name="_대곡이설(투찰)_1_합덕-신례원(2공구)투찰_봉무지방산업단지도로(투찰)②+0.250%_01 실행(군장산단) Rev00_01 실행(부산남컨가호안109-원안분) REV04" xfId="2235"/>
    <cellStyle name="_대곡이설(투찰)_1_합덕-신례원(2공구)투찰_합덕-신례원(2공구)투찰" xfId="2236"/>
    <cellStyle name="_대곡이설(투찰)_1_합덕-신례원(2공구)투찰_합덕-신례원(2공구)투찰_01 실행(군장산단) Rev00" xfId="2237"/>
    <cellStyle name="_대곡이설(투찰)_1_합덕-신례원(2공구)투찰_합덕-신례원(2공구)투찰_01 실행(군장산단) Rev00_01 실행(부산남컨가호안109-원안분) REV04" xfId="2238"/>
    <cellStyle name="_대곡이설(투찰)_1_합덕-신례원(2공구)투찰_합덕-신례원(2공구)투찰_경찰서-터미널간도로(투찰)②" xfId="2239"/>
    <cellStyle name="_대곡이설(투찰)_1_합덕-신례원(2공구)투찰_합덕-신례원(2공구)투찰_경찰서-터미널간도로(투찰)②_01 실행(군장산단) Rev00" xfId="2240"/>
    <cellStyle name="_대곡이설(투찰)_1_합덕-신례원(2공구)투찰_합덕-신례원(2공구)투찰_경찰서-터미널간도로(투찰)②_01 실행(군장산단) Rev00_01 실행(부산남컨가호안109-원안분) REV04" xfId="2241"/>
    <cellStyle name="_대곡이설(투찰)_1_합덕-신례원(2공구)투찰_합덕-신례원(2공구)투찰_봉무지방산업단지도로(투찰)②" xfId="2242"/>
    <cellStyle name="_대곡이설(투찰)_1_합덕-신례원(2공구)투찰_합덕-신례원(2공구)투찰_봉무지방산업단지도로(투찰)②_01 실행(군장산단) Rev00" xfId="2243"/>
    <cellStyle name="_대곡이설(투찰)_1_합덕-신례원(2공구)투찰_합덕-신례원(2공구)투찰_봉무지방산업단지도로(투찰)②_01 실행(군장산단) Rev00_01 실행(부산남컨가호안109-원안분) REV04" xfId="2244"/>
    <cellStyle name="_대곡이설(투찰)_1_합덕-신례원(2공구)투찰_합덕-신례원(2공구)투찰_봉무지방산업단지도로(투찰)②+0.250%" xfId="2245"/>
    <cellStyle name="_대곡이설(투찰)_1_합덕-신례원(2공구)투찰_합덕-신례원(2공구)투찰_봉무지방산업단지도로(투찰)②+0.250%_01 실행(군장산단) Rev00" xfId="2246"/>
    <cellStyle name="_대곡이설(투찰)_1_합덕-신례원(2공구)투찰_합덕-신례원(2공구)투찰_봉무지방산업단지도로(투찰)②+0.250%_01 실행(군장산단) Rev00_01 실행(부산남컨가호안109-원안분) REV04" xfId="2247"/>
    <cellStyle name="_대곡이설(투찰)_경찰서-터미널간도로(투찰)②" xfId="2248"/>
    <cellStyle name="_대곡이설(투찰)_경찰서-터미널간도로(투찰)②_01 실행(군장산단) Rev00" xfId="2249"/>
    <cellStyle name="_대곡이설(투찰)_경찰서-터미널간도로(투찰)②_01 실행(군장산단) Rev00_01 실행(부산남컨가호안109-원안분) REV04" xfId="2250"/>
    <cellStyle name="_대곡이설(투찰)_도덕-고흥도로(투찰)" xfId="2251"/>
    <cellStyle name="_대곡이설(투찰)_도덕-고흥도로(투찰)_01 실행(군장산단) Rev00" xfId="2252"/>
    <cellStyle name="_대곡이설(투찰)_도덕-고흥도로(투찰)_01 실행(군장산단) Rev00_01 실행(부산남컨가호안109-원안분) REV04" xfId="2253"/>
    <cellStyle name="_대곡이설(투찰)_도덕-고흥도로(투찰)_경찰서-터미널간도로(투찰)②" xfId="2254"/>
    <cellStyle name="_대곡이설(투찰)_도덕-고흥도로(투찰)_경찰서-터미널간도로(투찰)②_01 실행(군장산단) Rev00" xfId="2255"/>
    <cellStyle name="_대곡이설(투찰)_도덕-고흥도로(투찰)_경찰서-터미널간도로(투찰)②_01 실행(군장산단) Rev00_01 실행(부산남컨가호안109-원안분) REV04" xfId="2256"/>
    <cellStyle name="_대곡이설(투찰)_도덕-고흥도로(투찰)_봉무지방산업단지도로(투찰)②" xfId="2257"/>
    <cellStyle name="_대곡이설(투찰)_도덕-고흥도로(투찰)_봉무지방산업단지도로(투찰)②_01 실행(군장산단) Rev00" xfId="2258"/>
    <cellStyle name="_대곡이설(투찰)_도덕-고흥도로(투찰)_봉무지방산업단지도로(투찰)②_01 실행(군장산단) Rev00_01 실행(부산남컨가호안109-원안분) REV04" xfId="2259"/>
    <cellStyle name="_대곡이설(투찰)_도덕-고흥도로(투찰)_봉무지방산업단지도로(투찰)②+0.250%" xfId="2260"/>
    <cellStyle name="_대곡이설(투찰)_도덕-고흥도로(투찰)_봉무지방산업단지도로(투찰)②+0.250%_01 실행(군장산단) Rev00" xfId="2261"/>
    <cellStyle name="_대곡이설(투찰)_도덕-고흥도로(투찰)_봉무지방산업단지도로(투찰)②+0.250%_01 실행(군장산단) Rev00_01 실행(부산남컨가호안109-원안분) REV04" xfId="2262"/>
    <cellStyle name="_대곡이설(투찰)_도덕-고흥도로(투찰)_합덕-신례원(2공구)투찰" xfId="2263"/>
    <cellStyle name="_대곡이설(투찰)_도덕-고흥도로(투찰)_합덕-신례원(2공구)투찰_01 실행(군장산단) Rev00" xfId="2264"/>
    <cellStyle name="_대곡이설(투찰)_도덕-고흥도로(투찰)_합덕-신례원(2공구)투찰_01 실행(군장산단) Rev00_01 실행(부산남컨가호안109-원안분) REV04" xfId="2265"/>
    <cellStyle name="_대곡이설(투찰)_도덕-고흥도로(투찰)_합덕-신례원(2공구)투찰_경찰서-터미널간도로(투찰)②" xfId="2266"/>
    <cellStyle name="_대곡이설(투찰)_도덕-고흥도로(투찰)_합덕-신례원(2공구)투찰_경찰서-터미널간도로(투찰)②_01 실행(군장산단) Rev00" xfId="2267"/>
    <cellStyle name="_대곡이설(투찰)_도덕-고흥도로(투찰)_합덕-신례원(2공구)투찰_경찰서-터미널간도로(투찰)②_01 실행(군장산단) Rev00_01 실행(부산남컨가호안109-원안분) REV04" xfId="2268"/>
    <cellStyle name="_대곡이설(투찰)_도덕-고흥도로(투찰)_합덕-신례원(2공구)투찰_봉무지방산업단지도로(투찰)②" xfId="2269"/>
    <cellStyle name="_대곡이설(투찰)_도덕-고흥도로(투찰)_합덕-신례원(2공구)투찰_봉무지방산업단지도로(투찰)②_01 실행(군장산단) Rev00" xfId="2270"/>
    <cellStyle name="_대곡이설(투찰)_도덕-고흥도로(투찰)_합덕-신례원(2공구)투찰_봉무지방산업단지도로(투찰)②_01 실행(군장산단) Rev00_01 실행(부산남컨가호안109-원안분) REV04" xfId="2271"/>
    <cellStyle name="_대곡이설(투찰)_도덕-고흥도로(투찰)_합덕-신례원(2공구)투찰_봉무지방산업단지도로(투찰)②+0.250%" xfId="2272"/>
    <cellStyle name="_대곡이설(투찰)_도덕-고흥도로(투찰)_합덕-신례원(2공구)투찰_봉무지방산업단지도로(투찰)②+0.250%_01 실행(군장산단) Rev00" xfId="2273"/>
    <cellStyle name="_대곡이설(투찰)_도덕-고흥도로(투찰)_합덕-신례원(2공구)투찰_봉무지방산업단지도로(투찰)②+0.250%_01 실행(군장산단) Rev00_01 실행(부산남컨가호안109-원안분) REV04" xfId="2274"/>
    <cellStyle name="_대곡이설(투찰)_도덕-고흥도로(투찰)_합덕-신례원(2공구)투찰_합덕-신례원(2공구)투찰" xfId="2275"/>
    <cellStyle name="_대곡이설(투찰)_도덕-고흥도로(투찰)_합덕-신례원(2공구)투찰_합덕-신례원(2공구)투찰_01 실행(군장산단) Rev00" xfId="2276"/>
    <cellStyle name="_대곡이설(투찰)_도덕-고흥도로(투찰)_합덕-신례원(2공구)투찰_합덕-신례원(2공구)투찰_01 실행(군장산단) Rev00_01 실행(부산남컨가호안109-원안분) REV04" xfId="2277"/>
    <cellStyle name="_대곡이설(투찰)_도덕-고흥도로(투찰)_합덕-신례원(2공구)투찰_합덕-신례원(2공구)투찰_경찰서-터미널간도로(투찰)②" xfId="2278"/>
    <cellStyle name="_대곡이설(투찰)_도덕-고흥도로(투찰)_합덕-신례원(2공구)투찰_합덕-신례원(2공구)투찰_경찰서-터미널간도로(투찰)②_01 실행(군장산단) Rev00" xfId="2279"/>
    <cellStyle name="_대곡이설(투찰)_도덕-고흥도로(투찰)_합덕-신례원(2공구)투찰_합덕-신례원(2공구)투찰_경찰서-터미널간도로(투찰)②_01 실행(군장산단) Rev00_01 실행(부산남컨가호안109-원안분) REV04" xfId="2280"/>
    <cellStyle name="_대곡이설(투찰)_도덕-고흥도로(투찰)_합덕-신례원(2공구)투찰_합덕-신례원(2공구)투찰_봉무지방산업단지도로(투찰)②" xfId="2281"/>
    <cellStyle name="_대곡이설(투찰)_도덕-고흥도로(투찰)_합덕-신례원(2공구)투찰_합덕-신례원(2공구)투찰_봉무지방산업단지도로(투찰)②_01 실행(군장산단) Rev00" xfId="2282"/>
    <cellStyle name="_대곡이설(투찰)_도덕-고흥도로(투찰)_합덕-신례원(2공구)투찰_합덕-신례원(2공구)투찰_봉무지방산업단지도로(투찰)②_01 실행(군장산단) Rev00_01 실행(부산남컨가호안109-원안분) REV04" xfId="2283"/>
    <cellStyle name="_대곡이설(투찰)_도덕-고흥도로(투찰)_합덕-신례원(2공구)투찰_합덕-신례원(2공구)투찰_봉무지방산업단지도로(투찰)②+0.250%" xfId="2284"/>
    <cellStyle name="_대곡이설(투찰)_도덕-고흥도로(투찰)_합덕-신례원(2공구)투찰_합덕-신례원(2공구)투찰_봉무지방산업단지도로(투찰)②+0.250%_01 실행(군장산단) Rev00" xfId="2285"/>
    <cellStyle name="_대곡이설(투찰)_도덕-고흥도로(투찰)_합덕-신례원(2공구)투찰_합덕-신례원(2공구)투찰_봉무지방산업단지도로(투찰)②+0.250%_01 실행(군장산단) Rev00_01 실행(부산남컨가호안109-원안분) REV04" xfId="2286"/>
    <cellStyle name="_대곡이설(투찰)_봉무지방산업단지도로(투찰)②" xfId="2287"/>
    <cellStyle name="_대곡이설(투찰)_봉무지방산업단지도로(투찰)②_01 실행(군장산단) Rev00" xfId="2288"/>
    <cellStyle name="_대곡이설(투찰)_봉무지방산업단지도로(투찰)②_01 실행(군장산단) Rev00_01 실행(부산남컨가호안109-원안분) REV04" xfId="2289"/>
    <cellStyle name="_대곡이설(투찰)_봉무지방산업단지도로(투찰)②+0.250%" xfId="2290"/>
    <cellStyle name="_대곡이설(투찰)_봉무지방산업단지도로(투찰)②+0.250%_01 실행(군장산단) Rev00" xfId="2291"/>
    <cellStyle name="_대곡이설(투찰)_봉무지방산업단지도로(투찰)②+0.250%_01 실행(군장산단) Rev00_01 실행(부산남컨가호안109-원안분) REV04" xfId="2292"/>
    <cellStyle name="_대곡이설(투찰)_안산부대(투찰)⑤" xfId="2293"/>
    <cellStyle name="_대곡이설(투찰)_안산부대(투찰)⑤_01 실행(군장산단) Rev00" xfId="2294"/>
    <cellStyle name="_대곡이설(투찰)_안산부대(투찰)⑤_01 실행(군장산단) Rev00_01 실행(부산남컨가호안109-원안분) REV04" xfId="2295"/>
    <cellStyle name="_대곡이설(투찰)_안산부대(투찰)⑤_경찰서-터미널간도로(투찰)②" xfId="2296"/>
    <cellStyle name="_대곡이설(투찰)_안산부대(투찰)⑤_경찰서-터미널간도로(투찰)②_01 실행(군장산단) Rev00" xfId="2297"/>
    <cellStyle name="_대곡이설(투찰)_안산부대(투찰)⑤_경찰서-터미널간도로(투찰)②_01 실행(군장산단) Rev00_01 실행(부산남컨가호안109-원안분) REV04" xfId="2298"/>
    <cellStyle name="_대곡이설(투찰)_안산부대(투찰)⑤_봉무지방산업단지도로(투찰)②" xfId="2299"/>
    <cellStyle name="_대곡이설(투찰)_안산부대(투찰)⑤_봉무지방산업단지도로(투찰)②_01 실행(군장산단) Rev00" xfId="2300"/>
    <cellStyle name="_대곡이설(투찰)_안산부대(투찰)⑤_봉무지방산업단지도로(투찰)②_01 실행(군장산단) Rev00_01 실행(부산남컨가호안109-원안분) REV04" xfId="2301"/>
    <cellStyle name="_대곡이설(투찰)_안산부대(투찰)⑤_봉무지방산업단지도로(투찰)②+0.250%" xfId="2302"/>
    <cellStyle name="_대곡이설(투찰)_안산부대(투찰)⑤_봉무지방산업단지도로(투찰)②+0.250%_01 실행(군장산단) Rev00" xfId="2303"/>
    <cellStyle name="_대곡이설(투찰)_안산부대(투찰)⑤_봉무지방산업단지도로(투찰)②+0.250%_01 실행(군장산단) Rev00_01 실행(부산남컨가호안109-원안분) REV04" xfId="2304"/>
    <cellStyle name="_대곡이설(투찰)_안산부대(투찰)⑤_합덕-신례원(2공구)투찰" xfId="2305"/>
    <cellStyle name="_대곡이설(투찰)_안산부대(투찰)⑤_합덕-신례원(2공구)투찰_01 실행(군장산단) Rev00" xfId="2306"/>
    <cellStyle name="_대곡이설(투찰)_안산부대(투찰)⑤_합덕-신례원(2공구)투찰_01 실행(군장산단) Rev00_01 실행(부산남컨가호안109-원안분) REV04" xfId="2307"/>
    <cellStyle name="_대곡이설(투찰)_안산부대(투찰)⑤_합덕-신례원(2공구)투찰_경찰서-터미널간도로(투찰)②" xfId="2308"/>
    <cellStyle name="_대곡이설(투찰)_안산부대(투찰)⑤_합덕-신례원(2공구)투찰_경찰서-터미널간도로(투찰)②_01 실행(군장산단) Rev00" xfId="2309"/>
    <cellStyle name="_대곡이설(투찰)_안산부대(투찰)⑤_합덕-신례원(2공구)투찰_경찰서-터미널간도로(투찰)②_01 실행(군장산단) Rev00_01 실행(부산남컨가호안109-원안분) REV04" xfId="2310"/>
    <cellStyle name="_대곡이설(투찰)_안산부대(투찰)⑤_합덕-신례원(2공구)투찰_봉무지방산업단지도로(투찰)②" xfId="2311"/>
    <cellStyle name="_대곡이설(투찰)_안산부대(투찰)⑤_합덕-신례원(2공구)투찰_봉무지방산업단지도로(투찰)②_01 실행(군장산단) Rev00" xfId="2312"/>
    <cellStyle name="_대곡이설(투찰)_안산부대(투찰)⑤_합덕-신례원(2공구)투찰_봉무지방산업단지도로(투찰)②_01 실행(군장산단) Rev00_01 실행(부산남컨가호안109-원안분) REV04" xfId="2313"/>
    <cellStyle name="_대곡이설(투찰)_안산부대(투찰)⑤_합덕-신례원(2공구)투찰_봉무지방산업단지도로(투찰)②+0.250%" xfId="2314"/>
    <cellStyle name="_대곡이설(투찰)_안산부대(투찰)⑤_합덕-신례원(2공구)투찰_봉무지방산업단지도로(투찰)②+0.250%_01 실행(군장산단) Rev00" xfId="2315"/>
    <cellStyle name="_대곡이설(투찰)_안산부대(투찰)⑤_합덕-신례원(2공구)투찰_봉무지방산업단지도로(투찰)②+0.250%_01 실행(군장산단) Rev00_01 실행(부산남컨가호안109-원안분) REV04" xfId="2316"/>
    <cellStyle name="_대곡이설(투찰)_안산부대(투찰)⑤_합덕-신례원(2공구)투찰_합덕-신례원(2공구)투찰" xfId="2317"/>
    <cellStyle name="_대곡이설(투찰)_안산부대(투찰)⑤_합덕-신례원(2공구)투찰_합덕-신례원(2공구)투찰_01 실행(군장산단) Rev00" xfId="2318"/>
    <cellStyle name="_대곡이설(투찰)_안산부대(투찰)⑤_합덕-신례원(2공구)투찰_합덕-신례원(2공구)투찰_01 실행(군장산단) Rev00_01 실행(부산남컨가호안109-원안분) REV04" xfId="2319"/>
    <cellStyle name="_대곡이설(투찰)_안산부대(투찰)⑤_합덕-신례원(2공구)투찰_합덕-신례원(2공구)투찰_경찰서-터미널간도로(투찰)②" xfId="2320"/>
    <cellStyle name="_대곡이설(투찰)_안산부대(투찰)⑤_합덕-신례원(2공구)투찰_합덕-신례원(2공구)투찰_경찰서-터미널간도로(투찰)②_01 실행(군장산단) Rev00" xfId="2321"/>
    <cellStyle name="_대곡이설(투찰)_안산부대(투찰)⑤_합덕-신례원(2공구)투찰_합덕-신례원(2공구)투찰_경찰서-터미널간도로(투찰)②_01 실행(군장산단) Rev00_01 실행(부산남컨가호안109-원안분) REV04" xfId="2322"/>
    <cellStyle name="_대곡이설(투찰)_안산부대(투찰)⑤_합덕-신례원(2공구)투찰_합덕-신례원(2공구)투찰_봉무지방산업단지도로(투찰)②" xfId="2323"/>
    <cellStyle name="_대곡이설(투찰)_안산부대(투찰)⑤_합덕-신례원(2공구)투찰_합덕-신례원(2공구)투찰_봉무지방산업단지도로(투찰)②_01 실행(군장산단) Rev00" xfId="2324"/>
    <cellStyle name="_대곡이설(투찰)_안산부대(투찰)⑤_합덕-신례원(2공구)투찰_합덕-신례원(2공구)투찰_봉무지방산업단지도로(투찰)②_01 실행(군장산단) Rev00_01 실행(부산남컨가호안109-원안분) REV04" xfId="2325"/>
    <cellStyle name="_대곡이설(투찰)_안산부대(투찰)⑤_합덕-신례원(2공구)투찰_합덕-신례원(2공구)투찰_봉무지방산업단지도로(투찰)②+0.250%" xfId="2326"/>
    <cellStyle name="_대곡이설(투찰)_안산부대(투찰)⑤_합덕-신례원(2공구)투찰_합덕-신례원(2공구)투찰_봉무지방산업단지도로(투찰)②+0.250%_01 실행(군장산단) Rev00" xfId="2327"/>
    <cellStyle name="_대곡이설(투찰)_안산부대(투찰)⑤_합덕-신례원(2공구)투찰_합덕-신례원(2공구)투찰_봉무지방산업단지도로(투찰)②+0.250%_01 실행(군장산단) Rev00_01 실행(부산남컨가호안109-원안분) REV04" xfId="2328"/>
    <cellStyle name="_대곡이설(투찰)_양곡부두(투찰)-0.31%" xfId="2329"/>
    <cellStyle name="_대곡이설(투찰)_양곡부두(투찰)-0.31%_01 실행(군장산단) Rev00" xfId="2330"/>
    <cellStyle name="_대곡이설(투찰)_양곡부두(투찰)-0.31%_01 실행(군장산단) Rev00_01 실행(부산남컨가호안109-원안분) REV04" xfId="2331"/>
    <cellStyle name="_대곡이설(투찰)_양곡부두(투찰)-0.31%_경찰서-터미널간도로(투찰)②" xfId="2332"/>
    <cellStyle name="_대곡이설(투찰)_양곡부두(투찰)-0.31%_경찰서-터미널간도로(투찰)②_01 실행(군장산단) Rev00" xfId="2333"/>
    <cellStyle name="_대곡이설(투찰)_양곡부두(투찰)-0.31%_경찰서-터미널간도로(투찰)②_01 실행(군장산단) Rev00_01 실행(부산남컨가호안109-원안분) REV04" xfId="2334"/>
    <cellStyle name="_대곡이설(투찰)_양곡부두(투찰)-0.31%_봉무지방산업단지도로(투찰)②" xfId="2335"/>
    <cellStyle name="_대곡이설(투찰)_양곡부두(투찰)-0.31%_봉무지방산업단지도로(투찰)②_01 실행(군장산단) Rev00" xfId="2336"/>
    <cellStyle name="_대곡이설(투찰)_양곡부두(투찰)-0.31%_봉무지방산업단지도로(투찰)②_01 실행(군장산단) Rev00_01 실행(부산남컨가호안109-원안분) REV04" xfId="2337"/>
    <cellStyle name="_대곡이설(투찰)_양곡부두(투찰)-0.31%_봉무지방산업단지도로(투찰)②+0.250%" xfId="2338"/>
    <cellStyle name="_대곡이설(투찰)_양곡부두(투찰)-0.31%_봉무지방산업단지도로(투찰)②+0.250%_01 실행(군장산단) Rev00" xfId="2339"/>
    <cellStyle name="_대곡이설(투찰)_양곡부두(투찰)-0.31%_봉무지방산업단지도로(투찰)②+0.250%_01 실행(군장산단) Rev00_01 실행(부산남컨가호안109-원안분) REV04" xfId="2340"/>
    <cellStyle name="_대곡이설(투찰)_양곡부두(투찰)-0.31%_합덕-신례원(2공구)투찰" xfId="2341"/>
    <cellStyle name="_대곡이설(투찰)_양곡부두(투찰)-0.31%_합덕-신례원(2공구)투찰_01 실행(군장산단) Rev00" xfId="2342"/>
    <cellStyle name="_대곡이설(투찰)_양곡부두(투찰)-0.31%_합덕-신례원(2공구)투찰_01 실행(군장산단) Rev00_01 실행(부산남컨가호안109-원안분) REV04" xfId="2343"/>
    <cellStyle name="_대곡이설(투찰)_양곡부두(투찰)-0.31%_합덕-신례원(2공구)투찰_경찰서-터미널간도로(투찰)②" xfId="2344"/>
    <cellStyle name="_대곡이설(투찰)_양곡부두(투찰)-0.31%_합덕-신례원(2공구)투찰_경찰서-터미널간도로(투찰)②_01 실행(군장산단) Rev00" xfId="2345"/>
    <cellStyle name="_대곡이설(투찰)_양곡부두(투찰)-0.31%_합덕-신례원(2공구)투찰_경찰서-터미널간도로(투찰)②_01 실행(군장산단) Rev00_01 실행(부산남컨가호안109-원안분) REV04" xfId="2346"/>
    <cellStyle name="_대곡이설(투찰)_양곡부두(투찰)-0.31%_합덕-신례원(2공구)투찰_봉무지방산업단지도로(투찰)②" xfId="2347"/>
    <cellStyle name="_대곡이설(투찰)_양곡부두(투찰)-0.31%_합덕-신례원(2공구)투찰_봉무지방산업단지도로(투찰)②_01 실행(군장산단) Rev00" xfId="2348"/>
    <cellStyle name="_대곡이설(투찰)_양곡부두(투찰)-0.31%_합덕-신례원(2공구)투찰_봉무지방산업단지도로(투찰)②_01 실행(군장산단) Rev00_01 실행(부산남컨가호안109-원안분) REV04" xfId="2349"/>
    <cellStyle name="_대곡이설(투찰)_양곡부두(투찰)-0.31%_합덕-신례원(2공구)투찰_봉무지방산업단지도로(투찰)②+0.250%" xfId="2350"/>
    <cellStyle name="_대곡이설(투찰)_양곡부두(투찰)-0.31%_합덕-신례원(2공구)투찰_봉무지방산업단지도로(투찰)②+0.250%_01 실행(군장산단) Rev00" xfId="2351"/>
    <cellStyle name="_대곡이설(투찰)_양곡부두(투찰)-0.31%_합덕-신례원(2공구)투찰_봉무지방산업단지도로(투찰)②+0.250%_01 실행(군장산단) Rev00_01 실행(부산남컨가호안109-원안분) REV04" xfId="2352"/>
    <cellStyle name="_대곡이설(투찰)_양곡부두(투찰)-0.31%_합덕-신례원(2공구)투찰_합덕-신례원(2공구)투찰" xfId="2353"/>
    <cellStyle name="_대곡이설(투찰)_양곡부두(투찰)-0.31%_합덕-신례원(2공구)투찰_합덕-신례원(2공구)투찰_01 실행(군장산단) Rev00" xfId="2354"/>
    <cellStyle name="_대곡이설(투찰)_양곡부두(투찰)-0.31%_합덕-신례원(2공구)투찰_합덕-신례원(2공구)투찰_01 실행(군장산단) Rev00_01 실행(부산남컨가호안109-원안분) REV04" xfId="2355"/>
    <cellStyle name="_대곡이설(투찰)_양곡부두(투찰)-0.31%_합덕-신례원(2공구)투찰_합덕-신례원(2공구)투찰_경찰서-터미널간도로(투찰)②" xfId="2356"/>
    <cellStyle name="_대곡이설(투찰)_양곡부두(투찰)-0.31%_합덕-신례원(2공구)투찰_합덕-신례원(2공구)투찰_경찰서-터미널간도로(투찰)②_01 실행(군장산단) Rev00" xfId="2357"/>
    <cellStyle name="_대곡이설(투찰)_양곡부두(투찰)-0.31%_합덕-신례원(2공구)투찰_합덕-신례원(2공구)투찰_경찰서-터미널간도로(투찰)②_01 실행(군장산단) Rev00_01 실행(부산남컨가호안109-원안분) REV04" xfId="2358"/>
    <cellStyle name="_대곡이설(투찰)_양곡부두(투찰)-0.31%_합덕-신례원(2공구)투찰_합덕-신례원(2공구)투찰_봉무지방산업단지도로(투찰)②" xfId="2359"/>
    <cellStyle name="_대곡이설(투찰)_양곡부두(투찰)-0.31%_합덕-신례원(2공구)투찰_합덕-신례원(2공구)투찰_봉무지방산업단지도로(투찰)②_01 실행(군장산단) Rev00" xfId="2360"/>
    <cellStyle name="_대곡이설(투찰)_양곡부두(투찰)-0.31%_합덕-신례원(2공구)투찰_합덕-신례원(2공구)투찰_봉무지방산업단지도로(투찰)②_01 실행(군장산단) Rev00_01 실행(부산남컨가호안109-원안분) REV04" xfId="2361"/>
    <cellStyle name="_대곡이설(투찰)_양곡부두(투찰)-0.31%_합덕-신례원(2공구)투찰_합덕-신례원(2공구)투찰_봉무지방산업단지도로(투찰)②+0.250%" xfId="2362"/>
    <cellStyle name="_대곡이설(투찰)_양곡부두(투찰)-0.31%_합덕-신례원(2공구)투찰_합덕-신례원(2공구)투찰_봉무지방산업단지도로(투찰)②+0.250%_01 실행(군장산단) Rev00" xfId="2363"/>
    <cellStyle name="_대곡이설(투찰)_양곡부두(투찰)-0.31%_합덕-신례원(2공구)투찰_합덕-신례원(2공구)투찰_봉무지방산업단지도로(투찰)②+0.250%_01 실행(군장산단) Rev00_01 실행(부산남컨가호안109-원안분) REV04" xfId="2364"/>
    <cellStyle name="_대곡이설(투찰)_창원상수도(토목)투찰" xfId="2365"/>
    <cellStyle name="_대곡이설(투찰)_창원상수도(토목)투찰_01 실행(군장산단) Rev00" xfId="2366"/>
    <cellStyle name="_대곡이설(투찰)_창원상수도(토목)투찰_01 실행(군장산단) Rev00_01 실행(부산남컨가호안109-원안분) REV04" xfId="2367"/>
    <cellStyle name="_대곡이설(투찰)_창원상수도(토목)투찰_경찰서-터미널간도로(투찰)②" xfId="2368"/>
    <cellStyle name="_대곡이설(투찰)_창원상수도(토목)투찰_경찰서-터미널간도로(투찰)②_01 실행(군장산단) Rev00" xfId="2369"/>
    <cellStyle name="_대곡이설(투찰)_창원상수도(토목)투찰_경찰서-터미널간도로(투찰)②_01 실행(군장산단) Rev00_01 실행(부산남컨가호안109-원안분) REV04" xfId="2370"/>
    <cellStyle name="_대곡이설(투찰)_창원상수도(토목)투찰_봉무지방산업단지도로(투찰)②" xfId="2371"/>
    <cellStyle name="_대곡이설(투찰)_창원상수도(토목)투찰_봉무지방산업단지도로(투찰)②_01 실행(군장산단) Rev00" xfId="2372"/>
    <cellStyle name="_대곡이설(투찰)_창원상수도(토목)투찰_봉무지방산업단지도로(투찰)②_01 실행(군장산단) Rev00_01 실행(부산남컨가호안109-원안분) REV04" xfId="2373"/>
    <cellStyle name="_대곡이설(투찰)_창원상수도(토목)투찰_봉무지방산업단지도로(투찰)②+0.250%" xfId="2374"/>
    <cellStyle name="_대곡이설(투찰)_창원상수도(토목)투찰_봉무지방산업단지도로(투찰)②+0.250%_01 실행(군장산단) Rev00" xfId="2375"/>
    <cellStyle name="_대곡이설(투찰)_창원상수도(토목)투찰_봉무지방산업단지도로(투찰)②+0.250%_01 실행(군장산단) Rev00_01 실행(부산남컨가호안109-원안분) REV04" xfId="2376"/>
    <cellStyle name="_대곡이설(투찰)_창원상수도(토목)투찰_합덕-신례원(2공구)투찰" xfId="2377"/>
    <cellStyle name="_대곡이설(투찰)_창원상수도(토목)투찰_합덕-신례원(2공구)투찰_01 실행(군장산단) Rev00" xfId="2378"/>
    <cellStyle name="_대곡이설(투찰)_창원상수도(토목)투찰_합덕-신례원(2공구)투찰_01 실행(군장산단) Rev00_01 실행(부산남컨가호안109-원안분) REV04" xfId="2379"/>
    <cellStyle name="_대곡이설(투찰)_창원상수도(토목)투찰_합덕-신례원(2공구)투찰_경찰서-터미널간도로(투찰)②" xfId="2380"/>
    <cellStyle name="_대곡이설(투찰)_창원상수도(토목)투찰_합덕-신례원(2공구)투찰_경찰서-터미널간도로(투찰)②_01 실행(군장산단) Rev00" xfId="2381"/>
    <cellStyle name="_대곡이설(투찰)_창원상수도(토목)투찰_합덕-신례원(2공구)투찰_경찰서-터미널간도로(투찰)②_01 실행(군장산단) Rev00_01 실행(부산남컨가호안109-원안분) REV04" xfId="2382"/>
    <cellStyle name="_대곡이설(투찰)_창원상수도(토목)투찰_합덕-신례원(2공구)투찰_봉무지방산업단지도로(투찰)②" xfId="2383"/>
    <cellStyle name="_대곡이설(투찰)_창원상수도(토목)투찰_합덕-신례원(2공구)투찰_봉무지방산업단지도로(투찰)②_01 실행(군장산단) Rev00" xfId="2384"/>
    <cellStyle name="_대곡이설(투찰)_창원상수도(토목)투찰_합덕-신례원(2공구)투찰_봉무지방산업단지도로(투찰)②_01 실행(군장산단) Rev00_01 실행(부산남컨가호안109-원안분) REV04" xfId="2385"/>
    <cellStyle name="_대곡이설(투찰)_창원상수도(토목)투찰_합덕-신례원(2공구)투찰_봉무지방산업단지도로(투찰)②+0.250%" xfId="2386"/>
    <cellStyle name="_대곡이설(투찰)_창원상수도(토목)투찰_합덕-신례원(2공구)투찰_봉무지방산업단지도로(투찰)②+0.250%_01 실행(군장산단) Rev00" xfId="2387"/>
    <cellStyle name="_대곡이설(투찰)_창원상수도(토목)투찰_합덕-신례원(2공구)투찰_봉무지방산업단지도로(투찰)②+0.250%_01 실행(군장산단) Rev00_01 실행(부산남컨가호안109-원안분) REV04" xfId="2388"/>
    <cellStyle name="_대곡이설(투찰)_창원상수도(토목)투찰_합덕-신례원(2공구)투찰_합덕-신례원(2공구)투찰" xfId="2389"/>
    <cellStyle name="_대곡이설(투찰)_창원상수도(토목)투찰_합덕-신례원(2공구)투찰_합덕-신례원(2공구)투찰_01 실행(군장산단) Rev00" xfId="2390"/>
    <cellStyle name="_대곡이설(투찰)_창원상수도(토목)투찰_합덕-신례원(2공구)투찰_합덕-신례원(2공구)투찰_01 실행(군장산단) Rev00_01 실행(부산남컨가호안109-원안분) REV04" xfId="2391"/>
    <cellStyle name="_대곡이설(투찰)_창원상수도(토목)투찰_합덕-신례원(2공구)투찰_합덕-신례원(2공구)투찰_경찰서-터미널간도로(투찰)②" xfId="2392"/>
    <cellStyle name="_대곡이설(투찰)_창원상수도(토목)투찰_합덕-신례원(2공구)투찰_합덕-신례원(2공구)투찰_경찰서-터미널간도로(투찰)②_01 실행(군장산단) Rev00" xfId="2393"/>
    <cellStyle name="_대곡이설(투찰)_창원상수도(토목)투찰_합덕-신례원(2공구)투찰_합덕-신례원(2공구)투찰_경찰서-터미널간도로(투찰)②_01 실행(군장산단) Rev00_01 실행(부산남컨가호안109-원안분) REV04" xfId="2394"/>
    <cellStyle name="_대곡이설(투찰)_창원상수도(토목)투찰_합덕-신례원(2공구)투찰_합덕-신례원(2공구)투찰_봉무지방산업단지도로(투찰)②" xfId="2395"/>
    <cellStyle name="_대곡이설(투찰)_창원상수도(토목)투찰_합덕-신례원(2공구)투찰_합덕-신례원(2공구)투찰_봉무지방산업단지도로(투찰)②_01 실행(군장산단) Rev00" xfId="2396"/>
    <cellStyle name="_대곡이설(투찰)_창원상수도(토목)투찰_합덕-신례원(2공구)투찰_합덕-신례원(2공구)투찰_봉무지방산업단지도로(투찰)②_01 실행(군장산단) Rev00_01 실행(부산남컨가호안109-원안분) REV04" xfId="2397"/>
    <cellStyle name="_대곡이설(투찰)_창원상수도(토목)투찰_합덕-신례원(2공구)투찰_합덕-신례원(2공구)투찰_봉무지방산업단지도로(투찰)②+0.250%" xfId="2398"/>
    <cellStyle name="_대곡이설(투찰)_창원상수도(토목)투찰_합덕-신례원(2공구)투찰_합덕-신례원(2공구)투찰_봉무지방산업단지도로(투찰)②+0.250%_01 실행(군장산단) Rev00" xfId="2399"/>
    <cellStyle name="_대곡이설(투찰)_창원상수도(토목)투찰_합덕-신례원(2공구)투찰_합덕-신례원(2공구)투찰_봉무지방산업단지도로(투찰)②+0.250%_01 실행(군장산단) Rev00_01 실행(부산남컨가호안109-원안분) REV04" xfId="2400"/>
    <cellStyle name="_대곡이설(투찰)_합덕-신례원(2공구)투찰" xfId="2401"/>
    <cellStyle name="_대곡이설(투찰)_합덕-신례원(2공구)투찰_01 실행(군장산단) Rev00" xfId="2402"/>
    <cellStyle name="_대곡이설(투찰)_합덕-신례원(2공구)투찰_01 실행(군장산단) Rev00_01 실행(부산남컨가호안109-원안분) REV04" xfId="2403"/>
    <cellStyle name="_대곡이설(투찰)_합덕-신례원(2공구)투찰_경찰서-터미널간도로(투찰)②" xfId="2404"/>
    <cellStyle name="_대곡이설(투찰)_합덕-신례원(2공구)투찰_경찰서-터미널간도로(투찰)②_01 실행(군장산단) Rev00" xfId="2405"/>
    <cellStyle name="_대곡이설(투찰)_합덕-신례원(2공구)투찰_경찰서-터미널간도로(투찰)②_01 실행(군장산단) Rev00_01 실행(부산남컨가호안109-원안분) REV04" xfId="2406"/>
    <cellStyle name="_대곡이설(투찰)_합덕-신례원(2공구)투찰_봉무지방산업단지도로(투찰)②" xfId="2407"/>
    <cellStyle name="_대곡이설(투찰)_합덕-신례원(2공구)투찰_봉무지방산업단지도로(투찰)②_01 실행(군장산단) Rev00" xfId="2408"/>
    <cellStyle name="_대곡이설(투찰)_합덕-신례원(2공구)투찰_봉무지방산업단지도로(투찰)②_01 실행(군장산단) Rev00_01 실행(부산남컨가호안109-원안분) REV04" xfId="2409"/>
    <cellStyle name="_대곡이설(투찰)_합덕-신례원(2공구)투찰_봉무지방산업단지도로(투찰)②+0.250%" xfId="2410"/>
    <cellStyle name="_대곡이설(투찰)_합덕-신례원(2공구)투찰_봉무지방산업단지도로(투찰)②+0.250%_01 실행(군장산단) Rev00" xfId="2411"/>
    <cellStyle name="_대곡이설(투찰)_합덕-신례원(2공구)투찰_봉무지방산업단지도로(투찰)②+0.250%_01 실행(군장산단) Rev00_01 실행(부산남컨가호안109-원안분) REV04" xfId="2412"/>
    <cellStyle name="_대곡이설(투찰)_합덕-신례원(2공구)투찰_합덕-신례원(2공구)투찰" xfId="2413"/>
    <cellStyle name="_대곡이설(투찰)_합덕-신례원(2공구)투찰_합덕-신례원(2공구)투찰_01 실행(군장산단) Rev00" xfId="2414"/>
    <cellStyle name="_대곡이설(투찰)_합덕-신례원(2공구)투찰_합덕-신례원(2공구)투찰_01 실행(군장산단) Rev00_01 실행(부산남컨가호안109-원안분) REV04" xfId="2415"/>
    <cellStyle name="_대곡이설(투찰)_합덕-신례원(2공구)투찰_합덕-신례원(2공구)투찰_경찰서-터미널간도로(투찰)②" xfId="2416"/>
    <cellStyle name="_대곡이설(투찰)_합덕-신례원(2공구)투찰_합덕-신례원(2공구)투찰_경찰서-터미널간도로(투찰)②_01 실행(군장산단) Rev00" xfId="2417"/>
    <cellStyle name="_대곡이설(투찰)_합덕-신례원(2공구)투찰_합덕-신례원(2공구)투찰_경찰서-터미널간도로(투찰)②_01 실행(군장산단) Rev00_01 실행(부산남컨가호안109-원안분) REV04" xfId="2418"/>
    <cellStyle name="_대곡이설(투찰)_합덕-신례원(2공구)투찰_합덕-신례원(2공구)투찰_봉무지방산업단지도로(투찰)②" xfId="2419"/>
    <cellStyle name="_대곡이설(투찰)_합덕-신례원(2공구)투찰_합덕-신례원(2공구)투찰_봉무지방산업단지도로(투찰)②_01 실행(군장산단) Rev00" xfId="2420"/>
    <cellStyle name="_대곡이설(투찰)_합덕-신례원(2공구)투찰_합덕-신례원(2공구)투찰_봉무지방산업단지도로(투찰)②_01 실행(군장산단) Rev00_01 실행(부산남컨가호안109-원안분) REV04" xfId="2421"/>
    <cellStyle name="_대곡이설(투찰)_합덕-신례원(2공구)투찰_합덕-신례원(2공구)투찰_봉무지방산업단지도로(투찰)②+0.250%" xfId="2422"/>
    <cellStyle name="_대곡이설(투찰)_합덕-신례원(2공구)투찰_합덕-신례원(2공구)투찰_봉무지방산업단지도로(투찰)②+0.250%_01 실행(군장산단) Rev00" xfId="2423"/>
    <cellStyle name="_대곡이설(투찰)_합덕-신례원(2공구)투찰_합덕-신례원(2공구)투찰_봉무지방산업단지도로(투찰)②+0.250%_01 실행(군장산단) Rev00_01 실행(부산남컨가호안109-원안분) REV04" xfId="2424"/>
    <cellStyle name="_대구cc-마지막" xfId="2425"/>
    <cellStyle name="_대구논공초" xfId="2426"/>
    <cellStyle name="_대구시 일원 항공사진측량 용역" xfId="2427"/>
    <cellStyle name="_대명포구개발계획내역서" xfId="2428"/>
    <cellStyle name="_대신체육공원실시설계용역" xfId="2429"/>
    <cellStyle name="_대야성조성계획" xfId="2430"/>
    <cellStyle name="_대우정보 과천(ES40 833Mhz)" xfId="2431"/>
    <cellStyle name="_대전서붕고하도급" xfId="2432"/>
    <cellStyle name="_대한지적공사_3com웍그룹외1112" xfId="2433"/>
    <cellStyle name="_대한지적공사_한국DB진흥센터(WAPPLES1000_080923_3201)1" xfId="2434"/>
    <cellStyle name="_대한지적공사-한국데이터베이스진흥센터-080924" xfId="2435"/>
    <cellStyle name="_대호지~석문간지방도확포장공사(신일)" xfId="2436"/>
    <cellStyle name="_데이타베이스진흥센타견적" xfId="2437"/>
    <cellStyle name="_데이타베이스진흥센타견적서" xfId="2438"/>
    <cellStyle name="_데이타헤븐_인천국제공항공사_한국DB진흥센터(20070222)" xfId="2439"/>
    <cellStyle name="_도곡1교 교대 수량" xfId="2440"/>
    <cellStyle name="_도곡1교 교대 수량_2(변경)-토공" xfId="2441"/>
    <cellStyle name="_도곡1교 교대 수량_3.1제1배수통관(시례우안3제)" xfId="2442"/>
    <cellStyle name="_도곡1교 교대 수량_3.2 제2배수통관" xfId="2443"/>
    <cellStyle name="_도곡1교 교대 수량_3.3 제3배수통관" xfId="2444"/>
    <cellStyle name="_도곡1교 교대 수량_3.구조물공(시례우안2제)" xfId="2445"/>
    <cellStyle name="_도곡1교 교대 수량_RAMP-E교-최종000" xfId="2446"/>
    <cellStyle name="_도곡1교 교대 수량_RAMP-E교-최종000_공유수면매립도시관리계획및실시설계용역" xfId="2447"/>
    <cellStyle name="_도곡1교 교대 수량_RAMP-E교-최종000_로하스변경내역서-5(06.6.7)" xfId="2448"/>
    <cellStyle name="_도곡1교 교대 수량_RAMP-E교-최종000_로하스변경내역서-5(06.6.7)_로하스변경내역서-6(06(1).6.27 당초변경)" xfId="2449"/>
    <cellStyle name="_도곡1교 교대 수량_RAMP-E교-최종000_로하스변경내역서-6(06.6.21)" xfId="2450"/>
    <cellStyle name="_도곡1교 교대 수량_RAMP-E교-최종000_로하스변경내역서-6(06.6.21)_로하스변경내역서-6(06(1).6.27 당초변경)" xfId="2451"/>
    <cellStyle name="_도곡1교 교대 수량_RAMP-E교-최종000_시방서" xfId="2452"/>
    <cellStyle name="_도곡1교 교대 수량_RAMP-E교-최종000_시방서_공유수면매립도시관리계획및실시설계용역" xfId="2453"/>
    <cellStyle name="_도곡1교 교대 수량_RAMP-E교-최종000_시방서_로하스변경내역서-5(06.6.7)" xfId="2454"/>
    <cellStyle name="_도곡1교 교대 수량_RAMP-E교-최종000_시방서_로하스변경내역서-5(06.6.7)_로하스변경내역서-6(06(1).6.27 당초변경)" xfId="2455"/>
    <cellStyle name="_도곡1교 교대 수량_RAMP-E교-최종000_시방서_로하스변경내역서-6(06.6.21)" xfId="2456"/>
    <cellStyle name="_도곡1교 교대 수량_RAMP-E교-최종000_시방서_로하스변경내역서-6(06.6.21)_로하스변경내역서-6(06(1).6.27 당초변경)" xfId="2457"/>
    <cellStyle name="_도곡1교 교대 수량_RAMP-E교-최종000_파도 - 모항선 횡배수관 확장" xfId="2458"/>
    <cellStyle name="_도곡1교 교대 수량_RAMP-E교-최종000_파도 - 모항선 횡배수관 확장_공유수면매립도시관리계획및실시설계용역" xfId="2459"/>
    <cellStyle name="_도곡1교 교대 수량_RAMP-E교-최종000_파도 - 모항선 횡배수관 확장_로하스변경내역서-5(06.6.7)" xfId="2460"/>
    <cellStyle name="_도곡1교 교대 수량_RAMP-E교-최종000_파도 - 모항선 횡배수관 확장_로하스변경내역서-5(06.6.7)_로하스변경내역서-6(06(1).6.27 당초변경)" xfId="2461"/>
    <cellStyle name="_도곡1교 교대 수량_RAMP-E교-최종000_파도 - 모항선 횡배수관 확장_로하스변경내역서-6(06.6.21)" xfId="2462"/>
    <cellStyle name="_도곡1교 교대 수량_RAMP-E교-최종000_파도 - 모항선 횡배수관 확장_로하스변경내역서-6(06.6.21)_로하스변경내역서-6(06(1).6.27 당초변경)" xfId="2463"/>
    <cellStyle name="_도곡1교 교대 수량_RAMP-E교-최종000_파도 - 모항선 횡배수관 확장_시방서" xfId="2464"/>
    <cellStyle name="_도곡1교 교대 수량_RAMP-E교-최종000_파도 - 모항선 횡배수관 확장_시방서_공유수면매립도시관리계획및실시설계용역" xfId="2465"/>
    <cellStyle name="_도곡1교 교대 수량_RAMP-E교-최종000_파도 - 모항선 횡배수관 확장_시방서_로하스변경내역서-5(06.6.7)" xfId="2466"/>
    <cellStyle name="_도곡1교 교대 수량_RAMP-E교-최종000_파도 - 모항선 횡배수관 확장_시방서_로하스변경내역서-5(06.6.7)_로하스변경내역서-6(06(1).6.27 당초변경)" xfId="2467"/>
    <cellStyle name="_도곡1교 교대 수량_RAMP-E교-최종000_파도 - 모항선 횡배수관 확장_시방서_로하스변경내역서-6(06.6.21)" xfId="2468"/>
    <cellStyle name="_도곡1교 교대 수량_RAMP-E교-최종000_파도 - 모항선 횡배수관 확장_시방서_로하스변경내역서-6(06.6.21)_로하스변경내역서-6(06(1).6.27 당초변경)" xfId="2469"/>
    <cellStyle name="_도곡1교 교대 수량_공유수면매립도시관리계획및실시설계용역" xfId="2470"/>
    <cellStyle name="_도곡1교 교대 수량_로하스변경내역서-5(06.6.7)" xfId="2471"/>
    <cellStyle name="_도곡1교 교대 수량_로하스변경내역서-5(06.6.7)_로하스변경내역서-6(06(1).6.27 당초변경)" xfId="2472"/>
    <cellStyle name="_도곡1교 교대 수량_로하스변경내역서-6(06.6.21)" xfId="2473"/>
    <cellStyle name="_도곡1교 교대 수량_로하스변경내역서-6(06.6.21)_로하스변경내역서-6(06(1).6.27 당초변경)" xfId="2474"/>
    <cellStyle name="_도곡1교 교대 수량_시방서" xfId="2475"/>
    <cellStyle name="_도곡1교 교대 수량_시방서_공유수면매립도시관리계획및실시설계용역" xfId="2476"/>
    <cellStyle name="_도곡1교 교대 수량_시방서_로하스변경내역서-5(06.6.7)" xfId="2477"/>
    <cellStyle name="_도곡1교 교대 수량_시방서_로하스변경내역서-5(06.6.7)_로하스변경내역서-6(06(1).6.27 당초변경)" xfId="2478"/>
    <cellStyle name="_도곡1교 교대 수량_시방서_로하스변경내역서-6(06.6.21)" xfId="2479"/>
    <cellStyle name="_도곡1교 교대 수량_시방서_로하스변경내역서-6(06.6.21)_로하스변경내역서-6(06(1).6.27 당초변경)" xfId="2480"/>
    <cellStyle name="_도곡1교 교대 수량_신촌-유곡(암거)" xfId="2481"/>
    <cellStyle name="_도곡1교 교대 수량_신촌-유곡(암거)_04 BOX집" xfId="2482"/>
    <cellStyle name="_도곡1교 교대 수량_암거수량" xfId="2483"/>
    <cellStyle name="_도곡1교 교대 수량_암거수량(2)" xfId="2484"/>
    <cellStyle name="_도곡1교 교대 수량_암거수량(2)_04 BOX집" xfId="2485"/>
    <cellStyle name="_도곡1교 교대 수량_암거수량(2)_3.1제1배수통관(시례우안3제)" xfId="2486"/>
    <cellStyle name="_도곡1교 교대 수량_암거수량(2)_3.2 제2배수통관" xfId="2487"/>
    <cellStyle name="_도곡1교 교대 수량_암거수량(2)_3.3 제3배수통관" xfId="2488"/>
    <cellStyle name="_도곡1교 교대 수량_암거수량(2)_3.구조물공(시례우안2제)" xfId="2489"/>
    <cellStyle name="_도곡1교 교대 수량_암거수량_04 BOX집" xfId="2490"/>
    <cellStyle name="_도곡1교 교대 수량_암거수량_3.1제1배수통관(시례우안3제)" xfId="2491"/>
    <cellStyle name="_도곡1교 교대 수량_암거수량_3.2 제2배수통관" xfId="2492"/>
    <cellStyle name="_도곡1교 교대 수량_암거수량_3.3 제3배수통관" xfId="2493"/>
    <cellStyle name="_도곡1교 교대 수량_암거수량_3.구조물공(시례우안2제)" xfId="2494"/>
    <cellStyle name="_도곡1교 교대(시점) 수량" xfId="2495"/>
    <cellStyle name="_도곡1교 교대(시점) 수량_2(변경)-토공" xfId="2496"/>
    <cellStyle name="_도곡1교 교대(시점) 수량_3.1제1배수통관(시례우안3제)" xfId="2497"/>
    <cellStyle name="_도곡1교 교대(시점) 수량_3.2 제2배수통관" xfId="2498"/>
    <cellStyle name="_도곡1교 교대(시점) 수량_3.3 제3배수통관" xfId="2499"/>
    <cellStyle name="_도곡1교 교대(시점) 수량_3.구조물공(시례우안2제)" xfId="2500"/>
    <cellStyle name="_도곡1교 교대(시점) 수량_RAMP-E교-최종000" xfId="2501"/>
    <cellStyle name="_도곡1교 교대(시점) 수량_RAMP-E교-최종000_공유수면매립도시관리계획및실시설계용역" xfId="2502"/>
    <cellStyle name="_도곡1교 교대(시점) 수량_RAMP-E교-최종000_로하스변경내역서-5(06.6.7)" xfId="2503"/>
    <cellStyle name="_도곡1교 교대(시점) 수량_RAMP-E교-최종000_로하스변경내역서-5(06.6.7)_로하스변경내역서-6(06(1).6.27 당초변경)" xfId="2504"/>
    <cellStyle name="_도곡1교 교대(시점) 수량_RAMP-E교-최종000_로하스변경내역서-6(06.6.21)" xfId="2505"/>
    <cellStyle name="_도곡1교 교대(시점) 수량_RAMP-E교-최종000_로하스변경내역서-6(06.6.21)_로하스변경내역서-6(06(1).6.27 당초변경)" xfId="2506"/>
    <cellStyle name="_도곡1교 교대(시점) 수량_RAMP-E교-최종000_시방서" xfId="2507"/>
    <cellStyle name="_도곡1교 교대(시점) 수량_RAMP-E교-최종000_시방서_공유수면매립도시관리계획및실시설계용역" xfId="2508"/>
    <cellStyle name="_도곡1교 교대(시점) 수량_RAMP-E교-최종000_시방서_로하스변경내역서-5(06.6.7)" xfId="2509"/>
    <cellStyle name="_도곡1교 교대(시점) 수량_RAMP-E교-최종000_시방서_로하스변경내역서-5(06.6.7)_로하스변경내역서-6(06(1).6.27 당초변경)" xfId="2510"/>
    <cellStyle name="_도곡1교 교대(시점) 수량_RAMP-E교-최종000_시방서_로하스변경내역서-6(06.6.21)" xfId="2511"/>
    <cellStyle name="_도곡1교 교대(시점) 수량_RAMP-E교-최종000_시방서_로하스변경내역서-6(06.6.21)_로하스변경내역서-6(06(1).6.27 당초변경)" xfId="2512"/>
    <cellStyle name="_도곡1교 교대(시점) 수량_RAMP-E교-최종000_파도 - 모항선 횡배수관 확장" xfId="2513"/>
    <cellStyle name="_도곡1교 교대(시점) 수량_RAMP-E교-최종000_파도 - 모항선 횡배수관 확장_공유수면매립도시관리계획및실시설계용역" xfId="2514"/>
    <cellStyle name="_도곡1교 교대(시점) 수량_RAMP-E교-최종000_파도 - 모항선 횡배수관 확장_로하스변경내역서-5(06.6.7)" xfId="2515"/>
    <cellStyle name="_도곡1교 교대(시점) 수량_RAMP-E교-최종000_파도 - 모항선 횡배수관 확장_로하스변경내역서-5(06.6.7)_로하스변경내역서-6(06(1).6.27 당초변경)" xfId="2516"/>
    <cellStyle name="_도곡1교 교대(시점) 수량_RAMP-E교-최종000_파도 - 모항선 횡배수관 확장_로하스변경내역서-6(06.6.21)" xfId="2517"/>
    <cellStyle name="_도곡1교 교대(시점) 수량_RAMP-E교-최종000_파도 - 모항선 횡배수관 확장_로하스변경내역서-6(06.6.21)_로하스변경내역서-6(06(1).6.27 당초변경)" xfId="2518"/>
    <cellStyle name="_도곡1교 교대(시점) 수량_RAMP-E교-최종000_파도 - 모항선 횡배수관 확장_시방서" xfId="2519"/>
    <cellStyle name="_도곡1교 교대(시점) 수량_RAMP-E교-최종000_파도 - 모항선 횡배수관 확장_시방서_공유수면매립도시관리계획및실시설계용역" xfId="2520"/>
    <cellStyle name="_도곡1교 교대(시점) 수량_RAMP-E교-최종000_파도 - 모항선 횡배수관 확장_시방서_로하스변경내역서-5(06.6.7)" xfId="2521"/>
    <cellStyle name="_도곡1교 교대(시점) 수량_RAMP-E교-최종000_파도 - 모항선 횡배수관 확장_시방서_로하스변경내역서-5(06.6.7)_로하스변경내역서-6(06(1).6.27 당초변경)" xfId="2522"/>
    <cellStyle name="_도곡1교 교대(시점) 수량_RAMP-E교-최종000_파도 - 모항선 횡배수관 확장_시방서_로하스변경내역서-6(06.6.21)" xfId="2523"/>
    <cellStyle name="_도곡1교 교대(시점) 수량_RAMP-E교-최종000_파도 - 모항선 횡배수관 확장_시방서_로하스변경내역서-6(06.6.21)_로하스변경내역서-6(06(1).6.27 당초변경)" xfId="2524"/>
    <cellStyle name="_도곡1교 교대(시점) 수량_공유수면매립도시관리계획및실시설계용역" xfId="2525"/>
    <cellStyle name="_도곡1교 교대(시점) 수량_로하스변경내역서-5(06.6.7)" xfId="2526"/>
    <cellStyle name="_도곡1교 교대(시점) 수량_로하스변경내역서-5(06.6.7)_로하스변경내역서-6(06(1).6.27 당초변경)" xfId="2527"/>
    <cellStyle name="_도곡1교 교대(시점) 수량_로하스변경내역서-6(06.6.21)" xfId="2528"/>
    <cellStyle name="_도곡1교 교대(시점) 수량_로하스변경내역서-6(06.6.21)_로하스변경내역서-6(06(1).6.27 당초변경)" xfId="2529"/>
    <cellStyle name="_도곡1교 교대(시점) 수량_시방서" xfId="2530"/>
    <cellStyle name="_도곡1교 교대(시점) 수량_시방서_공유수면매립도시관리계획및실시설계용역" xfId="2531"/>
    <cellStyle name="_도곡1교 교대(시점) 수량_시방서_로하스변경내역서-5(06.6.7)" xfId="2532"/>
    <cellStyle name="_도곡1교 교대(시점) 수량_시방서_로하스변경내역서-5(06.6.7)_로하스변경내역서-6(06(1).6.27 당초변경)" xfId="2533"/>
    <cellStyle name="_도곡1교 교대(시점) 수량_시방서_로하스변경내역서-6(06.6.21)" xfId="2534"/>
    <cellStyle name="_도곡1교 교대(시점) 수량_시방서_로하스변경내역서-6(06.6.21)_로하스변경내역서-6(06(1).6.27 당초변경)" xfId="2535"/>
    <cellStyle name="_도곡1교 교대(시점) 수량_신촌-유곡(암거)" xfId="2536"/>
    <cellStyle name="_도곡1교 교대(시점) 수량_신촌-유곡(암거)_04 BOX집" xfId="2537"/>
    <cellStyle name="_도곡1교 교대(시점) 수량_암거수량" xfId="2538"/>
    <cellStyle name="_도곡1교 교대(시점) 수량_암거수량(2)" xfId="2539"/>
    <cellStyle name="_도곡1교 교대(시점) 수량_암거수량(2)_04 BOX집" xfId="2540"/>
    <cellStyle name="_도곡1교 교대(시점) 수량_암거수량(2)_3.1제1배수통관(시례우안3제)" xfId="2541"/>
    <cellStyle name="_도곡1교 교대(시점) 수량_암거수량(2)_3.2 제2배수통관" xfId="2542"/>
    <cellStyle name="_도곡1교 교대(시점) 수량_암거수량(2)_3.3 제3배수통관" xfId="2543"/>
    <cellStyle name="_도곡1교 교대(시점) 수량_암거수량(2)_3.구조물공(시례우안2제)" xfId="2544"/>
    <cellStyle name="_도곡1교 교대(시점) 수량_암거수량_04 BOX집" xfId="2545"/>
    <cellStyle name="_도곡1교 교대(시점) 수량_암거수량_3.1제1배수통관(시례우안3제)" xfId="2546"/>
    <cellStyle name="_도곡1교 교대(시점) 수량_암거수량_3.2 제2배수통관" xfId="2547"/>
    <cellStyle name="_도곡1교 교대(시점) 수량_암거수량_3.3 제3배수통관" xfId="2548"/>
    <cellStyle name="_도곡1교 교대(시점) 수량_암거수량_3.구조물공(시례우안2제)" xfId="2549"/>
    <cellStyle name="_도곡1교 하부공 수량" xfId="2550"/>
    <cellStyle name="_도곡1교 하부공 수량_2(변경)-토공" xfId="2551"/>
    <cellStyle name="_도곡1교 하부공 수량_3.1제1배수통관(시례우안3제)" xfId="2552"/>
    <cellStyle name="_도곡1교 하부공 수량_3.2 제2배수통관" xfId="2553"/>
    <cellStyle name="_도곡1교 하부공 수량_3.3 제3배수통관" xfId="2554"/>
    <cellStyle name="_도곡1교 하부공 수량_3.구조물공(시례우안2제)" xfId="2555"/>
    <cellStyle name="_도곡1교 하부공 수량_RAMP-E교-최종000" xfId="2556"/>
    <cellStyle name="_도곡1교 하부공 수량_RAMP-E교-최종000_공유수면매립도시관리계획및실시설계용역" xfId="2557"/>
    <cellStyle name="_도곡1교 하부공 수량_RAMP-E교-최종000_로하스변경내역서-5(06.6.7)" xfId="2558"/>
    <cellStyle name="_도곡1교 하부공 수량_RAMP-E교-최종000_로하스변경내역서-5(06.6.7)_로하스변경내역서-6(06(1).6.27 당초변경)" xfId="2559"/>
    <cellStyle name="_도곡1교 하부공 수량_RAMP-E교-최종000_로하스변경내역서-6(06.6.21)" xfId="2560"/>
    <cellStyle name="_도곡1교 하부공 수량_RAMP-E교-최종000_로하스변경내역서-6(06.6.21)_로하스변경내역서-6(06(1).6.27 당초변경)" xfId="2561"/>
    <cellStyle name="_도곡1교 하부공 수량_RAMP-E교-최종000_시방서" xfId="2562"/>
    <cellStyle name="_도곡1교 하부공 수량_RAMP-E교-최종000_시방서_공유수면매립도시관리계획및실시설계용역" xfId="2563"/>
    <cellStyle name="_도곡1교 하부공 수량_RAMP-E교-최종000_시방서_로하스변경내역서-5(06.6.7)" xfId="2564"/>
    <cellStyle name="_도곡1교 하부공 수량_RAMP-E교-최종000_시방서_로하스변경내역서-5(06.6.7)_로하스변경내역서-6(06(1).6.27 당초변경)" xfId="2565"/>
    <cellStyle name="_도곡1교 하부공 수량_RAMP-E교-최종000_시방서_로하스변경내역서-6(06.6.21)" xfId="2566"/>
    <cellStyle name="_도곡1교 하부공 수량_RAMP-E교-최종000_시방서_로하스변경내역서-6(06.6.21)_로하스변경내역서-6(06(1).6.27 당초변경)" xfId="2567"/>
    <cellStyle name="_도곡1교 하부공 수량_RAMP-E교-최종000_파도 - 모항선 횡배수관 확장" xfId="2568"/>
    <cellStyle name="_도곡1교 하부공 수량_RAMP-E교-최종000_파도 - 모항선 횡배수관 확장_공유수면매립도시관리계획및실시설계용역" xfId="2569"/>
    <cellStyle name="_도곡1교 하부공 수량_RAMP-E교-최종000_파도 - 모항선 횡배수관 확장_로하스변경내역서-5(06.6.7)" xfId="2570"/>
    <cellStyle name="_도곡1교 하부공 수량_RAMP-E교-최종000_파도 - 모항선 횡배수관 확장_로하스변경내역서-5(06.6.7)_로하스변경내역서-6(06(1).6.27 당초변경)" xfId="2571"/>
    <cellStyle name="_도곡1교 하부공 수량_RAMP-E교-최종000_파도 - 모항선 횡배수관 확장_로하스변경내역서-6(06.6.21)" xfId="2572"/>
    <cellStyle name="_도곡1교 하부공 수량_RAMP-E교-최종000_파도 - 모항선 횡배수관 확장_로하스변경내역서-6(06.6.21)_로하스변경내역서-6(06(1).6.27 당초변경)" xfId="2573"/>
    <cellStyle name="_도곡1교 하부공 수량_RAMP-E교-최종000_파도 - 모항선 횡배수관 확장_시방서" xfId="2574"/>
    <cellStyle name="_도곡1교 하부공 수량_RAMP-E교-최종000_파도 - 모항선 횡배수관 확장_시방서_공유수면매립도시관리계획및실시설계용역" xfId="2575"/>
    <cellStyle name="_도곡1교 하부공 수량_RAMP-E교-최종000_파도 - 모항선 횡배수관 확장_시방서_로하스변경내역서-5(06.6.7)" xfId="2576"/>
    <cellStyle name="_도곡1교 하부공 수량_RAMP-E교-최종000_파도 - 모항선 횡배수관 확장_시방서_로하스변경내역서-5(06.6.7)_로하스변경내역서-6(06(1).6.27 당초변경)" xfId="2577"/>
    <cellStyle name="_도곡1교 하부공 수량_RAMP-E교-최종000_파도 - 모항선 횡배수관 확장_시방서_로하스변경내역서-6(06.6.21)" xfId="2578"/>
    <cellStyle name="_도곡1교 하부공 수량_RAMP-E교-최종000_파도 - 모항선 횡배수관 확장_시방서_로하스변경내역서-6(06.6.21)_로하스변경내역서-6(06(1).6.27 당초변경)" xfId="2579"/>
    <cellStyle name="_도곡1교 하부공 수량_공유수면매립도시관리계획및실시설계용역" xfId="2580"/>
    <cellStyle name="_도곡1교 하부공 수량_로하스변경내역서-5(06.6.7)" xfId="2581"/>
    <cellStyle name="_도곡1교 하부공 수량_로하스변경내역서-5(06.6.7)_로하스변경내역서-6(06(1).6.27 당초변경)" xfId="2582"/>
    <cellStyle name="_도곡1교 하부공 수량_로하스변경내역서-6(06.6.21)" xfId="2583"/>
    <cellStyle name="_도곡1교 하부공 수량_로하스변경내역서-6(06.6.21)_로하스변경내역서-6(06(1).6.27 당초변경)" xfId="2584"/>
    <cellStyle name="_도곡1교 하부공 수량_시방서" xfId="2585"/>
    <cellStyle name="_도곡1교 하부공 수량_시방서_공유수면매립도시관리계획및실시설계용역" xfId="2586"/>
    <cellStyle name="_도곡1교 하부공 수량_시방서_로하스변경내역서-5(06.6.7)" xfId="2587"/>
    <cellStyle name="_도곡1교 하부공 수량_시방서_로하스변경내역서-5(06.6.7)_로하스변경내역서-6(06(1).6.27 당초변경)" xfId="2588"/>
    <cellStyle name="_도곡1교 하부공 수량_시방서_로하스변경내역서-6(06.6.21)" xfId="2589"/>
    <cellStyle name="_도곡1교 하부공 수량_시방서_로하스변경내역서-6(06.6.21)_로하스변경내역서-6(06(1).6.27 당초변경)" xfId="2590"/>
    <cellStyle name="_도곡1교 하부공 수량_신촌-유곡(암거)" xfId="2591"/>
    <cellStyle name="_도곡1교 하부공 수량_신촌-유곡(암거)_04 BOX집" xfId="2592"/>
    <cellStyle name="_도곡1교 하부공 수량_암거수량" xfId="2593"/>
    <cellStyle name="_도곡1교 하부공 수량_암거수량(2)" xfId="2594"/>
    <cellStyle name="_도곡1교 하부공 수량_암거수량(2)_04 BOX집" xfId="2595"/>
    <cellStyle name="_도곡1교 하부공 수량_암거수량(2)_3.1제1배수통관(시례우안3제)" xfId="2596"/>
    <cellStyle name="_도곡1교 하부공 수량_암거수량(2)_3.2 제2배수통관" xfId="2597"/>
    <cellStyle name="_도곡1교 하부공 수량_암거수량(2)_3.3 제3배수통관" xfId="2598"/>
    <cellStyle name="_도곡1교 하부공 수량_암거수량(2)_3.구조물공(시례우안2제)" xfId="2599"/>
    <cellStyle name="_도곡1교 하부공 수량_암거수량_04 BOX집" xfId="2600"/>
    <cellStyle name="_도곡1교 하부공 수량_암거수량_3.1제1배수통관(시례우안3제)" xfId="2601"/>
    <cellStyle name="_도곡1교 하부공 수량_암거수량_3.2 제2배수통관" xfId="2602"/>
    <cellStyle name="_도곡1교 하부공 수량_암거수량_3.3 제3배수통관" xfId="2603"/>
    <cellStyle name="_도곡1교 하부공 수량_암거수량_3.구조물공(시례우안2제)" xfId="2604"/>
    <cellStyle name="_도곡2교 교대 수량" xfId="2605"/>
    <cellStyle name="_도곡2교 교대 수량_2(변경)-토공" xfId="2606"/>
    <cellStyle name="_도곡2교 교대 수량_3.1제1배수통관(시례우안3제)" xfId="2607"/>
    <cellStyle name="_도곡2교 교대 수량_3.2 제2배수통관" xfId="2608"/>
    <cellStyle name="_도곡2교 교대 수량_3.3 제3배수통관" xfId="2609"/>
    <cellStyle name="_도곡2교 교대 수량_3.구조물공(시례우안2제)" xfId="2610"/>
    <cellStyle name="_도곡2교 교대 수량_RAMP-E교-최종000" xfId="2611"/>
    <cellStyle name="_도곡2교 교대 수량_RAMP-E교-최종000_공유수면매립도시관리계획및실시설계용역" xfId="2612"/>
    <cellStyle name="_도곡2교 교대 수량_RAMP-E교-최종000_로하스변경내역서-5(06.6.7)" xfId="2613"/>
    <cellStyle name="_도곡2교 교대 수량_RAMP-E교-최종000_로하스변경내역서-5(06.6.7)_로하스변경내역서-6(06(1).6.27 당초변경)" xfId="2614"/>
    <cellStyle name="_도곡2교 교대 수량_RAMP-E교-최종000_로하스변경내역서-6(06.6.21)" xfId="2615"/>
    <cellStyle name="_도곡2교 교대 수량_RAMP-E교-최종000_로하스변경내역서-6(06.6.21)_로하스변경내역서-6(06(1).6.27 당초변경)" xfId="2616"/>
    <cellStyle name="_도곡2교 교대 수량_RAMP-E교-최종000_시방서" xfId="2617"/>
    <cellStyle name="_도곡2교 교대 수량_RAMP-E교-최종000_시방서_공유수면매립도시관리계획및실시설계용역" xfId="2618"/>
    <cellStyle name="_도곡2교 교대 수량_RAMP-E교-최종000_시방서_로하스변경내역서-5(06.6.7)" xfId="2619"/>
    <cellStyle name="_도곡2교 교대 수량_RAMP-E교-최종000_시방서_로하스변경내역서-5(06.6.7)_로하스변경내역서-6(06(1).6.27 당초변경)" xfId="2620"/>
    <cellStyle name="_도곡2교 교대 수량_RAMP-E교-최종000_시방서_로하스변경내역서-6(06.6.21)" xfId="2621"/>
    <cellStyle name="_도곡2교 교대 수량_RAMP-E교-최종000_시방서_로하스변경내역서-6(06.6.21)_로하스변경내역서-6(06(1).6.27 당초변경)" xfId="2622"/>
    <cellStyle name="_도곡2교 교대 수량_RAMP-E교-최종000_파도 - 모항선 횡배수관 확장" xfId="2623"/>
    <cellStyle name="_도곡2교 교대 수량_RAMP-E교-최종000_파도 - 모항선 횡배수관 확장_공유수면매립도시관리계획및실시설계용역" xfId="2624"/>
    <cellStyle name="_도곡2교 교대 수량_RAMP-E교-최종000_파도 - 모항선 횡배수관 확장_로하스변경내역서-5(06.6.7)" xfId="2625"/>
    <cellStyle name="_도곡2교 교대 수량_RAMP-E교-최종000_파도 - 모항선 횡배수관 확장_로하스변경내역서-5(06.6.7)_로하스변경내역서-6(06(1).6.27 당초변경)" xfId="2626"/>
    <cellStyle name="_도곡2교 교대 수량_RAMP-E교-최종000_파도 - 모항선 횡배수관 확장_로하스변경내역서-6(06.6.21)" xfId="2627"/>
    <cellStyle name="_도곡2교 교대 수량_RAMP-E교-최종000_파도 - 모항선 횡배수관 확장_로하스변경내역서-6(06.6.21)_로하스변경내역서-6(06(1).6.27 당초변경)" xfId="2628"/>
    <cellStyle name="_도곡2교 교대 수량_RAMP-E교-최종000_파도 - 모항선 횡배수관 확장_시방서" xfId="2629"/>
    <cellStyle name="_도곡2교 교대 수량_RAMP-E교-최종000_파도 - 모항선 횡배수관 확장_시방서_공유수면매립도시관리계획및실시설계용역" xfId="2630"/>
    <cellStyle name="_도곡2교 교대 수량_RAMP-E교-최종000_파도 - 모항선 횡배수관 확장_시방서_로하스변경내역서-5(06.6.7)" xfId="2631"/>
    <cellStyle name="_도곡2교 교대 수량_RAMP-E교-최종000_파도 - 모항선 횡배수관 확장_시방서_로하스변경내역서-5(06.6.7)_로하스변경내역서-6(06(1).6.27 당초변경)" xfId="2632"/>
    <cellStyle name="_도곡2교 교대 수량_RAMP-E교-최종000_파도 - 모항선 횡배수관 확장_시방서_로하스변경내역서-6(06.6.21)" xfId="2633"/>
    <cellStyle name="_도곡2교 교대 수량_RAMP-E교-최종000_파도 - 모항선 횡배수관 확장_시방서_로하스변경내역서-6(06.6.21)_로하스변경내역서-6(06(1).6.27 당초변경)" xfId="2634"/>
    <cellStyle name="_도곡2교 교대 수량_공유수면매립도시관리계획및실시설계용역" xfId="2635"/>
    <cellStyle name="_도곡2교 교대 수량_로하스변경내역서-5(06.6.7)" xfId="2636"/>
    <cellStyle name="_도곡2교 교대 수량_로하스변경내역서-5(06.6.7)_로하스변경내역서-6(06(1).6.27 당초변경)" xfId="2637"/>
    <cellStyle name="_도곡2교 교대 수량_로하스변경내역서-6(06.6.21)" xfId="2638"/>
    <cellStyle name="_도곡2교 교대 수량_로하스변경내역서-6(06.6.21)_로하스변경내역서-6(06(1).6.27 당초변경)" xfId="2639"/>
    <cellStyle name="_도곡2교 교대 수량_시방서" xfId="2640"/>
    <cellStyle name="_도곡2교 교대 수량_시방서_공유수면매립도시관리계획및실시설계용역" xfId="2641"/>
    <cellStyle name="_도곡2교 교대 수량_시방서_로하스변경내역서-5(06.6.7)" xfId="2642"/>
    <cellStyle name="_도곡2교 교대 수량_시방서_로하스변경내역서-5(06.6.7)_로하스변경내역서-6(06(1).6.27 당초변경)" xfId="2643"/>
    <cellStyle name="_도곡2교 교대 수량_시방서_로하스변경내역서-6(06.6.21)" xfId="2644"/>
    <cellStyle name="_도곡2교 교대 수량_시방서_로하스변경내역서-6(06.6.21)_로하스변경내역서-6(06(1).6.27 당초변경)" xfId="2645"/>
    <cellStyle name="_도곡2교 교대 수량_신촌-유곡(암거)" xfId="2646"/>
    <cellStyle name="_도곡2교 교대 수량_신촌-유곡(암거)_04 BOX집" xfId="2647"/>
    <cellStyle name="_도곡2교 교대 수량_암거수량" xfId="2648"/>
    <cellStyle name="_도곡2교 교대 수량_암거수량(2)" xfId="2649"/>
    <cellStyle name="_도곡2교 교대 수량_암거수량(2)_04 BOX집" xfId="2650"/>
    <cellStyle name="_도곡2교 교대 수량_암거수량(2)_3.1제1배수통관(시례우안3제)" xfId="2651"/>
    <cellStyle name="_도곡2교 교대 수량_암거수량(2)_3.2 제2배수통관" xfId="2652"/>
    <cellStyle name="_도곡2교 교대 수량_암거수량(2)_3.3 제3배수통관" xfId="2653"/>
    <cellStyle name="_도곡2교 교대 수량_암거수량(2)_3.구조물공(시례우안2제)" xfId="2654"/>
    <cellStyle name="_도곡2교 교대 수량_암거수량_04 BOX집" xfId="2655"/>
    <cellStyle name="_도곡2교 교대 수량_암거수량_3.1제1배수통관(시례우안3제)" xfId="2656"/>
    <cellStyle name="_도곡2교 교대 수량_암거수량_3.2 제2배수통관" xfId="2657"/>
    <cellStyle name="_도곡2교 교대 수량_암거수량_3.3 제3배수통관" xfId="2658"/>
    <cellStyle name="_도곡2교 교대 수량_암거수량_3.구조물공(시례우안2제)" xfId="2659"/>
    <cellStyle name="_도곡2교 교대(종점) 수량" xfId="2660"/>
    <cellStyle name="_도곡2교 교대(종점) 수량_2(변경)-토공" xfId="2661"/>
    <cellStyle name="_도곡2교 교대(종점) 수량_3.1제1배수통관(시례우안3제)" xfId="2662"/>
    <cellStyle name="_도곡2교 교대(종점) 수량_3.2 제2배수통관" xfId="2663"/>
    <cellStyle name="_도곡2교 교대(종점) 수량_3.3 제3배수통관" xfId="2664"/>
    <cellStyle name="_도곡2교 교대(종점) 수량_3.구조물공(시례우안2제)" xfId="2665"/>
    <cellStyle name="_도곡2교 교대(종점) 수량_RAMP-E교-최종000" xfId="2666"/>
    <cellStyle name="_도곡2교 교대(종점) 수량_RAMP-E교-최종000_공유수면매립도시관리계획및실시설계용역" xfId="2667"/>
    <cellStyle name="_도곡2교 교대(종점) 수량_RAMP-E교-최종000_로하스변경내역서-5(06.6.7)" xfId="2668"/>
    <cellStyle name="_도곡2교 교대(종점) 수량_RAMP-E교-최종000_로하스변경내역서-5(06.6.7)_로하스변경내역서-6(06(1).6.27 당초변경)" xfId="2669"/>
    <cellStyle name="_도곡2교 교대(종점) 수량_RAMP-E교-최종000_로하스변경내역서-6(06.6.21)" xfId="2670"/>
    <cellStyle name="_도곡2교 교대(종점) 수량_RAMP-E교-최종000_로하스변경내역서-6(06.6.21)_로하스변경내역서-6(06(1).6.27 당초변경)" xfId="2671"/>
    <cellStyle name="_도곡2교 교대(종점) 수량_RAMP-E교-최종000_시방서" xfId="2672"/>
    <cellStyle name="_도곡2교 교대(종점) 수량_RAMP-E교-최종000_시방서_공유수면매립도시관리계획및실시설계용역" xfId="2673"/>
    <cellStyle name="_도곡2교 교대(종점) 수량_RAMP-E교-최종000_시방서_로하스변경내역서-5(06.6.7)" xfId="2674"/>
    <cellStyle name="_도곡2교 교대(종점) 수량_RAMP-E교-최종000_시방서_로하스변경내역서-5(06.6.7)_로하스변경내역서-6(06(1).6.27 당초변경)" xfId="2675"/>
    <cellStyle name="_도곡2교 교대(종점) 수량_RAMP-E교-최종000_시방서_로하스변경내역서-6(06.6.21)" xfId="2676"/>
    <cellStyle name="_도곡2교 교대(종점) 수량_RAMP-E교-최종000_시방서_로하스변경내역서-6(06.6.21)_로하스변경내역서-6(06(1).6.27 당초변경)" xfId="2677"/>
    <cellStyle name="_도곡2교 교대(종점) 수량_RAMP-E교-최종000_파도 - 모항선 횡배수관 확장" xfId="2678"/>
    <cellStyle name="_도곡2교 교대(종점) 수량_RAMP-E교-최종000_파도 - 모항선 횡배수관 확장_공유수면매립도시관리계획및실시설계용역" xfId="2679"/>
    <cellStyle name="_도곡2교 교대(종점) 수량_RAMP-E교-최종000_파도 - 모항선 횡배수관 확장_로하스변경내역서-5(06.6.7)" xfId="2680"/>
    <cellStyle name="_도곡2교 교대(종점) 수량_RAMP-E교-최종000_파도 - 모항선 횡배수관 확장_로하스변경내역서-5(06.6.7)_로하스변경내역서-6(06(1).6.27 당초변경)" xfId="2681"/>
    <cellStyle name="_도곡2교 교대(종점) 수량_RAMP-E교-최종000_파도 - 모항선 횡배수관 확장_로하스변경내역서-6(06.6.21)" xfId="2682"/>
    <cellStyle name="_도곡2교 교대(종점) 수량_RAMP-E교-최종000_파도 - 모항선 횡배수관 확장_로하스변경내역서-6(06.6.21)_로하스변경내역서-6(06(1).6.27 당초변경)" xfId="2683"/>
    <cellStyle name="_도곡2교 교대(종점) 수량_RAMP-E교-최종000_파도 - 모항선 횡배수관 확장_시방서" xfId="2684"/>
    <cellStyle name="_도곡2교 교대(종점) 수량_RAMP-E교-최종000_파도 - 모항선 횡배수관 확장_시방서_공유수면매립도시관리계획및실시설계용역" xfId="2685"/>
    <cellStyle name="_도곡2교 교대(종점) 수량_RAMP-E교-최종000_파도 - 모항선 횡배수관 확장_시방서_로하스변경내역서-5(06.6.7)" xfId="2686"/>
    <cellStyle name="_도곡2교 교대(종점) 수량_RAMP-E교-최종000_파도 - 모항선 횡배수관 확장_시방서_로하스변경내역서-5(06.6.7)_로하스변경내역서-6(06(1).6.27 당초변경)" xfId="2687"/>
    <cellStyle name="_도곡2교 교대(종점) 수량_RAMP-E교-최종000_파도 - 모항선 횡배수관 확장_시방서_로하스변경내역서-6(06.6.21)" xfId="2688"/>
    <cellStyle name="_도곡2교 교대(종점) 수량_RAMP-E교-최종000_파도 - 모항선 횡배수관 확장_시방서_로하스변경내역서-6(06.6.21)_로하스변경내역서-6(06(1).6.27 당초변경)" xfId="2689"/>
    <cellStyle name="_도곡2교 교대(종점) 수량_공유수면매립도시관리계획및실시설계용역" xfId="2690"/>
    <cellStyle name="_도곡2교 교대(종점) 수량_로하스변경내역서-5(06.6.7)" xfId="2691"/>
    <cellStyle name="_도곡2교 교대(종점) 수량_로하스변경내역서-5(06.6.7)_로하스변경내역서-6(06(1).6.27 당초변경)" xfId="2692"/>
    <cellStyle name="_도곡2교 교대(종점) 수량_로하스변경내역서-6(06.6.21)" xfId="2693"/>
    <cellStyle name="_도곡2교 교대(종점) 수량_로하스변경내역서-6(06.6.21)_로하스변경내역서-6(06(1).6.27 당초변경)" xfId="2694"/>
    <cellStyle name="_도곡2교 교대(종점) 수량_시방서" xfId="2695"/>
    <cellStyle name="_도곡2교 교대(종점) 수량_시방서_공유수면매립도시관리계획및실시설계용역" xfId="2696"/>
    <cellStyle name="_도곡2교 교대(종점) 수량_시방서_로하스변경내역서-5(06.6.7)" xfId="2697"/>
    <cellStyle name="_도곡2교 교대(종점) 수량_시방서_로하스변경내역서-5(06.6.7)_로하스변경내역서-6(06(1).6.27 당초변경)" xfId="2698"/>
    <cellStyle name="_도곡2교 교대(종점) 수량_시방서_로하스변경내역서-6(06.6.21)" xfId="2699"/>
    <cellStyle name="_도곡2교 교대(종점) 수량_시방서_로하스변경내역서-6(06.6.21)_로하스변경내역서-6(06(1).6.27 당초변경)" xfId="2700"/>
    <cellStyle name="_도곡2교 교대(종점) 수량_신촌-유곡(암거)" xfId="2701"/>
    <cellStyle name="_도곡2교 교대(종점) 수량_신촌-유곡(암거)_04 BOX집" xfId="2702"/>
    <cellStyle name="_도곡2교 교대(종점) 수량_암거수량" xfId="2703"/>
    <cellStyle name="_도곡2교 교대(종점) 수량_암거수량(2)" xfId="2704"/>
    <cellStyle name="_도곡2교 교대(종점) 수량_암거수량(2)_04 BOX집" xfId="2705"/>
    <cellStyle name="_도곡2교 교대(종점) 수량_암거수량(2)_3.1제1배수통관(시례우안3제)" xfId="2706"/>
    <cellStyle name="_도곡2교 교대(종점) 수량_암거수량(2)_3.2 제2배수통관" xfId="2707"/>
    <cellStyle name="_도곡2교 교대(종점) 수량_암거수량(2)_3.3 제3배수통관" xfId="2708"/>
    <cellStyle name="_도곡2교 교대(종점) 수량_암거수량(2)_3.구조물공(시례우안2제)" xfId="2709"/>
    <cellStyle name="_도곡2교 교대(종점) 수량_암거수량_04 BOX집" xfId="2710"/>
    <cellStyle name="_도곡2교 교대(종점) 수량_암거수량_3.1제1배수통관(시례우안3제)" xfId="2711"/>
    <cellStyle name="_도곡2교 교대(종점) 수량_암거수량_3.2 제2배수통관" xfId="2712"/>
    <cellStyle name="_도곡2교 교대(종점) 수량_암거수량_3.3 제3배수통관" xfId="2713"/>
    <cellStyle name="_도곡2교 교대(종점) 수량_암거수량_3.구조물공(시례우안2제)" xfId="2714"/>
    <cellStyle name="_도곡3교 교대 수량" xfId="2715"/>
    <cellStyle name="_도곡3교 교대 수량_2(변경)-토공" xfId="2716"/>
    <cellStyle name="_도곡3교 교대 수량_3.1제1배수통관(시례우안3제)" xfId="2717"/>
    <cellStyle name="_도곡3교 교대 수량_3.2 제2배수통관" xfId="2718"/>
    <cellStyle name="_도곡3교 교대 수량_3.3 제3배수통관" xfId="2719"/>
    <cellStyle name="_도곡3교 교대 수량_3.구조물공(시례우안2제)" xfId="2720"/>
    <cellStyle name="_도곡3교 교대 수량_RAMP-E교-최종000" xfId="2721"/>
    <cellStyle name="_도곡3교 교대 수량_RAMP-E교-최종000_공유수면매립도시관리계획및실시설계용역" xfId="2722"/>
    <cellStyle name="_도곡3교 교대 수량_RAMP-E교-최종000_로하스변경내역서-5(06.6.7)" xfId="2723"/>
    <cellStyle name="_도곡3교 교대 수량_RAMP-E교-최종000_로하스변경내역서-5(06.6.7)_로하스변경내역서-6(06(1).6.27 당초변경)" xfId="2724"/>
    <cellStyle name="_도곡3교 교대 수량_RAMP-E교-최종000_로하스변경내역서-6(06.6.21)" xfId="2725"/>
    <cellStyle name="_도곡3교 교대 수량_RAMP-E교-최종000_로하스변경내역서-6(06.6.21)_로하스변경내역서-6(06(1).6.27 당초변경)" xfId="2726"/>
    <cellStyle name="_도곡3교 교대 수량_RAMP-E교-최종000_시방서" xfId="2727"/>
    <cellStyle name="_도곡3교 교대 수량_RAMP-E교-최종000_시방서_공유수면매립도시관리계획및실시설계용역" xfId="2728"/>
    <cellStyle name="_도곡3교 교대 수량_RAMP-E교-최종000_시방서_로하스변경내역서-5(06.6.7)" xfId="2729"/>
    <cellStyle name="_도곡3교 교대 수량_RAMP-E교-최종000_시방서_로하스변경내역서-5(06.6.7)_로하스변경내역서-6(06(1).6.27 당초변경)" xfId="2730"/>
    <cellStyle name="_도곡3교 교대 수량_RAMP-E교-최종000_시방서_로하스변경내역서-6(06.6.21)" xfId="2731"/>
    <cellStyle name="_도곡3교 교대 수량_RAMP-E교-최종000_시방서_로하스변경내역서-6(06.6.21)_로하스변경내역서-6(06(1).6.27 당초변경)" xfId="2732"/>
    <cellStyle name="_도곡3교 교대 수량_RAMP-E교-최종000_파도 - 모항선 횡배수관 확장" xfId="2733"/>
    <cellStyle name="_도곡3교 교대 수량_RAMP-E교-최종000_파도 - 모항선 횡배수관 확장_공유수면매립도시관리계획및실시설계용역" xfId="2734"/>
    <cellStyle name="_도곡3교 교대 수량_RAMP-E교-최종000_파도 - 모항선 횡배수관 확장_로하스변경내역서-5(06.6.7)" xfId="2735"/>
    <cellStyle name="_도곡3교 교대 수량_RAMP-E교-최종000_파도 - 모항선 횡배수관 확장_로하스변경내역서-5(06.6.7)_로하스변경내역서-6(06(1).6.27 당초변경)" xfId="2736"/>
    <cellStyle name="_도곡3교 교대 수량_RAMP-E교-최종000_파도 - 모항선 횡배수관 확장_로하스변경내역서-6(06.6.21)" xfId="2737"/>
    <cellStyle name="_도곡3교 교대 수량_RAMP-E교-최종000_파도 - 모항선 횡배수관 확장_로하스변경내역서-6(06.6.21)_로하스변경내역서-6(06(1).6.27 당초변경)" xfId="2738"/>
    <cellStyle name="_도곡3교 교대 수량_RAMP-E교-최종000_파도 - 모항선 횡배수관 확장_시방서" xfId="2739"/>
    <cellStyle name="_도곡3교 교대 수량_RAMP-E교-최종000_파도 - 모항선 횡배수관 확장_시방서_공유수면매립도시관리계획및실시설계용역" xfId="2740"/>
    <cellStyle name="_도곡3교 교대 수량_RAMP-E교-최종000_파도 - 모항선 횡배수관 확장_시방서_로하스변경내역서-5(06.6.7)" xfId="2741"/>
    <cellStyle name="_도곡3교 교대 수량_RAMP-E교-최종000_파도 - 모항선 횡배수관 확장_시방서_로하스변경내역서-5(06.6.7)_로하스변경내역서-6(06(1).6.27 당초변경)" xfId="2742"/>
    <cellStyle name="_도곡3교 교대 수량_RAMP-E교-최종000_파도 - 모항선 횡배수관 확장_시방서_로하스변경내역서-6(06.6.21)" xfId="2743"/>
    <cellStyle name="_도곡3교 교대 수량_RAMP-E교-최종000_파도 - 모항선 횡배수관 확장_시방서_로하스변경내역서-6(06.6.21)_로하스변경내역서-6(06(1).6.27 당초변경)" xfId="2744"/>
    <cellStyle name="_도곡3교 교대 수량_공유수면매립도시관리계획및실시설계용역" xfId="2745"/>
    <cellStyle name="_도곡3교 교대 수량_로하스변경내역서-5(06.6.7)" xfId="2746"/>
    <cellStyle name="_도곡3교 교대 수량_로하스변경내역서-5(06.6.7)_로하스변경내역서-6(06(1).6.27 당초변경)" xfId="2747"/>
    <cellStyle name="_도곡3교 교대 수량_로하스변경내역서-6(06.6.21)" xfId="2748"/>
    <cellStyle name="_도곡3교 교대 수량_로하스변경내역서-6(06.6.21)_로하스변경내역서-6(06(1).6.27 당초변경)" xfId="2749"/>
    <cellStyle name="_도곡3교 교대 수량_시방서" xfId="2750"/>
    <cellStyle name="_도곡3교 교대 수량_시방서_공유수면매립도시관리계획및실시설계용역" xfId="2751"/>
    <cellStyle name="_도곡3교 교대 수량_시방서_로하스변경내역서-5(06.6.7)" xfId="2752"/>
    <cellStyle name="_도곡3교 교대 수량_시방서_로하스변경내역서-5(06.6.7)_로하스변경내역서-6(06(1).6.27 당초변경)" xfId="2753"/>
    <cellStyle name="_도곡3교 교대 수량_시방서_로하스변경내역서-6(06.6.21)" xfId="2754"/>
    <cellStyle name="_도곡3교 교대 수량_시방서_로하스변경내역서-6(06.6.21)_로하스변경내역서-6(06(1).6.27 당초변경)" xfId="2755"/>
    <cellStyle name="_도곡3교 교대 수량_신촌-유곡(암거)" xfId="2756"/>
    <cellStyle name="_도곡3교 교대 수량_신촌-유곡(암거)_04 BOX집" xfId="2757"/>
    <cellStyle name="_도곡3교 교대 수량_암거수량" xfId="2758"/>
    <cellStyle name="_도곡3교 교대 수량_암거수량(2)" xfId="2759"/>
    <cellStyle name="_도곡3교 교대 수량_암거수량(2)_04 BOX집" xfId="2760"/>
    <cellStyle name="_도곡3교 교대 수량_암거수량(2)_3.1제1배수통관(시례우안3제)" xfId="2761"/>
    <cellStyle name="_도곡3교 교대 수량_암거수량(2)_3.2 제2배수통관" xfId="2762"/>
    <cellStyle name="_도곡3교 교대 수량_암거수량(2)_3.3 제3배수통관" xfId="2763"/>
    <cellStyle name="_도곡3교 교대 수량_암거수량(2)_3.구조물공(시례우안2제)" xfId="2764"/>
    <cellStyle name="_도곡3교 교대 수량_암거수량_04 BOX집" xfId="2765"/>
    <cellStyle name="_도곡3교 교대 수량_암거수량_3.1제1배수통관(시례우안3제)" xfId="2766"/>
    <cellStyle name="_도곡3교 교대 수량_암거수량_3.2 제2배수통관" xfId="2767"/>
    <cellStyle name="_도곡3교 교대 수량_암거수량_3.3 제3배수통관" xfId="2768"/>
    <cellStyle name="_도곡3교 교대 수량_암거수량_3.구조물공(시례우안2제)" xfId="2769"/>
    <cellStyle name="_도곡4교 하부공 수량" xfId="2770"/>
    <cellStyle name="_도곡4교 하부공 수량_2(변경)-토공" xfId="2771"/>
    <cellStyle name="_도곡4교 하부공 수량_3.1제1배수통관(시례우안3제)" xfId="2772"/>
    <cellStyle name="_도곡4교 하부공 수량_3.2 제2배수통관" xfId="2773"/>
    <cellStyle name="_도곡4교 하부공 수량_3.3 제3배수통관" xfId="2774"/>
    <cellStyle name="_도곡4교 하부공 수량_3.구조물공(시례우안2제)" xfId="2775"/>
    <cellStyle name="_도곡4교 하부공 수량_RAMP-E교-최종000" xfId="2776"/>
    <cellStyle name="_도곡4교 하부공 수량_RAMP-E교-최종000_공유수면매립도시관리계획및실시설계용역" xfId="2777"/>
    <cellStyle name="_도곡4교 하부공 수량_RAMP-E교-최종000_로하스변경내역서-5(06.6.7)" xfId="2778"/>
    <cellStyle name="_도곡4교 하부공 수량_RAMP-E교-최종000_로하스변경내역서-5(06.6.7)_로하스변경내역서-6(06(1).6.27 당초변경)" xfId="2779"/>
    <cellStyle name="_도곡4교 하부공 수량_RAMP-E교-최종000_로하스변경내역서-6(06.6.21)" xfId="2780"/>
    <cellStyle name="_도곡4교 하부공 수량_RAMP-E교-최종000_로하스변경내역서-6(06.6.21)_로하스변경내역서-6(06(1).6.27 당초변경)" xfId="2781"/>
    <cellStyle name="_도곡4교 하부공 수량_RAMP-E교-최종000_시방서" xfId="2782"/>
    <cellStyle name="_도곡4교 하부공 수량_RAMP-E교-최종000_시방서_공유수면매립도시관리계획및실시설계용역" xfId="2783"/>
    <cellStyle name="_도곡4교 하부공 수량_RAMP-E교-최종000_시방서_로하스변경내역서-5(06.6.7)" xfId="2784"/>
    <cellStyle name="_도곡4교 하부공 수량_RAMP-E교-최종000_시방서_로하스변경내역서-5(06.6.7)_로하스변경내역서-6(06(1).6.27 당초변경)" xfId="2785"/>
    <cellStyle name="_도곡4교 하부공 수량_RAMP-E교-최종000_시방서_로하스변경내역서-6(06.6.21)" xfId="2786"/>
    <cellStyle name="_도곡4교 하부공 수량_RAMP-E교-최종000_시방서_로하스변경내역서-6(06.6.21)_로하스변경내역서-6(06(1).6.27 당초변경)" xfId="2787"/>
    <cellStyle name="_도곡4교 하부공 수량_RAMP-E교-최종000_파도 - 모항선 횡배수관 확장" xfId="2788"/>
    <cellStyle name="_도곡4교 하부공 수량_RAMP-E교-최종000_파도 - 모항선 횡배수관 확장_공유수면매립도시관리계획및실시설계용역" xfId="2789"/>
    <cellStyle name="_도곡4교 하부공 수량_RAMP-E교-최종000_파도 - 모항선 횡배수관 확장_로하스변경내역서-5(06.6.7)" xfId="2790"/>
    <cellStyle name="_도곡4교 하부공 수량_RAMP-E교-최종000_파도 - 모항선 횡배수관 확장_로하스변경내역서-5(06.6.7)_로하스변경내역서-6(06(1).6.27 당초변경)" xfId="2791"/>
    <cellStyle name="_도곡4교 하부공 수량_RAMP-E교-최종000_파도 - 모항선 횡배수관 확장_로하스변경내역서-6(06.6.21)" xfId="2792"/>
    <cellStyle name="_도곡4교 하부공 수량_RAMP-E교-최종000_파도 - 모항선 횡배수관 확장_로하스변경내역서-6(06.6.21)_로하스변경내역서-6(06(1).6.27 당초변경)" xfId="2793"/>
    <cellStyle name="_도곡4교 하부공 수량_RAMP-E교-최종000_파도 - 모항선 횡배수관 확장_시방서" xfId="2794"/>
    <cellStyle name="_도곡4교 하부공 수량_RAMP-E교-최종000_파도 - 모항선 횡배수관 확장_시방서_공유수면매립도시관리계획및실시설계용역" xfId="2795"/>
    <cellStyle name="_도곡4교 하부공 수량_RAMP-E교-최종000_파도 - 모항선 횡배수관 확장_시방서_로하스변경내역서-5(06.6.7)" xfId="2796"/>
    <cellStyle name="_도곡4교 하부공 수량_RAMP-E교-최종000_파도 - 모항선 횡배수관 확장_시방서_로하스변경내역서-5(06.6.7)_로하스변경내역서-6(06(1).6.27 당초변경)" xfId="2797"/>
    <cellStyle name="_도곡4교 하부공 수량_RAMP-E교-최종000_파도 - 모항선 횡배수관 확장_시방서_로하스변경내역서-6(06.6.21)" xfId="2798"/>
    <cellStyle name="_도곡4교 하부공 수량_RAMP-E교-최종000_파도 - 모항선 횡배수관 확장_시방서_로하스변경내역서-6(06.6.21)_로하스변경내역서-6(06(1).6.27 당초변경)" xfId="2799"/>
    <cellStyle name="_도곡4교 하부공 수량_공유수면매립도시관리계획및실시설계용역" xfId="2800"/>
    <cellStyle name="_도곡4교 하부공 수량_로하스변경내역서-5(06.6.7)" xfId="2801"/>
    <cellStyle name="_도곡4교 하부공 수량_로하스변경내역서-5(06.6.7)_로하스변경내역서-6(06(1).6.27 당초변경)" xfId="2802"/>
    <cellStyle name="_도곡4교 하부공 수량_로하스변경내역서-6(06.6.21)" xfId="2803"/>
    <cellStyle name="_도곡4교 하부공 수량_로하스변경내역서-6(06.6.21)_로하스변경내역서-6(06(1).6.27 당초변경)" xfId="2804"/>
    <cellStyle name="_도곡4교 하부공 수량_시방서" xfId="2805"/>
    <cellStyle name="_도곡4교 하부공 수량_시방서_공유수면매립도시관리계획및실시설계용역" xfId="2806"/>
    <cellStyle name="_도곡4교 하부공 수량_시방서_로하스변경내역서-5(06.6.7)" xfId="2807"/>
    <cellStyle name="_도곡4교 하부공 수량_시방서_로하스변경내역서-5(06.6.7)_로하스변경내역서-6(06(1).6.27 당초변경)" xfId="2808"/>
    <cellStyle name="_도곡4교 하부공 수량_시방서_로하스변경내역서-6(06.6.21)" xfId="2809"/>
    <cellStyle name="_도곡4교 하부공 수량_시방서_로하스변경내역서-6(06.6.21)_로하스변경내역서-6(06(1).6.27 당초변경)" xfId="2810"/>
    <cellStyle name="_도곡4교 하부공 수량_신촌-유곡(암거)" xfId="2811"/>
    <cellStyle name="_도곡4교 하부공 수량_신촌-유곡(암거)_04 BOX집" xfId="2812"/>
    <cellStyle name="_도곡4교 하부공 수량_암거수량" xfId="2813"/>
    <cellStyle name="_도곡4교 하부공 수량_암거수량(2)" xfId="2814"/>
    <cellStyle name="_도곡4교 하부공 수량_암거수량(2)_04 BOX집" xfId="2815"/>
    <cellStyle name="_도곡4교 하부공 수량_암거수량(2)_3.1제1배수통관(시례우안3제)" xfId="2816"/>
    <cellStyle name="_도곡4교 하부공 수량_암거수량(2)_3.2 제2배수통관" xfId="2817"/>
    <cellStyle name="_도곡4교 하부공 수량_암거수량(2)_3.3 제3배수통관" xfId="2818"/>
    <cellStyle name="_도곡4교 하부공 수량_암거수량(2)_3.구조물공(시례우안2제)" xfId="2819"/>
    <cellStyle name="_도곡4교 하부공 수량_암거수량_04 BOX집" xfId="2820"/>
    <cellStyle name="_도곡4교 하부공 수량_암거수량_3.1제1배수통관(시례우안3제)" xfId="2821"/>
    <cellStyle name="_도곡4교 하부공 수량_암거수량_3.2 제2배수통관" xfId="2822"/>
    <cellStyle name="_도곡4교 하부공 수량_암거수량_3.3 제3배수통관" xfId="2823"/>
    <cellStyle name="_도곡4교 하부공 수량_암거수량_3.구조물공(시례우안2제)" xfId="2824"/>
    <cellStyle name="_도곡교 교대 수량" xfId="2825"/>
    <cellStyle name="_도곡교 교대 수량_2(변경)-토공" xfId="2826"/>
    <cellStyle name="_도곡교 교대 수량_3.1제1배수통관(시례우안3제)" xfId="2827"/>
    <cellStyle name="_도곡교 교대 수량_3.2 제2배수통관" xfId="2828"/>
    <cellStyle name="_도곡교 교대 수량_3.3 제3배수통관" xfId="2829"/>
    <cellStyle name="_도곡교 교대 수량_3.구조물공(시례우안2제)" xfId="2830"/>
    <cellStyle name="_도곡교 교대 수량_RAMP-E교-최종000" xfId="2831"/>
    <cellStyle name="_도곡교 교대 수량_RAMP-E교-최종000_공유수면매립도시관리계획및실시설계용역" xfId="2832"/>
    <cellStyle name="_도곡교 교대 수량_RAMP-E교-최종000_로하스변경내역서-5(06.6.7)" xfId="2833"/>
    <cellStyle name="_도곡교 교대 수량_RAMP-E교-최종000_로하스변경내역서-5(06.6.7)_로하스변경내역서-6(06(1).6.27 당초변경)" xfId="2834"/>
    <cellStyle name="_도곡교 교대 수량_RAMP-E교-최종000_로하스변경내역서-6(06.6.21)" xfId="2835"/>
    <cellStyle name="_도곡교 교대 수량_RAMP-E교-최종000_로하스변경내역서-6(06.6.21)_로하스변경내역서-6(06(1).6.27 당초변경)" xfId="2836"/>
    <cellStyle name="_도곡교 교대 수량_RAMP-E교-최종000_시방서" xfId="2837"/>
    <cellStyle name="_도곡교 교대 수량_RAMP-E교-최종000_시방서_공유수면매립도시관리계획및실시설계용역" xfId="2838"/>
    <cellStyle name="_도곡교 교대 수량_RAMP-E교-최종000_시방서_로하스변경내역서-5(06.6.7)" xfId="2839"/>
    <cellStyle name="_도곡교 교대 수량_RAMP-E교-최종000_시방서_로하스변경내역서-5(06.6.7)_로하스변경내역서-6(06(1).6.27 당초변경)" xfId="2840"/>
    <cellStyle name="_도곡교 교대 수량_RAMP-E교-최종000_시방서_로하스변경내역서-6(06.6.21)" xfId="2841"/>
    <cellStyle name="_도곡교 교대 수량_RAMP-E교-최종000_시방서_로하스변경내역서-6(06.6.21)_로하스변경내역서-6(06(1).6.27 당초변경)" xfId="2842"/>
    <cellStyle name="_도곡교 교대 수량_RAMP-E교-최종000_파도 - 모항선 횡배수관 확장" xfId="2843"/>
    <cellStyle name="_도곡교 교대 수량_RAMP-E교-최종000_파도 - 모항선 횡배수관 확장_공유수면매립도시관리계획및실시설계용역" xfId="2844"/>
    <cellStyle name="_도곡교 교대 수량_RAMP-E교-최종000_파도 - 모항선 횡배수관 확장_로하스변경내역서-5(06.6.7)" xfId="2845"/>
    <cellStyle name="_도곡교 교대 수량_RAMP-E교-최종000_파도 - 모항선 횡배수관 확장_로하스변경내역서-5(06.6.7)_로하스변경내역서-6(06(1).6.27 당초변경)" xfId="2846"/>
    <cellStyle name="_도곡교 교대 수량_RAMP-E교-최종000_파도 - 모항선 횡배수관 확장_로하스변경내역서-6(06.6.21)" xfId="2847"/>
    <cellStyle name="_도곡교 교대 수량_RAMP-E교-최종000_파도 - 모항선 횡배수관 확장_로하스변경내역서-6(06.6.21)_로하스변경내역서-6(06(1).6.27 당초변경)" xfId="2848"/>
    <cellStyle name="_도곡교 교대 수량_RAMP-E교-최종000_파도 - 모항선 횡배수관 확장_시방서" xfId="2849"/>
    <cellStyle name="_도곡교 교대 수량_RAMP-E교-최종000_파도 - 모항선 횡배수관 확장_시방서_공유수면매립도시관리계획및실시설계용역" xfId="2850"/>
    <cellStyle name="_도곡교 교대 수량_RAMP-E교-최종000_파도 - 모항선 횡배수관 확장_시방서_로하스변경내역서-5(06.6.7)" xfId="2851"/>
    <cellStyle name="_도곡교 교대 수량_RAMP-E교-최종000_파도 - 모항선 횡배수관 확장_시방서_로하스변경내역서-5(06.6.7)_로하스변경내역서-6(06(1).6.27 당초변경)" xfId="2852"/>
    <cellStyle name="_도곡교 교대 수량_RAMP-E교-최종000_파도 - 모항선 횡배수관 확장_시방서_로하스변경내역서-6(06.6.21)" xfId="2853"/>
    <cellStyle name="_도곡교 교대 수량_RAMP-E교-최종000_파도 - 모항선 횡배수관 확장_시방서_로하스변경내역서-6(06.6.21)_로하스변경내역서-6(06(1).6.27 당초변경)" xfId="2854"/>
    <cellStyle name="_도곡교 교대 수량_공유수면매립도시관리계획및실시설계용역" xfId="2855"/>
    <cellStyle name="_도곡교 교대 수량_로하스변경내역서-5(06.6.7)" xfId="2856"/>
    <cellStyle name="_도곡교 교대 수량_로하스변경내역서-5(06.6.7)_로하스변경내역서-6(06(1).6.27 당초변경)" xfId="2857"/>
    <cellStyle name="_도곡교 교대 수량_로하스변경내역서-6(06.6.21)" xfId="2858"/>
    <cellStyle name="_도곡교 교대 수량_로하스변경내역서-6(06.6.21)_로하스변경내역서-6(06(1).6.27 당초변경)" xfId="2859"/>
    <cellStyle name="_도곡교 교대 수량_시방서" xfId="2860"/>
    <cellStyle name="_도곡교 교대 수량_시방서_공유수면매립도시관리계획및실시설계용역" xfId="2861"/>
    <cellStyle name="_도곡교 교대 수량_시방서_로하스변경내역서-5(06.6.7)" xfId="2862"/>
    <cellStyle name="_도곡교 교대 수량_시방서_로하스변경내역서-5(06.6.7)_로하스변경내역서-6(06(1).6.27 당초변경)" xfId="2863"/>
    <cellStyle name="_도곡교 교대 수량_시방서_로하스변경내역서-6(06.6.21)" xfId="2864"/>
    <cellStyle name="_도곡교 교대 수량_시방서_로하스변경내역서-6(06.6.21)_로하스변경내역서-6(06(1).6.27 당초변경)" xfId="2865"/>
    <cellStyle name="_도곡교 교대 수량_신촌-유곡(암거)" xfId="2866"/>
    <cellStyle name="_도곡교 교대 수량_신촌-유곡(암거)_04 BOX집" xfId="2867"/>
    <cellStyle name="_도곡교 교대 수량_암거수량" xfId="2868"/>
    <cellStyle name="_도곡교 교대 수량_암거수량(2)" xfId="2869"/>
    <cellStyle name="_도곡교 교대 수량_암거수량(2)_04 BOX집" xfId="2870"/>
    <cellStyle name="_도곡교 교대 수량_암거수량(2)_3.1제1배수통관(시례우안3제)" xfId="2871"/>
    <cellStyle name="_도곡교 교대 수량_암거수량(2)_3.2 제2배수통관" xfId="2872"/>
    <cellStyle name="_도곡교 교대 수량_암거수량(2)_3.3 제3배수통관" xfId="2873"/>
    <cellStyle name="_도곡교 교대 수량_암거수량(2)_3.구조물공(시례우안2제)" xfId="2874"/>
    <cellStyle name="_도곡교 교대 수량_암거수량_04 BOX집" xfId="2875"/>
    <cellStyle name="_도곡교 교대 수량_암거수량_3.1제1배수통관(시례우안3제)" xfId="2876"/>
    <cellStyle name="_도곡교 교대 수량_암거수량_3.2 제2배수통관" xfId="2877"/>
    <cellStyle name="_도곡교 교대 수량_암거수량_3.3 제3배수통관" xfId="2878"/>
    <cellStyle name="_도곡교 교대 수량_암거수량_3.구조물공(시례우안2제)" xfId="2879"/>
    <cellStyle name="_도덕-고흥도로(투찰)" xfId="2880"/>
    <cellStyle name="_도로+상수+하수(2003년진주시)-1차-최종" xfId="2881"/>
    <cellStyle name="_도로+상수+하수총괄분(진주시)" xfId="2882"/>
    <cellStyle name="_도로공사 예산설계(통합교통정보시스템)" xfId="2883"/>
    <cellStyle name="_도로공사대전지사" xfId="2884"/>
    <cellStyle name="_도로명 통합시스템 예산설계(051130" xfId="2885"/>
    <cellStyle name="_도로명주소 DB이행 필요예산(안)" xfId="2886"/>
    <cellStyle name="_도로및지하시설물도공동구축사업 설계내역서.1.0" xfId="2887"/>
    <cellStyle name="_도로시설물020517총괄" xfId="2888"/>
    <cellStyle name="_도로와 지하시설물도 구축사업(2차) 설계내역서_v4" xfId="2889"/>
    <cellStyle name="_도로와 지하시설물도 시범사업 설계내역서_1.2" xfId="2890"/>
    <cellStyle name="_도리농로" xfId="2891"/>
    <cellStyle name="_도시계획시설(9만평)" xfId="2892"/>
    <cellStyle name="_도시관리계획내역(1026)" xfId="2893"/>
    <cellStyle name="_도원동내역및수량산출서(0813)" xfId="2894"/>
    <cellStyle name="_돌고개농로" xfId="2895"/>
    <cellStyle name="_돌망태수량(바이리)" xfId="2896"/>
    <cellStyle name="_동강리조트(교통성사전재해)" xfId="2897"/>
    <cellStyle name="_동대문실내체육관(천마낙찰)" xfId="2898"/>
    <cellStyle name="_동대병원(투찰①)" xfId="2899"/>
    <cellStyle name="_동래여고_강당 무대장치 제작설치" xfId="2900"/>
    <cellStyle name="_동래여고_강당 무대장치 제작설치_2004년 완선공사(최종본)" xfId="2901"/>
    <cellStyle name="_동래여고_강당 무대장치 제작설치_안동전통문화콘텐츠박물관전시영상물구축(전시시설물)" xfId="2902"/>
    <cellStyle name="_동래여고_강당 무대장치 제작설치_안동전통문화콘텐츠박물관전시영상물구축(전시시설물)_원가보고서(종합)-조달" xfId="2903"/>
    <cellStyle name="_동래여고_강당 무대장치 제작설치_안동전통문화콘텐츠박물관전시영상물구축(전시시설물)_원가보고서(흑색)-조달" xfId="2904"/>
    <cellStyle name="_동래여고_강당 무대장치 제작설치_원가계산서(화성상록)" xfId="2905"/>
    <cellStyle name="_동래여고_강당 무대장치 제작설치_원가계산서(화성상록) (version 1)" xfId="2906"/>
    <cellStyle name="_동래여고_강당 무대장치 제작설치_원가계산서(화성상록) (version 1)_원가보고서(종합)-조달" xfId="2907"/>
    <cellStyle name="_동래여고_강당 무대장치 제작설치_원가계산서(화성상록) (version 1)_원가보고서(흑색)-조달" xfId="2908"/>
    <cellStyle name="_동래여고_강당 무대장치 제작설치_원가계산서(화성상록)_원가보고서(종합)-조달" xfId="2909"/>
    <cellStyle name="_동래여고_강당 무대장치 제작설치_원가계산서(화성상록)_원가보고서(흑색)-조달" xfId="2910"/>
    <cellStyle name="_동백~죽전도로개설공사(효자건설)ES내역서" xfId="2911"/>
    <cellStyle name="_동원꽃농원" xfId="2912"/>
    <cellStyle name="_두계변전소하도급" xfId="2913"/>
    <cellStyle name="_두릉1제 수량산출서" xfId="2914"/>
    <cellStyle name="_등촌고등총괄(동현하도급)" xfId="2915"/>
    <cellStyle name="_디아모_한국전산원_Listprice" xfId="2916"/>
    <cellStyle name="_디지털산업단지견적서 2" xfId="2917"/>
    <cellStyle name="_라멘교 토공" xfId="2918"/>
    <cellStyle name="_라멘교 토공_01.설계내역2" xfId="2919"/>
    <cellStyle name="_라멘교 토공_제2종지구단위계획_선바위관광지" xfId="2920"/>
    <cellStyle name="_라멘교 토공_제2종지구단위계획_선바위관광지_20090609_영덕농공단지내역서" xfId="2921"/>
    <cellStyle name="_라멘교 토공_제2종지구단위계획_선바위관광지_총괄내역서(090223)" xfId="2922"/>
    <cellStyle name="_라멘교 토공_총괄내역서_도시관리계획결정(070907)_계약" xfId="2923"/>
    <cellStyle name="_라멘교 토공_총괄내역서_타당성조사및도시관리계획결정(090115)" xfId="2924"/>
    <cellStyle name="_라멘교 토공_총괄내역서_타당성조사및도시관리계획결정(090115)_20090609_영덕농공단지내역서" xfId="2925"/>
    <cellStyle name="_라멘교 토공_총괄내역서_타당성조사및도시관리계획결정(090115)_총괄내역서(090223)" xfId="2926"/>
    <cellStyle name="_레몬홈페이지개발프로젝트경비신청서03-03-09" xfId="2927"/>
    <cellStyle name="_로하스변경내역서-6(06.6.29 당초변경)" xfId="2928"/>
    <cellStyle name="_롯데레몬 사이트 개발 견적서02-10-29" xfId="2929"/>
    <cellStyle name="_롯데레몬 사이트 개발 견적서02-11-06" xfId="2930"/>
    <cellStyle name="_롯데백화점_인프라 내역(2006.01.20)" xfId="2931"/>
    <cellStyle name="_리눅스OS_견적서" xfId="2932"/>
    <cellStyle name="_마무리공사" xfId="2933"/>
    <cellStyle name="_마현~생창국도건설공사" xfId="2934"/>
    <cellStyle name="_맨홀토공" xfId="2935"/>
    <cellStyle name="_맨홀토공_내지농로(변경)" xfId="2936"/>
    <cellStyle name="_맨홀토공_내지농로(변경)_돈지수량산출" xfId="2937"/>
    <cellStyle name="_맨홀토공_능양수량산출" xfId="2938"/>
    <cellStyle name="_맨홀토공_능양수량산출_돈지수량산출" xfId="2939"/>
    <cellStyle name="_맨홀토공_돈지안길" xfId="2940"/>
    <cellStyle name="_맨홀토공_돈지안길_배수로" xfId="2941"/>
    <cellStyle name="_맨홀토공_돈지안길1000" xfId="2942"/>
    <cellStyle name="_맨홀토공_돈지안길1000_배수로" xfId="2943"/>
    <cellStyle name="_맨홀토공_배수로" xfId="2944"/>
    <cellStyle name="_맨홀토공_배수로_배수로" xfId="2945"/>
    <cellStyle name="_맨홀토공_석축쌓기" xfId="2946"/>
    <cellStyle name="_맨홀토공_석축쌓기_내지농로(변경)" xfId="2947"/>
    <cellStyle name="_맨홀토공_석축쌓기_내지농로(변경)_돈지수량산출" xfId="2948"/>
    <cellStyle name="_맨홀토공_석축쌓기_능양수량산출" xfId="2949"/>
    <cellStyle name="_맨홀토공_석축쌓기_능양수량산출_돈지수량산출" xfId="2950"/>
    <cellStyle name="_맨홀토공_석축쌓기_돈지안길" xfId="2951"/>
    <cellStyle name="_맨홀토공_석축쌓기_돈지안길_배수로" xfId="2952"/>
    <cellStyle name="_맨홀토공_석축쌓기_돈지안길1000" xfId="2953"/>
    <cellStyle name="_맨홀토공_석축쌓기_돈지안길1000_배수로" xfId="2954"/>
    <cellStyle name="_맨홀토공_석축쌓기_배수공(명품센터)" xfId="2955"/>
    <cellStyle name="_맨홀토공_석축쌓기_배수공(명품센터)_내지농로(변경)" xfId="2956"/>
    <cellStyle name="_맨홀토공_석축쌓기_배수공(명품센터)_내지농로(변경)_돈지수량산출" xfId="2957"/>
    <cellStyle name="_맨홀토공_석축쌓기_배수공(명품센터)_능양수량산출" xfId="2958"/>
    <cellStyle name="_맨홀토공_석축쌓기_배수공(명품센터)_능양수량산출_돈지수량산출" xfId="2959"/>
    <cellStyle name="_맨홀토공_석축쌓기_배수공(명품센터)_돈지안길" xfId="2960"/>
    <cellStyle name="_맨홀토공_석축쌓기_배수공(명품센터)_돈지안길_배수로" xfId="2961"/>
    <cellStyle name="_맨홀토공_석축쌓기_배수공(명품센터)_돈지안길1000" xfId="2962"/>
    <cellStyle name="_맨홀토공_석축쌓기_배수공(명품센터)_돈지안길1000_배수로" xfId="2963"/>
    <cellStyle name="_맨홀토공_석축쌓기_배수공(명품센터)_배수로" xfId="2964"/>
    <cellStyle name="_맨홀토공_석축쌓기_배수공(명품센터)_배수로_배수로" xfId="2965"/>
    <cellStyle name="_맨홀토공_석축쌓기_배수로" xfId="2966"/>
    <cellStyle name="_맨홀토공_석축쌓기_배수로_배수로" xfId="2967"/>
    <cellStyle name="_맨홀토공_석축쌓기_수량(전안수해복구)" xfId="2968"/>
    <cellStyle name="_맨홀토공_석축쌓기_수량(전안수해복구)_내지농로(변경)" xfId="2969"/>
    <cellStyle name="_맨홀토공_석축쌓기_수량(전안수해복구)_내지농로(변경)_돈지수량산출" xfId="2970"/>
    <cellStyle name="_맨홀토공_석축쌓기_수량(전안수해복구)_능양수량산출" xfId="2971"/>
    <cellStyle name="_맨홀토공_석축쌓기_수량(전안수해복구)_능양수량산출_돈지수량산출" xfId="2972"/>
    <cellStyle name="_맨홀토공_석축쌓기_수량(전안수해복구)_돈지안길" xfId="2973"/>
    <cellStyle name="_맨홀토공_석축쌓기_수량(전안수해복구)_돈지안길_배수로" xfId="2974"/>
    <cellStyle name="_맨홀토공_석축쌓기_수량(전안수해복구)_돈지안길1000" xfId="2975"/>
    <cellStyle name="_맨홀토공_석축쌓기_수량(전안수해복구)_돈지안길1000_배수로" xfId="2976"/>
    <cellStyle name="_맨홀토공_석축쌓기_수량(전안수해복구)_배수로" xfId="2977"/>
    <cellStyle name="_맨홀토공_석축쌓기_수량(전안수해복구)_배수로_배수로" xfId="2978"/>
    <cellStyle name="_맨홀토공_석축쌓기_우수공(k2)" xfId="2979"/>
    <cellStyle name="_맨홀토공_석축쌓기_우수공(k2)_내지농로(변경)" xfId="2980"/>
    <cellStyle name="_맨홀토공_석축쌓기_우수공(k2)_내지농로(변경)_돈지수량산출" xfId="2981"/>
    <cellStyle name="_맨홀토공_석축쌓기_우수공(k2)_능양수량산출" xfId="2982"/>
    <cellStyle name="_맨홀토공_석축쌓기_우수공(k2)_능양수량산출_돈지수량산출" xfId="2983"/>
    <cellStyle name="_맨홀토공_석축쌓기_우수공(k2)_돈지안길" xfId="2984"/>
    <cellStyle name="_맨홀토공_석축쌓기_우수공(k2)_돈지안길_배수로" xfId="2985"/>
    <cellStyle name="_맨홀토공_석축쌓기_우수공(k2)_돈지안길1000" xfId="2986"/>
    <cellStyle name="_맨홀토공_석축쌓기_우수공(k2)_돈지안길1000_배수로" xfId="2987"/>
    <cellStyle name="_맨홀토공_석축쌓기_우수공(k2)_배수로" xfId="2988"/>
    <cellStyle name="_맨홀토공_석축쌓기_우수공(k2)_배수로_배수로" xfId="2989"/>
    <cellStyle name="_메리츠증권 운영리스크견적_PwC_080328" xfId="2990"/>
    <cellStyle name="_명암지-산성간" xfId="2991"/>
    <cellStyle name="_모바일 지리정보 현장관리시스템 설계서" xfId="2992"/>
    <cellStyle name="_모점3공구" xfId="2993"/>
    <cellStyle name="_무안군_UIS설계서(1013)" xfId="2994"/>
    <cellStyle name="_무창투찰" xfId="2995"/>
    <cellStyle name="_무창투찰_무촌투찰" xfId="2996"/>
    <cellStyle name="_무촌투찰" xfId="2997"/>
    <cellStyle name="_무학22" xfId="2998"/>
    <cellStyle name="_문경시관리계획내역서 최종0211" xfId="2999"/>
    <cellStyle name="_문의 미천 가로등" xfId="3000"/>
    <cellStyle name="_문의 미천 가로등_01.설계내역2" xfId="3001"/>
    <cellStyle name="_문의 미천 가로등_제2종지구단위계획_선바위관광지" xfId="3002"/>
    <cellStyle name="_문의 미천 가로등_제2종지구단위계획_선바위관광지_20090609_영덕농공단지내역서" xfId="3003"/>
    <cellStyle name="_문의 미천 가로등_제2종지구단위계획_선바위관광지_총괄내역서(090223)" xfId="3004"/>
    <cellStyle name="_문의 미천 가로등_총괄내역서_도시관리계획결정(070907)_계약" xfId="3005"/>
    <cellStyle name="_문의 미천 가로등_총괄내역서_타당성조사및도시관리계획결정(090115)" xfId="3006"/>
    <cellStyle name="_문의 미천 가로등_총괄내역서_타당성조사및도시관리계획결정(090115)_20090609_영덕농공단지내역서" xfId="3007"/>
    <cellStyle name="_문의 미천 가로등_총괄내역서_타당성조사및도시관리계획결정(090115)_총괄내역서(090223)" xfId="3008"/>
    <cellStyle name="_문화예술교육진흥원건_20070405-1 2007 04 10" xfId="3009"/>
    <cellStyle name="_문화재GIS_설계내역_040718_v3" xfId="3010"/>
    <cellStyle name="_문화재지표조사내역서" xfId="3011"/>
    <cellStyle name="_물건조사" xfId="3012"/>
    <cellStyle name="_물량기본내역및조사탐사내역" xfId="3013"/>
    <cellStyle name="_미리네_홍천군시청각관리시스템" xfId="3014"/>
    <cellStyle name="_방동" xfId="3015"/>
    <cellStyle name="_방동_01.설계내역2" xfId="3016"/>
    <cellStyle name="_방동_03구조~1" xfId="3017"/>
    <cellStyle name="_방동_03구조~1_01.설계내역2" xfId="3018"/>
    <cellStyle name="_방동_03구조~1_라멘교 토공" xfId="3019"/>
    <cellStyle name="_방동_03구조~1_라멘교 토공_01.설계내역2" xfId="3020"/>
    <cellStyle name="_방동_03구조~1_라멘교 토공_제2종지구단위계획_선바위관광지" xfId="3021"/>
    <cellStyle name="_방동_03구조~1_라멘교 토공_제2종지구단위계획_선바위관광지_20090609_영덕농공단지내역서" xfId="3022"/>
    <cellStyle name="_방동_03구조~1_라멘교 토공_제2종지구단위계획_선바위관광지_총괄내역서(090223)" xfId="3023"/>
    <cellStyle name="_방동_03구조~1_라멘교 토공_총괄내역서_도시관리계획결정(070907)_계약" xfId="3024"/>
    <cellStyle name="_방동_03구조~1_라멘교 토공_총괄내역서_타당성조사및도시관리계획결정(090115)" xfId="3025"/>
    <cellStyle name="_방동_03구조~1_라멘교 토공_총괄내역서_타당성조사및도시관리계획결정(090115)_20090609_영덕농공단지내역서" xfId="3026"/>
    <cellStyle name="_방동_03구조~1_라멘교 토공_총괄내역서_타당성조사및도시관리계획결정(090115)_총괄내역서(090223)" xfId="3027"/>
    <cellStyle name="_방동_03구조~1_제2종지구단위계획_선바위관광지" xfId="3028"/>
    <cellStyle name="_방동_03구조~1_제2종지구단위계획_선바위관광지_20090609_영덕농공단지내역서" xfId="3029"/>
    <cellStyle name="_방동_03구조~1_제2종지구단위계획_선바위관광지_총괄내역서(090223)" xfId="3030"/>
    <cellStyle name="_방동_03구조~1_총괄내역서_도시관리계획결정(070907)_계약" xfId="3031"/>
    <cellStyle name="_방동_03구조~1_총괄내역서_타당성조사및도시관리계획결정(090115)" xfId="3032"/>
    <cellStyle name="_방동_03구조~1_총괄내역서_타당성조사및도시관리계획결정(090115)_20090609_영덕농공단지내역서" xfId="3033"/>
    <cellStyle name="_방동_03구조~1_총괄내역서_타당성조사및도시관리계획결정(090115)_총괄내역서(090223)" xfId="3034"/>
    <cellStyle name="_방동_03구조~1_포장" xfId="3035"/>
    <cellStyle name="_방동_03구조~1_포장_01.설계내역2" xfId="3036"/>
    <cellStyle name="_방동_03구조~1_포장_라멘교 토공" xfId="3037"/>
    <cellStyle name="_방동_03구조~1_포장_라멘교 토공_01.설계내역2" xfId="3038"/>
    <cellStyle name="_방동_03구조~1_포장_라멘교 토공_제2종지구단위계획_선바위관광지" xfId="3039"/>
    <cellStyle name="_방동_03구조~1_포장_라멘교 토공_제2종지구단위계획_선바위관광지_20090609_영덕농공단지내역서" xfId="3040"/>
    <cellStyle name="_방동_03구조~1_포장_라멘교 토공_제2종지구단위계획_선바위관광지_총괄내역서(090223)" xfId="3041"/>
    <cellStyle name="_방동_03구조~1_포장_라멘교 토공_총괄내역서_도시관리계획결정(070907)_계약" xfId="3042"/>
    <cellStyle name="_방동_03구조~1_포장_라멘교 토공_총괄내역서_타당성조사및도시관리계획결정(090115)" xfId="3043"/>
    <cellStyle name="_방동_03구조~1_포장_라멘교 토공_총괄내역서_타당성조사및도시관리계획결정(090115)_20090609_영덕농공단지내역서" xfId="3044"/>
    <cellStyle name="_방동_03구조~1_포장_라멘교 토공_총괄내역서_타당성조사및도시관리계획결정(090115)_총괄내역서(090223)" xfId="3045"/>
    <cellStyle name="_방동_03구조~1_포장_제2종지구단위계획_선바위관광지" xfId="3046"/>
    <cellStyle name="_방동_03구조~1_포장_제2종지구단위계획_선바위관광지_20090609_영덕농공단지내역서" xfId="3047"/>
    <cellStyle name="_방동_03구조~1_포장_제2종지구단위계획_선바위관광지_총괄내역서(090223)" xfId="3048"/>
    <cellStyle name="_방동_03구조~1_포장_총괄내역서_도시관리계획결정(070907)_계약" xfId="3049"/>
    <cellStyle name="_방동_03구조~1_포장_총괄내역서_타당성조사및도시관리계획결정(090115)" xfId="3050"/>
    <cellStyle name="_방동_03구조~1_포장_총괄내역서_타당성조사및도시관리계획결정(090115)_20090609_영덕농공단지내역서" xfId="3051"/>
    <cellStyle name="_방동_03구조~1_포장_총괄내역서_타당성조사및도시관리계획결정(090115)_총괄내역서(090223)" xfId="3052"/>
    <cellStyle name="_방동_03구조물공" xfId="3053"/>
    <cellStyle name="_방동_03구조물공_01.설계내역2" xfId="3054"/>
    <cellStyle name="_방동_03구조물공_라멘교 토공" xfId="3055"/>
    <cellStyle name="_방동_03구조물공_라멘교 토공_01.설계내역2" xfId="3056"/>
    <cellStyle name="_방동_03구조물공_라멘교 토공_제2종지구단위계획_선바위관광지" xfId="3057"/>
    <cellStyle name="_방동_03구조물공_라멘교 토공_제2종지구단위계획_선바위관광지_20090609_영덕농공단지내역서" xfId="3058"/>
    <cellStyle name="_방동_03구조물공_라멘교 토공_제2종지구단위계획_선바위관광지_총괄내역서(090223)" xfId="3059"/>
    <cellStyle name="_방동_03구조물공_라멘교 토공_총괄내역서_도시관리계획결정(070907)_계약" xfId="3060"/>
    <cellStyle name="_방동_03구조물공_라멘교 토공_총괄내역서_타당성조사및도시관리계획결정(090115)" xfId="3061"/>
    <cellStyle name="_방동_03구조물공_라멘교 토공_총괄내역서_타당성조사및도시관리계획결정(090115)_20090609_영덕농공단지내역서" xfId="3062"/>
    <cellStyle name="_방동_03구조물공_라멘교 토공_총괄내역서_타당성조사및도시관리계획결정(090115)_총괄내역서(090223)" xfId="3063"/>
    <cellStyle name="_방동_03구조물공_제2종지구단위계획_선바위관광지" xfId="3064"/>
    <cellStyle name="_방동_03구조물공_제2종지구단위계획_선바위관광지_20090609_영덕농공단지내역서" xfId="3065"/>
    <cellStyle name="_방동_03구조물공_제2종지구단위계획_선바위관광지_총괄내역서(090223)" xfId="3066"/>
    <cellStyle name="_방동_03구조물공_총괄내역서_도시관리계획결정(070907)_계약" xfId="3067"/>
    <cellStyle name="_방동_03구조물공_총괄내역서_타당성조사및도시관리계획결정(090115)" xfId="3068"/>
    <cellStyle name="_방동_03구조물공_총괄내역서_타당성조사및도시관리계획결정(090115)_20090609_영덕농공단지내역서" xfId="3069"/>
    <cellStyle name="_방동_03구조물공_총괄내역서_타당성조사및도시관리계획결정(090115)_총괄내역서(090223)" xfId="3070"/>
    <cellStyle name="_방동_03구조물공_포장" xfId="3071"/>
    <cellStyle name="_방동_03구조물공_포장_01.설계내역2" xfId="3072"/>
    <cellStyle name="_방동_03구조물공_포장_라멘교 토공" xfId="3073"/>
    <cellStyle name="_방동_03구조물공_포장_라멘교 토공_01.설계내역2" xfId="3074"/>
    <cellStyle name="_방동_03구조물공_포장_라멘교 토공_제2종지구단위계획_선바위관광지" xfId="3075"/>
    <cellStyle name="_방동_03구조물공_포장_라멘교 토공_제2종지구단위계획_선바위관광지_20090609_영덕농공단지내역서" xfId="3076"/>
    <cellStyle name="_방동_03구조물공_포장_라멘교 토공_제2종지구단위계획_선바위관광지_총괄내역서(090223)" xfId="3077"/>
    <cellStyle name="_방동_03구조물공_포장_라멘교 토공_총괄내역서_도시관리계획결정(070907)_계약" xfId="3078"/>
    <cellStyle name="_방동_03구조물공_포장_라멘교 토공_총괄내역서_타당성조사및도시관리계획결정(090115)" xfId="3079"/>
    <cellStyle name="_방동_03구조물공_포장_라멘교 토공_총괄내역서_타당성조사및도시관리계획결정(090115)_20090609_영덕농공단지내역서" xfId="3080"/>
    <cellStyle name="_방동_03구조물공_포장_라멘교 토공_총괄내역서_타당성조사및도시관리계획결정(090115)_총괄내역서(090223)" xfId="3081"/>
    <cellStyle name="_방동_03구조물공_포장_제2종지구단위계획_선바위관광지" xfId="3082"/>
    <cellStyle name="_방동_03구조물공_포장_제2종지구단위계획_선바위관광지_20090609_영덕농공단지내역서" xfId="3083"/>
    <cellStyle name="_방동_03구조물공_포장_제2종지구단위계획_선바위관광지_총괄내역서(090223)" xfId="3084"/>
    <cellStyle name="_방동_03구조물공_포장_총괄내역서_도시관리계획결정(070907)_계약" xfId="3085"/>
    <cellStyle name="_방동_03구조물공_포장_총괄내역서_타당성조사및도시관리계획결정(090115)" xfId="3086"/>
    <cellStyle name="_방동_03구조물공_포장_총괄내역서_타당성조사및도시관리계획결정(090115)_20090609_영덕농공단지내역서" xfId="3087"/>
    <cellStyle name="_방동_03구조물공_포장_총괄내역서_타당성조사및도시관리계획결정(090115)_총괄내역서(090223)" xfId="3088"/>
    <cellStyle name="_방동_동막리소교량" xfId="3089"/>
    <cellStyle name="_방동_동막리소교량_01.설계내역2" xfId="3090"/>
    <cellStyle name="_방동_동막리소교량_라멘교 토공" xfId="3091"/>
    <cellStyle name="_방동_동막리소교량_라멘교 토공_01.설계내역2" xfId="3092"/>
    <cellStyle name="_방동_동막리소교량_라멘교 토공_제2종지구단위계획_선바위관광지" xfId="3093"/>
    <cellStyle name="_방동_동막리소교량_라멘교 토공_제2종지구단위계획_선바위관광지_20090609_영덕농공단지내역서" xfId="3094"/>
    <cellStyle name="_방동_동막리소교량_라멘교 토공_제2종지구단위계획_선바위관광지_총괄내역서(090223)" xfId="3095"/>
    <cellStyle name="_방동_동막리소교량_라멘교 토공_총괄내역서_도시관리계획결정(070907)_계약" xfId="3096"/>
    <cellStyle name="_방동_동막리소교량_라멘교 토공_총괄내역서_타당성조사및도시관리계획결정(090115)" xfId="3097"/>
    <cellStyle name="_방동_동막리소교량_라멘교 토공_총괄내역서_타당성조사및도시관리계획결정(090115)_20090609_영덕농공단지내역서" xfId="3098"/>
    <cellStyle name="_방동_동막리소교량_라멘교 토공_총괄내역서_타당성조사및도시관리계획결정(090115)_총괄내역서(090223)" xfId="3099"/>
    <cellStyle name="_방동_동막리소교량_제2종지구단위계획_선바위관광지" xfId="3100"/>
    <cellStyle name="_방동_동막리소교량_제2종지구단위계획_선바위관광지_20090609_영덕농공단지내역서" xfId="3101"/>
    <cellStyle name="_방동_동막리소교량_제2종지구단위계획_선바위관광지_총괄내역서(090223)" xfId="3102"/>
    <cellStyle name="_방동_동막리소교량_총괄내역서_도시관리계획결정(070907)_계약" xfId="3103"/>
    <cellStyle name="_방동_동막리소교량_총괄내역서_타당성조사및도시관리계획결정(090115)" xfId="3104"/>
    <cellStyle name="_방동_동막리소교량_총괄내역서_타당성조사및도시관리계획결정(090115)_20090609_영덕농공단지내역서" xfId="3105"/>
    <cellStyle name="_방동_동막리소교량_총괄내역서_타당성조사및도시관리계획결정(090115)_총괄내역서(090223)" xfId="3106"/>
    <cellStyle name="_방동_동막리소교량_포장" xfId="3107"/>
    <cellStyle name="_방동_동막리소교량_포장_01.설계내역2" xfId="3108"/>
    <cellStyle name="_방동_동막리소교량_포장_라멘교 토공" xfId="3109"/>
    <cellStyle name="_방동_동막리소교량_포장_라멘교 토공_01.설계내역2" xfId="3110"/>
    <cellStyle name="_방동_동막리소교량_포장_라멘교 토공_제2종지구단위계획_선바위관광지" xfId="3111"/>
    <cellStyle name="_방동_동막리소교량_포장_라멘교 토공_제2종지구단위계획_선바위관광지_20090609_영덕농공단지내역서" xfId="3112"/>
    <cellStyle name="_방동_동막리소교량_포장_라멘교 토공_제2종지구단위계획_선바위관광지_총괄내역서(090223)" xfId="3113"/>
    <cellStyle name="_방동_동막리소교량_포장_라멘교 토공_총괄내역서_도시관리계획결정(070907)_계약" xfId="3114"/>
    <cellStyle name="_방동_동막리소교량_포장_라멘교 토공_총괄내역서_타당성조사및도시관리계획결정(090115)" xfId="3115"/>
    <cellStyle name="_방동_동막리소교량_포장_라멘교 토공_총괄내역서_타당성조사및도시관리계획결정(090115)_20090609_영덕농공단지내역서" xfId="3116"/>
    <cellStyle name="_방동_동막리소교량_포장_라멘교 토공_총괄내역서_타당성조사및도시관리계획결정(090115)_총괄내역서(090223)" xfId="3117"/>
    <cellStyle name="_방동_동막리소교량_포장_제2종지구단위계획_선바위관광지" xfId="3118"/>
    <cellStyle name="_방동_동막리소교량_포장_제2종지구단위계획_선바위관광지_20090609_영덕농공단지내역서" xfId="3119"/>
    <cellStyle name="_방동_동막리소교량_포장_제2종지구단위계획_선바위관광지_총괄내역서(090223)" xfId="3120"/>
    <cellStyle name="_방동_동막리소교량_포장_총괄내역서_도시관리계획결정(070907)_계약" xfId="3121"/>
    <cellStyle name="_방동_동막리소교량_포장_총괄내역서_타당성조사및도시관리계획결정(090115)" xfId="3122"/>
    <cellStyle name="_방동_동막리소교량_포장_총괄내역서_타당성조사및도시관리계획결정(090115)_20090609_영덕농공단지내역서" xfId="3123"/>
    <cellStyle name="_방동_동막리소교량_포장_총괄내역서_타당성조사및도시관리계획결정(090115)_총괄내역서(090223)" xfId="3124"/>
    <cellStyle name="_방동_라멘교 토공" xfId="3125"/>
    <cellStyle name="_방동_라멘교 토공_01.설계내역2" xfId="3126"/>
    <cellStyle name="_방동_라멘교 토공_제2종지구단위계획_선바위관광지" xfId="3127"/>
    <cellStyle name="_방동_라멘교 토공_제2종지구단위계획_선바위관광지_20090609_영덕농공단지내역서" xfId="3128"/>
    <cellStyle name="_방동_라멘교 토공_제2종지구단위계획_선바위관광지_총괄내역서(090223)" xfId="3129"/>
    <cellStyle name="_방동_라멘교 토공_총괄내역서_도시관리계획결정(070907)_계약" xfId="3130"/>
    <cellStyle name="_방동_라멘교 토공_총괄내역서_타당성조사및도시관리계획결정(090115)" xfId="3131"/>
    <cellStyle name="_방동_라멘교 토공_총괄내역서_타당성조사및도시관리계획결정(090115)_20090609_영덕농공단지내역서" xfId="3132"/>
    <cellStyle name="_방동_라멘교 토공_총괄내역서_타당성조사및도시관리계획결정(090115)_총괄내역서(090223)" xfId="3133"/>
    <cellStyle name="_방동_마현12~1" xfId="3134"/>
    <cellStyle name="_방동_마현12~1_01.설계내역2" xfId="3135"/>
    <cellStyle name="_방동_마현12~1_라멘교 토공" xfId="3136"/>
    <cellStyle name="_방동_마현12~1_라멘교 토공_01.설계내역2" xfId="3137"/>
    <cellStyle name="_방동_마현12~1_라멘교 토공_제2종지구단위계획_선바위관광지" xfId="3138"/>
    <cellStyle name="_방동_마현12~1_라멘교 토공_제2종지구단위계획_선바위관광지_20090609_영덕농공단지내역서" xfId="3139"/>
    <cellStyle name="_방동_마현12~1_라멘교 토공_제2종지구단위계획_선바위관광지_총괄내역서(090223)" xfId="3140"/>
    <cellStyle name="_방동_마현12~1_라멘교 토공_총괄내역서_도시관리계획결정(070907)_계약" xfId="3141"/>
    <cellStyle name="_방동_마현12~1_라멘교 토공_총괄내역서_타당성조사및도시관리계획결정(090115)" xfId="3142"/>
    <cellStyle name="_방동_마현12~1_라멘교 토공_총괄내역서_타당성조사및도시관리계획결정(090115)_20090609_영덕농공단지내역서" xfId="3143"/>
    <cellStyle name="_방동_마현12~1_라멘교 토공_총괄내역서_타당성조사및도시관리계획결정(090115)_총괄내역서(090223)" xfId="3144"/>
    <cellStyle name="_방동_마현12~1_제2종지구단위계획_선바위관광지" xfId="3145"/>
    <cellStyle name="_방동_마현12~1_제2종지구단위계획_선바위관광지_20090609_영덕농공단지내역서" xfId="3146"/>
    <cellStyle name="_방동_마현12~1_제2종지구단위계획_선바위관광지_총괄내역서(090223)" xfId="3147"/>
    <cellStyle name="_방동_마현12~1_총괄내역서_도시관리계획결정(070907)_계약" xfId="3148"/>
    <cellStyle name="_방동_마현12~1_총괄내역서_타당성조사및도시관리계획결정(090115)" xfId="3149"/>
    <cellStyle name="_방동_마현12~1_총괄내역서_타당성조사및도시관리계획결정(090115)_20090609_영덕농공단지내역서" xfId="3150"/>
    <cellStyle name="_방동_마현12~1_총괄내역서_타당성조사및도시관리계획결정(090115)_총괄내역서(090223)" xfId="3151"/>
    <cellStyle name="_방동_마현12~1_포장" xfId="3152"/>
    <cellStyle name="_방동_마현12~1_포장_01.설계내역2" xfId="3153"/>
    <cellStyle name="_방동_마현12~1_포장_라멘교 토공" xfId="3154"/>
    <cellStyle name="_방동_마현12~1_포장_라멘교 토공_01.설계내역2" xfId="3155"/>
    <cellStyle name="_방동_마현12~1_포장_라멘교 토공_제2종지구단위계획_선바위관광지" xfId="3156"/>
    <cellStyle name="_방동_마현12~1_포장_라멘교 토공_제2종지구단위계획_선바위관광지_20090609_영덕농공단지내역서" xfId="3157"/>
    <cellStyle name="_방동_마현12~1_포장_라멘교 토공_제2종지구단위계획_선바위관광지_총괄내역서(090223)" xfId="3158"/>
    <cellStyle name="_방동_마현12~1_포장_라멘교 토공_총괄내역서_도시관리계획결정(070907)_계약" xfId="3159"/>
    <cellStyle name="_방동_마현12~1_포장_라멘교 토공_총괄내역서_타당성조사및도시관리계획결정(090115)" xfId="3160"/>
    <cellStyle name="_방동_마현12~1_포장_라멘교 토공_총괄내역서_타당성조사및도시관리계획결정(090115)_20090609_영덕농공단지내역서" xfId="3161"/>
    <cellStyle name="_방동_마현12~1_포장_라멘교 토공_총괄내역서_타당성조사및도시관리계획결정(090115)_총괄내역서(090223)" xfId="3162"/>
    <cellStyle name="_방동_마현12~1_포장_제2종지구단위계획_선바위관광지" xfId="3163"/>
    <cellStyle name="_방동_마현12~1_포장_제2종지구단위계획_선바위관광지_20090609_영덕농공단지내역서" xfId="3164"/>
    <cellStyle name="_방동_마현12~1_포장_제2종지구단위계획_선바위관광지_총괄내역서(090223)" xfId="3165"/>
    <cellStyle name="_방동_마현12~1_포장_총괄내역서_도시관리계획결정(070907)_계약" xfId="3166"/>
    <cellStyle name="_방동_마현12~1_포장_총괄내역서_타당성조사및도시관리계획결정(090115)" xfId="3167"/>
    <cellStyle name="_방동_마현12~1_포장_총괄내역서_타당성조사및도시관리계획결정(090115)_20090609_영덕농공단지내역서" xfId="3168"/>
    <cellStyle name="_방동_마현12~1_포장_총괄내역서_타당성조사및도시관리계획결정(090115)_총괄내역서(090223)" xfId="3169"/>
    <cellStyle name="_방동_문혜3리" xfId="3170"/>
    <cellStyle name="_방동_문혜3리_01.설계내역2" xfId="3171"/>
    <cellStyle name="_방동_문혜3리_라멘교 토공" xfId="3172"/>
    <cellStyle name="_방동_문혜3리_라멘교 토공_01.설계내역2" xfId="3173"/>
    <cellStyle name="_방동_문혜3리_라멘교 토공_제2종지구단위계획_선바위관광지" xfId="3174"/>
    <cellStyle name="_방동_문혜3리_라멘교 토공_제2종지구단위계획_선바위관광지_20090609_영덕농공단지내역서" xfId="3175"/>
    <cellStyle name="_방동_문혜3리_라멘교 토공_제2종지구단위계획_선바위관광지_총괄내역서(090223)" xfId="3176"/>
    <cellStyle name="_방동_문혜3리_라멘교 토공_총괄내역서_도시관리계획결정(070907)_계약" xfId="3177"/>
    <cellStyle name="_방동_문혜3리_라멘교 토공_총괄내역서_타당성조사및도시관리계획결정(090115)" xfId="3178"/>
    <cellStyle name="_방동_문혜3리_라멘교 토공_총괄내역서_타당성조사및도시관리계획결정(090115)_20090609_영덕농공단지내역서" xfId="3179"/>
    <cellStyle name="_방동_문혜3리_라멘교 토공_총괄내역서_타당성조사및도시관리계획결정(090115)_총괄내역서(090223)" xfId="3180"/>
    <cellStyle name="_방동_문혜3리_제2종지구단위계획_선바위관광지" xfId="3181"/>
    <cellStyle name="_방동_문혜3리_제2종지구단위계획_선바위관광지_20090609_영덕농공단지내역서" xfId="3182"/>
    <cellStyle name="_방동_문혜3리_제2종지구단위계획_선바위관광지_총괄내역서(090223)" xfId="3183"/>
    <cellStyle name="_방동_문혜3리_총괄내역서_도시관리계획결정(070907)_계약" xfId="3184"/>
    <cellStyle name="_방동_문혜3리_총괄내역서_타당성조사및도시관리계획결정(090115)" xfId="3185"/>
    <cellStyle name="_방동_문혜3리_총괄내역서_타당성조사및도시관리계획결정(090115)_20090609_영덕농공단지내역서" xfId="3186"/>
    <cellStyle name="_방동_문혜3리_총괄내역서_타당성조사및도시관리계획결정(090115)_총괄내역서(090223)" xfId="3187"/>
    <cellStyle name="_방동_문혜3리_포장" xfId="3188"/>
    <cellStyle name="_방동_문혜3리_포장_01.설계내역2" xfId="3189"/>
    <cellStyle name="_방동_문혜3리_포장_라멘교 토공" xfId="3190"/>
    <cellStyle name="_방동_문혜3리_포장_라멘교 토공_01.설계내역2" xfId="3191"/>
    <cellStyle name="_방동_문혜3리_포장_라멘교 토공_제2종지구단위계획_선바위관광지" xfId="3192"/>
    <cellStyle name="_방동_문혜3리_포장_라멘교 토공_제2종지구단위계획_선바위관광지_20090609_영덕농공단지내역서" xfId="3193"/>
    <cellStyle name="_방동_문혜3리_포장_라멘교 토공_제2종지구단위계획_선바위관광지_총괄내역서(090223)" xfId="3194"/>
    <cellStyle name="_방동_문혜3리_포장_라멘교 토공_총괄내역서_도시관리계획결정(070907)_계약" xfId="3195"/>
    <cellStyle name="_방동_문혜3리_포장_라멘교 토공_총괄내역서_타당성조사및도시관리계획결정(090115)" xfId="3196"/>
    <cellStyle name="_방동_문혜3리_포장_라멘교 토공_총괄내역서_타당성조사및도시관리계획결정(090115)_20090609_영덕농공단지내역서" xfId="3197"/>
    <cellStyle name="_방동_문혜3리_포장_라멘교 토공_총괄내역서_타당성조사및도시관리계획결정(090115)_총괄내역서(090223)" xfId="3198"/>
    <cellStyle name="_방동_문혜3리_포장_제2종지구단위계획_선바위관광지" xfId="3199"/>
    <cellStyle name="_방동_문혜3리_포장_제2종지구단위계획_선바위관광지_20090609_영덕농공단지내역서" xfId="3200"/>
    <cellStyle name="_방동_문혜3리_포장_제2종지구단위계획_선바위관광지_총괄내역서(090223)" xfId="3201"/>
    <cellStyle name="_방동_문혜3리_포장_총괄내역서_도시관리계획결정(070907)_계약" xfId="3202"/>
    <cellStyle name="_방동_문혜3리_포장_총괄내역서_타당성조사및도시관리계획결정(090115)" xfId="3203"/>
    <cellStyle name="_방동_문혜3리_포장_총괄내역서_타당성조사및도시관리계획결정(090115)_20090609_영덕농공단지내역서" xfId="3204"/>
    <cellStyle name="_방동_문혜3리_포장_총괄내역서_타당성조사및도시관리계획결정(090115)_총괄내역서(090223)" xfId="3205"/>
    <cellStyle name="_방동_방동" xfId="3206"/>
    <cellStyle name="_방동_방동_01.설계내역2" xfId="3207"/>
    <cellStyle name="_방동_방동_라멘교 토공" xfId="3208"/>
    <cellStyle name="_방동_방동_라멘교 토공_01.설계내역2" xfId="3209"/>
    <cellStyle name="_방동_방동_라멘교 토공_제2종지구단위계획_선바위관광지" xfId="3210"/>
    <cellStyle name="_방동_방동_라멘교 토공_제2종지구단위계획_선바위관광지_20090609_영덕농공단지내역서" xfId="3211"/>
    <cellStyle name="_방동_방동_라멘교 토공_제2종지구단위계획_선바위관광지_총괄내역서(090223)" xfId="3212"/>
    <cellStyle name="_방동_방동_라멘교 토공_총괄내역서_도시관리계획결정(070907)_계약" xfId="3213"/>
    <cellStyle name="_방동_방동_라멘교 토공_총괄내역서_타당성조사및도시관리계획결정(090115)" xfId="3214"/>
    <cellStyle name="_방동_방동_라멘교 토공_총괄내역서_타당성조사및도시관리계획결정(090115)_20090609_영덕농공단지내역서" xfId="3215"/>
    <cellStyle name="_방동_방동_라멘교 토공_총괄내역서_타당성조사및도시관리계획결정(090115)_총괄내역서(090223)" xfId="3216"/>
    <cellStyle name="_방동_방동_제2종지구단위계획_선바위관광지" xfId="3217"/>
    <cellStyle name="_방동_방동_제2종지구단위계획_선바위관광지_20090609_영덕농공단지내역서" xfId="3218"/>
    <cellStyle name="_방동_방동_제2종지구단위계획_선바위관광지_총괄내역서(090223)" xfId="3219"/>
    <cellStyle name="_방동_방동_총괄내역서_도시관리계획결정(070907)_계약" xfId="3220"/>
    <cellStyle name="_방동_방동_총괄내역서_타당성조사및도시관리계획결정(090115)" xfId="3221"/>
    <cellStyle name="_방동_방동_총괄내역서_타당성조사및도시관리계획결정(090115)_20090609_영덕농공단지내역서" xfId="3222"/>
    <cellStyle name="_방동_방동_총괄내역서_타당성조사및도시관리계획결정(090115)_총괄내역서(090223)" xfId="3223"/>
    <cellStyle name="_방동_방동_포장" xfId="3224"/>
    <cellStyle name="_방동_방동_포장_01.설계내역2" xfId="3225"/>
    <cellStyle name="_방동_방동_포장_라멘교 토공" xfId="3226"/>
    <cellStyle name="_방동_방동_포장_라멘교 토공_01.설계내역2" xfId="3227"/>
    <cellStyle name="_방동_방동_포장_라멘교 토공_제2종지구단위계획_선바위관광지" xfId="3228"/>
    <cellStyle name="_방동_방동_포장_라멘교 토공_제2종지구단위계획_선바위관광지_20090609_영덕농공단지내역서" xfId="3229"/>
    <cellStyle name="_방동_방동_포장_라멘교 토공_제2종지구단위계획_선바위관광지_총괄내역서(090223)" xfId="3230"/>
    <cellStyle name="_방동_방동_포장_라멘교 토공_총괄내역서_도시관리계획결정(070907)_계약" xfId="3231"/>
    <cellStyle name="_방동_방동_포장_라멘교 토공_총괄내역서_타당성조사및도시관리계획결정(090115)" xfId="3232"/>
    <cellStyle name="_방동_방동_포장_라멘교 토공_총괄내역서_타당성조사및도시관리계획결정(090115)_20090609_영덕농공단지내역서" xfId="3233"/>
    <cellStyle name="_방동_방동_포장_라멘교 토공_총괄내역서_타당성조사및도시관리계획결정(090115)_총괄내역서(090223)" xfId="3234"/>
    <cellStyle name="_방동_방동_포장_제2종지구단위계획_선바위관광지" xfId="3235"/>
    <cellStyle name="_방동_방동_포장_제2종지구단위계획_선바위관광지_20090609_영덕농공단지내역서" xfId="3236"/>
    <cellStyle name="_방동_방동_포장_제2종지구단위계획_선바위관광지_총괄내역서(090223)" xfId="3237"/>
    <cellStyle name="_방동_방동_포장_총괄내역서_도시관리계획결정(070907)_계약" xfId="3238"/>
    <cellStyle name="_방동_방동_포장_총괄내역서_타당성조사및도시관리계획결정(090115)" xfId="3239"/>
    <cellStyle name="_방동_방동_포장_총괄내역서_타당성조사및도시관리계획결정(090115)_20090609_영덕농공단지내역서" xfId="3240"/>
    <cellStyle name="_방동_방동_포장_총괄내역서_타당성조사및도시관리계획결정(090115)_총괄내역서(090223)" xfId="3241"/>
    <cellStyle name="_방동_산양2리지구" xfId="3242"/>
    <cellStyle name="_방동_산양2리지구_01.설계내역2" xfId="3243"/>
    <cellStyle name="_방동_산양2리지구_라멘교 토공" xfId="3244"/>
    <cellStyle name="_방동_산양2리지구_라멘교 토공_01.설계내역2" xfId="3245"/>
    <cellStyle name="_방동_산양2리지구_라멘교 토공_제2종지구단위계획_선바위관광지" xfId="3246"/>
    <cellStyle name="_방동_산양2리지구_라멘교 토공_제2종지구단위계획_선바위관광지_20090609_영덕농공단지내역서" xfId="3247"/>
    <cellStyle name="_방동_산양2리지구_라멘교 토공_제2종지구단위계획_선바위관광지_총괄내역서(090223)" xfId="3248"/>
    <cellStyle name="_방동_산양2리지구_라멘교 토공_총괄내역서_도시관리계획결정(070907)_계약" xfId="3249"/>
    <cellStyle name="_방동_산양2리지구_라멘교 토공_총괄내역서_타당성조사및도시관리계획결정(090115)" xfId="3250"/>
    <cellStyle name="_방동_산양2리지구_라멘교 토공_총괄내역서_타당성조사및도시관리계획결정(090115)_20090609_영덕농공단지내역서" xfId="3251"/>
    <cellStyle name="_방동_산양2리지구_라멘교 토공_총괄내역서_타당성조사및도시관리계획결정(090115)_총괄내역서(090223)" xfId="3252"/>
    <cellStyle name="_방동_산양2리지구_제2종지구단위계획_선바위관광지" xfId="3253"/>
    <cellStyle name="_방동_산양2리지구_제2종지구단위계획_선바위관광지_20090609_영덕농공단지내역서" xfId="3254"/>
    <cellStyle name="_방동_산양2리지구_제2종지구단위계획_선바위관광지_총괄내역서(090223)" xfId="3255"/>
    <cellStyle name="_방동_산양2리지구_총괄내역서_도시관리계획결정(070907)_계약" xfId="3256"/>
    <cellStyle name="_방동_산양2리지구_총괄내역서_타당성조사및도시관리계획결정(090115)" xfId="3257"/>
    <cellStyle name="_방동_산양2리지구_총괄내역서_타당성조사및도시관리계획결정(090115)_20090609_영덕농공단지내역서" xfId="3258"/>
    <cellStyle name="_방동_산양2리지구_총괄내역서_타당성조사및도시관리계획결정(090115)_총괄내역서(090223)" xfId="3259"/>
    <cellStyle name="_방동_산양2리지구_포장" xfId="3260"/>
    <cellStyle name="_방동_산양2리지구_포장_01.설계내역2" xfId="3261"/>
    <cellStyle name="_방동_산양2리지구_포장_라멘교 토공" xfId="3262"/>
    <cellStyle name="_방동_산양2리지구_포장_라멘교 토공_01.설계내역2" xfId="3263"/>
    <cellStyle name="_방동_산양2리지구_포장_라멘교 토공_제2종지구단위계획_선바위관광지" xfId="3264"/>
    <cellStyle name="_방동_산양2리지구_포장_라멘교 토공_제2종지구단위계획_선바위관광지_20090609_영덕농공단지내역서" xfId="3265"/>
    <cellStyle name="_방동_산양2리지구_포장_라멘교 토공_제2종지구단위계획_선바위관광지_총괄내역서(090223)" xfId="3266"/>
    <cellStyle name="_방동_산양2리지구_포장_라멘교 토공_총괄내역서_도시관리계획결정(070907)_계약" xfId="3267"/>
    <cellStyle name="_방동_산양2리지구_포장_라멘교 토공_총괄내역서_타당성조사및도시관리계획결정(090115)" xfId="3268"/>
    <cellStyle name="_방동_산양2리지구_포장_라멘교 토공_총괄내역서_타당성조사및도시관리계획결정(090115)_20090609_영덕농공단지내역서" xfId="3269"/>
    <cellStyle name="_방동_산양2리지구_포장_라멘교 토공_총괄내역서_타당성조사및도시관리계획결정(090115)_총괄내역서(090223)" xfId="3270"/>
    <cellStyle name="_방동_산양2리지구_포장_제2종지구단위계획_선바위관광지" xfId="3271"/>
    <cellStyle name="_방동_산양2리지구_포장_제2종지구단위계획_선바위관광지_20090609_영덕농공단지내역서" xfId="3272"/>
    <cellStyle name="_방동_산양2리지구_포장_제2종지구단위계획_선바위관광지_총괄내역서(090223)" xfId="3273"/>
    <cellStyle name="_방동_산양2리지구_포장_총괄내역서_도시관리계획결정(070907)_계약" xfId="3274"/>
    <cellStyle name="_방동_산양2리지구_포장_총괄내역서_타당성조사및도시관리계획결정(090115)" xfId="3275"/>
    <cellStyle name="_방동_산양2리지구_포장_총괄내역서_타당성조사및도시관리계획결정(090115)_20090609_영덕농공단지내역서" xfId="3276"/>
    <cellStyle name="_방동_산양2리지구_포장_총괄내역서_타당성조사및도시관리계획결정(090115)_총괄내역서(090223)" xfId="3277"/>
    <cellStyle name="_방동_산양리지구" xfId="3278"/>
    <cellStyle name="_방동_산양리지구_01.설계내역2" xfId="3279"/>
    <cellStyle name="_방동_산양리지구_라멘교 토공" xfId="3280"/>
    <cellStyle name="_방동_산양리지구_라멘교 토공_01.설계내역2" xfId="3281"/>
    <cellStyle name="_방동_산양리지구_라멘교 토공_제2종지구단위계획_선바위관광지" xfId="3282"/>
    <cellStyle name="_방동_산양리지구_라멘교 토공_제2종지구단위계획_선바위관광지_20090609_영덕농공단지내역서" xfId="3283"/>
    <cellStyle name="_방동_산양리지구_라멘교 토공_제2종지구단위계획_선바위관광지_총괄내역서(090223)" xfId="3284"/>
    <cellStyle name="_방동_산양리지구_라멘교 토공_총괄내역서_도시관리계획결정(070907)_계약" xfId="3285"/>
    <cellStyle name="_방동_산양리지구_라멘교 토공_총괄내역서_타당성조사및도시관리계획결정(090115)" xfId="3286"/>
    <cellStyle name="_방동_산양리지구_라멘교 토공_총괄내역서_타당성조사및도시관리계획결정(090115)_20090609_영덕농공단지내역서" xfId="3287"/>
    <cellStyle name="_방동_산양리지구_라멘교 토공_총괄내역서_타당성조사및도시관리계획결정(090115)_총괄내역서(090223)" xfId="3288"/>
    <cellStyle name="_방동_산양리지구_제2종지구단위계획_선바위관광지" xfId="3289"/>
    <cellStyle name="_방동_산양리지구_제2종지구단위계획_선바위관광지_20090609_영덕농공단지내역서" xfId="3290"/>
    <cellStyle name="_방동_산양리지구_제2종지구단위계획_선바위관광지_총괄내역서(090223)" xfId="3291"/>
    <cellStyle name="_방동_산양리지구_총괄내역서_도시관리계획결정(070907)_계약" xfId="3292"/>
    <cellStyle name="_방동_산양리지구_총괄내역서_타당성조사및도시관리계획결정(090115)" xfId="3293"/>
    <cellStyle name="_방동_산양리지구_총괄내역서_타당성조사및도시관리계획결정(090115)_20090609_영덕농공단지내역서" xfId="3294"/>
    <cellStyle name="_방동_산양리지구_총괄내역서_타당성조사및도시관리계획결정(090115)_총괄내역서(090223)" xfId="3295"/>
    <cellStyle name="_방동_산양리지구_포장" xfId="3296"/>
    <cellStyle name="_방동_산양리지구_포장_01.설계내역2" xfId="3297"/>
    <cellStyle name="_방동_산양리지구_포장_라멘교 토공" xfId="3298"/>
    <cellStyle name="_방동_산양리지구_포장_라멘교 토공_01.설계내역2" xfId="3299"/>
    <cellStyle name="_방동_산양리지구_포장_라멘교 토공_제2종지구단위계획_선바위관광지" xfId="3300"/>
    <cellStyle name="_방동_산양리지구_포장_라멘교 토공_제2종지구단위계획_선바위관광지_20090609_영덕농공단지내역서" xfId="3301"/>
    <cellStyle name="_방동_산양리지구_포장_라멘교 토공_제2종지구단위계획_선바위관광지_총괄내역서(090223)" xfId="3302"/>
    <cellStyle name="_방동_산양리지구_포장_라멘교 토공_총괄내역서_도시관리계획결정(070907)_계약" xfId="3303"/>
    <cellStyle name="_방동_산양리지구_포장_라멘교 토공_총괄내역서_타당성조사및도시관리계획결정(090115)" xfId="3304"/>
    <cellStyle name="_방동_산양리지구_포장_라멘교 토공_총괄내역서_타당성조사및도시관리계획결정(090115)_20090609_영덕농공단지내역서" xfId="3305"/>
    <cellStyle name="_방동_산양리지구_포장_라멘교 토공_총괄내역서_타당성조사및도시관리계획결정(090115)_총괄내역서(090223)" xfId="3306"/>
    <cellStyle name="_방동_산양리지구_포장_제2종지구단위계획_선바위관광지" xfId="3307"/>
    <cellStyle name="_방동_산양리지구_포장_제2종지구단위계획_선바위관광지_20090609_영덕농공단지내역서" xfId="3308"/>
    <cellStyle name="_방동_산양리지구_포장_제2종지구단위계획_선바위관광지_총괄내역서(090223)" xfId="3309"/>
    <cellStyle name="_방동_산양리지구_포장_총괄내역서_도시관리계획결정(070907)_계약" xfId="3310"/>
    <cellStyle name="_방동_산양리지구_포장_총괄내역서_타당성조사및도시관리계획결정(090115)" xfId="3311"/>
    <cellStyle name="_방동_산양리지구_포장_총괄내역서_타당성조사및도시관리계획결정(090115)_20090609_영덕농공단지내역서" xfId="3312"/>
    <cellStyle name="_방동_산양리지구_포장_총괄내역서_타당성조사및도시관리계획결정(090115)_총괄내역서(090223)" xfId="3313"/>
    <cellStyle name="_방동_서상2리" xfId="3314"/>
    <cellStyle name="_방동_서상2리_01.설계내역2" xfId="3315"/>
    <cellStyle name="_방동_서상2리_라멘교 토공" xfId="3316"/>
    <cellStyle name="_방동_서상2리_라멘교 토공_01.설계내역2" xfId="3317"/>
    <cellStyle name="_방동_서상2리_라멘교 토공_제2종지구단위계획_선바위관광지" xfId="3318"/>
    <cellStyle name="_방동_서상2리_라멘교 토공_제2종지구단위계획_선바위관광지_20090609_영덕농공단지내역서" xfId="3319"/>
    <cellStyle name="_방동_서상2리_라멘교 토공_제2종지구단위계획_선바위관광지_총괄내역서(090223)" xfId="3320"/>
    <cellStyle name="_방동_서상2리_라멘교 토공_총괄내역서_도시관리계획결정(070907)_계약" xfId="3321"/>
    <cellStyle name="_방동_서상2리_라멘교 토공_총괄내역서_타당성조사및도시관리계획결정(090115)" xfId="3322"/>
    <cellStyle name="_방동_서상2리_라멘교 토공_총괄내역서_타당성조사및도시관리계획결정(090115)_20090609_영덕농공단지내역서" xfId="3323"/>
    <cellStyle name="_방동_서상2리_라멘교 토공_총괄내역서_타당성조사및도시관리계획결정(090115)_총괄내역서(090223)" xfId="3324"/>
    <cellStyle name="_방동_서상2리_제2종지구단위계획_선바위관광지" xfId="3325"/>
    <cellStyle name="_방동_서상2리_제2종지구단위계획_선바위관광지_20090609_영덕농공단지내역서" xfId="3326"/>
    <cellStyle name="_방동_서상2리_제2종지구단위계획_선바위관광지_총괄내역서(090223)" xfId="3327"/>
    <cellStyle name="_방동_서상2리_총괄내역서_도시관리계획결정(070907)_계약" xfId="3328"/>
    <cellStyle name="_방동_서상2리_총괄내역서_타당성조사및도시관리계획결정(090115)" xfId="3329"/>
    <cellStyle name="_방동_서상2리_총괄내역서_타당성조사및도시관리계획결정(090115)_20090609_영덕농공단지내역서" xfId="3330"/>
    <cellStyle name="_방동_서상2리_총괄내역서_타당성조사및도시관리계획결정(090115)_총괄내역서(090223)" xfId="3331"/>
    <cellStyle name="_방동_서상2리_포장" xfId="3332"/>
    <cellStyle name="_방동_서상2리_포장_01.설계내역2" xfId="3333"/>
    <cellStyle name="_방동_서상2리_포장_라멘교 토공" xfId="3334"/>
    <cellStyle name="_방동_서상2리_포장_라멘교 토공_01.설계내역2" xfId="3335"/>
    <cellStyle name="_방동_서상2리_포장_라멘교 토공_제2종지구단위계획_선바위관광지" xfId="3336"/>
    <cellStyle name="_방동_서상2리_포장_라멘교 토공_제2종지구단위계획_선바위관광지_20090609_영덕농공단지내역서" xfId="3337"/>
    <cellStyle name="_방동_서상2리_포장_라멘교 토공_제2종지구단위계획_선바위관광지_총괄내역서(090223)" xfId="3338"/>
    <cellStyle name="_방동_서상2리_포장_라멘교 토공_총괄내역서_도시관리계획결정(070907)_계약" xfId="3339"/>
    <cellStyle name="_방동_서상2리_포장_라멘교 토공_총괄내역서_타당성조사및도시관리계획결정(090115)" xfId="3340"/>
    <cellStyle name="_방동_서상2리_포장_라멘교 토공_총괄내역서_타당성조사및도시관리계획결정(090115)_20090609_영덕농공단지내역서" xfId="3341"/>
    <cellStyle name="_방동_서상2리_포장_라멘교 토공_총괄내역서_타당성조사및도시관리계획결정(090115)_총괄내역서(090223)" xfId="3342"/>
    <cellStyle name="_방동_서상2리_포장_제2종지구단위계획_선바위관광지" xfId="3343"/>
    <cellStyle name="_방동_서상2리_포장_제2종지구단위계획_선바위관광지_20090609_영덕농공단지내역서" xfId="3344"/>
    <cellStyle name="_방동_서상2리_포장_제2종지구단위계획_선바위관광지_총괄내역서(090223)" xfId="3345"/>
    <cellStyle name="_방동_서상2리_포장_총괄내역서_도시관리계획결정(070907)_계약" xfId="3346"/>
    <cellStyle name="_방동_서상2리_포장_총괄내역서_타당성조사및도시관리계획결정(090115)" xfId="3347"/>
    <cellStyle name="_방동_서상2리_포장_총괄내역서_타당성조사및도시관리계획결정(090115)_20090609_영덕농공단지내역서" xfId="3348"/>
    <cellStyle name="_방동_서상2리_포장_총괄내역서_타당성조사및도시관리계획결정(090115)_총괄내역서(090223)" xfId="3349"/>
    <cellStyle name="_방동_오항" xfId="3350"/>
    <cellStyle name="_방동_오항_01.설계내역2" xfId="3351"/>
    <cellStyle name="_방동_오항_라멘교 토공" xfId="3352"/>
    <cellStyle name="_방동_오항_라멘교 토공_01.설계내역2" xfId="3353"/>
    <cellStyle name="_방동_오항_라멘교 토공_제2종지구단위계획_선바위관광지" xfId="3354"/>
    <cellStyle name="_방동_오항_라멘교 토공_제2종지구단위계획_선바위관광지_20090609_영덕농공단지내역서" xfId="3355"/>
    <cellStyle name="_방동_오항_라멘교 토공_제2종지구단위계획_선바위관광지_총괄내역서(090223)" xfId="3356"/>
    <cellStyle name="_방동_오항_라멘교 토공_총괄내역서_도시관리계획결정(070907)_계약" xfId="3357"/>
    <cellStyle name="_방동_오항_라멘교 토공_총괄내역서_타당성조사및도시관리계획결정(090115)" xfId="3358"/>
    <cellStyle name="_방동_오항_라멘교 토공_총괄내역서_타당성조사및도시관리계획결정(090115)_20090609_영덕농공단지내역서" xfId="3359"/>
    <cellStyle name="_방동_오항_라멘교 토공_총괄내역서_타당성조사및도시관리계획결정(090115)_총괄내역서(090223)" xfId="3360"/>
    <cellStyle name="_방동_오항_제2종지구단위계획_선바위관광지" xfId="3361"/>
    <cellStyle name="_방동_오항_제2종지구단위계획_선바위관광지_20090609_영덕농공단지내역서" xfId="3362"/>
    <cellStyle name="_방동_오항_제2종지구단위계획_선바위관광지_총괄내역서(090223)" xfId="3363"/>
    <cellStyle name="_방동_오항_총괄내역서_도시관리계획결정(070907)_계약" xfId="3364"/>
    <cellStyle name="_방동_오항_총괄내역서_타당성조사및도시관리계획결정(090115)" xfId="3365"/>
    <cellStyle name="_방동_오항_총괄내역서_타당성조사및도시관리계획결정(090115)_20090609_영덕농공단지내역서" xfId="3366"/>
    <cellStyle name="_방동_오항_총괄내역서_타당성조사및도시관리계획결정(090115)_총괄내역서(090223)" xfId="3367"/>
    <cellStyle name="_방동_오항_포장" xfId="3368"/>
    <cellStyle name="_방동_오항_포장_01.설계내역2" xfId="3369"/>
    <cellStyle name="_방동_오항_포장_라멘교 토공" xfId="3370"/>
    <cellStyle name="_방동_오항_포장_라멘교 토공_01.설계내역2" xfId="3371"/>
    <cellStyle name="_방동_오항_포장_라멘교 토공_제2종지구단위계획_선바위관광지" xfId="3372"/>
    <cellStyle name="_방동_오항_포장_라멘교 토공_제2종지구단위계획_선바위관광지_20090609_영덕농공단지내역서" xfId="3373"/>
    <cellStyle name="_방동_오항_포장_라멘교 토공_제2종지구단위계획_선바위관광지_총괄내역서(090223)" xfId="3374"/>
    <cellStyle name="_방동_오항_포장_라멘교 토공_총괄내역서_도시관리계획결정(070907)_계약" xfId="3375"/>
    <cellStyle name="_방동_오항_포장_라멘교 토공_총괄내역서_타당성조사및도시관리계획결정(090115)" xfId="3376"/>
    <cellStyle name="_방동_오항_포장_라멘교 토공_총괄내역서_타당성조사및도시관리계획결정(090115)_20090609_영덕농공단지내역서" xfId="3377"/>
    <cellStyle name="_방동_오항_포장_라멘교 토공_총괄내역서_타당성조사및도시관리계획결정(090115)_총괄내역서(090223)" xfId="3378"/>
    <cellStyle name="_방동_오항_포장_제2종지구단위계획_선바위관광지" xfId="3379"/>
    <cellStyle name="_방동_오항_포장_제2종지구단위계획_선바위관광지_20090609_영덕농공단지내역서" xfId="3380"/>
    <cellStyle name="_방동_오항_포장_제2종지구단위계획_선바위관광지_총괄내역서(090223)" xfId="3381"/>
    <cellStyle name="_방동_오항_포장_총괄내역서_도시관리계획결정(070907)_계약" xfId="3382"/>
    <cellStyle name="_방동_오항_포장_총괄내역서_타당성조사및도시관리계획결정(090115)" xfId="3383"/>
    <cellStyle name="_방동_오항_포장_총괄내역서_타당성조사및도시관리계획결정(090115)_20090609_영덕농공단지내역서" xfId="3384"/>
    <cellStyle name="_방동_오항_포장_총괄내역서_타당성조사및도시관리계획결정(090115)_총괄내역서(090223)" xfId="3385"/>
    <cellStyle name="_방동_원평" xfId="3386"/>
    <cellStyle name="_방동_원평_01.설계내역2" xfId="3387"/>
    <cellStyle name="_방동_원평_라멘교 토공" xfId="3388"/>
    <cellStyle name="_방동_원평_라멘교 토공_01.설계내역2" xfId="3389"/>
    <cellStyle name="_방동_원평_라멘교 토공_제2종지구단위계획_선바위관광지" xfId="3390"/>
    <cellStyle name="_방동_원평_라멘교 토공_제2종지구단위계획_선바위관광지_20090609_영덕농공단지내역서" xfId="3391"/>
    <cellStyle name="_방동_원평_라멘교 토공_제2종지구단위계획_선바위관광지_총괄내역서(090223)" xfId="3392"/>
    <cellStyle name="_방동_원평_라멘교 토공_총괄내역서_도시관리계획결정(070907)_계약" xfId="3393"/>
    <cellStyle name="_방동_원평_라멘교 토공_총괄내역서_타당성조사및도시관리계획결정(090115)" xfId="3394"/>
    <cellStyle name="_방동_원평_라멘교 토공_총괄내역서_타당성조사및도시관리계획결정(090115)_20090609_영덕농공단지내역서" xfId="3395"/>
    <cellStyle name="_방동_원평_라멘교 토공_총괄내역서_타당성조사및도시관리계획결정(090115)_총괄내역서(090223)" xfId="3396"/>
    <cellStyle name="_방동_원평_제2종지구단위계획_선바위관광지" xfId="3397"/>
    <cellStyle name="_방동_원평_제2종지구단위계획_선바위관광지_20090609_영덕농공단지내역서" xfId="3398"/>
    <cellStyle name="_방동_원평_제2종지구단위계획_선바위관광지_총괄내역서(090223)" xfId="3399"/>
    <cellStyle name="_방동_원평_총괄내역서_도시관리계획결정(070907)_계약" xfId="3400"/>
    <cellStyle name="_방동_원평_총괄내역서_타당성조사및도시관리계획결정(090115)" xfId="3401"/>
    <cellStyle name="_방동_원평_총괄내역서_타당성조사및도시관리계획결정(090115)_20090609_영덕농공단지내역서" xfId="3402"/>
    <cellStyle name="_방동_원평_총괄내역서_타당성조사및도시관리계획결정(090115)_총괄내역서(090223)" xfId="3403"/>
    <cellStyle name="_방동_원평_포장" xfId="3404"/>
    <cellStyle name="_방동_원평_포장_01.설계내역2" xfId="3405"/>
    <cellStyle name="_방동_원평_포장_라멘교 토공" xfId="3406"/>
    <cellStyle name="_방동_원평_포장_라멘교 토공_01.설계내역2" xfId="3407"/>
    <cellStyle name="_방동_원평_포장_라멘교 토공_제2종지구단위계획_선바위관광지" xfId="3408"/>
    <cellStyle name="_방동_원평_포장_라멘교 토공_제2종지구단위계획_선바위관광지_20090609_영덕농공단지내역서" xfId="3409"/>
    <cellStyle name="_방동_원평_포장_라멘교 토공_제2종지구단위계획_선바위관광지_총괄내역서(090223)" xfId="3410"/>
    <cellStyle name="_방동_원평_포장_라멘교 토공_총괄내역서_도시관리계획결정(070907)_계약" xfId="3411"/>
    <cellStyle name="_방동_원평_포장_라멘교 토공_총괄내역서_타당성조사및도시관리계획결정(090115)" xfId="3412"/>
    <cellStyle name="_방동_원평_포장_라멘교 토공_총괄내역서_타당성조사및도시관리계획결정(090115)_20090609_영덕농공단지내역서" xfId="3413"/>
    <cellStyle name="_방동_원평_포장_라멘교 토공_총괄내역서_타당성조사및도시관리계획결정(090115)_총괄내역서(090223)" xfId="3414"/>
    <cellStyle name="_방동_원평_포장_제2종지구단위계획_선바위관광지" xfId="3415"/>
    <cellStyle name="_방동_원평_포장_제2종지구단위계획_선바위관광지_20090609_영덕농공단지내역서" xfId="3416"/>
    <cellStyle name="_방동_원평_포장_제2종지구단위계획_선바위관광지_총괄내역서(090223)" xfId="3417"/>
    <cellStyle name="_방동_원평_포장_총괄내역서_도시관리계획결정(070907)_계약" xfId="3418"/>
    <cellStyle name="_방동_원평_포장_총괄내역서_타당성조사및도시관리계획결정(090115)" xfId="3419"/>
    <cellStyle name="_방동_원평_포장_총괄내역서_타당성조사및도시관리계획결정(090115)_20090609_영덕농공단지내역서" xfId="3420"/>
    <cellStyle name="_방동_원평_포장_총괄내역서_타당성조사및도시관리계획결정(090115)_총괄내역서(090223)" xfId="3421"/>
    <cellStyle name="_방동_제2종지구단위계획_선바위관광지" xfId="3422"/>
    <cellStyle name="_방동_제2종지구단위계획_선바위관광지_20090609_영덕농공단지내역서" xfId="3423"/>
    <cellStyle name="_방동_제2종지구단위계획_선바위관광지_총괄내역서(090223)" xfId="3424"/>
    <cellStyle name="_방동_총괄내역서_도시관리계획결정(070907)_계약" xfId="3425"/>
    <cellStyle name="_방동_총괄내역서_타당성조사및도시관리계획결정(090115)" xfId="3426"/>
    <cellStyle name="_방동_총괄내역서_타당성조사및도시관리계획결정(090115)_20090609_영덕농공단지내역서" xfId="3427"/>
    <cellStyle name="_방동_총괄내역서_타당성조사및도시관리계획결정(090115)_총괄내역서(090223)" xfId="3428"/>
    <cellStyle name="_방동_추곡" xfId="3429"/>
    <cellStyle name="_방동_추곡_01.설계내역2" xfId="3430"/>
    <cellStyle name="_방동_추곡_라멘교 토공" xfId="3431"/>
    <cellStyle name="_방동_추곡_라멘교 토공_01.설계내역2" xfId="3432"/>
    <cellStyle name="_방동_추곡_라멘교 토공_제2종지구단위계획_선바위관광지" xfId="3433"/>
    <cellStyle name="_방동_추곡_라멘교 토공_제2종지구단위계획_선바위관광지_20090609_영덕농공단지내역서" xfId="3434"/>
    <cellStyle name="_방동_추곡_라멘교 토공_제2종지구단위계획_선바위관광지_총괄내역서(090223)" xfId="3435"/>
    <cellStyle name="_방동_추곡_라멘교 토공_총괄내역서_도시관리계획결정(070907)_계약" xfId="3436"/>
    <cellStyle name="_방동_추곡_라멘교 토공_총괄내역서_타당성조사및도시관리계획결정(090115)" xfId="3437"/>
    <cellStyle name="_방동_추곡_라멘교 토공_총괄내역서_타당성조사및도시관리계획결정(090115)_20090609_영덕농공단지내역서" xfId="3438"/>
    <cellStyle name="_방동_추곡_라멘교 토공_총괄내역서_타당성조사및도시관리계획결정(090115)_총괄내역서(090223)" xfId="3439"/>
    <cellStyle name="_방동_추곡_제2종지구단위계획_선바위관광지" xfId="3440"/>
    <cellStyle name="_방동_추곡_제2종지구단위계획_선바위관광지_20090609_영덕농공단지내역서" xfId="3441"/>
    <cellStyle name="_방동_추곡_제2종지구단위계획_선바위관광지_총괄내역서(090223)" xfId="3442"/>
    <cellStyle name="_방동_추곡_총괄내역서_도시관리계획결정(070907)_계약" xfId="3443"/>
    <cellStyle name="_방동_추곡_총괄내역서_타당성조사및도시관리계획결정(090115)" xfId="3444"/>
    <cellStyle name="_방동_추곡_총괄내역서_타당성조사및도시관리계획결정(090115)_20090609_영덕농공단지내역서" xfId="3445"/>
    <cellStyle name="_방동_추곡_총괄내역서_타당성조사및도시관리계획결정(090115)_총괄내역서(090223)" xfId="3446"/>
    <cellStyle name="_방동_추곡_포장" xfId="3447"/>
    <cellStyle name="_방동_추곡_포장_01.설계내역2" xfId="3448"/>
    <cellStyle name="_방동_추곡_포장_라멘교 토공" xfId="3449"/>
    <cellStyle name="_방동_추곡_포장_라멘교 토공_01.설계내역2" xfId="3450"/>
    <cellStyle name="_방동_추곡_포장_라멘교 토공_제2종지구단위계획_선바위관광지" xfId="3451"/>
    <cellStyle name="_방동_추곡_포장_라멘교 토공_제2종지구단위계획_선바위관광지_20090609_영덕농공단지내역서" xfId="3452"/>
    <cellStyle name="_방동_추곡_포장_라멘교 토공_제2종지구단위계획_선바위관광지_총괄내역서(090223)" xfId="3453"/>
    <cellStyle name="_방동_추곡_포장_라멘교 토공_총괄내역서_도시관리계획결정(070907)_계약" xfId="3454"/>
    <cellStyle name="_방동_추곡_포장_라멘교 토공_총괄내역서_타당성조사및도시관리계획결정(090115)" xfId="3455"/>
    <cellStyle name="_방동_추곡_포장_라멘교 토공_총괄내역서_타당성조사및도시관리계획결정(090115)_20090609_영덕농공단지내역서" xfId="3456"/>
    <cellStyle name="_방동_추곡_포장_라멘교 토공_총괄내역서_타당성조사및도시관리계획결정(090115)_총괄내역서(090223)" xfId="3457"/>
    <cellStyle name="_방동_추곡_포장_제2종지구단위계획_선바위관광지" xfId="3458"/>
    <cellStyle name="_방동_추곡_포장_제2종지구단위계획_선바위관광지_20090609_영덕농공단지내역서" xfId="3459"/>
    <cellStyle name="_방동_추곡_포장_제2종지구단위계획_선바위관광지_총괄내역서(090223)" xfId="3460"/>
    <cellStyle name="_방동_추곡_포장_총괄내역서_도시관리계획결정(070907)_계약" xfId="3461"/>
    <cellStyle name="_방동_추곡_포장_총괄내역서_타당성조사및도시관리계획결정(090115)" xfId="3462"/>
    <cellStyle name="_방동_추곡_포장_총괄내역서_타당성조사및도시관리계획결정(090115)_20090609_영덕농공단지내역서" xfId="3463"/>
    <cellStyle name="_방동_추곡_포장_총괄내역서_타당성조사및도시관리계획결정(090115)_총괄내역서(090223)" xfId="3464"/>
    <cellStyle name="_방동_포장" xfId="3465"/>
    <cellStyle name="_방동_포장_01.설계내역2" xfId="3466"/>
    <cellStyle name="_방동_포장_라멘교 토공" xfId="3467"/>
    <cellStyle name="_방동_포장_라멘교 토공_01.설계내역2" xfId="3468"/>
    <cellStyle name="_방동_포장_라멘교 토공_제2종지구단위계획_선바위관광지" xfId="3469"/>
    <cellStyle name="_방동_포장_라멘교 토공_제2종지구단위계획_선바위관광지_20090609_영덕농공단지내역서" xfId="3470"/>
    <cellStyle name="_방동_포장_라멘교 토공_제2종지구단위계획_선바위관광지_총괄내역서(090223)" xfId="3471"/>
    <cellStyle name="_방동_포장_라멘교 토공_총괄내역서_도시관리계획결정(070907)_계약" xfId="3472"/>
    <cellStyle name="_방동_포장_라멘교 토공_총괄내역서_타당성조사및도시관리계획결정(090115)" xfId="3473"/>
    <cellStyle name="_방동_포장_라멘교 토공_총괄내역서_타당성조사및도시관리계획결정(090115)_20090609_영덕농공단지내역서" xfId="3474"/>
    <cellStyle name="_방동_포장_라멘교 토공_총괄내역서_타당성조사및도시관리계획결정(090115)_총괄내역서(090223)" xfId="3475"/>
    <cellStyle name="_방동_포장_제2종지구단위계획_선바위관광지" xfId="3476"/>
    <cellStyle name="_방동_포장_제2종지구단위계획_선바위관광지_20090609_영덕농공단지내역서" xfId="3477"/>
    <cellStyle name="_방동_포장_제2종지구단위계획_선바위관광지_총괄내역서(090223)" xfId="3478"/>
    <cellStyle name="_방동_포장_총괄내역서_도시관리계획결정(070907)_계약" xfId="3479"/>
    <cellStyle name="_방동_포장_총괄내역서_타당성조사및도시관리계획결정(090115)" xfId="3480"/>
    <cellStyle name="_방동_포장_총괄내역서_타당성조사및도시관리계획결정(090115)_20090609_영덕농공단지내역서" xfId="3481"/>
    <cellStyle name="_방동_포장_총괄내역서_타당성조사및도시관리계획결정(090115)_총괄내역서(090223)" xfId="3482"/>
    <cellStyle name="_배,포,부,자" xfId="3483"/>
    <cellStyle name="_배,포,부,자(원호암)" xfId="3484"/>
    <cellStyle name="_배,포,부,자재(4공구)" xfId="3485"/>
    <cellStyle name="_배,포,부,자재집" xfId="3486"/>
    <cellStyle name="_배수공" xfId="3487"/>
    <cellStyle name="_배수공2" xfId="3488"/>
    <cellStyle name="_배수공3" xfId="3489"/>
    <cellStyle name="_배수공집계" xfId="3490"/>
    <cellStyle name="_배수공집계_두릉1제 수량산출서" xfId="3491"/>
    <cellStyle name="_배수공집계_인계1공구 수량산출" xfId="3492"/>
    <cellStyle name="_배수공집계_총자재집계표" xfId="3493"/>
    <cellStyle name="_배수관공" xfId="3494"/>
    <cellStyle name="_배포부자변경" xfId="3495"/>
    <cellStyle name="_백석지구농촌용수개발사업(대원)" xfId="3496"/>
    <cellStyle name="_백화점 유지보수 내역" xfId="3497"/>
    <cellStyle name="_범용 공동구축사업 설계내역서_샘플1.3" xfId="3498"/>
    <cellStyle name="_범용 공동구축사업 설계내역서_샘플1.4" xfId="3499"/>
    <cellStyle name="_범용추가개발 설계내역서(평균가중치방식)" xfId="3500"/>
    <cellStyle name="_범용추가개발내역" xfId="3501"/>
    <cellStyle name="_범용프로그램도입 예산설계서(2003기준)_1.6" xfId="3502"/>
    <cellStyle name="_범용프로그램도입 예산설계서(2003기준)_1.6 2" xfId="3503"/>
    <cellStyle name="_범용프로그램도입 예산설계서_1.2" xfId="3504"/>
    <cellStyle name="_범용프로그램도입 예산설계서_1.2 2" xfId="3505"/>
    <cellStyle name="_벨정보_060320_국학진흥원_x366서버_견적서(1)" xfId="3506"/>
    <cellStyle name="_변경내역서(070601)" xfId="3507"/>
    <cellStyle name="_별첨(계획서및실적서양식)" xfId="3508"/>
    <cellStyle name="_별첨(계획서및실적서양식)_1" xfId="3509"/>
    <cellStyle name="_보건대학조경공사내역서(0302)" xfId="3510"/>
    <cellStyle name="_보광병원Cisco (최종)" xfId="3511"/>
    <cellStyle name="_보수명세3 2004년 롯데카드 장비 유지보수 내역v8_1" xfId="3512"/>
    <cellStyle name="_보훈처_050217" xfId="3513"/>
    <cellStyle name="_복명(암거-직관)" xfId="3514"/>
    <cellStyle name="_복명내역-수량" xfId="3515"/>
    <cellStyle name="_복사본 CDS-030703-ML570-MA1000-02" xfId="3516"/>
    <cellStyle name="_복사본 가격산출서(강)" xfId="3517"/>
    <cellStyle name="_복사본 발주서양식 대신정보통신" xfId="3518"/>
    <cellStyle name="_복사본 오늘과내일(W1100z)-9월가격표_(2004 9 1기준)" xfId="3519"/>
    <cellStyle name="_복사본 오늘과내일(W1100z)-9월가격표_(2004 9 1기준)(1)" xfId="3520"/>
    <cellStyle name="_본선토공" xfId="3521"/>
    <cellStyle name="_본선토공_내지농로(변경)" xfId="3522"/>
    <cellStyle name="_본선토공_내지농로(변경)_돈지수량산출" xfId="3523"/>
    <cellStyle name="_본선토공_능양수량산출" xfId="3524"/>
    <cellStyle name="_본선토공_능양수량산출_돈지수량산출" xfId="3525"/>
    <cellStyle name="_본선토공_돈지안길" xfId="3526"/>
    <cellStyle name="_본선토공_돈지안길_배수로" xfId="3527"/>
    <cellStyle name="_본선토공_돈지안길1000" xfId="3528"/>
    <cellStyle name="_본선토공_돈지안길1000_배수로" xfId="3529"/>
    <cellStyle name="_본선토공_배수로" xfId="3530"/>
    <cellStyle name="_본선토공_배수로_배수로" xfId="3531"/>
    <cellStyle name="_본선토공_석축쌓기" xfId="3532"/>
    <cellStyle name="_본선토공_석축쌓기_내지농로(변경)" xfId="3533"/>
    <cellStyle name="_본선토공_석축쌓기_내지농로(변경)_돈지수량산출" xfId="3534"/>
    <cellStyle name="_본선토공_석축쌓기_능양수량산출" xfId="3535"/>
    <cellStyle name="_본선토공_석축쌓기_능양수량산출_돈지수량산출" xfId="3536"/>
    <cellStyle name="_본선토공_석축쌓기_돈지안길" xfId="3537"/>
    <cellStyle name="_본선토공_석축쌓기_돈지안길_배수로" xfId="3538"/>
    <cellStyle name="_본선토공_석축쌓기_돈지안길1000" xfId="3539"/>
    <cellStyle name="_본선토공_석축쌓기_돈지안길1000_배수로" xfId="3540"/>
    <cellStyle name="_본선토공_석축쌓기_배수공(명품센터)" xfId="3541"/>
    <cellStyle name="_본선토공_석축쌓기_배수공(명품센터)_내지농로(변경)" xfId="3542"/>
    <cellStyle name="_본선토공_석축쌓기_배수공(명품센터)_내지농로(변경)_돈지수량산출" xfId="3543"/>
    <cellStyle name="_본선토공_석축쌓기_배수공(명품센터)_능양수량산출" xfId="3544"/>
    <cellStyle name="_본선토공_석축쌓기_배수공(명품센터)_능양수량산출_돈지수량산출" xfId="3545"/>
    <cellStyle name="_본선토공_석축쌓기_배수공(명품센터)_돈지안길" xfId="3546"/>
    <cellStyle name="_본선토공_석축쌓기_배수공(명품센터)_돈지안길_배수로" xfId="3547"/>
    <cellStyle name="_본선토공_석축쌓기_배수공(명품센터)_돈지안길1000" xfId="3548"/>
    <cellStyle name="_본선토공_석축쌓기_배수공(명품센터)_돈지안길1000_배수로" xfId="3549"/>
    <cellStyle name="_본선토공_석축쌓기_배수공(명품센터)_배수로" xfId="3550"/>
    <cellStyle name="_본선토공_석축쌓기_배수공(명품센터)_배수로_배수로" xfId="3551"/>
    <cellStyle name="_본선토공_석축쌓기_배수로" xfId="3552"/>
    <cellStyle name="_본선토공_석축쌓기_배수로_배수로" xfId="3553"/>
    <cellStyle name="_본선토공_석축쌓기_수량(전안수해복구)" xfId="3554"/>
    <cellStyle name="_본선토공_석축쌓기_수량(전안수해복구)_내지농로(변경)" xfId="3555"/>
    <cellStyle name="_본선토공_석축쌓기_수량(전안수해복구)_내지농로(변경)_돈지수량산출" xfId="3556"/>
    <cellStyle name="_본선토공_석축쌓기_수량(전안수해복구)_능양수량산출" xfId="3557"/>
    <cellStyle name="_본선토공_석축쌓기_수량(전안수해복구)_능양수량산출_돈지수량산출" xfId="3558"/>
    <cellStyle name="_본선토공_석축쌓기_수량(전안수해복구)_돈지안길" xfId="3559"/>
    <cellStyle name="_본선토공_석축쌓기_수량(전안수해복구)_돈지안길_배수로" xfId="3560"/>
    <cellStyle name="_본선토공_석축쌓기_수량(전안수해복구)_돈지안길1000" xfId="3561"/>
    <cellStyle name="_본선토공_석축쌓기_수량(전안수해복구)_돈지안길1000_배수로" xfId="3562"/>
    <cellStyle name="_본선토공_석축쌓기_수량(전안수해복구)_배수로" xfId="3563"/>
    <cellStyle name="_본선토공_석축쌓기_수량(전안수해복구)_배수로_배수로" xfId="3564"/>
    <cellStyle name="_본선토공_석축쌓기_우수공(k2)" xfId="3565"/>
    <cellStyle name="_본선토공_석축쌓기_우수공(k2)_내지농로(변경)" xfId="3566"/>
    <cellStyle name="_본선토공_석축쌓기_우수공(k2)_내지농로(변경)_돈지수량산출" xfId="3567"/>
    <cellStyle name="_본선토공_석축쌓기_우수공(k2)_능양수량산출" xfId="3568"/>
    <cellStyle name="_본선토공_석축쌓기_우수공(k2)_능양수량산출_돈지수량산출" xfId="3569"/>
    <cellStyle name="_본선토공_석축쌓기_우수공(k2)_돈지안길" xfId="3570"/>
    <cellStyle name="_본선토공_석축쌓기_우수공(k2)_돈지안길_배수로" xfId="3571"/>
    <cellStyle name="_본선토공_석축쌓기_우수공(k2)_돈지안길1000" xfId="3572"/>
    <cellStyle name="_본선토공_석축쌓기_우수공(k2)_돈지안길1000_배수로" xfId="3573"/>
    <cellStyle name="_본선토공_석축쌓기_우수공(k2)_배수로" xfId="3574"/>
    <cellStyle name="_본선토공_석축쌓기_우수공(k2)_배수로_배수로" xfId="3575"/>
    <cellStyle name="_봉곡중내역서(대지건설)" xfId="3576"/>
    <cellStyle name="_봉곡중총괄(대지완결)" xfId="3577"/>
    <cellStyle name="_봉평-내면도로(투찰)⑦(-1.22)" xfId="3578"/>
    <cellStyle name="_봉평-내면도로(투찰)⑦(-1.22)_01 실행(군장산단) Rev00" xfId="3579"/>
    <cellStyle name="_봉평-내면도로(투찰)⑦(-1.22)_01 실행(군장산단) Rev00_01 실행(부산남컨가호안109-원안분) REV04" xfId="3580"/>
    <cellStyle name="_봉화군_지형도면전산화(080808)" xfId="3581"/>
    <cellStyle name="_부대견적결과" xfId="3582"/>
    <cellStyle name="_부대견적결과_01 실행(군장산단) Rev00" xfId="3583"/>
    <cellStyle name="_부대견적결과_01 실행(군장산단) Rev00_01 실행(부산남컨가호안109-원안분) REV04" xfId="3584"/>
    <cellStyle name="_부대견적결과1" xfId="3585"/>
    <cellStyle name="_부대견적결과1_01 실행(군장산단) Rev00" xfId="3586"/>
    <cellStyle name="_부대견적결과1_01 실행(군장산단) Rev00_01 실행(부산남컨가호안109-원안분) REV04" xfId="3587"/>
    <cellStyle name="_부대견적의뢰" xfId="3588"/>
    <cellStyle name="_부대견적의뢰_01 실행(군장산단) Rev00" xfId="3589"/>
    <cellStyle name="_부대견적의뢰_01 실행(군장산단) Rev00_01 실행(부산남컨가호안109-원안분) REV04" xfId="3590"/>
    <cellStyle name="_부대공" xfId="3591"/>
    <cellStyle name="_부대공A" xfId="3592"/>
    <cellStyle name="_부대공A_두릉1제 수량산출서" xfId="3593"/>
    <cellStyle name="_부대공A_인계1공구 수량산출" xfId="3594"/>
    <cellStyle name="_부대공A_총자재집계표" xfId="3595"/>
    <cellStyle name="_부대선정조정품의" xfId="3596"/>
    <cellStyle name="_부대선정조정품의_01 실행(군장산단) Rev00" xfId="3597"/>
    <cellStyle name="_부대선정조정품의_01 실행(군장산단) Rev00_01 실행(부산남컨가호안109-원안분) REV04" xfId="3598"/>
    <cellStyle name="_부대입찰결과" xfId="3599"/>
    <cellStyle name="_부대입찰결과_01 실행(군장산단) Rev00" xfId="3600"/>
    <cellStyle name="_부대입찰결과_01 실행(군장산단) Rev00_01 실행(부산남컨가호안109-원안분) REV04" xfId="3601"/>
    <cellStyle name="_부대입찰송부" xfId="3602"/>
    <cellStyle name="_부대입찰송부(1차조정)" xfId="3603"/>
    <cellStyle name="_부대입찰송부(1차조정)_01 실행(군장산단) Rev00" xfId="3604"/>
    <cellStyle name="_부대입찰송부(1차조정)_01 실행(군장산단) Rev00_01 실행(부산남컨가호안109-원안분) REV04" xfId="3605"/>
    <cellStyle name="_부대입찰송부(무안광주)" xfId="3606"/>
    <cellStyle name="_부대입찰송부(무안광주)_01 실행(군장산단) Rev00" xfId="3607"/>
    <cellStyle name="_부대입찰송부(무안광주)_01 실행(군장산단) Rev00_01 실행(부산남컨가호안109-원안분) REV04" xfId="3608"/>
    <cellStyle name="_부대입찰송부_01 실행(군장산단) Rev00" xfId="3609"/>
    <cellStyle name="_부대입찰송부_01 실행(군장산단) Rev00_01 실행(부산남컨가호안109-원안분) REV04" xfId="3610"/>
    <cellStyle name="_부대입찰양식②" xfId="3611"/>
    <cellStyle name="_부대입찰양식②_01 실행(군장산단) Rev00" xfId="3612"/>
    <cellStyle name="_부대입찰양식②_01 실행(군장산단) Rev00_01 실행(부산남컨가호안109-원안분) REV04" xfId="3613"/>
    <cellStyle name="_부대입찰양식②_경찰서-터미널간도로(투찰)②" xfId="3614"/>
    <cellStyle name="_부대입찰양식②_경찰서-터미널간도로(투찰)②_01 실행(군장산단) Rev00" xfId="3615"/>
    <cellStyle name="_부대입찰양식②_경찰서-터미널간도로(투찰)②_01 실행(군장산단) Rev00_01 실행(부산남컨가호안109-원안분) REV04" xfId="3616"/>
    <cellStyle name="_부대입찰양식②_봉무지방산업단지도로(투찰)②" xfId="3617"/>
    <cellStyle name="_부대입찰양식②_봉무지방산업단지도로(투찰)②_01 실행(군장산단) Rev00" xfId="3618"/>
    <cellStyle name="_부대입찰양식②_봉무지방산업단지도로(투찰)②_01 실행(군장산단) Rev00_01 실행(부산남컨가호안109-원안분) REV04" xfId="3619"/>
    <cellStyle name="_부대입찰양식②_봉무지방산업단지도로(투찰)②+0.250%" xfId="3620"/>
    <cellStyle name="_부대입찰양식②_봉무지방산업단지도로(투찰)②+0.250%_01 실행(군장산단) Rev00" xfId="3621"/>
    <cellStyle name="_부대입찰양식②_봉무지방산업단지도로(투찰)②+0.250%_01 실행(군장산단) Rev00_01 실행(부산남컨가호안109-원안분) REV04" xfId="3622"/>
    <cellStyle name="_부대입찰양식②_합덕-신례원(2공구)투찰" xfId="3623"/>
    <cellStyle name="_부대입찰양식②_합덕-신례원(2공구)투찰_01 실행(군장산단) Rev00" xfId="3624"/>
    <cellStyle name="_부대입찰양식②_합덕-신례원(2공구)투찰_01 실행(군장산단) Rev00_01 실행(부산남컨가호안109-원안분) REV04" xfId="3625"/>
    <cellStyle name="_부대입찰양식②_합덕-신례원(2공구)투찰_경찰서-터미널간도로(투찰)②" xfId="3626"/>
    <cellStyle name="_부대입찰양식②_합덕-신례원(2공구)투찰_경찰서-터미널간도로(투찰)②_01 실행(군장산단) Rev00" xfId="3627"/>
    <cellStyle name="_부대입찰양식②_합덕-신례원(2공구)투찰_경찰서-터미널간도로(투찰)②_01 실행(군장산단) Rev00_01 실행(부산남컨가호안109-원안분) REV04" xfId="3628"/>
    <cellStyle name="_부대입찰양식②_합덕-신례원(2공구)투찰_봉무지방산업단지도로(투찰)②" xfId="3629"/>
    <cellStyle name="_부대입찰양식②_합덕-신례원(2공구)투찰_봉무지방산업단지도로(투찰)②_01 실행(군장산단) Rev00" xfId="3630"/>
    <cellStyle name="_부대입찰양식②_합덕-신례원(2공구)투찰_봉무지방산업단지도로(투찰)②_01 실행(군장산단) Rev00_01 실행(부산남컨가호안109-원안분) REV04" xfId="3631"/>
    <cellStyle name="_부대입찰양식②_합덕-신례원(2공구)투찰_봉무지방산업단지도로(투찰)②+0.250%" xfId="3632"/>
    <cellStyle name="_부대입찰양식②_합덕-신례원(2공구)투찰_봉무지방산업단지도로(투찰)②+0.250%_01 실행(군장산단) Rev00" xfId="3633"/>
    <cellStyle name="_부대입찰양식②_합덕-신례원(2공구)투찰_봉무지방산업단지도로(투찰)②+0.250%_01 실행(군장산단) Rev00_01 실행(부산남컨가호안109-원안분) REV04" xfId="3634"/>
    <cellStyle name="_부대입찰양식②_합덕-신례원(2공구)투찰_합덕-신례원(2공구)투찰" xfId="3635"/>
    <cellStyle name="_부대입찰양식②_합덕-신례원(2공구)투찰_합덕-신례원(2공구)투찰_01 실행(군장산단) Rev00" xfId="3636"/>
    <cellStyle name="_부대입찰양식②_합덕-신례원(2공구)투찰_합덕-신례원(2공구)투찰_01 실행(군장산단) Rev00_01 실행(부산남컨가호안109-원안분) REV04" xfId="3637"/>
    <cellStyle name="_부대입찰양식②_합덕-신례원(2공구)투찰_합덕-신례원(2공구)투찰_경찰서-터미널간도로(투찰)②" xfId="3638"/>
    <cellStyle name="_부대입찰양식②_합덕-신례원(2공구)투찰_합덕-신례원(2공구)투찰_경찰서-터미널간도로(투찰)②_01 실행(군장산단) Rev00" xfId="3639"/>
    <cellStyle name="_부대입찰양식②_합덕-신례원(2공구)투찰_합덕-신례원(2공구)투찰_경찰서-터미널간도로(투찰)②_01 실행(군장산단) Rev00_01 실행(부산남컨가호안109-원안분) REV04" xfId="3640"/>
    <cellStyle name="_부대입찰양식②_합덕-신례원(2공구)투찰_합덕-신례원(2공구)투찰_봉무지방산업단지도로(투찰)②" xfId="3641"/>
    <cellStyle name="_부대입찰양식②_합덕-신례원(2공구)투찰_합덕-신례원(2공구)투찰_봉무지방산업단지도로(투찰)②_01 실행(군장산단) Rev00" xfId="3642"/>
    <cellStyle name="_부대입찰양식②_합덕-신례원(2공구)투찰_합덕-신례원(2공구)투찰_봉무지방산업단지도로(투찰)②_01 실행(군장산단) Rev00_01 실행(부산남컨가호안109-원안분) REV04" xfId="3643"/>
    <cellStyle name="_부대입찰양식②_합덕-신례원(2공구)투찰_합덕-신례원(2공구)투찰_봉무지방산업단지도로(투찰)②+0.250%" xfId="3644"/>
    <cellStyle name="_부대입찰양식②_합덕-신례원(2공구)투찰_합덕-신례원(2공구)투찰_봉무지방산업단지도로(투찰)②+0.250%_01 실행(군장산단) Rev00" xfId="3645"/>
    <cellStyle name="_부대입찰양식②_합덕-신례원(2공구)투찰_합덕-신례원(2공구)투찰_봉무지방산업단지도로(투찰)②+0.250%_01 실행(군장산단) Rev00_01 실행(부산남컨가호안109-원안분) REV04" xfId="3646"/>
    <cellStyle name="_부대입찰조정" xfId="3647"/>
    <cellStyle name="_부대입찰조정(광릉숲)" xfId="3648"/>
    <cellStyle name="_부대입찰조정(광릉숲)_01 실행(군장산단) Rev00" xfId="3649"/>
    <cellStyle name="_부대입찰조정(광릉숲)_01 실행(군장산단) Rev00_01 실행(부산남컨가호안109-원안분) REV04" xfId="3650"/>
    <cellStyle name="_부대입찰조정_01 실행(군장산단) Rev00" xfId="3651"/>
    <cellStyle name="_부대입찰조정_01 실행(군장산단) Rev00_01 실행(부산남컨가호안109-원안분) REV04" xfId="3652"/>
    <cellStyle name="_부대입찰특별조건및내역송부" xfId="3653"/>
    <cellStyle name="_부대입찰특별조건및내역송부(최저가)" xfId="3654"/>
    <cellStyle name="_부대입찰특별조건및내역송부(최저가)_01 실행(군장산단) Rev00" xfId="3655"/>
    <cellStyle name="_부대입찰특별조건및내역송부(최저가)_01 실행(군장산단) Rev00_01 실행(부산남컨가호안109-원안분) REV04" xfId="3656"/>
    <cellStyle name="_부대입찰특별조건및내역송부_01 실행(군장산단) Rev00" xfId="3657"/>
    <cellStyle name="_부대입찰특별조건및내역송부_01 실행(군장산단) Rev00_01 실행(부산남컨가호안109-원안분) REV04" xfId="3658"/>
    <cellStyle name="_부대입찰확약서" xfId="3659"/>
    <cellStyle name="_부림제(혁성종합)" xfId="3660"/>
    <cellStyle name="_부산해사고(100%)" xfId="3661"/>
    <cellStyle name="_부안누에타운실시설계 내역서-4 (06.7.17)" xfId="3662"/>
    <cellStyle name="_부천시 지하시설물통합정보시스템 구축사업 설계내역서_0514(FP)" xfId="3663"/>
    <cellStyle name="_부천시 지하시설물통합정보시스템 구축사업 설계내역서_2.1(FP)" xfId="3664"/>
    <cellStyle name="_부천시 현장시설물관리시스템 구축사업 설계내역서_1.2" xfId="3665"/>
    <cellStyle name="_부천시 현장시설물관리시스템 구축사업 설계내역서_2.1(FP)" xfId="3666"/>
    <cellStyle name="_부평배수지(투찰)" xfId="3667"/>
    <cellStyle name="_부평배수지(투찰)_01 실행(군장산단) Rev00" xfId="3668"/>
    <cellStyle name="_부평배수지(투찰)_01 실행(군장산단) Rev00_01 실행(부산남컨가호안109-원안분) REV04" xfId="3669"/>
    <cellStyle name="_부평배수지(투찰)_경찰서-터미널간도로(투찰)②" xfId="3670"/>
    <cellStyle name="_부평배수지(투찰)_경찰서-터미널간도로(투찰)②_01 실행(군장산단) Rev00" xfId="3671"/>
    <cellStyle name="_부평배수지(투찰)_경찰서-터미널간도로(투찰)②_01 실행(군장산단) Rev00_01 실행(부산남컨가호안109-원안분) REV04" xfId="3672"/>
    <cellStyle name="_부평배수지(투찰)_봉무지방산업단지도로(투찰)②" xfId="3673"/>
    <cellStyle name="_부평배수지(투찰)_봉무지방산업단지도로(투찰)②_01 실행(군장산단) Rev00" xfId="3674"/>
    <cellStyle name="_부평배수지(투찰)_봉무지방산업단지도로(투찰)②_01 실행(군장산단) Rev00_01 실행(부산남컨가호안109-원안분) REV04" xfId="3675"/>
    <cellStyle name="_부평배수지(투찰)_봉무지방산업단지도로(투찰)②+0.250%" xfId="3676"/>
    <cellStyle name="_부평배수지(투찰)_봉무지방산업단지도로(투찰)②+0.250%_01 실행(군장산단) Rev00" xfId="3677"/>
    <cellStyle name="_부평배수지(투찰)_봉무지방산업단지도로(투찰)②+0.250%_01 실행(군장산단) Rev00_01 실행(부산남컨가호안109-원안분) REV04" xfId="3678"/>
    <cellStyle name="_부평배수지(투찰)_합덕-신례원(2공구)투찰" xfId="3679"/>
    <cellStyle name="_부평배수지(투찰)_합덕-신례원(2공구)투찰_01 실행(군장산단) Rev00" xfId="3680"/>
    <cellStyle name="_부평배수지(투찰)_합덕-신례원(2공구)투찰_01 실행(군장산단) Rev00_01 실행(부산남컨가호안109-원안분) REV04" xfId="3681"/>
    <cellStyle name="_부평배수지(투찰)_합덕-신례원(2공구)투찰_경찰서-터미널간도로(투찰)②" xfId="3682"/>
    <cellStyle name="_부평배수지(투찰)_합덕-신례원(2공구)투찰_경찰서-터미널간도로(투찰)②_01 실행(군장산단) Rev00" xfId="3683"/>
    <cellStyle name="_부평배수지(투찰)_합덕-신례원(2공구)투찰_경찰서-터미널간도로(투찰)②_01 실행(군장산단) Rev00_01 실행(부산남컨가호안109-원안분) REV04" xfId="3684"/>
    <cellStyle name="_부평배수지(투찰)_합덕-신례원(2공구)투찰_봉무지방산업단지도로(투찰)②" xfId="3685"/>
    <cellStyle name="_부평배수지(투찰)_합덕-신례원(2공구)투찰_봉무지방산업단지도로(투찰)②_01 실행(군장산단) Rev00" xfId="3686"/>
    <cellStyle name="_부평배수지(투찰)_합덕-신례원(2공구)투찰_봉무지방산업단지도로(투찰)②_01 실행(군장산단) Rev00_01 실행(부산남컨가호안109-원안분) REV04" xfId="3687"/>
    <cellStyle name="_부평배수지(투찰)_합덕-신례원(2공구)투찰_봉무지방산업단지도로(투찰)②+0.250%" xfId="3688"/>
    <cellStyle name="_부평배수지(투찰)_합덕-신례원(2공구)투찰_봉무지방산업단지도로(투찰)②+0.250%_01 실행(군장산단) Rev00" xfId="3689"/>
    <cellStyle name="_부평배수지(투찰)_합덕-신례원(2공구)투찰_봉무지방산업단지도로(투찰)②+0.250%_01 실행(군장산단) Rev00_01 실행(부산남컨가호안109-원안분) REV04" xfId="3690"/>
    <cellStyle name="_부평배수지(투찰)_합덕-신례원(2공구)투찰_합덕-신례원(2공구)투찰" xfId="3691"/>
    <cellStyle name="_부평배수지(투찰)_합덕-신례원(2공구)투찰_합덕-신례원(2공구)투찰_01 실행(군장산단) Rev00" xfId="3692"/>
    <cellStyle name="_부평배수지(투찰)_합덕-신례원(2공구)투찰_합덕-신례원(2공구)투찰_01 실행(군장산단) Rev00_01 실행(부산남컨가호안109-원안분) REV04" xfId="3693"/>
    <cellStyle name="_부평배수지(투찰)_합덕-신례원(2공구)투찰_합덕-신례원(2공구)투찰_경찰서-터미널간도로(투찰)②" xfId="3694"/>
    <cellStyle name="_부평배수지(투찰)_합덕-신례원(2공구)투찰_합덕-신례원(2공구)투찰_경찰서-터미널간도로(투찰)②_01 실행(군장산단) Rev00" xfId="3695"/>
    <cellStyle name="_부평배수지(투찰)_합덕-신례원(2공구)투찰_합덕-신례원(2공구)투찰_경찰서-터미널간도로(투찰)②_01 실행(군장산단) Rev00_01 실행(부산남컨가호안109-원안분) REV04" xfId="3696"/>
    <cellStyle name="_부평배수지(투찰)_합덕-신례원(2공구)투찰_합덕-신례원(2공구)투찰_봉무지방산업단지도로(투찰)②" xfId="3697"/>
    <cellStyle name="_부평배수지(투찰)_합덕-신례원(2공구)투찰_합덕-신례원(2공구)투찰_봉무지방산업단지도로(투찰)②_01 실행(군장산단) Rev00" xfId="3698"/>
    <cellStyle name="_부평배수지(투찰)_합덕-신례원(2공구)투찰_합덕-신례원(2공구)투찰_봉무지방산업단지도로(투찰)②_01 실행(군장산단) Rev00_01 실행(부산남컨가호안109-원안분) REV04" xfId="3699"/>
    <cellStyle name="_부평배수지(투찰)_합덕-신례원(2공구)투찰_합덕-신례원(2공구)투찰_봉무지방산업단지도로(투찰)②+0.250%" xfId="3700"/>
    <cellStyle name="_부평배수지(투찰)_합덕-신례원(2공구)투찰_합덕-신례원(2공구)투찰_봉무지방산업단지도로(투찰)②+0.250%_01 실행(군장산단) Rev00" xfId="3701"/>
    <cellStyle name="_부평배수지(투찰)_합덕-신례원(2공구)투찰_합덕-신례원(2공구)투찰_봉무지방산업단지도로(투찰)②+0.250%_01 실행(군장산단) Rev00_01 실행(부산남컨가호안109-원안분) REV04" xfId="3702"/>
    <cellStyle name="_분당차병원 견적서 (동심) 0625" xfId="3703"/>
    <cellStyle name="_비탈면보호공" xfId="3704"/>
    <cellStyle name="_사동초중" xfId="3705"/>
    <cellStyle name="_사물함" xfId="3706"/>
    <cellStyle name="_사본 - 1차변경내역" xfId="3707"/>
    <cellStyle name="_사본 - 승본도로수량(금회분)" xfId="3708"/>
    <cellStyle name="_사본 - 승본도로수량(금회분)_두릉1제 수량산출서" xfId="3709"/>
    <cellStyle name="_사본 - 승본도로수량(금회분)_인계1공구 수량산출" xfId="3710"/>
    <cellStyle name="_사본 - 승본도로수량(금회분)_총자재집계표" xfId="3711"/>
    <cellStyle name="_사본 - 업체견적서(0425)" xfId="3712"/>
    <cellStyle name="_사시농로" xfId="3713"/>
    <cellStyle name="_사암,문산지구" xfId="3714"/>
    <cellStyle name="_사업관리사양LG엔시스" xfId="3715"/>
    <cellStyle name="_사업대가기준(최신자료)" xfId="3716"/>
    <cellStyle name="_사유서" xfId="3717"/>
    <cellStyle name="_사유서_내역서" xfId="3718"/>
    <cellStyle name="_사전재해영향검토용역내역서(은행매화공원)" xfId="3719"/>
    <cellStyle name="_사전재해영향성검토(1억5천)2" xfId="3720"/>
    <cellStyle name="_사전재해영향성검토내역(은행매화-근린공원)" xfId="3721"/>
    <cellStyle name="_사직2동착공내역" xfId="3722"/>
    <cellStyle name="_사천시 2차사업 설계내역서_최종(2004.6.10)" xfId="3723"/>
    <cellStyle name="_사천시_인트라넷설계서(0316)" xfId="3724"/>
    <cellStyle name="_사천시범용도입설계내역서(범아송부)" xfId="3725"/>
    <cellStyle name="_산림생태문화체험단지조성 설계서-계약내역" xfId="3726"/>
    <cellStyle name="_산업단지(33만평)기본및실시설계내역서" xfId="3727"/>
    <cellStyle name="_산업단지(33만평)지구지정(개발계획) 내역서" xfId="3728"/>
    <cellStyle name="_산업단지(40만평)내역서" xfId="3729"/>
    <cellStyle name="_산업단지(40만평)지구지정(개발계획) 내역서" xfId="3730"/>
    <cellStyle name="_산출내역서" xfId="3731"/>
    <cellStyle name="_삼남" xfId="3732"/>
    <cellStyle name="_삼남_2차변경단가산출근거" xfId="3733"/>
    <cellStyle name="_삼남_2차변경단가산출근거_3차변경단가산출근거" xfId="3734"/>
    <cellStyle name="_삼남_2차변경단가산출근거_3차변경단가산출근거_문화의 거리 농로포장(김병국2차)" xfId="3735"/>
    <cellStyle name="_삼남_2차변경단가산출근거_3차변경단가산출근거_문화의 거리 농로포장(김병국2차)_문화의 거리 농로포장(김병국2차)" xfId="3736"/>
    <cellStyle name="_삼남_2차변경단가산출근거_문화의 거리 농로포장(김병국2차)" xfId="3737"/>
    <cellStyle name="_삼남_2차변경단가산출근거_문화의 거리 농로포장(김병국2차)_문화의 거리 농로포장(김병국2차)" xfId="3738"/>
    <cellStyle name="_삼남_문화의 거리 농로포장(김병국2차)" xfId="3739"/>
    <cellStyle name="_삼남_문화의 거리 농로포장(김병국2차)_문화의 거리 농로포장(김병국2차)" xfId="3740"/>
    <cellStyle name="_삼남_외국인투자지역" xfId="3741"/>
    <cellStyle name="_삼남_외국인투자지역_3차변경단가산출근거" xfId="3742"/>
    <cellStyle name="_삼남_외국인투자지역_3차변경단가산출근거_문화의 거리 농로포장(김병국2차)" xfId="3743"/>
    <cellStyle name="_삼남_외국인투자지역_3차변경단가산출근거_문화의 거리 농로포장(김병국2차)_문화의 거리 농로포장(김병국2차)" xfId="3744"/>
    <cellStyle name="_삼남_외국인투자지역_문화의 거리 농로포장(김병국2차)" xfId="3745"/>
    <cellStyle name="_삼남_외국인투자지역_문화의 거리 농로포장(김병국2차)_문화의 거리 농로포장(김병국2차)" xfId="3746"/>
    <cellStyle name="_삼일PwC_동양증권 견적_070921_V1.0" xfId="3747"/>
    <cellStyle name="_상리~사천간국도4차로공사내역" xfId="3748"/>
    <cellStyle name="_상무우리병원_040717" xfId="3749"/>
    <cellStyle name="_상수도시설물관리시스템 견적서" xfId="3750"/>
    <cellStyle name="_상월천교토공수량" xfId="3751"/>
    <cellStyle name="_상주GIS기본계획수립설계내역서(총괄)" xfId="3752"/>
    <cellStyle name="_상주시도로와지하시설물(상하수)공동구축용역설계서(1차년도)-계약용" xfId="3753"/>
    <cellStyle name="_상하수도 범용도입 설계내역서2.0" xfId="3754"/>
    <cellStyle name="_상하수탐사내역서" xfId="3755"/>
    <cellStyle name="_새들초등학교(동성)" xfId="3756"/>
    <cellStyle name="_새마을금고 장비 내역" xfId="3757"/>
    <cellStyle name="_새주소웹서버" xfId="3758"/>
    <cellStyle name="_새주소웹서버 2" xfId="3759"/>
    <cellStyle name="_서버보안_RedOwl_티에스온넷_0404" xfId="3760"/>
    <cellStyle name="_서산시 00근린공원 조성계획 및 실시설계 용역" xfId="3761"/>
    <cellStyle name="_서울고속도로_EDMS_핸디소프트" xfId="3762"/>
    <cellStyle name="_서울고속도로_오라클_P630" xfId="3763"/>
    <cellStyle name="_서울고속도로법인_시스템 P6xx_트라이얼" xfId="3764"/>
    <cellStyle name="_서울고속도로법인_시스템 P6xx_트라이얼-1" xfId="3765"/>
    <cellStyle name="_서울고속도로법인_시스템 P6xx_트라이얼-2" xfId="3766"/>
    <cellStyle name="_서울고속도로법인_시스템 P6xx_트라이얼-3" xfId="3767"/>
    <cellStyle name="_서울고속도로법인_시스템_트라이얼" xfId="3768"/>
    <cellStyle name="_서울고속도록_오라클-1" xfId="3769"/>
    <cellStyle name="_서울과학관의장" xfId="3770"/>
    <cellStyle name="_서울대학교사범대교육정보관(에스와이비작업완료)" xfId="3771"/>
    <cellStyle name="_서울도림초등학교(신한디스켓)" xfId="3772"/>
    <cellStyle name="_서울시 도로굴착복구관리시스템 구축사업 예산설계서_v5" xfId="3773"/>
    <cellStyle name="_서울시 도로굴착복구관리시스템 구축용역사업 설계서(FP방식)_최종" xfId="3774"/>
    <cellStyle name="_서울시 도로굴착복구관리시스템(2단계) 설계내역서_v6" xfId="3775"/>
    <cellStyle name="_서울지역직류및교류누설전류실태조사(용역)" xfId="3776"/>
    <cellStyle name="_서울지역직류및교류누설전류실태조사(용역)_1-(금액상승)변경-아치텐트-PVDF-(3mx3mx2.5m)" xfId="3777"/>
    <cellStyle name="_서울지역직류및교류누설전류실태조사(용역)_1-(금액상승)변경-아치텐트-PVDF-(3mx3mx2.5m)_(조폐공사발송) 약품처리시설" xfId="3778"/>
    <cellStyle name="_서울지역직류및교류누설전류실태조사(용역)_1-(금액상승)변경-아치텐트-PVDF-(3mx3mx2.5m)_(조폐공사발송) 약품처리시설_2004년 완선공사(최종본)" xfId="3779"/>
    <cellStyle name="_서울지역직류및교류누설전류실태조사(용역)_1-(금액상승)변경-아치텐트-PVDF-(3mx3mx2.5m)_(조폐공사발송) 약품처리시설_안동전통문화콘텐츠박물관전시영상물구축(전시시설물)" xfId="3780"/>
    <cellStyle name="_서울지역직류및교류누설전류실태조사(용역)_1-(금액상승)변경-아치텐트-PVDF-(3mx3mx2.5m)_(조폐공사발송) 약품처리시설_안동전통문화콘텐츠박물관전시영상물구축(전시시설물)_원가보고서(종합)-조달" xfId="3781"/>
    <cellStyle name="_서울지역직류및교류누설전류실태조사(용역)_1-(금액상승)변경-아치텐트-PVDF-(3mx3mx2.5m)_(조폐공사발송) 약품처리시설_안동전통문화콘텐츠박물관전시영상물구축(전시시설물)_원가보고서(흑색)-조달" xfId="3782"/>
    <cellStyle name="_서울지역직류및교류누설전류실태조사(용역)_1-(금액상승)변경-아치텐트-PVDF-(3mx3mx2.5m)_(조폐공사발송) 약품처리시설_원가계산서(화성상록)" xfId="3783"/>
    <cellStyle name="_서울지역직류및교류누설전류실태조사(용역)_1-(금액상승)변경-아치텐트-PVDF-(3mx3mx2.5m)_(조폐공사발송) 약품처리시설_원가계산서(화성상록) (version 1)" xfId="3784"/>
    <cellStyle name="_서울지역직류및교류누설전류실태조사(용역)_1-(금액상승)변경-아치텐트-PVDF-(3mx3mx2.5m)_(조폐공사발송) 약품처리시설_원가계산서(화성상록) (version 1)_원가보고서(종합)-조달" xfId="3785"/>
    <cellStyle name="_서울지역직류및교류누설전류실태조사(용역)_1-(금액상승)변경-아치텐트-PVDF-(3mx3mx2.5m)_(조폐공사발송) 약품처리시설_원가계산서(화성상록) (version 1)_원가보고서(흑색)-조달" xfId="3786"/>
    <cellStyle name="_서울지역직류및교류누설전류실태조사(용역)_1-(금액상승)변경-아치텐트-PVDF-(3mx3mx2.5m)_(조폐공사발송) 약품처리시설_원가계산서(화성상록)_원가보고서(종합)-조달" xfId="3787"/>
    <cellStyle name="_서울지역직류및교류누설전류실태조사(용역)_1-(금액상승)변경-아치텐트-PVDF-(3mx3mx2.5m)_(조폐공사발송) 약품처리시설_원가계산서(화성상록)_원가보고서(흑색)-조달" xfId="3788"/>
    <cellStyle name="_서울지역직류및교류누설전류실태조사(용역)_1-(금액상승)변경-아치텐트-PVDF-(3mx3mx2.5m)_2004년 완선공사(최종본)" xfId="3789"/>
    <cellStyle name="_서울지역직류및교류누설전류실태조사(용역)_1-(금액상승)변경-아치텐트-PVDF-(3mx3mx2.5m)_안동전통문화콘텐츠박물관전시영상물구축(전시시설물)" xfId="3790"/>
    <cellStyle name="_서울지역직류및교류누설전류실태조사(용역)_1-(금액상승)변경-아치텐트-PVDF-(3mx3mx2.5m)_안동전통문화콘텐츠박물관전시영상물구축(전시시설물)_원가보고서(종합)-조달" xfId="3791"/>
    <cellStyle name="_서울지역직류및교류누설전류실태조사(용역)_1-(금액상승)변경-아치텐트-PVDF-(3mx3mx2.5m)_안동전통문화콘텐츠박물관전시영상물구축(전시시설물)_원가보고서(흑색)-조달" xfId="3792"/>
    <cellStyle name="_서울지역직류및교류누설전류실태조사(용역)_1-(금액상승)변경-아치텐트-PVDF-(3mx3mx2.5m)_원가계산서(화성상록)" xfId="3793"/>
    <cellStyle name="_서울지역직류및교류누설전류실태조사(용역)_1-(금액상승)변경-아치텐트-PVDF-(3mx3mx2.5m)_원가계산서(화성상록) (version 1)" xfId="3794"/>
    <cellStyle name="_서울지역직류및교류누설전류실태조사(용역)_1-(금액상승)변경-아치텐트-PVDF-(3mx3mx2.5m)_원가계산서(화성상록) (version 1)_원가보고서(종합)-조달" xfId="3795"/>
    <cellStyle name="_서울지역직류및교류누설전류실태조사(용역)_1-(금액상승)변경-아치텐트-PVDF-(3mx3mx2.5m)_원가계산서(화성상록) (version 1)_원가보고서(흑색)-조달" xfId="3796"/>
    <cellStyle name="_서울지역직류및교류누설전류실태조사(용역)_1-(금액상승)변경-아치텐트-PVDF-(3mx3mx2.5m)_원가계산서(화성상록)_원가보고서(종합)-조달" xfId="3797"/>
    <cellStyle name="_서울지역직류및교류누설전류실태조사(용역)_1-(금액상승)변경-아치텐트-PVDF-(3mx3mx2.5m)_원가계산서(화성상록)_원가보고서(흑색)-조달" xfId="3798"/>
    <cellStyle name="_서울지역직류및교류누설전류실태조사(용역)_2004년 완선공사(최종본)" xfId="3799"/>
    <cellStyle name="_서울지역직류및교류누설전류실태조사(용역)_안동전통문화콘텐츠박물관전시영상물구축(전시시설물)" xfId="3800"/>
    <cellStyle name="_서울지역직류및교류누설전류실태조사(용역)_안동전통문화콘텐츠박물관전시영상물구축(전시시설물)_원가보고서(종합)-조달" xfId="3801"/>
    <cellStyle name="_서울지역직류및교류누설전류실태조사(용역)_안동전통문화콘텐츠박물관전시영상물구축(전시시설물)_원가보고서(흑색)-조달" xfId="3802"/>
    <cellStyle name="_서울지역직류및교류누설전류실태조사(용역)_원가계산서(화성상록)" xfId="3803"/>
    <cellStyle name="_서울지역직류및교류누설전류실태조사(용역)_원가계산서(화성상록) (version 1)" xfId="3804"/>
    <cellStyle name="_서울지역직류및교류누설전류실태조사(용역)_원가계산서(화성상록) (version 1)_원가보고서(종합)-조달" xfId="3805"/>
    <cellStyle name="_서울지역직류및교류누설전류실태조사(용역)_원가계산서(화성상록) (version 1)_원가보고서(흑색)-조달" xfId="3806"/>
    <cellStyle name="_서울지역직류및교류누설전류실태조사(용역)_원가계산서(화성상록)_원가보고서(종합)-조달" xfId="3807"/>
    <cellStyle name="_서울지역직류및교류누설전류실태조사(용역)_원가계산서(화성상록)_원가보고서(흑색)-조달" xfId="3808"/>
    <cellStyle name="_서울화일초(덕동)" xfId="3809"/>
    <cellStyle name="_서학내역서(준공내역서)" xfId="3810"/>
    <cellStyle name="_석 축A" xfId="3811"/>
    <cellStyle name="_석 축A_두릉1제 수량산출서" xfId="3812"/>
    <cellStyle name="_석 축A_인계1공구 수량산출" xfId="3813"/>
    <cellStyle name="_석 축A_총자재집계표" xfId="3814"/>
    <cellStyle name="_석교농로" xfId="3815"/>
    <cellStyle name="_석수고" xfId="3816"/>
    <cellStyle name="_석재조합0224" xfId="3817"/>
    <cellStyle name="_석축공" xfId="3818"/>
    <cellStyle name="_선정(1)" xfId="3819"/>
    <cellStyle name="_선정(1)_간이배수펌프장설치에 따른 타당성용역내역" xfId="3820"/>
    <cellStyle name="_선정(1)_선정안(삼산)" xfId="3821"/>
    <cellStyle name="_선정(1)_선정안(삼산)_간이배수펌프장설치에 따른 타당성용역내역" xfId="3822"/>
    <cellStyle name="_선정(1)_추풍령" xfId="3823"/>
    <cellStyle name="_선정(1)_추풍령_간이배수펌프장설치에 따른 타당성용역내역" xfId="3824"/>
    <cellStyle name="_선정(1)_추풍령-1" xfId="3825"/>
    <cellStyle name="_선정(1)_추풍령-1_간이배수펌프장설치에 따른 타당성용역내역" xfId="3826"/>
    <cellStyle name="_선정(2)" xfId="3827"/>
    <cellStyle name="_선정(2)_간이배수펌프장설치에 따른 타당성용역내역" xfId="3828"/>
    <cellStyle name="_선정(2)_선정안(삼산)" xfId="3829"/>
    <cellStyle name="_선정(2)_선정안(삼산)_간이배수펌프장설치에 따른 타당성용역내역" xfId="3830"/>
    <cellStyle name="_선정(2)_추풍령" xfId="3831"/>
    <cellStyle name="_선정(2)_추풍령_간이배수펌프장설치에 따른 타당성용역내역" xfId="3832"/>
    <cellStyle name="_선정(2)_추풍령-1" xfId="3833"/>
    <cellStyle name="_선정(2)_추풍령-1_간이배수펌프장설치에 따른 타당성용역내역" xfId="3834"/>
    <cellStyle name="_선정(3)" xfId="3835"/>
    <cellStyle name="_선정(3)_간이배수펌프장설치에 따른 타당성용역내역" xfId="3836"/>
    <cellStyle name="_선정(3)_선정안(삼산)" xfId="3837"/>
    <cellStyle name="_선정(3)_선정안(삼산)_간이배수펌프장설치에 따른 타당성용역내역" xfId="3838"/>
    <cellStyle name="_선정(3)_추풍령" xfId="3839"/>
    <cellStyle name="_선정(3)_추풍령_간이배수펌프장설치에 따른 타당성용역내역" xfId="3840"/>
    <cellStyle name="_선정(3)_추풍령-1" xfId="3841"/>
    <cellStyle name="_선정(3)_추풍령-1_간이배수펌프장설치에 따른 타당성용역내역" xfId="3842"/>
    <cellStyle name="_선정(4)" xfId="3843"/>
    <cellStyle name="_선정(4)_간이배수펌프장설치에 따른 타당성용역내역" xfId="3844"/>
    <cellStyle name="_선정(4)_선정안(삼산)" xfId="3845"/>
    <cellStyle name="_선정(4)_선정안(삼산)_간이배수펌프장설치에 따른 타당성용역내역" xfId="3846"/>
    <cellStyle name="_선정(4)_추풍령" xfId="3847"/>
    <cellStyle name="_선정(4)_추풍령_간이배수펌프장설치에 따른 타당성용역내역" xfId="3848"/>
    <cellStyle name="_선정(4)_추풍령-1" xfId="3849"/>
    <cellStyle name="_선정(4)_추풍령-1_간이배수펌프장설치에 따른 타당성용역내역" xfId="3850"/>
    <cellStyle name="_선정(5)" xfId="3851"/>
    <cellStyle name="_선정(5)_간이배수펌프장설치에 따른 타당성용역내역" xfId="3852"/>
    <cellStyle name="_선정(5)_선정안(삼산)" xfId="3853"/>
    <cellStyle name="_선정(5)_선정안(삼산)_간이배수펌프장설치에 따른 타당성용역내역" xfId="3854"/>
    <cellStyle name="_선정(5)_추풍령" xfId="3855"/>
    <cellStyle name="_선정(5)_추풍령_간이배수펌프장설치에 따른 타당성용역내역" xfId="3856"/>
    <cellStyle name="_선정(5)_추풍령-1" xfId="3857"/>
    <cellStyle name="_선정(5)_추풍령-1_간이배수펌프장설치에 따른 타당성용역내역" xfId="3858"/>
    <cellStyle name="_설계내역서" xfId="3859"/>
    <cellStyle name="_설계내역서(공시지가)" xfId="3860"/>
    <cellStyle name="_설계내역서(완료)" xfId="3861"/>
    <cellStyle name="_설계내역서(총괄)_설계변경(담양군최종)" xfId="3862"/>
    <cellStyle name="_설계내역서_금액조정" xfId="3863"/>
    <cellStyle name="_설계내역서-수정중" xfId="3864"/>
    <cellStyle name="_설계변경" xfId="3865"/>
    <cellStyle name="_설계변경(2004.05)최종" xfId="3866"/>
    <cellStyle name="_설계변경(2004.06)" xfId="3867"/>
    <cellStyle name="_설계변경(정산용)" xfId="3868"/>
    <cellStyle name="_설계변경(최종安)" xfId="3869"/>
    <cellStyle name="_설계서" xfId="3870"/>
    <cellStyle name="_설계서(2004년 sample)" xfId="3871"/>
    <cellStyle name="_설계서(UPIS)_080508" xfId="3872"/>
    <cellStyle name="_설계서(상수관망도업데이트)" xfId="3873"/>
    <cellStyle name="_설계서(재재재수정)" xfId="3874"/>
    <cellStyle name="_설계서_GIS_1최종(속초시_ver2.1)" xfId="3875"/>
    <cellStyle name="_설계서_GIS_1최종(속초시_ver3.3)_1" xfId="3876"/>
    <cellStyle name="_설계서00_연기" xfId="3877"/>
    <cellStyle name="_설계서-김포시청(백미진)" xfId="3878"/>
    <cellStyle name="_설계예산내역서(원본)" xfId="3879"/>
    <cellStyle name="_설계예산서" xfId="3880"/>
    <cellStyle name="_설계예산서(석문동천)변경양식" xfId="3881"/>
    <cellStyle name="_설계예산서_0130_한진수정" xfId="3882"/>
    <cellStyle name="_설계용HW_SW_목록" xfId="3883"/>
    <cellStyle name="_설계용역비산정0727-1안" xfId="3884"/>
    <cellStyle name="_설비" xfId="3885"/>
    <cellStyle name="_성남시 3D설계" xfId="3886"/>
    <cellStyle name="_성남시SW개발내역서" xfId="3887"/>
    <cellStyle name="_성남시SW개발내역서(V1(1).1)" xfId="3888"/>
    <cellStyle name="_성남시SW개발내역서_1215" xfId="3889"/>
    <cellStyle name="_성덕초,명진초,신길(토목)" xfId="3890"/>
    <cellStyle name="_성베드로병원030422" xfId="3891"/>
    <cellStyle name="_성산배수지건설공사(덕동)" xfId="3892"/>
    <cellStyle name="_성심정보고_강당무대장치 및 방송장치 설치공사" xfId="3893"/>
    <cellStyle name="_성심정보고_강당무대장치 및 방송장치 설치공사_2004년 완선공사(최종본)" xfId="3894"/>
    <cellStyle name="_성심정보고_강당무대장치 및 방송장치 설치공사_안동전통문화콘텐츠박물관전시영상물구축(전시시설물)" xfId="3895"/>
    <cellStyle name="_성심정보고_강당무대장치 및 방송장치 설치공사_안동전통문화콘텐츠박물관전시영상물구축(전시시설물)_원가보고서(종합)-조달" xfId="3896"/>
    <cellStyle name="_성심정보고_강당무대장치 및 방송장치 설치공사_안동전통문화콘텐츠박물관전시영상물구축(전시시설물)_원가보고서(흑색)-조달" xfId="3897"/>
    <cellStyle name="_성심정보고_강당무대장치 및 방송장치 설치공사_원가계산서(화성상록)" xfId="3898"/>
    <cellStyle name="_성심정보고_강당무대장치 및 방송장치 설치공사_원가계산서(화성상록) (version 1)" xfId="3899"/>
    <cellStyle name="_성심정보고_강당무대장치 및 방송장치 설치공사_원가계산서(화성상록) (version 1)_원가보고서(종합)-조달" xfId="3900"/>
    <cellStyle name="_성심정보고_강당무대장치 및 방송장치 설치공사_원가계산서(화성상록) (version 1)_원가보고서(흑색)-조달" xfId="3901"/>
    <cellStyle name="_성심정보고_강당무대장치 및 방송장치 설치공사_원가계산서(화성상록)_원가보고서(종합)-조달" xfId="3902"/>
    <cellStyle name="_성심정보고_강당무대장치 및 방송장치 설치공사_원가계산서(화성상록)_원가보고서(흑색)-조달" xfId="3903"/>
    <cellStyle name="_성주군 지형도면고시및도시계획전산화 수립용역" xfId="3904"/>
    <cellStyle name="_세계측지계 좌표변환 용역" xfId="3905"/>
    <cellStyle name="_세륜세차시설(수량)" xfId="3906"/>
    <cellStyle name="_소방복명" xfId="3907"/>
    <cellStyle name="_소프트웨어개발규모산정(기능점수)" xfId="3908"/>
    <cellStyle name="_송산4 사전재해영향성(개발사업-일반사업계획)" xfId="3909"/>
    <cellStyle name="_송산4 재해영향평가" xfId="3910"/>
    <cellStyle name="_송산고(백산하도급포함)" xfId="3911"/>
    <cellStyle name="_쇼핑 보안솔루션 구축 프로젝트경비신청서03-03-19" xfId="3912"/>
    <cellStyle name="_수 량 연화.내감" xfId="3913"/>
    <cellStyle name="_수 량 연화.내감_금산제수량(전체최종)" xfId="3914"/>
    <cellStyle name="_수 량 연화.내감_금산제수량(전체최종)_두릉1제 수량산출서" xfId="3915"/>
    <cellStyle name="_수 량 연화.내감_금산제수량(전체최종)_인계1공구 수량산출" xfId="3916"/>
    <cellStyle name="_수 량 연화.내감_금산제수량(전체최종)_총자재집계표" xfId="3917"/>
    <cellStyle name="_수 량 연화.내감_두릉1제 수량산출서" xfId="3918"/>
    <cellStyle name="_수 량 연화.내감_인계1공구 수량산출" xfId="3919"/>
    <cellStyle name="_수 량 연화.내감_총자재집계표" xfId="3920"/>
    <cellStyle name="_수도권매립지" xfId="3921"/>
    <cellStyle name="_수도권매립지하도급(명도)" xfId="3922"/>
    <cellStyle name="_수량(삼가리도로부)" xfId="3923"/>
    <cellStyle name="_수량금회 연화.내감" xfId="3924"/>
    <cellStyle name="_수량금회 연화.내감_금산제수량(전체최종)" xfId="3925"/>
    <cellStyle name="_수량금회 연화.내감_금산제수량(전체최종)_두릉1제 수량산출서" xfId="3926"/>
    <cellStyle name="_수량금회 연화.내감_금산제수량(전체최종)_인계1공구 수량산출" xfId="3927"/>
    <cellStyle name="_수량금회 연화.내감_금산제수량(전체최종)_총자재집계표" xfId="3928"/>
    <cellStyle name="_수량금회 연화.내감_두릉1제 수량산출서" xfId="3929"/>
    <cellStyle name="_수량금회 연화.내감_인계1공구 수량산출" xfId="3930"/>
    <cellStyle name="_수량금회 연화.내감_총자재집계표" xfId="3931"/>
    <cellStyle name="_수량산출 구눌하수도" xfId="3932"/>
    <cellStyle name="_수량산출 구눌하수도_금산제수량(전체최종)" xfId="3933"/>
    <cellStyle name="_수량산출 구눌하수도_금산제수량(전체최종)_두릉1제 수량산출서" xfId="3934"/>
    <cellStyle name="_수량산출 구눌하수도_금산제수량(전체최종)_인계1공구 수량산출" xfId="3935"/>
    <cellStyle name="_수량산출 구눌하수도_금산제수량(전체최종)_총자재집계표" xfId="3936"/>
    <cellStyle name="_수량산출 구눌하수도_두릉1제 수량산출서" xfId="3937"/>
    <cellStyle name="_수량산출 구눌하수도_인계1공구 수량산출" xfId="3938"/>
    <cellStyle name="_수량산출 구눌하수도_총자재집계표" xfId="3939"/>
    <cellStyle name="_수량산출 음지하천" xfId="3940"/>
    <cellStyle name="_수량산출 음지하천_금산제수량(전체최종)" xfId="3941"/>
    <cellStyle name="_수량산출 음지하천_금산제수량(전체최종)_두릉1제 수량산출서" xfId="3942"/>
    <cellStyle name="_수량산출 음지하천_금산제수량(전체최종)_인계1공구 수량산출" xfId="3943"/>
    <cellStyle name="_수량산출 음지하천_금산제수량(전체최종)_총자재집계표" xfId="3944"/>
    <cellStyle name="_수량산출 음지하천_두릉1제 수량산출서" xfId="3945"/>
    <cellStyle name="_수량산출 음지하천_인계1공구 수량산출" xfId="3946"/>
    <cellStyle name="_수량산출 음지하천_총자재집계표" xfId="3947"/>
    <cellStyle name="_수량산출-경산 하양 사기(BP~58)" xfId="3948"/>
    <cellStyle name="_수량산출서(죽전-대리석)" xfId="3949"/>
    <cellStyle name="_수량제목" xfId="3950"/>
    <cellStyle name="_수량제목_내역서" xfId="3951"/>
    <cellStyle name="_수로관단가비교" xfId="3952"/>
    <cellStyle name="_수원시_장기미집행관리프록그램_설계내역_v1" xfId="3953"/>
    <cellStyle name="_수전설비내역" xfId="3954"/>
    <cellStyle name="_수정갑지" xfId="3955"/>
    <cellStyle name="_순천향 MSL6060 FC 2dr(0528)" xfId="3956"/>
    <cellStyle name="_순천향 대학교 견적서" xfId="3957"/>
    <cellStyle name="_순천향병원 견적서-0602 r1" xfId="3958"/>
    <cellStyle name="_스토리지(이보헌대리님)" xfId="3959"/>
    <cellStyle name="_스펜오컴ML370G4x3.0-0112" xfId="3960"/>
    <cellStyle name="_승본도로수량(금회분)" xfId="3961"/>
    <cellStyle name="_승본도로수량(금회분)_두릉1제 수량산출서" xfId="3962"/>
    <cellStyle name="_승본도로수량(금회분)_인계1공구 수량산출" xfId="3963"/>
    <cellStyle name="_승본도로수량(금회분)_총자재집계표" xfId="3964"/>
    <cellStyle name="_승본도로수량산출" xfId="3965"/>
    <cellStyle name="_승본도로수량산출_두릉1제 수량산출서" xfId="3966"/>
    <cellStyle name="_승본도로수량산출_인계1공구 수량산출" xfId="3967"/>
    <cellStyle name="_승본도로수량산출_총자재집계표" xfId="3968"/>
    <cellStyle name="_시민체육시설조성사업 조사설계용역 설계서" xfId="3969"/>
    <cellStyle name="_시방서" xfId="3970"/>
    <cellStyle name="_시방서_공유수면매립도시관리계획및실시설계용역" xfId="3971"/>
    <cellStyle name="_시방서_로하스변경내역서-5(06.6.7)" xfId="3972"/>
    <cellStyle name="_시방서_로하스변경내역서-5(06.6.7)_로하스변경내역서-6(06(1).6.27 당초변경)" xfId="3973"/>
    <cellStyle name="_시방서_로하스변경내역서-6(06.6.21)" xfId="3974"/>
    <cellStyle name="_시방서_로하스변경내역서-6(06.6.21)_로하스변경내역서-6(06(1).6.27 당초변경)" xfId="3975"/>
    <cellStyle name="_시설_테니스장 게이트볼(최종)" xfId="3976"/>
    <cellStyle name="_시설_테니스장 게이트볼(최종)_2004년 완선공사(최종본)" xfId="3977"/>
    <cellStyle name="_시설_테니스장 게이트볼(최종)_안동전통문화콘텐츠박물관전시영상물구축(전시시설물)" xfId="3978"/>
    <cellStyle name="_시설_테니스장 게이트볼(최종)_안동전통문화콘텐츠박물관전시영상물구축(전시시설물)_원가보고서(종합)-조달" xfId="3979"/>
    <cellStyle name="_시설_테니스장 게이트볼(최종)_안동전통문화콘텐츠박물관전시영상물구축(전시시설물)_원가보고서(흑색)-조달" xfId="3980"/>
    <cellStyle name="_시설_테니스장 게이트볼(최종)_원가계산서(화성상록)" xfId="3981"/>
    <cellStyle name="_시설_테니스장 게이트볼(최종)_원가계산서(화성상록) (version 1)" xfId="3982"/>
    <cellStyle name="_시설_테니스장 게이트볼(최종)_원가계산서(화성상록) (version 1)_원가보고서(종합)-조달" xfId="3983"/>
    <cellStyle name="_시설_테니스장 게이트볼(최종)_원가계산서(화성상록) (version 1)_원가보고서(흑색)-조달" xfId="3984"/>
    <cellStyle name="_시설_테니스장 게이트볼(최종)_원가계산서(화성상록)_원가보고서(종합)-조달" xfId="3985"/>
    <cellStyle name="_시설_테니스장 게이트볼(최종)_원가계산서(화성상록)_원가보고서(흑색)-조달" xfId="3986"/>
    <cellStyle name="_시스코 견적(050621_대구텍)" xfId="3987"/>
    <cellStyle name="_시스템" xfId="3988"/>
    <cellStyle name="_시스템 부문(전체)" xfId="3989"/>
    <cellStyle name="_시스템개발산출양식_2003" xfId="3990"/>
    <cellStyle name="_시스템개발세부내역서" xfId="3991"/>
    <cellStyle name="_시스템설계서(7_26)." xfId="3992"/>
    <cellStyle name="_시큐어소프트0918(450)" xfId="3993"/>
    <cellStyle name="_시큐어소프트1226(rp2470)" xfId="3994"/>
    <cellStyle name="_시흥시견적" xfId="3995"/>
    <cellStyle name="_신규단가및표지" xfId="3996"/>
    <cellStyle name="_신당천수량 변경(전체)" xfId="3997"/>
    <cellStyle name="_신당천수량 변경(전체)_두릉1제 수량산출서" xfId="3998"/>
    <cellStyle name="_신당천수량 변경(전체)_인계1공구 수량산출" xfId="3999"/>
    <cellStyle name="_신당천수량 변경(전체)_총자재집계표" xfId="4000"/>
    <cellStyle name="_신대농로" xfId="4001"/>
    <cellStyle name="_신선대 대나무매트공법(최종)" xfId="4002"/>
    <cellStyle name="_신선대 대나무매트공법(최종)_2004년 완선공사(최종본)" xfId="4003"/>
    <cellStyle name="_신선대 대나무매트공법(최종)_안동전통문화콘텐츠박물관전시영상물구축(전시시설물)" xfId="4004"/>
    <cellStyle name="_신선대 대나무매트공법(최종)_안동전통문화콘텐츠박물관전시영상물구축(전시시설물)_원가보고서(종합)-조달" xfId="4005"/>
    <cellStyle name="_신선대 대나무매트공법(최종)_안동전통문화콘텐츠박물관전시영상물구축(전시시설물)_원가보고서(흑색)-조달" xfId="4006"/>
    <cellStyle name="_신선대 대나무매트공법(최종)_원가계산서(화성상록)" xfId="4007"/>
    <cellStyle name="_신선대 대나무매트공법(최종)_원가계산서(화성상록) (version 1)" xfId="4008"/>
    <cellStyle name="_신선대 대나무매트공법(최종)_원가계산서(화성상록) (version 1)_원가보고서(종합)-조달" xfId="4009"/>
    <cellStyle name="_신선대 대나무매트공법(최종)_원가계산서(화성상록) (version 1)_원가보고서(흑색)-조달" xfId="4010"/>
    <cellStyle name="_신선대 대나무매트공법(최종)_원가계산서(화성상록)_원가보고서(종합)-조달" xfId="4011"/>
    <cellStyle name="_신선대 대나무매트공법(최종)_원가계산서(화성상록)_원가보고서(흑색)-조달" xfId="4012"/>
    <cellStyle name="_신언1공구수량산출" xfId="4013"/>
    <cellStyle name="_신촌-유곡(암거)" xfId="4014"/>
    <cellStyle name="_신촌-유곡(암거)_04 BOX집" xfId="4015"/>
    <cellStyle name="_신카드시스템_021224" xfId="4016"/>
    <cellStyle name="_신태백(가실행)" xfId="4017"/>
    <cellStyle name="_신태백(가실행)_01 실행(군장산단) Rev00" xfId="4018"/>
    <cellStyle name="_신태백(가실행)_01 실행(군장산단) Rev00_01 실행(부산남컨가호안109-원안분) REV04" xfId="4019"/>
    <cellStyle name="_신태백(가실행)_1" xfId="4020"/>
    <cellStyle name="_신태백(가실행)_1_01 실행(군장산단) Rev00" xfId="4021"/>
    <cellStyle name="_신태백(가실행)_1_01 실행(군장산단) Rev00_01 실행(부산남컨가호안109-원안분) REV04" xfId="4022"/>
    <cellStyle name="_신태백(가실행)_1_경찰서-터미널간도로(투찰)②" xfId="4023"/>
    <cellStyle name="_신태백(가실행)_1_경찰서-터미널간도로(투찰)②_01 실행(군장산단) Rev00" xfId="4024"/>
    <cellStyle name="_신태백(가실행)_1_경찰서-터미널간도로(투찰)②_01 실행(군장산단) Rev00_01 실행(부산남컨가호안109-원안분) REV04" xfId="4025"/>
    <cellStyle name="_신태백(가실행)_1_봉무지방산업단지도로(투찰)②" xfId="4026"/>
    <cellStyle name="_신태백(가실행)_1_봉무지방산업단지도로(투찰)②_01 실행(군장산단) Rev00" xfId="4027"/>
    <cellStyle name="_신태백(가실행)_1_봉무지방산업단지도로(투찰)②_01 실행(군장산단) Rev00_01 실행(부산남컨가호안109-원안분) REV04" xfId="4028"/>
    <cellStyle name="_신태백(가실행)_1_봉무지방산업단지도로(투찰)②+0.250%" xfId="4029"/>
    <cellStyle name="_신태백(가실행)_1_봉무지방산업단지도로(투찰)②+0.250%_01 실행(군장산단) Rev00" xfId="4030"/>
    <cellStyle name="_신태백(가실행)_1_봉무지방산업단지도로(투찰)②+0.250%_01 실행(군장산단) Rev00_01 실행(부산남컨가호안109-원안분) REV04" xfId="4031"/>
    <cellStyle name="_신태백(가실행)_1_합덕-신례원(2공구)투찰" xfId="4032"/>
    <cellStyle name="_신태백(가실행)_1_합덕-신례원(2공구)투찰_01 실행(군장산단) Rev00" xfId="4033"/>
    <cellStyle name="_신태백(가실행)_1_합덕-신례원(2공구)투찰_01 실행(군장산단) Rev00_01 실행(부산남컨가호안109-원안분) REV04" xfId="4034"/>
    <cellStyle name="_신태백(가실행)_1_합덕-신례원(2공구)투찰_경찰서-터미널간도로(투찰)②" xfId="4035"/>
    <cellStyle name="_신태백(가실행)_1_합덕-신례원(2공구)투찰_경찰서-터미널간도로(투찰)②_01 실행(군장산단) Rev00" xfId="4036"/>
    <cellStyle name="_신태백(가실행)_1_합덕-신례원(2공구)투찰_경찰서-터미널간도로(투찰)②_01 실행(군장산단) Rev00_01 실행(부산남컨가호안109-원안분) REV04" xfId="4037"/>
    <cellStyle name="_신태백(가실행)_1_합덕-신례원(2공구)투찰_봉무지방산업단지도로(투찰)②" xfId="4038"/>
    <cellStyle name="_신태백(가실행)_1_합덕-신례원(2공구)투찰_봉무지방산업단지도로(투찰)②_01 실행(군장산단) Rev00" xfId="4039"/>
    <cellStyle name="_신태백(가실행)_1_합덕-신례원(2공구)투찰_봉무지방산업단지도로(투찰)②_01 실행(군장산단) Rev00_01 실행(부산남컨가호안109-원안분) REV04" xfId="4040"/>
    <cellStyle name="_신태백(가실행)_1_합덕-신례원(2공구)투찰_봉무지방산업단지도로(투찰)②+0.250%" xfId="4041"/>
    <cellStyle name="_신태백(가실행)_1_합덕-신례원(2공구)투찰_봉무지방산업단지도로(투찰)②+0.250%_01 실행(군장산단) Rev00" xfId="4042"/>
    <cellStyle name="_신태백(가실행)_1_합덕-신례원(2공구)투찰_봉무지방산업단지도로(투찰)②+0.250%_01 실행(군장산단) Rev00_01 실행(부산남컨가호안109-원안분) REV04" xfId="4043"/>
    <cellStyle name="_신태백(가실행)_1_합덕-신례원(2공구)투찰_합덕-신례원(2공구)투찰" xfId="4044"/>
    <cellStyle name="_신태백(가실행)_1_합덕-신례원(2공구)투찰_합덕-신례원(2공구)투찰_01 실행(군장산단) Rev00" xfId="4045"/>
    <cellStyle name="_신태백(가실행)_1_합덕-신례원(2공구)투찰_합덕-신례원(2공구)투찰_01 실행(군장산단) Rev00_01 실행(부산남컨가호안109-원안분) REV04" xfId="4046"/>
    <cellStyle name="_신태백(가실행)_1_합덕-신례원(2공구)투찰_합덕-신례원(2공구)투찰_경찰서-터미널간도로(투찰)②" xfId="4047"/>
    <cellStyle name="_신태백(가실행)_1_합덕-신례원(2공구)투찰_합덕-신례원(2공구)투찰_경찰서-터미널간도로(투찰)②_01 실행(군장산단) Rev00" xfId="4048"/>
    <cellStyle name="_신태백(가실행)_1_합덕-신례원(2공구)투찰_합덕-신례원(2공구)투찰_경찰서-터미널간도로(투찰)②_01 실행(군장산단) Rev00_01 실행(부산남컨가호안109-원안분) REV04" xfId="4049"/>
    <cellStyle name="_신태백(가실행)_1_합덕-신례원(2공구)투찰_합덕-신례원(2공구)투찰_봉무지방산업단지도로(투찰)②" xfId="4050"/>
    <cellStyle name="_신태백(가실행)_1_합덕-신례원(2공구)투찰_합덕-신례원(2공구)투찰_봉무지방산업단지도로(투찰)②_01 실행(군장산단) Rev00" xfId="4051"/>
    <cellStyle name="_신태백(가실행)_1_합덕-신례원(2공구)투찰_합덕-신례원(2공구)투찰_봉무지방산업단지도로(투찰)②_01 실행(군장산단) Rev00_01 실행(부산남컨가호안109-원안분) REV04" xfId="4052"/>
    <cellStyle name="_신태백(가실행)_1_합덕-신례원(2공구)투찰_합덕-신례원(2공구)투찰_봉무지방산업단지도로(투찰)②+0.250%" xfId="4053"/>
    <cellStyle name="_신태백(가실행)_1_합덕-신례원(2공구)투찰_합덕-신례원(2공구)투찰_봉무지방산업단지도로(투찰)②+0.250%_01 실행(군장산단) Rev00" xfId="4054"/>
    <cellStyle name="_신태백(가실행)_1_합덕-신례원(2공구)투찰_합덕-신례원(2공구)투찰_봉무지방산업단지도로(투찰)②+0.250%_01 실행(군장산단) Rev00_01 실행(부산남컨가호안109-원안분) REV04" xfId="4055"/>
    <cellStyle name="_신태백(가실행)_경찰서-터미널간도로(투찰)②" xfId="4056"/>
    <cellStyle name="_신태백(가실행)_경찰서-터미널간도로(투찰)②_01 실행(군장산단) Rev00" xfId="4057"/>
    <cellStyle name="_신태백(가실행)_경찰서-터미널간도로(투찰)②_01 실행(군장산단) Rev00_01 실행(부산남컨가호안109-원안분) REV04" xfId="4058"/>
    <cellStyle name="_신태백(가실행)_도덕-고흥도로(투찰)" xfId="4059"/>
    <cellStyle name="_신태백(가실행)_도덕-고흥도로(투찰)_01 실행(군장산단) Rev00" xfId="4060"/>
    <cellStyle name="_신태백(가실행)_도덕-고흥도로(투찰)_01 실행(군장산단) Rev00_01 실행(부산남컨가호안109-원안분) REV04" xfId="4061"/>
    <cellStyle name="_신태백(가실행)_도덕-고흥도로(투찰)_경찰서-터미널간도로(투찰)②" xfId="4062"/>
    <cellStyle name="_신태백(가실행)_도덕-고흥도로(투찰)_경찰서-터미널간도로(투찰)②_01 실행(군장산단) Rev00" xfId="4063"/>
    <cellStyle name="_신태백(가실행)_도덕-고흥도로(투찰)_경찰서-터미널간도로(투찰)②_01 실행(군장산단) Rev00_01 실행(부산남컨가호안109-원안분) REV04" xfId="4064"/>
    <cellStyle name="_신태백(가실행)_도덕-고흥도로(투찰)_봉무지방산업단지도로(투찰)②" xfId="4065"/>
    <cellStyle name="_신태백(가실행)_도덕-고흥도로(투찰)_봉무지방산업단지도로(투찰)②_01 실행(군장산단) Rev00" xfId="4066"/>
    <cellStyle name="_신태백(가실행)_도덕-고흥도로(투찰)_봉무지방산업단지도로(투찰)②_01 실행(군장산단) Rev00_01 실행(부산남컨가호안109-원안분) REV04" xfId="4067"/>
    <cellStyle name="_신태백(가실행)_도덕-고흥도로(투찰)_봉무지방산업단지도로(투찰)②+0.250%" xfId="4068"/>
    <cellStyle name="_신태백(가실행)_도덕-고흥도로(투찰)_봉무지방산업단지도로(투찰)②+0.250%_01 실행(군장산단) Rev00" xfId="4069"/>
    <cellStyle name="_신태백(가실행)_도덕-고흥도로(투찰)_봉무지방산업단지도로(투찰)②+0.250%_01 실행(군장산단) Rev00_01 실행(부산남컨가호안109-원안분) REV04" xfId="4070"/>
    <cellStyle name="_신태백(가실행)_도덕-고흥도로(투찰)_합덕-신례원(2공구)투찰" xfId="4071"/>
    <cellStyle name="_신태백(가실행)_도덕-고흥도로(투찰)_합덕-신례원(2공구)투찰_01 실행(군장산단) Rev00" xfId="4072"/>
    <cellStyle name="_신태백(가실행)_도덕-고흥도로(투찰)_합덕-신례원(2공구)투찰_01 실행(군장산단) Rev00_01 실행(부산남컨가호안109-원안분) REV04" xfId="4073"/>
    <cellStyle name="_신태백(가실행)_도덕-고흥도로(투찰)_합덕-신례원(2공구)투찰_경찰서-터미널간도로(투찰)②" xfId="4074"/>
    <cellStyle name="_신태백(가실행)_도덕-고흥도로(투찰)_합덕-신례원(2공구)투찰_경찰서-터미널간도로(투찰)②_01 실행(군장산단) Rev00" xfId="4075"/>
    <cellStyle name="_신태백(가실행)_도덕-고흥도로(투찰)_합덕-신례원(2공구)투찰_경찰서-터미널간도로(투찰)②_01 실행(군장산단) Rev00_01 실행(부산남컨가호안109-원안분) REV04" xfId="4076"/>
    <cellStyle name="_신태백(가실행)_도덕-고흥도로(투찰)_합덕-신례원(2공구)투찰_봉무지방산업단지도로(투찰)②" xfId="4077"/>
    <cellStyle name="_신태백(가실행)_도덕-고흥도로(투찰)_합덕-신례원(2공구)투찰_봉무지방산업단지도로(투찰)②_01 실행(군장산단) Rev00" xfId="4078"/>
    <cellStyle name="_신태백(가실행)_도덕-고흥도로(투찰)_합덕-신례원(2공구)투찰_봉무지방산업단지도로(투찰)②_01 실행(군장산단) Rev00_01 실행(부산남컨가호안109-원안분) REV04" xfId="4079"/>
    <cellStyle name="_신태백(가실행)_도덕-고흥도로(투찰)_합덕-신례원(2공구)투찰_봉무지방산업단지도로(투찰)②+0.250%" xfId="4080"/>
    <cellStyle name="_신태백(가실행)_도덕-고흥도로(투찰)_합덕-신례원(2공구)투찰_봉무지방산업단지도로(투찰)②+0.250%_01 실행(군장산단) Rev00" xfId="4081"/>
    <cellStyle name="_신태백(가실행)_도덕-고흥도로(투찰)_합덕-신례원(2공구)투찰_봉무지방산업단지도로(투찰)②+0.250%_01 실행(군장산단) Rev00_01 실행(부산남컨가호안109-원안분) REV04" xfId="4082"/>
    <cellStyle name="_신태백(가실행)_도덕-고흥도로(투찰)_합덕-신례원(2공구)투찰_합덕-신례원(2공구)투찰" xfId="4083"/>
    <cellStyle name="_신태백(가실행)_도덕-고흥도로(투찰)_합덕-신례원(2공구)투찰_합덕-신례원(2공구)투찰_01 실행(군장산단) Rev00" xfId="4084"/>
    <cellStyle name="_신태백(가실행)_도덕-고흥도로(투찰)_합덕-신례원(2공구)투찰_합덕-신례원(2공구)투찰_01 실행(군장산단) Rev00_01 실행(부산남컨가호안109-원안분) REV04" xfId="4085"/>
    <cellStyle name="_신태백(가실행)_도덕-고흥도로(투찰)_합덕-신례원(2공구)투찰_합덕-신례원(2공구)투찰_경찰서-터미널간도로(투찰)②" xfId="4086"/>
    <cellStyle name="_신태백(가실행)_도덕-고흥도로(투찰)_합덕-신례원(2공구)투찰_합덕-신례원(2공구)투찰_경찰서-터미널간도로(투찰)②_01 실행(군장산단) Rev00" xfId="4087"/>
    <cellStyle name="_신태백(가실행)_도덕-고흥도로(투찰)_합덕-신례원(2공구)투찰_합덕-신례원(2공구)투찰_경찰서-터미널간도로(투찰)②_01 실행(군장산단) Rev00_01 실행(부산남컨가호안109-원안분) REV04" xfId="4088"/>
    <cellStyle name="_신태백(가실행)_도덕-고흥도로(투찰)_합덕-신례원(2공구)투찰_합덕-신례원(2공구)투찰_봉무지방산업단지도로(투찰)②" xfId="4089"/>
    <cellStyle name="_신태백(가실행)_도덕-고흥도로(투찰)_합덕-신례원(2공구)투찰_합덕-신례원(2공구)투찰_봉무지방산업단지도로(투찰)②_01 실행(군장산단) Rev00" xfId="4090"/>
    <cellStyle name="_신태백(가실행)_도덕-고흥도로(투찰)_합덕-신례원(2공구)투찰_합덕-신례원(2공구)투찰_봉무지방산업단지도로(투찰)②_01 실행(군장산단) Rev00_01 실행(부산남컨가호안109-원안분) REV04" xfId="4091"/>
    <cellStyle name="_신태백(가실행)_도덕-고흥도로(투찰)_합덕-신례원(2공구)투찰_합덕-신례원(2공구)투찰_봉무지방산업단지도로(투찰)②+0.250%" xfId="4092"/>
    <cellStyle name="_신태백(가실행)_도덕-고흥도로(투찰)_합덕-신례원(2공구)투찰_합덕-신례원(2공구)투찰_봉무지방산업단지도로(투찰)②+0.250%_01 실행(군장산단) Rev00" xfId="4093"/>
    <cellStyle name="_신태백(가실행)_도덕-고흥도로(투찰)_합덕-신례원(2공구)투찰_합덕-신례원(2공구)투찰_봉무지방산업단지도로(투찰)②+0.250%_01 실행(군장산단) Rev00_01 실행(부산남컨가호안109-원안분) REV04" xfId="4094"/>
    <cellStyle name="_신태백(가실행)_봉무지방산업단지도로(투찰)②" xfId="4095"/>
    <cellStyle name="_신태백(가실행)_봉무지방산업단지도로(투찰)②_01 실행(군장산단) Rev00" xfId="4096"/>
    <cellStyle name="_신태백(가실행)_봉무지방산업단지도로(투찰)②_01 실행(군장산단) Rev00_01 실행(부산남컨가호안109-원안분) REV04" xfId="4097"/>
    <cellStyle name="_신태백(가실행)_봉무지방산업단지도로(투찰)②+0.250%" xfId="4098"/>
    <cellStyle name="_신태백(가실행)_봉무지방산업단지도로(투찰)②+0.250%_01 실행(군장산단) Rev00" xfId="4099"/>
    <cellStyle name="_신태백(가실행)_봉무지방산업단지도로(투찰)②+0.250%_01 실행(군장산단) Rev00_01 실행(부산남컨가호안109-원안분) REV04" xfId="4100"/>
    <cellStyle name="_신태백(가실행)_안산부대(투찰)⑤" xfId="4101"/>
    <cellStyle name="_신태백(가실행)_안산부대(투찰)⑤_01 실행(군장산단) Rev00" xfId="4102"/>
    <cellStyle name="_신태백(가실행)_안산부대(투찰)⑤_01 실행(군장산단) Rev00_01 실행(부산남컨가호안109-원안분) REV04" xfId="4103"/>
    <cellStyle name="_신태백(가실행)_안산부대(투찰)⑤_경찰서-터미널간도로(투찰)②" xfId="4104"/>
    <cellStyle name="_신태백(가실행)_안산부대(투찰)⑤_경찰서-터미널간도로(투찰)②_01 실행(군장산단) Rev00" xfId="4105"/>
    <cellStyle name="_신태백(가실행)_안산부대(투찰)⑤_경찰서-터미널간도로(투찰)②_01 실행(군장산단) Rev00_01 실행(부산남컨가호안109-원안분) REV04" xfId="4106"/>
    <cellStyle name="_신태백(가실행)_안산부대(투찰)⑤_봉무지방산업단지도로(투찰)②" xfId="4107"/>
    <cellStyle name="_신태백(가실행)_안산부대(투찰)⑤_봉무지방산업단지도로(투찰)②_01 실행(군장산단) Rev00" xfId="4108"/>
    <cellStyle name="_신태백(가실행)_안산부대(투찰)⑤_봉무지방산업단지도로(투찰)②_01 실행(군장산단) Rev00_01 실행(부산남컨가호안109-원안분) REV04" xfId="4109"/>
    <cellStyle name="_신태백(가실행)_안산부대(투찰)⑤_봉무지방산업단지도로(투찰)②+0.250%" xfId="4110"/>
    <cellStyle name="_신태백(가실행)_안산부대(투찰)⑤_봉무지방산업단지도로(투찰)②+0.250%_01 실행(군장산단) Rev00" xfId="4111"/>
    <cellStyle name="_신태백(가실행)_안산부대(투찰)⑤_봉무지방산업단지도로(투찰)②+0.250%_01 실행(군장산단) Rev00_01 실행(부산남컨가호안109-원안분) REV04" xfId="4112"/>
    <cellStyle name="_신태백(가실행)_안산부대(투찰)⑤_합덕-신례원(2공구)투찰" xfId="4113"/>
    <cellStyle name="_신태백(가실행)_안산부대(투찰)⑤_합덕-신례원(2공구)투찰_01 실행(군장산단) Rev00" xfId="4114"/>
    <cellStyle name="_신태백(가실행)_안산부대(투찰)⑤_합덕-신례원(2공구)투찰_01 실행(군장산단) Rev00_01 실행(부산남컨가호안109-원안분) REV04" xfId="4115"/>
    <cellStyle name="_신태백(가실행)_안산부대(투찰)⑤_합덕-신례원(2공구)투찰_경찰서-터미널간도로(투찰)②" xfId="4116"/>
    <cellStyle name="_신태백(가실행)_안산부대(투찰)⑤_합덕-신례원(2공구)투찰_경찰서-터미널간도로(투찰)②_01 실행(군장산단) Rev00" xfId="4117"/>
    <cellStyle name="_신태백(가실행)_안산부대(투찰)⑤_합덕-신례원(2공구)투찰_경찰서-터미널간도로(투찰)②_01 실행(군장산단) Rev00_01 실행(부산남컨가호안109-원안분) REV04" xfId="4118"/>
    <cellStyle name="_신태백(가실행)_안산부대(투찰)⑤_합덕-신례원(2공구)투찰_봉무지방산업단지도로(투찰)②" xfId="4119"/>
    <cellStyle name="_신태백(가실행)_안산부대(투찰)⑤_합덕-신례원(2공구)투찰_봉무지방산업단지도로(투찰)②_01 실행(군장산단) Rev00" xfId="4120"/>
    <cellStyle name="_신태백(가실행)_안산부대(투찰)⑤_합덕-신례원(2공구)투찰_봉무지방산업단지도로(투찰)②_01 실행(군장산단) Rev00_01 실행(부산남컨가호안109-원안분) REV04" xfId="4121"/>
    <cellStyle name="_신태백(가실행)_안산부대(투찰)⑤_합덕-신례원(2공구)투찰_봉무지방산업단지도로(투찰)②+0.250%" xfId="4122"/>
    <cellStyle name="_신태백(가실행)_안산부대(투찰)⑤_합덕-신례원(2공구)투찰_봉무지방산업단지도로(투찰)②+0.250%_01 실행(군장산단) Rev00" xfId="4123"/>
    <cellStyle name="_신태백(가실행)_안산부대(투찰)⑤_합덕-신례원(2공구)투찰_봉무지방산업단지도로(투찰)②+0.250%_01 실행(군장산단) Rev00_01 실행(부산남컨가호안109-원안분) REV04" xfId="4124"/>
    <cellStyle name="_신태백(가실행)_안산부대(투찰)⑤_합덕-신례원(2공구)투찰_합덕-신례원(2공구)투찰" xfId="4125"/>
    <cellStyle name="_신태백(가실행)_안산부대(투찰)⑤_합덕-신례원(2공구)투찰_합덕-신례원(2공구)투찰_01 실행(군장산단) Rev00" xfId="4126"/>
    <cellStyle name="_신태백(가실행)_안산부대(투찰)⑤_합덕-신례원(2공구)투찰_합덕-신례원(2공구)투찰_01 실행(군장산단) Rev00_01 실행(부산남컨가호안109-원안분) REV04" xfId="4127"/>
    <cellStyle name="_신태백(가실행)_안산부대(투찰)⑤_합덕-신례원(2공구)투찰_합덕-신례원(2공구)투찰_경찰서-터미널간도로(투찰)②" xfId="4128"/>
    <cellStyle name="_신태백(가실행)_안산부대(투찰)⑤_합덕-신례원(2공구)투찰_합덕-신례원(2공구)투찰_경찰서-터미널간도로(투찰)②_01 실행(군장산단) Rev00" xfId="4129"/>
    <cellStyle name="_신태백(가실행)_안산부대(투찰)⑤_합덕-신례원(2공구)투찰_합덕-신례원(2공구)투찰_경찰서-터미널간도로(투찰)②_01 실행(군장산단) Rev00_01 실행(부산남컨가호안109-원안분) REV04" xfId="4130"/>
    <cellStyle name="_신태백(가실행)_안산부대(투찰)⑤_합덕-신례원(2공구)투찰_합덕-신례원(2공구)투찰_봉무지방산업단지도로(투찰)②" xfId="4131"/>
    <cellStyle name="_신태백(가실행)_안산부대(투찰)⑤_합덕-신례원(2공구)투찰_합덕-신례원(2공구)투찰_봉무지방산업단지도로(투찰)②_01 실행(군장산단) Rev00" xfId="4132"/>
    <cellStyle name="_신태백(가실행)_안산부대(투찰)⑤_합덕-신례원(2공구)투찰_합덕-신례원(2공구)투찰_봉무지방산업단지도로(투찰)②_01 실행(군장산단) Rev00_01 실행(부산남컨가호안109-원안분) REV04" xfId="4133"/>
    <cellStyle name="_신태백(가실행)_안산부대(투찰)⑤_합덕-신례원(2공구)투찰_합덕-신례원(2공구)투찰_봉무지방산업단지도로(투찰)②+0.250%" xfId="4134"/>
    <cellStyle name="_신태백(가실행)_안산부대(투찰)⑤_합덕-신례원(2공구)투찰_합덕-신례원(2공구)투찰_봉무지방산업단지도로(투찰)②+0.250%_01 실행(군장산단) Rev00" xfId="4135"/>
    <cellStyle name="_신태백(가실행)_안산부대(투찰)⑤_합덕-신례원(2공구)투찰_합덕-신례원(2공구)투찰_봉무지방산업단지도로(투찰)②+0.250%_01 실행(군장산단) Rev00_01 실행(부산남컨가호안109-원안분) REV04" xfId="4136"/>
    <cellStyle name="_신태백(가실행)_양곡부두(투찰)-0.31%" xfId="4137"/>
    <cellStyle name="_신태백(가실행)_양곡부두(투찰)-0.31%_01 실행(군장산단) Rev00" xfId="4138"/>
    <cellStyle name="_신태백(가실행)_양곡부두(투찰)-0.31%_01 실행(군장산단) Rev00_01 실행(부산남컨가호안109-원안분) REV04" xfId="4139"/>
    <cellStyle name="_신태백(가실행)_양곡부두(투찰)-0.31%_경찰서-터미널간도로(투찰)②" xfId="4140"/>
    <cellStyle name="_신태백(가실행)_양곡부두(투찰)-0.31%_경찰서-터미널간도로(투찰)②_01 실행(군장산단) Rev00" xfId="4141"/>
    <cellStyle name="_신태백(가실행)_양곡부두(투찰)-0.31%_경찰서-터미널간도로(투찰)②_01 실행(군장산단) Rev00_01 실행(부산남컨가호안109-원안분) REV04" xfId="4142"/>
    <cellStyle name="_신태백(가실행)_양곡부두(투찰)-0.31%_봉무지방산업단지도로(투찰)②" xfId="4143"/>
    <cellStyle name="_신태백(가실행)_양곡부두(투찰)-0.31%_봉무지방산업단지도로(투찰)②_01 실행(군장산단) Rev00" xfId="4144"/>
    <cellStyle name="_신태백(가실행)_양곡부두(투찰)-0.31%_봉무지방산업단지도로(투찰)②_01 실행(군장산단) Rev00_01 실행(부산남컨가호안109-원안분) REV04" xfId="4145"/>
    <cellStyle name="_신태백(가실행)_양곡부두(투찰)-0.31%_봉무지방산업단지도로(투찰)②+0.250%" xfId="4146"/>
    <cellStyle name="_신태백(가실행)_양곡부두(투찰)-0.31%_봉무지방산업단지도로(투찰)②+0.250%_01 실행(군장산단) Rev00" xfId="4147"/>
    <cellStyle name="_신태백(가실행)_양곡부두(투찰)-0.31%_봉무지방산업단지도로(투찰)②+0.250%_01 실행(군장산단) Rev00_01 실행(부산남컨가호안109-원안분) REV04" xfId="4148"/>
    <cellStyle name="_신태백(가실행)_양곡부두(투찰)-0.31%_합덕-신례원(2공구)투찰" xfId="4149"/>
    <cellStyle name="_신태백(가실행)_양곡부두(투찰)-0.31%_합덕-신례원(2공구)투찰_01 실행(군장산단) Rev00" xfId="4150"/>
    <cellStyle name="_신태백(가실행)_양곡부두(투찰)-0.31%_합덕-신례원(2공구)투찰_01 실행(군장산단) Rev00_01 실행(부산남컨가호안109-원안분) REV04" xfId="4151"/>
    <cellStyle name="_신태백(가실행)_양곡부두(투찰)-0.31%_합덕-신례원(2공구)투찰_경찰서-터미널간도로(투찰)②" xfId="4152"/>
    <cellStyle name="_신태백(가실행)_양곡부두(투찰)-0.31%_합덕-신례원(2공구)투찰_경찰서-터미널간도로(투찰)②_01 실행(군장산단) Rev00" xfId="4153"/>
    <cellStyle name="_신태백(가실행)_양곡부두(투찰)-0.31%_합덕-신례원(2공구)투찰_경찰서-터미널간도로(투찰)②_01 실행(군장산단) Rev00_01 실행(부산남컨가호안109-원안분) REV04" xfId="4154"/>
    <cellStyle name="_신태백(가실행)_양곡부두(투찰)-0.31%_합덕-신례원(2공구)투찰_봉무지방산업단지도로(투찰)②" xfId="4155"/>
    <cellStyle name="_신태백(가실행)_양곡부두(투찰)-0.31%_합덕-신례원(2공구)투찰_봉무지방산업단지도로(투찰)②_01 실행(군장산단) Rev00" xfId="4156"/>
    <cellStyle name="_신태백(가실행)_양곡부두(투찰)-0.31%_합덕-신례원(2공구)투찰_봉무지방산업단지도로(투찰)②_01 실행(군장산단) Rev00_01 실행(부산남컨가호안109-원안분) REV04" xfId="4157"/>
    <cellStyle name="_신태백(가실행)_양곡부두(투찰)-0.31%_합덕-신례원(2공구)투찰_봉무지방산업단지도로(투찰)②+0.250%" xfId="4158"/>
    <cellStyle name="_신태백(가실행)_양곡부두(투찰)-0.31%_합덕-신례원(2공구)투찰_봉무지방산업단지도로(투찰)②+0.250%_01 실행(군장산단) Rev00" xfId="4159"/>
    <cellStyle name="_신태백(가실행)_양곡부두(투찰)-0.31%_합덕-신례원(2공구)투찰_봉무지방산업단지도로(투찰)②+0.250%_01 실행(군장산단) Rev00_01 실행(부산남컨가호안109-원안분) REV04" xfId="4160"/>
    <cellStyle name="_신태백(가실행)_양곡부두(투찰)-0.31%_합덕-신례원(2공구)투찰_합덕-신례원(2공구)투찰" xfId="4161"/>
    <cellStyle name="_신태백(가실행)_양곡부두(투찰)-0.31%_합덕-신례원(2공구)투찰_합덕-신례원(2공구)투찰_01 실행(군장산단) Rev00" xfId="4162"/>
    <cellStyle name="_신태백(가실행)_양곡부두(투찰)-0.31%_합덕-신례원(2공구)투찰_합덕-신례원(2공구)투찰_01 실행(군장산단) Rev00_01 실행(부산남컨가호안109-원안분) REV04" xfId="4163"/>
    <cellStyle name="_신태백(가실행)_양곡부두(투찰)-0.31%_합덕-신례원(2공구)투찰_합덕-신례원(2공구)투찰_경찰서-터미널간도로(투찰)②" xfId="4164"/>
    <cellStyle name="_신태백(가실행)_양곡부두(투찰)-0.31%_합덕-신례원(2공구)투찰_합덕-신례원(2공구)투찰_경찰서-터미널간도로(투찰)②_01 실행(군장산단) Rev00" xfId="4165"/>
    <cellStyle name="_신태백(가실행)_양곡부두(투찰)-0.31%_합덕-신례원(2공구)투찰_합덕-신례원(2공구)투찰_경찰서-터미널간도로(투찰)②_01 실행(군장산단) Rev00_01 실행(부산남컨가호안109-원안분) REV04" xfId="4166"/>
    <cellStyle name="_신태백(가실행)_양곡부두(투찰)-0.31%_합덕-신례원(2공구)투찰_합덕-신례원(2공구)투찰_봉무지방산업단지도로(투찰)②" xfId="4167"/>
    <cellStyle name="_신태백(가실행)_양곡부두(투찰)-0.31%_합덕-신례원(2공구)투찰_합덕-신례원(2공구)투찰_봉무지방산업단지도로(투찰)②_01 실행(군장산단) Rev00" xfId="4168"/>
    <cellStyle name="_신태백(가실행)_양곡부두(투찰)-0.31%_합덕-신례원(2공구)투찰_합덕-신례원(2공구)투찰_봉무지방산업단지도로(투찰)②_01 실행(군장산단) Rev00_01 실행(부산남컨가호안109-원안분) REV04" xfId="4169"/>
    <cellStyle name="_신태백(가실행)_양곡부두(투찰)-0.31%_합덕-신례원(2공구)투찰_합덕-신례원(2공구)투찰_봉무지방산업단지도로(투찰)②+0.250%" xfId="4170"/>
    <cellStyle name="_신태백(가실행)_양곡부두(투찰)-0.31%_합덕-신례원(2공구)투찰_합덕-신례원(2공구)투찰_봉무지방산업단지도로(투찰)②+0.250%_01 실행(군장산단) Rev00" xfId="4171"/>
    <cellStyle name="_신태백(가실행)_양곡부두(투찰)-0.31%_합덕-신례원(2공구)투찰_합덕-신례원(2공구)투찰_봉무지방산업단지도로(투찰)②+0.250%_01 실행(군장산단) Rev00_01 실행(부산남컨가호안109-원안분) REV04" xfId="4172"/>
    <cellStyle name="_신태백(가실행)_창원상수도(토목)투찰" xfId="4173"/>
    <cellStyle name="_신태백(가실행)_창원상수도(토목)투찰_01 실행(군장산단) Rev00" xfId="4174"/>
    <cellStyle name="_신태백(가실행)_창원상수도(토목)투찰_01 실행(군장산단) Rev00_01 실행(부산남컨가호안109-원안분) REV04" xfId="4175"/>
    <cellStyle name="_신태백(가실행)_창원상수도(토목)투찰_경찰서-터미널간도로(투찰)②" xfId="4176"/>
    <cellStyle name="_신태백(가실행)_창원상수도(토목)투찰_경찰서-터미널간도로(투찰)②_01 실행(군장산단) Rev00" xfId="4177"/>
    <cellStyle name="_신태백(가실행)_창원상수도(토목)투찰_경찰서-터미널간도로(투찰)②_01 실행(군장산단) Rev00_01 실행(부산남컨가호안109-원안분) REV04" xfId="4178"/>
    <cellStyle name="_신태백(가실행)_창원상수도(토목)투찰_봉무지방산업단지도로(투찰)②" xfId="4179"/>
    <cellStyle name="_신태백(가실행)_창원상수도(토목)투찰_봉무지방산업단지도로(투찰)②_01 실행(군장산단) Rev00" xfId="4180"/>
    <cellStyle name="_신태백(가실행)_창원상수도(토목)투찰_봉무지방산업단지도로(투찰)②_01 실행(군장산단) Rev00_01 실행(부산남컨가호안109-원안분) REV04" xfId="4181"/>
    <cellStyle name="_신태백(가실행)_창원상수도(토목)투찰_봉무지방산업단지도로(투찰)②+0.250%" xfId="4182"/>
    <cellStyle name="_신태백(가실행)_창원상수도(토목)투찰_봉무지방산업단지도로(투찰)②+0.250%_01 실행(군장산단) Rev00" xfId="4183"/>
    <cellStyle name="_신태백(가실행)_창원상수도(토목)투찰_봉무지방산업단지도로(투찰)②+0.250%_01 실행(군장산단) Rev00_01 실행(부산남컨가호안109-원안분) REV04" xfId="4184"/>
    <cellStyle name="_신태백(가실행)_창원상수도(토목)투찰_합덕-신례원(2공구)투찰" xfId="4185"/>
    <cellStyle name="_신태백(가실행)_창원상수도(토목)투찰_합덕-신례원(2공구)투찰_01 실행(군장산단) Rev00" xfId="4186"/>
    <cellStyle name="_신태백(가실행)_창원상수도(토목)투찰_합덕-신례원(2공구)투찰_01 실행(군장산단) Rev00_01 실행(부산남컨가호안109-원안분) REV04" xfId="4187"/>
    <cellStyle name="_신태백(가실행)_창원상수도(토목)투찰_합덕-신례원(2공구)투찰_경찰서-터미널간도로(투찰)②" xfId="4188"/>
    <cellStyle name="_신태백(가실행)_창원상수도(토목)투찰_합덕-신례원(2공구)투찰_경찰서-터미널간도로(투찰)②_01 실행(군장산단) Rev00" xfId="4189"/>
    <cellStyle name="_신태백(가실행)_창원상수도(토목)투찰_합덕-신례원(2공구)투찰_경찰서-터미널간도로(투찰)②_01 실행(군장산단) Rev00_01 실행(부산남컨가호안109-원안분) REV04" xfId="4190"/>
    <cellStyle name="_신태백(가실행)_창원상수도(토목)투찰_합덕-신례원(2공구)투찰_봉무지방산업단지도로(투찰)②" xfId="4191"/>
    <cellStyle name="_신태백(가실행)_창원상수도(토목)투찰_합덕-신례원(2공구)투찰_봉무지방산업단지도로(투찰)②_01 실행(군장산단) Rev00" xfId="4192"/>
    <cellStyle name="_신태백(가실행)_창원상수도(토목)투찰_합덕-신례원(2공구)투찰_봉무지방산업단지도로(투찰)②_01 실행(군장산단) Rev00_01 실행(부산남컨가호안109-원안분) REV04" xfId="4193"/>
    <cellStyle name="_신태백(가실행)_창원상수도(토목)투찰_합덕-신례원(2공구)투찰_봉무지방산업단지도로(투찰)②+0.250%" xfId="4194"/>
    <cellStyle name="_신태백(가실행)_창원상수도(토목)투찰_합덕-신례원(2공구)투찰_봉무지방산업단지도로(투찰)②+0.250%_01 실행(군장산단) Rev00" xfId="4195"/>
    <cellStyle name="_신태백(가실행)_창원상수도(토목)투찰_합덕-신례원(2공구)투찰_봉무지방산업단지도로(투찰)②+0.250%_01 실행(군장산단) Rev00_01 실행(부산남컨가호안109-원안분) REV04" xfId="4196"/>
    <cellStyle name="_신태백(가실행)_창원상수도(토목)투찰_합덕-신례원(2공구)투찰_합덕-신례원(2공구)투찰" xfId="4197"/>
    <cellStyle name="_신태백(가실행)_창원상수도(토목)투찰_합덕-신례원(2공구)투찰_합덕-신례원(2공구)투찰_01 실행(군장산단) Rev00" xfId="4198"/>
    <cellStyle name="_신태백(가실행)_창원상수도(토목)투찰_합덕-신례원(2공구)투찰_합덕-신례원(2공구)투찰_01 실행(군장산단) Rev00_01 실행(부산남컨가호안109-원안분) REV04" xfId="4199"/>
    <cellStyle name="_신태백(가실행)_창원상수도(토목)투찰_합덕-신례원(2공구)투찰_합덕-신례원(2공구)투찰_경찰서-터미널간도로(투찰)②" xfId="4200"/>
    <cellStyle name="_신태백(가실행)_창원상수도(토목)투찰_합덕-신례원(2공구)투찰_합덕-신례원(2공구)투찰_경찰서-터미널간도로(투찰)②_01 실행(군장산단) Rev00" xfId="4201"/>
    <cellStyle name="_신태백(가실행)_창원상수도(토목)투찰_합덕-신례원(2공구)투찰_합덕-신례원(2공구)투찰_경찰서-터미널간도로(투찰)②_01 실행(군장산단) Rev00_01 실행(부산남컨가호안109-원안분) REV04" xfId="4202"/>
    <cellStyle name="_신태백(가실행)_창원상수도(토목)투찰_합덕-신례원(2공구)투찰_합덕-신례원(2공구)투찰_봉무지방산업단지도로(투찰)②" xfId="4203"/>
    <cellStyle name="_신태백(가실행)_창원상수도(토목)투찰_합덕-신례원(2공구)투찰_합덕-신례원(2공구)투찰_봉무지방산업단지도로(투찰)②_01 실행(군장산단) Rev00" xfId="4204"/>
    <cellStyle name="_신태백(가실행)_창원상수도(토목)투찰_합덕-신례원(2공구)투찰_합덕-신례원(2공구)투찰_봉무지방산업단지도로(투찰)②_01 실행(군장산단) Rev00_01 실행(부산남컨가호안109-원안분) REV04" xfId="4205"/>
    <cellStyle name="_신태백(가실행)_창원상수도(토목)투찰_합덕-신례원(2공구)투찰_합덕-신례원(2공구)투찰_봉무지방산업단지도로(투찰)②+0.250%" xfId="4206"/>
    <cellStyle name="_신태백(가실행)_창원상수도(토목)투찰_합덕-신례원(2공구)투찰_합덕-신례원(2공구)투찰_봉무지방산업단지도로(투찰)②+0.250%_01 실행(군장산단) Rev00" xfId="4207"/>
    <cellStyle name="_신태백(가실행)_창원상수도(토목)투찰_합덕-신례원(2공구)투찰_합덕-신례원(2공구)투찰_봉무지방산업단지도로(투찰)②+0.250%_01 실행(군장산단) Rev00_01 실행(부산남컨가호안109-원안분) REV04" xfId="4208"/>
    <cellStyle name="_신태백(가실행)_합덕-신례원(2공구)투찰" xfId="4209"/>
    <cellStyle name="_신태백(가실행)_합덕-신례원(2공구)투찰_01 실행(군장산단) Rev00" xfId="4210"/>
    <cellStyle name="_신태백(가실행)_합덕-신례원(2공구)투찰_01 실행(군장산단) Rev00_01 실행(부산남컨가호안109-원안분) REV04" xfId="4211"/>
    <cellStyle name="_신태백(가실행)_합덕-신례원(2공구)투찰_경찰서-터미널간도로(투찰)②" xfId="4212"/>
    <cellStyle name="_신태백(가실행)_합덕-신례원(2공구)투찰_경찰서-터미널간도로(투찰)②_01 실행(군장산단) Rev00" xfId="4213"/>
    <cellStyle name="_신태백(가실행)_합덕-신례원(2공구)투찰_경찰서-터미널간도로(투찰)②_01 실행(군장산단) Rev00_01 실행(부산남컨가호안109-원안분) REV04" xfId="4214"/>
    <cellStyle name="_신태백(가실행)_합덕-신례원(2공구)투찰_봉무지방산업단지도로(투찰)②" xfId="4215"/>
    <cellStyle name="_신태백(가실행)_합덕-신례원(2공구)투찰_봉무지방산업단지도로(투찰)②_01 실행(군장산단) Rev00" xfId="4216"/>
    <cellStyle name="_신태백(가실행)_합덕-신례원(2공구)투찰_봉무지방산업단지도로(투찰)②_01 실행(군장산단) Rev00_01 실행(부산남컨가호안109-원안분) REV04" xfId="4217"/>
    <cellStyle name="_신태백(가실행)_합덕-신례원(2공구)투찰_봉무지방산업단지도로(투찰)②+0.250%" xfId="4218"/>
    <cellStyle name="_신태백(가실행)_합덕-신례원(2공구)투찰_봉무지방산업단지도로(투찰)②+0.250%_01 실행(군장산단) Rev00" xfId="4219"/>
    <cellStyle name="_신태백(가실행)_합덕-신례원(2공구)투찰_봉무지방산업단지도로(투찰)②+0.250%_01 실행(군장산단) Rev00_01 실행(부산남컨가호안109-원안분) REV04" xfId="4220"/>
    <cellStyle name="_신태백(가실행)_합덕-신례원(2공구)투찰_합덕-신례원(2공구)투찰" xfId="4221"/>
    <cellStyle name="_신태백(가실행)_합덕-신례원(2공구)투찰_합덕-신례원(2공구)투찰_01 실행(군장산단) Rev00" xfId="4222"/>
    <cellStyle name="_신태백(가실행)_합덕-신례원(2공구)투찰_합덕-신례원(2공구)투찰_01 실행(군장산단) Rev00_01 실행(부산남컨가호안109-원안분) REV04" xfId="4223"/>
    <cellStyle name="_신태백(가실행)_합덕-신례원(2공구)투찰_합덕-신례원(2공구)투찰_경찰서-터미널간도로(투찰)②" xfId="4224"/>
    <cellStyle name="_신태백(가실행)_합덕-신례원(2공구)투찰_합덕-신례원(2공구)투찰_경찰서-터미널간도로(투찰)②_01 실행(군장산단) Rev00" xfId="4225"/>
    <cellStyle name="_신태백(가실행)_합덕-신례원(2공구)투찰_합덕-신례원(2공구)투찰_경찰서-터미널간도로(투찰)②_01 실행(군장산단) Rev00_01 실행(부산남컨가호안109-원안분) REV04" xfId="4226"/>
    <cellStyle name="_신태백(가실행)_합덕-신례원(2공구)투찰_합덕-신례원(2공구)투찰_봉무지방산업단지도로(투찰)②" xfId="4227"/>
    <cellStyle name="_신태백(가실행)_합덕-신례원(2공구)투찰_합덕-신례원(2공구)투찰_봉무지방산업단지도로(투찰)②_01 실행(군장산단) Rev00" xfId="4228"/>
    <cellStyle name="_신태백(가실행)_합덕-신례원(2공구)투찰_합덕-신례원(2공구)투찰_봉무지방산업단지도로(투찰)②_01 실행(군장산단) Rev00_01 실행(부산남컨가호안109-원안분) REV04" xfId="4229"/>
    <cellStyle name="_신태백(가실행)_합덕-신례원(2공구)투찰_합덕-신례원(2공구)투찰_봉무지방산업단지도로(투찰)②+0.250%" xfId="4230"/>
    <cellStyle name="_신태백(가실행)_합덕-신례원(2공구)투찰_합덕-신례원(2공구)투찰_봉무지방산업단지도로(투찰)②+0.250%_01 실행(군장산단) Rev00" xfId="4231"/>
    <cellStyle name="_신태백(가실행)_합덕-신례원(2공구)투찰_합덕-신례원(2공구)투찰_봉무지방산업단지도로(투찰)②+0.250%_01 실행(군장산단) Rev00_01 실행(부산남컨가호안109-원안분) REV04" xfId="4232"/>
    <cellStyle name="_신태백(투찰내역)2" xfId="4233"/>
    <cellStyle name="_신호경대리 송부" xfId="4234"/>
    <cellStyle name="_심사부증설(031001)" xfId="4235"/>
    <cellStyle name="_씨디네트웍스DL380G4,DL360G4,MSA20-0127" xfId="4236"/>
    <cellStyle name="_씨디네트웍스DL380R04X3.0-1M 800MHz 1GB-1231" xfId="4237"/>
    <cellStyle name="_아세아철강-250" xfId="4238"/>
    <cellStyle name="_아이테니움견적샘플" xfId="4239"/>
    <cellStyle name="_아인스시스템_견적요청" xfId="4240"/>
    <cellStyle name="_안동 전통문화 콘텐츠 박물관 신축공사 - 전기설비" xfId="4241"/>
    <cellStyle name="_안동시우회도로(투찰)-0.341%" xfId="4242"/>
    <cellStyle name="_안동전통문화콘텐츠박물관전시영상물구축(전시시설물)" xfId="4243"/>
    <cellStyle name="_안동컨트리클럽-품셈기준" xfId="4244"/>
    <cellStyle name="_안동컨트리클럽-품셈기준(단계별수정)" xfId="4245"/>
    <cellStyle name="_안락대덕복명" xfId="4246"/>
    <cellStyle name="_안락대덕-착공" xfId="4247"/>
    <cellStyle name="_안림도로-착공" xfId="4248"/>
    <cellStyle name="_안면도 지포지구-품셈기준" xfId="4249"/>
    <cellStyle name="_안산부대(투찰)⑤" xfId="4250"/>
    <cellStyle name="_안산부대(투찰)⑤_01 실행(군장산단) Rev00" xfId="4251"/>
    <cellStyle name="_안산부대(투찰)⑤_01 실행(군장산단) Rev00_01 실행(부산남컨가호안109-원안분) REV04" xfId="4252"/>
    <cellStyle name="_안산부대(투찰)⑤_경찰서-터미널간도로(투찰)②" xfId="4253"/>
    <cellStyle name="_안산부대(투찰)⑤_경찰서-터미널간도로(투찰)②_01 실행(군장산단) Rev00" xfId="4254"/>
    <cellStyle name="_안산부대(투찰)⑤_경찰서-터미널간도로(투찰)②_01 실행(군장산단) Rev00_01 실행(부산남컨가호안109-원안분) REV04" xfId="4255"/>
    <cellStyle name="_안산부대(투찰)⑤_봉무지방산업단지도로(투찰)②" xfId="4256"/>
    <cellStyle name="_안산부대(투찰)⑤_봉무지방산업단지도로(투찰)②_01 실행(군장산단) Rev00" xfId="4257"/>
    <cellStyle name="_안산부대(투찰)⑤_봉무지방산업단지도로(투찰)②_01 실행(군장산단) Rev00_01 실행(부산남컨가호안109-원안분) REV04" xfId="4258"/>
    <cellStyle name="_안산부대(투찰)⑤_봉무지방산업단지도로(투찰)②+0.250%" xfId="4259"/>
    <cellStyle name="_안산부대(투찰)⑤_봉무지방산업단지도로(투찰)②+0.250%_01 실행(군장산단) Rev00" xfId="4260"/>
    <cellStyle name="_안산부대(투찰)⑤_봉무지방산업단지도로(투찰)②+0.250%_01 실행(군장산단) Rev00_01 실행(부산남컨가호안109-원안분) REV04" xfId="4261"/>
    <cellStyle name="_안산부대(투찰)⑤_합덕-신례원(2공구)투찰" xfId="4262"/>
    <cellStyle name="_안산부대(투찰)⑤_합덕-신례원(2공구)투찰_01 실행(군장산단) Rev00" xfId="4263"/>
    <cellStyle name="_안산부대(투찰)⑤_합덕-신례원(2공구)투찰_01 실행(군장산단) Rev00_01 실행(부산남컨가호안109-원안분) REV04" xfId="4264"/>
    <cellStyle name="_안산부대(투찰)⑤_합덕-신례원(2공구)투찰_경찰서-터미널간도로(투찰)②" xfId="4265"/>
    <cellStyle name="_안산부대(투찰)⑤_합덕-신례원(2공구)투찰_경찰서-터미널간도로(투찰)②_01 실행(군장산단) Rev00" xfId="4266"/>
    <cellStyle name="_안산부대(투찰)⑤_합덕-신례원(2공구)투찰_경찰서-터미널간도로(투찰)②_01 실행(군장산단) Rev00_01 실행(부산남컨가호안109-원안분) REV04" xfId="4267"/>
    <cellStyle name="_안산부대(투찰)⑤_합덕-신례원(2공구)투찰_봉무지방산업단지도로(투찰)②" xfId="4268"/>
    <cellStyle name="_안산부대(투찰)⑤_합덕-신례원(2공구)투찰_봉무지방산업단지도로(투찰)②_01 실행(군장산단) Rev00" xfId="4269"/>
    <cellStyle name="_안산부대(투찰)⑤_합덕-신례원(2공구)투찰_봉무지방산업단지도로(투찰)②_01 실행(군장산단) Rev00_01 실행(부산남컨가호안109-원안분) REV04" xfId="4270"/>
    <cellStyle name="_안산부대(투찰)⑤_합덕-신례원(2공구)투찰_봉무지방산업단지도로(투찰)②+0.250%" xfId="4271"/>
    <cellStyle name="_안산부대(투찰)⑤_합덕-신례원(2공구)투찰_봉무지방산업단지도로(투찰)②+0.250%_01 실행(군장산단) Rev00" xfId="4272"/>
    <cellStyle name="_안산부대(투찰)⑤_합덕-신례원(2공구)투찰_봉무지방산업단지도로(투찰)②+0.250%_01 실행(군장산단) Rev00_01 실행(부산남컨가호안109-원안분) REV04" xfId="4273"/>
    <cellStyle name="_안산부대(투찰)⑤_합덕-신례원(2공구)투찰_합덕-신례원(2공구)투찰" xfId="4274"/>
    <cellStyle name="_안산부대(투찰)⑤_합덕-신례원(2공구)투찰_합덕-신례원(2공구)투찰_01 실행(군장산단) Rev00" xfId="4275"/>
    <cellStyle name="_안산부대(투찰)⑤_합덕-신례원(2공구)투찰_합덕-신례원(2공구)투찰_01 실행(군장산단) Rev00_01 실행(부산남컨가호안109-원안분) REV04" xfId="4276"/>
    <cellStyle name="_안산부대(투찰)⑤_합덕-신례원(2공구)투찰_합덕-신례원(2공구)투찰_경찰서-터미널간도로(투찰)②" xfId="4277"/>
    <cellStyle name="_안산부대(투찰)⑤_합덕-신례원(2공구)투찰_합덕-신례원(2공구)투찰_경찰서-터미널간도로(투찰)②_01 실행(군장산단) Rev00" xfId="4278"/>
    <cellStyle name="_안산부대(투찰)⑤_합덕-신례원(2공구)투찰_합덕-신례원(2공구)투찰_경찰서-터미널간도로(투찰)②_01 실행(군장산단) Rev00_01 실행(부산남컨가호안109-원안분) REV04" xfId="4279"/>
    <cellStyle name="_안산부대(투찰)⑤_합덕-신례원(2공구)투찰_합덕-신례원(2공구)투찰_봉무지방산업단지도로(투찰)②" xfId="4280"/>
    <cellStyle name="_안산부대(투찰)⑤_합덕-신례원(2공구)투찰_합덕-신례원(2공구)투찰_봉무지방산업단지도로(투찰)②_01 실행(군장산단) Rev00" xfId="4281"/>
    <cellStyle name="_안산부대(투찰)⑤_합덕-신례원(2공구)투찰_합덕-신례원(2공구)투찰_봉무지방산업단지도로(투찰)②_01 실행(군장산단) Rev00_01 실행(부산남컨가호안109-원안분) REV04" xfId="4282"/>
    <cellStyle name="_안산부대(투찰)⑤_합덕-신례원(2공구)투찰_합덕-신례원(2공구)투찰_봉무지방산업단지도로(투찰)②+0.250%" xfId="4283"/>
    <cellStyle name="_안산부대(투찰)⑤_합덕-신례원(2공구)투찰_합덕-신례원(2공구)투찰_봉무지방산업단지도로(투찰)②+0.250%_01 실행(군장산단) Rev00" xfId="4284"/>
    <cellStyle name="_안산부대(투찰)⑤_합덕-신례원(2공구)투찰_합덕-신례원(2공구)투찰_봉무지방산업단지도로(투찰)②+0.250%_01 실행(군장산단) Rev00_01 실행(부산남컨가호안109-원안분) REV04" xfId="4285"/>
    <cellStyle name="_안성시 GIS 총괄 설계내역서_1.0" xfId="4286"/>
    <cellStyle name="_안심교량" xfId="4287"/>
    <cellStyle name="_안심변경" xfId="4288"/>
    <cellStyle name="_안심착공" xfId="4289"/>
    <cellStyle name="_안테나 단가(대구지사) 03_01_08" xfId="4290"/>
    <cellStyle name="_암  거" xfId="4291"/>
    <cellStyle name="_암  거_두릉1제 수량산출서" xfId="4292"/>
    <cellStyle name="_암  거_인계1공구 수량산출" xfId="4293"/>
    <cellStyle name="_암  거_총자재집계표" xfId="4294"/>
    <cellStyle name="_암  거04" xfId="4295"/>
    <cellStyle name="_암  거04_두릉1제 수량산출서" xfId="4296"/>
    <cellStyle name="_암  거04_인계1공구 수량산출" xfId="4297"/>
    <cellStyle name="_암  거04_총자재집계표" xfId="4298"/>
    <cellStyle name="_암거공" xfId="4299"/>
    <cellStyle name="_암거수량" xfId="4300"/>
    <cellStyle name="_암거수량(2)" xfId="4301"/>
    <cellStyle name="_암거수량(2)_04 BOX집" xfId="4302"/>
    <cellStyle name="_암거수량(2)_3.1제1배수통관(시례우안3제)" xfId="4303"/>
    <cellStyle name="_암거수량(2)_3.2 제2배수통관" xfId="4304"/>
    <cellStyle name="_암거수량(2)_3.3 제3배수통관" xfId="4305"/>
    <cellStyle name="_암거수량(2)_3.구조물공(시례우안2제)" xfId="4306"/>
    <cellStyle name="_암거수량_04 BOX집" xfId="4307"/>
    <cellStyle name="_암거수량_3.1제1배수통관(시례우안3제)" xfId="4308"/>
    <cellStyle name="_암거수량_3.2 제2배수통관" xfId="4309"/>
    <cellStyle name="_암거수량_3.3 제3배수통관" xfId="4310"/>
    <cellStyle name="_암거수량_3.구조물공(시례우안2제)" xfId="4311"/>
    <cellStyle name="_암파쇄(단가)" xfId="4312"/>
    <cellStyle name="_앙성수량총괄(관수정)" xfId="4313"/>
    <cellStyle name="_앙성수량총괄(관수정)_1" xfId="4314"/>
    <cellStyle name="_앙성수량총괄(관수정)_2" xfId="4315"/>
    <cellStyle name="_앙성수량총괄(관수정)_2_대부리총괄수량집계표" xfId="4316"/>
    <cellStyle name="_앙성수량총괄(관수정)_대부리총괄수량집계표" xfId="4317"/>
    <cellStyle name="_애니모스 (3)" xfId="4318"/>
    <cellStyle name="_양곡부두(투찰)+0.30%" xfId="4319"/>
    <cellStyle name="_양곡부두(투찰)-0.31%" xfId="4320"/>
    <cellStyle name="_양산시 가격설계내역서_1" xfId="4321"/>
    <cellStyle name="_양식" xfId="4322"/>
    <cellStyle name="_양식_1" xfId="4323"/>
    <cellStyle name="_양식_2" xfId="4324"/>
    <cellStyle name="_어린이도서관주차장설치공사" xfId="4325"/>
    <cellStyle name="_에너지테마조성사업용역비" xfId="4326"/>
    <cellStyle name="_에너지테마조성사업용역비(제영향평가)" xfId="4327"/>
    <cellStyle name="_에니모스-040419-280-발송용" xfId="4328"/>
    <cellStyle name="_에니모스-040707-480-210-T3-Rack-발송용" xfId="4329"/>
    <cellStyle name="_에스엘 e-HR 구축 견적서(2007.02.07)_인프라" xfId="4330"/>
    <cellStyle name="_에이원정보기술 견적서_메리츠증권_080415" xfId="4331"/>
    <cellStyle name="_에즈웰견적서sample_정남억" xfId="4332"/>
    <cellStyle name="_엔네트 041227 350 웨어밸리" xfId="4333"/>
    <cellStyle name="_여수화양지구 견적서" xfId="4334"/>
    <cellStyle name="_연꽃공원 조성사업(변경)" xfId="4335"/>
    <cellStyle name="_연도별 장비소요예산" xfId="4336"/>
    <cellStyle name="_연도별 장비소요예산_v2" xfId="4337"/>
    <cellStyle name="_연인산도립공원 자연환경지구 재정비계획수립용역" xfId="4338"/>
    <cellStyle name="_연천관리계획용역 내역서" xfId="4339"/>
    <cellStyle name="_연천군 관리계획용역 설계서" xfId="4340"/>
    <cellStyle name="_연화지제(3공구) 수량" xfId="4341"/>
    <cellStyle name="_연화지제(3공구) 수량_두릉1제 수량산출서" xfId="4342"/>
    <cellStyle name="_연화지제(3공구) 수량_인계1공구 수량산출" xfId="4343"/>
    <cellStyle name="_연화지제(3공구) 수량_총자재집계표" xfId="4344"/>
    <cellStyle name="_영광군설계서_전체" xfId="4345"/>
    <cellStyle name="_영광항공측량" xfId="4346"/>
    <cellStyle name="_영덕_지적고시060530" xfId="4347"/>
    <cellStyle name="_영덕_지형도면고시060529" xfId="4348"/>
    <cellStyle name="_영덕강변근린공원 내역서" xfId="4349"/>
    <cellStyle name="_영덕산림문화내역-조경부총괄표" xfId="4350"/>
    <cellStyle name="_영덕지형_내역서070806" xfId="4351"/>
    <cellStyle name="_영양관리및지형도면" xfId="4352"/>
    <cellStyle name="_영양도면제작지적고시" xfId="4353"/>
    <cellStyle name="_영양적성평가관리계획내역서" xfId="4354"/>
    <cellStyle name="_영주시 oo일원 항공사진측량 용역" xfId="4355"/>
    <cellStyle name="_영주시 OO일원 항공사진측량(설계내역서)" xfId="4356"/>
    <cellStyle name="_영주시-계약용_설계내역서" xfId="4357"/>
    <cellStyle name="_영주한국문화테마파크관광지조성계획vol5" xfId="4358"/>
    <cellStyle name="_영진전문대(견적서)" xfId="4359"/>
    <cellStyle name="_영천지형-내역15억(지형)070815최종" xfId="4360"/>
    <cellStyle name="_예당가격산출(총계)_080904" xfId="4361"/>
    <cellStyle name="_예산설계(서울시 GIS포털시스템 추가 구축)" xfId="4362"/>
    <cellStyle name="_오티엠_NT Server_KVM (12-22)" xfId="4363"/>
    <cellStyle name="_옥계산성 교통영향평가용역(임시)" xfId="4364"/>
    <cellStyle name="_옥련고총괄(100%)" xfId="4365"/>
    <cellStyle name="_온넷견적서" xfId="4366"/>
    <cellStyle name="_옹벽공" xfId="4367"/>
    <cellStyle name="_옹벽공_개봉TL수량산출서-1" xfId="4368"/>
    <cellStyle name="_옹벽수량" xfId="4369"/>
    <cellStyle name="_옹벽수량_개봉TL수량산출서-1" xfId="4370"/>
    <cellStyle name="_와핑(연속지적편집)" xfId="4371"/>
    <cellStyle name="_완도군설계변경(klisdb갱신)전체(20070807)" xfId="4372"/>
    <cellStyle name="_왕가봉정비공사" xfId="4373"/>
    <cellStyle name="_외교통상정보화 4단계 구축_2.0_장비" xfId="4374"/>
    <cellStyle name="_요약" xfId="4375"/>
    <cellStyle name="_용궁온천계약내역서최종" xfId="4376"/>
    <cellStyle name="_용담호생태공원설계변경내역서-2 (06.12.5)" xfId="4377"/>
    <cellStyle name="_용역비산정(산림문화공원-1단계)" xfId="4378"/>
    <cellStyle name="_용역비산정(여주골프장)" xfId="4379"/>
    <cellStyle name="_용역비산정(정선골프장)" xfId="4380"/>
    <cellStyle name="_용역비산정(토질)" xfId="4381"/>
    <cellStyle name="_용인시 보행육교조성공사 기본 및 실시설계용역" xfId="4382"/>
    <cellStyle name="_용천소하천변경내역" xfId="4383"/>
    <cellStyle name="_용호고(단가조사표)" xfId="4384"/>
    <cellStyle name="_용호고(단가조사표)_000-용호고(최종)" xfId="4385"/>
    <cellStyle name="_용호고(단가조사표)_000-용호고(최종)_00-명동-삼포간 해안관광도로" xfId="4386"/>
    <cellStyle name="_용호고(단가조사표)_000-용호고(최종)_00-명동-삼포간 해안관광도로_2004년 완선공사(최종본)" xfId="4387"/>
    <cellStyle name="_용호고(단가조사표)_000-용호고(최종)_00-명동-삼포간 해안관광도로_안동전통문화콘텐츠박물관전시영상물구축(전시시설물)" xfId="4388"/>
    <cellStyle name="_용호고(단가조사표)_000-용호고(최종)_00-명동-삼포간 해안관광도로_안동전통문화콘텐츠박물관전시영상물구축(전시시설물)_원가보고서(종합)-조달" xfId="4389"/>
    <cellStyle name="_용호고(단가조사표)_000-용호고(최종)_00-명동-삼포간 해안관광도로_안동전통문화콘텐츠박물관전시영상물구축(전시시설물)_원가보고서(흑색)-조달" xfId="4390"/>
    <cellStyle name="_용호고(단가조사표)_000-용호고(최종)_00-명동-삼포간 해안관광도로_원가계산서(화성상록)" xfId="4391"/>
    <cellStyle name="_용호고(단가조사표)_000-용호고(최종)_00-명동-삼포간 해안관광도로_원가계산서(화성상록) (version 1)" xfId="4392"/>
    <cellStyle name="_용호고(단가조사표)_000-용호고(최종)_00-명동-삼포간 해안관광도로_원가계산서(화성상록) (version 1)_원가보고서(종합)-조달" xfId="4393"/>
    <cellStyle name="_용호고(단가조사표)_000-용호고(최종)_00-명동-삼포간 해안관광도로_원가계산서(화성상록) (version 1)_원가보고서(흑색)-조달" xfId="4394"/>
    <cellStyle name="_용호고(단가조사표)_000-용호고(최종)_00-명동-삼포간 해안관광도로_원가계산서(화성상록)_원가보고서(종합)-조달" xfId="4395"/>
    <cellStyle name="_용호고(단가조사표)_000-용호고(최종)_00-명동-삼포간 해안관광도로_원가계산서(화성상록)_원가보고서(흑색)-조달" xfId="4396"/>
    <cellStyle name="_용호고(단가조사표)_000-용호고(최종)_00-미점-정서간도로확.포장공사(서)-12-14" xfId="4397"/>
    <cellStyle name="_용호고(단가조사표)_000-용호고(최종)_00-미점-정서간도로확.포장공사(서)-12-14_2004년 완선공사(최종본)" xfId="4398"/>
    <cellStyle name="_용호고(단가조사표)_000-용호고(최종)_00-미점-정서간도로확.포장공사(서)-12-14_안동전통문화콘텐츠박물관전시영상물구축(전시시설물)" xfId="4399"/>
    <cellStyle name="_용호고(단가조사표)_000-용호고(최종)_00-미점-정서간도로확.포장공사(서)-12-14_안동전통문화콘텐츠박물관전시영상물구축(전시시설물)_원가보고서(종합)-조달" xfId="4400"/>
    <cellStyle name="_용호고(단가조사표)_000-용호고(최종)_00-미점-정서간도로확.포장공사(서)-12-14_안동전통문화콘텐츠박물관전시영상물구축(전시시설물)_원가보고서(흑색)-조달" xfId="4401"/>
    <cellStyle name="_용호고(단가조사표)_000-용호고(최종)_00-미점-정서간도로확.포장공사(서)-12-14_원가계산서(화성상록)" xfId="4402"/>
    <cellStyle name="_용호고(단가조사표)_000-용호고(최종)_00-미점-정서간도로확.포장공사(서)-12-14_원가계산서(화성상록) (version 1)" xfId="4403"/>
    <cellStyle name="_용호고(단가조사표)_000-용호고(최종)_00-미점-정서간도로확.포장공사(서)-12-14_원가계산서(화성상록) (version 1)_원가보고서(종합)-조달" xfId="4404"/>
    <cellStyle name="_용호고(단가조사표)_000-용호고(최종)_00-미점-정서간도로확.포장공사(서)-12-14_원가계산서(화성상록) (version 1)_원가보고서(흑색)-조달" xfId="4405"/>
    <cellStyle name="_용호고(단가조사표)_000-용호고(최종)_00-미점-정서간도로확.포장공사(서)-12-14_원가계산서(화성상록)_원가보고서(종합)-조달" xfId="4406"/>
    <cellStyle name="_용호고(단가조사표)_000-용호고(최종)_00-미점-정서간도로확.포장공사(서)-12-14_원가계산서(화성상록)_원가보고서(흑색)-조달" xfId="4407"/>
    <cellStyle name="_용호고(단가조사표)_000-용호고(최종)_00-미점-정서간도로확.포장공사-12-17일 기준" xfId="4408"/>
    <cellStyle name="_용호고(단가조사표)_000-용호고(최종)_00-미점-정서간도로확.포장공사-12-17일 기준_2004년 완선공사(최종본)" xfId="4409"/>
    <cellStyle name="_용호고(단가조사표)_000-용호고(최종)_00-미점-정서간도로확.포장공사-12-17일 기준_안동전통문화콘텐츠박물관전시영상물구축(전시시설물)" xfId="4410"/>
    <cellStyle name="_용호고(단가조사표)_000-용호고(최종)_00-미점-정서간도로확.포장공사-12-17일 기준_안동전통문화콘텐츠박물관전시영상물구축(전시시설물)_원가보고서(종합)-조달" xfId="4411"/>
    <cellStyle name="_용호고(단가조사표)_000-용호고(최종)_00-미점-정서간도로확.포장공사-12-17일 기준_안동전통문화콘텐츠박물관전시영상물구축(전시시설물)_원가보고서(흑색)-조달" xfId="4412"/>
    <cellStyle name="_용호고(단가조사표)_000-용호고(최종)_00-미점-정서간도로확.포장공사-12-17일 기준_원가계산서(화성상록)" xfId="4413"/>
    <cellStyle name="_용호고(단가조사표)_000-용호고(최종)_00-미점-정서간도로확.포장공사-12-17일 기준_원가계산서(화성상록) (version 1)" xfId="4414"/>
    <cellStyle name="_용호고(단가조사표)_000-용호고(최종)_00-미점-정서간도로확.포장공사-12-17일 기준_원가계산서(화성상록) (version 1)_원가보고서(종합)-조달" xfId="4415"/>
    <cellStyle name="_용호고(단가조사표)_000-용호고(최종)_00-미점-정서간도로확.포장공사-12-17일 기준_원가계산서(화성상록) (version 1)_원가보고서(흑색)-조달" xfId="4416"/>
    <cellStyle name="_용호고(단가조사표)_000-용호고(최종)_00-미점-정서간도로확.포장공사-12-17일 기준_원가계산서(화성상록)_원가보고서(종합)-조달" xfId="4417"/>
    <cellStyle name="_용호고(단가조사표)_000-용호고(최종)_00-미점-정서간도로확.포장공사-12-17일 기준_원가계산서(화성상록)_원가보고서(흑색)-조달" xfId="4418"/>
    <cellStyle name="_용호고(단가조사표)_000-용호고(최종)_01-미점-정서간도로확.포장공사" xfId="4419"/>
    <cellStyle name="_용호고(단가조사표)_000-용호고(최종)_01-미점-정서간도로확.포장공사_2004년 완선공사(최종본)" xfId="4420"/>
    <cellStyle name="_용호고(단가조사표)_000-용호고(최종)_01-미점-정서간도로확.포장공사_안동전통문화콘텐츠박물관전시영상물구축(전시시설물)" xfId="4421"/>
    <cellStyle name="_용호고(단가조사표)_000-용호고(최종)_01-미점-정서간도로확.포장공사_안동전통문화콘텐츠박물관전시영상물구축(전시시설물)_원가보고서(종합)-조달" xfId="4422"/>
    <cellStyle name="_용호고(단가조사표)_000-용호고(최종)_01-미점-정서간도로확.포장공사_안동전통문화콘텐츠박물관전시영상물구축(전시시설물)_원가보고서(흑색)-조달" xfId="4423"/>
    <cellStyle name="_용호고(단가조사표)_000-용호고(최종)_01-미점-정서간도로확.포장공사_원가계산서(화성상록)" xfId="4424"/>
    <cellStyle name="_용호고(단가조사표)_000-용호고(최종)_01-미점-정서간도로확.포장공사_원가계산서(화성상록) (version 1)" xfId="4425"/>
    <cellStyle name="_용호고(단가조사표)_000-용호고(최종)_01-미점-정서간도로확.포장공사_원가계산서(화성상록) (version 1)_원가보고서(종합)-조달" xfId="4426"/>
    <cellStyle name="_용호고(단가조사표)_000-용호고(최종)_01-미점-정서간도로확.포장공사_원가계산서(화성상록) (version 1)_원가보고서(흑색)-조달" xfId="4427"/>
    <cellStyle name="_용호고(단가조사표)_000-용호고(최종)_01-미점-정서간도로확.포장공사_원가계산서(화성상록)_원가보고서(종합)-조달" xfId="4428"/>
    <cellStyle name="_용호고(단가조사표)_000-용호고(최종)_01-미점-정서간도로확.포장공사_원가계산서(화성상록)_원가보고서(흑색)-조달" xfId="4429"/>
    <cellStyle name="_용호고(단가조사표)_000-용호고(최종)_2004년 완선공사(최종본)" xfId="4430"/>
    <cellStyle name="_용호고(단가조사표)_000-용호고(최종)_안동전통문화콘텐츠박물관전시영상물구축(전시시설물)" xfId="4431"/>
    <cellStyle name="_용호고(단가조사표)_000-용호고(최종)_안동전통문화콘텐츠박물관전시영상물구축(전시시설물)_원가보고서(종합)-조달" xfId="4432"/>
    <cellStyle name="_용호고(단가조사표)_000-용호고(최종)_안동전통문화콘텐츠박물관전시영상물구축(전시시설물)_원가보고서(흑색)-조달" xfId="4433"/>
    <cellStyle name="_용호고(단가조사표)_000-용호고(최종)_원가계산서(화성상록)" xfId="4434"/>
    <cellStyle name="_용호고(단가조사표)_000-용호고(최종)_원가계산서(화성상록) (version 1)" xfId="4435"/>
    <cellStyle name="_용호고(단가조사표)_000-용호고(최종)_원가계산서(화성상록) (version 1)_원가보고서(종합)-조달" xfId="4436"/>
    <cellStyle name="_용호고(단가조사표)_000-용호고(최종)_원가계산서(화성상록) (version 1)_원가보고서(흑색)-조달" xfId="4437"/>
    <cellStyle name="_용호고(단가조사표)_000-용호고(최종)_원가계산서(화성상록)_원가보고서(종합)-조달" xfId="4438"/>
    <cellStyle name="_용호고(단가조사표)_000-용호고(최종)_원가계산서(화성상록)_원가보고서(흑색)-조달" xfId="4439"/>
    <cellStyle name="_용호고(단가조사표)_2004년 완선공사(최종본)" xfId="4440"/>
    <cellStyle name="_용호고(단가조사표)_안동전통문화콘텐츠박물관전시영상물구축(전시시설물)" xfId="4441"/>
    <cellStyle name="_용호고(단가조사표)_안동전통문화콘텐츠박물관전시영상물구축(전시시설물)_원가보고서(종합)-조달" xfId="4442"/>
    <cellStyle name="_용호고(단가조사표)_안동전통문화콘텐츠박물관전시영상물구축(전시시설물)_원가보고서(흑색)-조달" xfId="4443"/>
    <cellStyle name="_용호고(단가조사표)_원가계산서(화성상록)" xfId="4444"/>
    <cellStyle name="_용호고(단가조사표)_원가계산서(화성상록) (version 1)" xfId="4445"/>
    <cellStyle name="_용호고(단가조사표)_원가계산서(화성상록) (version 1)_원가보고서(종합)-조달" xfId="4446"/>
    <cellStyle name="_용호고(단가조사표)_원가계산서(화성상록) (version 1)_원가보고서(흑색)-조달" xfId="4447"/>
    <cellStyle name="_용호고(단가조사표)_원가계산서(화성상록)_원가보고서(종합)-조달" xfId="4448"/>
    <cellStyle name="_용호고(단가조사표)_원가계산서(화성상록)_원가보고서(흑색)-조달" xfId="4449"/>
    <cellStyle name="_용화고등학교하도급(명신)" xfId="4450"/>
    <cellStyle name="_우곡지구내역서(공사비수정) (version 1)" xfId="4451"/>
    <cellStyle name="_우체국예금보험지원단(데이타)_upgrade_090306" xfId="4452"/>
    <cellStyle name="_운동장 화단조성 및 수목전지작업" xfId="4453"/>
    <cellStyle name="_운영리스크(메리츠증권)_KDPC 제출용_ver1.0" xfId="4454"/>
    <cellStyle name="_울산대병원 견적서 ( Hansol ) 0630" xfId="4455"/>
    <cellStyle name="_울산북구청-제적부 전산화사업 원가산출(최종)-334원" xfId="4456"/>
    <cellStyle name="_울산시총괄안-20030509v1" xfId="4457"/>
    <cellStyle name="_울진군폐기물처리시설" xfId="4458"/>
    <cellStyle name="_원가계산" xfId="4459"/>
    <cellStyle name="_원가계산서(화성상록)" xfId="4460"/>
    <cellStyle name="_원가계산서(화성상록) (version 1)" xfId="4461"/>
    <cellStyle name="_원가상세내역서 " xfId="4462"/>
    <cellStyle name="_원주도시개발사업" xfId="4463"/>
    <cellStyle name="_원평지구골프장용역비(최종 2억3천)" xfId="4464"/>
    <cellStyle name="_월곳도시근린공원내역서" xfId="4465"/>
    <cellStyle name="_월송공원조성에따른군관리계획결정(변경)-1" xfId="4466"/>
    <cellStyle name="_웹기반 범용프로그램 기본설계용역 예산설계서_050322" xfId="4467"/>
    <cellStyle name="_웹기반 범용프로그램 기본설계용역 예산설계서_051006" xfId="4468"/>
    <cellStyle name="_웹기반 수치지도 관리시스템 개발 용역 산출내역서_1.2" xfId="4469"/>
    <cellStyle name="_웹기반 수치지도 활용시스템 도입 설계서_1.1" xfId="4470"/>
    <cellStyle name="_웹기반 수치지도 활용시스템 도입 설계서_2.0" xfId="4471"/>
    <cellStyle name="_웹기반다차원공간정보활용시스템 설계내역서" xfId="4472"/>
    <cellStyle name="_유관기관연계시스템개발내역서" xfId="4473"/>
    <cellStyle name="_유니와이드_보안솔루션" xfId="4474"/>
    <cellStyle name="_유지보수견적서" xfId="4475"/>
    <cellStyle name="_유첨3(서식)" xfId="4476"/>
    <cellStyle name="_유첨3(서식)_1" xfId="4477"/>
    <cellStyle name="_육군정보화발주서" xfId="4478"/>
    <cellStyle name="_은평공원테니스장정비공사" xfId="4479"/>
    <cellStyle name="_의왕 왕송저수지 조성사업 기본 및 실시설계용역(1-1)" xfId="4480"/>
    <cellStyle name="_의왕 왕송저수지 조성사업 환경재해영향평가용역" xfId="4481"/>
    <cellStyle name="_의왕 왕송저수지 조성사업 환경재해영향평가용역_공유수면매립도시관리계획및실시설계용역" xfId="4482"/>
    <cellStyle name="_의왕 왕송저수지 조성사업 환경재해영향평가용역_로하스변경내역서-5(06.6.7)" xfId="4483"/>
    <cellStyle name="_의왕 왕송저수지 조성사업 환경재해영향평가용역_로하스변경내역서-5(06.6.7)_로하스변경내역서-6(06(1).6.27 당초변경)" xfId="4484"/>
    <cellStyle name="_의왕 왕송저수지 조성사업 환경재해영향평가용역_로하스변경내역서-6(06.6.21)" xfId="4485"/>
    <cellStyle name="_의왕 왕송저수지 조성사업 환경재해영향평가용역_로하스변경내역서-6(06.6.21)_로하스변경내역서-6(06(1).6.27 당초변경)" xfId="4486"/>
    <cellStyle name="_의왕시 인트라넷GIS-3차원생활넷 설계내역서" xfId="4487"/>
    <cellStyle name="_의왕시3차원영상생활GIS설계내역서(최수환_060511_v1)" xfId="4488"/>
    <cellStyle name="_의정부  상하수도 설계내역서_1.2" xfId="4489"/>
    <cellStyle name="_의정부_설계내역서" xfId="4490"/>
    <cellStyle name="_의정부_설계내역서(제출용)" xfId="4491"/>
    <cellStyle name="_이담지리지 보완확장사업 설계내역서_1.1" xfId="4492"/>
    <cellStyle name="_이장우이사-품셈기준" xfId="4493"/>
    <cellStyle name="_인계1공구 수량산출" xfId="4494"/>
    <cellStyle name="_인구평가(시흥군자지구)(1).xls-수정" xfId="4495"/>
    <cellStyle name="_인사_LDCC_화이트(DB포함)_060119" xfId="4496"/>
    <cellStyle name="_인삼랜드내역서" xfId="4497"/>
    <cellStyle name="_인성정보021212 QUO" xfId="4498"/>
    <cellStyle name="_인쇄산정기준표" xfId="4499"/>
    <cellStyle name="_인원계획표 " xfId="4500"/>
    <cellStyle name="_인원계획표 _01 실행(군장산단) Rev00" xfId="4501"/>
    <cellStyle name="_인원계획표 _01 실행(군장산단) Rev00_01 실행(부산남컨가호안109-원안분) REV04" xfId="4502"/>
    <cellStyle name="_인원계획표 _01.설계내역2" xfId="4503"/>
    <cellStyle name="_인원계획표 _1차준공검사원" xfId="4504"/>
    <cellStyle name="_인원계획표 _1차준공검사원_부대공1" xfId="4505"/>
    <cellStyle name="_인원계획표 _2차1회기공검사원(5월26일)1" xfId="4506"/>
    <cellStyle name="_인원계획표 _2차1회기공검사원(5월26일)1_부대공1" xfId="4507"/>
    <cellStyle name="_인원계획표 _2차분 하도급내역" xfId="4508"/>
    <cellStyle name="_인원계획표 _2차분 하도급내역_부대공1" xfId="4509"/>
    <cellStyle name="_인원계획표 _3공구투찰(103,078)" xfId="4510"/>
    <cellStyle name="_인원계획표 _3공구투찰(103,078)_1차준공검사원" xfId="4511"/>
    <cellStyle name="_인원계획표 _3공구투찰(103,078)_1차준공검사원_부대공1" xfId="4512"/>
    <cellStyle name="_인원계획표 _3공구투찰(103,078)_2차1회기공검사원(5월26일)1" xfId="4513"/>
    <cellStyle name="_인원계획표 _3공구투찰(103,078)_2차1회기공검사원(5월26일)1_부대공1" xfId="4514"/>
    <cellStyle name="_인원계획표 _3공구투찰(103,078)_Box 터파기 암판정" xfId="4515"/>
    <cellStyle name="_인원계획표 _3공구투찰(103,078)_Box 터파기 암판정_부대공1" xfId="4516"/>
    <cellStyle name="_인원계획표 _3공구투찰(103,078)_기성서류" xfId="4517"/>
    <cellStyle name="_인원계획표 _3공구투찰(103,078)_기성서류_부대공1" xfId="4518"/>
    <cellStyle name="_인원계획표 _3공구투찰(103,078)_부대공1" xfId="4519"/>
    <cellStyle name="_인원계획표 _3공구투찰(103,078)_부대입찰선금내역" xfId="4520"/>
    <cellStyle name="_인원계획표 _3공구투찰(103,078)_부대입찰선금내역_부대공1" xfId="4521"/>
    <cellStyle name="_인원계획표 _3공구투찰(103,078)_선급금 청구공문1" xfId="4522"/>
    <cellStyle name="_인원계획표 _3공구투찰(103,078)_선급금 청구공문1_부대공1" xfId="4523"/>
    <cellStyle name="_인원계획표 _3공구투찰(103,078)_수목이식(적송)" xfId="4524"/>
    <cellStyle name="_인원계획표 _3공구투찰(103,078)_수목이식(적송)_부대공1" xfId="4525"/>
    <cellStyle name="_인원계획표 _3공구투찰(103,078)_실정보고(차선,가드,갈매기)2" xfId="4526"/>
    <cellStyle name="_인원계획표 _3공구투찰(103,078)_실정보고(차선,가드,갈매기)2_부대공1" xfId="4527"/>
    <cellStyle name="_인원계획표 _3공구투찰(103,078)_은행이식(기계,바로정식)" xfId="4528"/>
    <cellStyle name="_인원계획표 _3공구투찰(103,078)_은행이식(기계,바로정식)_부대공1" xfId="4529"/>
    <cellStyle name="_인원계획표 _3공구투찰(103,078)_재료의 품질" xfId="4530"/>
    <cellStyle name="_인원계획표 _3공구투찰(103,078)_재료의 품질_부대공1" xfId="4531"/>
    <cellStyle name="_인원계획표 _Box 터파기 암판정" xfId="4532"/>
    <cellStyle name="_인원계획표 _Box 터파기 암판정_부대공1" xfId="4533"/>
    <cellStyle name="_인원계획표 _공문" xfId="4534"/>
    <cellStyle name="_인원계획표 _공문_부대공1" xfId="4535"/>
    <cellStyle name="_인원계획표 _공문_수목이식(적송)" xfId="4536"/>
    <cellStyle name="_인원계획표 _공문_수목이식(적송)_부대공1" xfId="4537"/>
    <cellStyle name="_인원계획표 _공문_은행이식(기계,바로정식)" xfId="4538"/>
    <cellStyle name="_인원계획표 _공문_은행이식(기계,바로정식)_부대공1" xfId="4539"/>
    <cellStyle name="_인원계획표 _기성내역" xfId="4540"/>
    <cellStyle name="_인원계획표 _기성내역_부대공1" xfId="4541"/>
    <cellStyle name="_인원계획표 _기성서류" xfId="4542"/>
    <cellStyle name="_인원계획표 _기성서류_부대공1" xfId="4543"/>
    <cellStyle name="_인원계획표 _부대견적결과" xfId="4544"/>
    <cellStyle name="_인원계획표 _부대견적결과_01 실행(군장산단) Rev00" xfId="4545"/>
    <cellStyle name="_인원계획표 _부대견적결과_01 실행(군장산단) Rev00_01 실행(부산남컨가호안109-원안분) REV04" xfId="4546"/>
    <cellStyle name="_인원계획표 _부대견적결과1" xfId="4547"/>
    <cellStyle name="_인원계획표 _부대견적결과1_01 실행(군장산단) Rev00" xfId="4548"/>
    <cellStyle name="_인원계획표 _부대견적결과1_01 실행(군장산단) Rev00_01 실행(부산남컨가호안109-원안분) REV04" xfId="4549"/>
    <cellStyle name="_인원계획표 _부대견적의뢰" xfId="4550"/>
    <cellStyle name="_인원계획표 _부대견적의뢰_01 실행(군장산단) Rev00" xfId="4551"/>
    <cellStyle name="_인원계획표 _부대견적의뢰_01 실행(군장산단) Rev00_01 실행(부산남컨가호안109-원안분) REV04" xfId="4552"/>
    <cellStyle name="_인원계획표 _부대공1" xfId="4553"/>
    <cellStyle name="_인원계획표 _부대선정조정품의" xfId="4554"/>
    <cellStyle name="_인원계획표 _부대선정조정품의_01 실행(군장산단) Rev00" xfId="4555"/>
    <cellStyle name="_인원계획표 _부대선정조정품의_01 실행(군장산단) Rev00_01 실행(부산남컨가호안109-원안분) REV04" xfId="4556"/>
    <cellStyle name="_인원계획표 _부대입찰결과" xfId="4557"/>
    <cellStyle name="_인원계획표 _부대입찰결과_01 실행(군장산단) Rev00" xfId="4558"/>
    <cellStyle name="_인원계획표 _부대입찰결과_01 실행(군장산단) Rev00_01 실행(부산남컨가호안109-원안분) REV04" xfId="4559"/>
    <cellStyle name="_인원계획표 _부대입찰선금내역" xfId="4560"/>
    <cellStyle name="_인원계획표 _부대입찰선금내역_부대공1" xfId="4561"/>
    <cellStyle name="_인원계획표 _부대입찰송부" xfId="4562"/>
    <cellStyle name="_인원계획표 _부대입찰송부(1차조정)" xfId="4563"/>
    <cellStyle name="_인원계획표 _부대입찰송부(1차조정)_01 실행(군장산단) Rev00" xfId="4564"/>
    <cellStyle name="_인원계획표 _부대입찰송부(1차조정)_01 실행(군장산단) Rev00_01 실행(부산남컨가호안109-원안분) REV04" xfId="4565"/>
    <cellStyle name="_인원계획표 _부대입찰송부(무안광주)" xfId="4566"/>
    <cellStyle name="_인원계획표 _부대입찰송부(무안광주)_01 실행(군장산단) Rev00" xfId="4567"/>
    <cellStyle name="_인원계획표 _부대입찰송부(무안광주)_01 실행(군장산단) Rev00_01 실행(부산남컨가호안109-원안분) REV04" xfId="4568"/>
    <cellStyle name="_인원계획표 _부대입찰송부_01 실행(군장산단) Rev00" xfId="4569"/>
    <cellStyle name="_인원계획표 _부대입찰송부_01 실행(군장산단) Rev00_01 실행(부산남컨가호안109-원안분) REV04" xfId="4570"/>
    <cellStyle name="_인원계획표 _부대입찰조정" xfId="4571"/>
    <cellStyle name="_인원계획표 _부대입찰조정(광릉숲)" xfId="4572"/>
    <cellStyle name="_인원계획표 _부대입찰조정(광릉숲)_01 실행(군장산단) Rev00" xfId="4573"/>
    <cellStyle name="_인원계획표 _부대입찰조정(광릉숲)_01 실행(군장산단) Rev00_01 실행(부산남컨가호안109-원안분) REV04" xfId="4574"/>
    <cellStyle name="_인원계획표 _부대입찰조정_01 실행(군장산단) Rev00" xfId="4575"/>
    <cellStyle name="_인원계획표 _부대입찰조정_01 실행(군장산단) Rev00_01 실행(부산남컨가호안109-원안분) REV04" xfId="4576"/>
    <cellStyle name="_인원계획표 _부대입찰특별조건및내역송부" xfId="4577"/>
    <cellStyle name="_인원계획표 _부대입찰특별조건및내역송부(최저가)" xfId="4578"/>
    <cellStyle name="_인원계획표 _부대입찰특별조건및내역송부(최저가)_01 실행(군장산단) Rev00" xfId="4579"/>
    <cellStyle name="_인원계획표 _부대입찰특별조건및내역송부(최저가)_01 실행(군장산단) Rev00_01 실행(부산남컨가호안109-원안분) REV04" xfId="4580"/>
    <cellStyle name="_인원계획표 _부대입찰특별조건및내역송부_01 실행(군장산단) Rev00" xfId="4581"/>
    <cellStyle name="_인원계획표 _부대입찰특별조건및내역송부_01 실행(군장산단) Rev00_01 실행(부산남컨가호안109-원안분) REV04" xfId="4582"/>
    <cellStyle name="_인원계획표 _선급금 청구공문1" xfId="4583"/>
    <cellStyle name="_인원계획표 _선급금 청구공문1_부대공1" xfId="4584"/>
    <cellStyle name="_인원계획표 _수목이식(적송)" xfId="4585"/>
    <cellStyle name="_인원계획표 _수목이식(적송)_부대공1" xfId="4586"/>
    <cellStyle name="_인원계획표 _신풍-우성내역서(1차1회변경)" xfId="4587"/>
    <cellStyle name="_인원계획표 _신풍-우성내역서(1차1회변경)_부대공1" xfId="4588"/>
    <cellStyle name="_인원계획표 _신풍-우성내역서(1차공사)" xfId="4589"/>
    <cellStyle name="_인원계획표 _신풍-우성내역서(1차공사)_부대공1" xfId="4590"/>
    <cellStyle name="_인원계획표 _실정보고(차선,가드,갈매기)2" xfId="4591"/>
    <cellStyle name="_인원계획표 _실정보고(차선,가드,갈매기)2_부대공1" xfId="4592"/>
    <cellStyle name="_인원계획표 _실정보고(합성형강관말뚝)1" xfId="4593"/>
    <cellStyle name="_인원계획표 _실정보고(합성형강관말뚝)1_부대공1" xfId="4594"/>
    <cellStyle name="_인원계획표 _실정보고-1" xfId="4595"/>
    <cellStyle name="_인원계획표 _실정보고-1_부대공1" xfId="4596"/>
    <cellStyle name="_인원계획표 _은행(서울)" xfId="4597"/>
    <cellStyle name="_인원계획표 _은행(서울)_2차분 하도급내역" xfId="4598"/>
    <cellStyle name="_인원계획표 _은행(서울)_2차분 하도급내역_부대공1" xfId="4599"/>
    <cellStyle name="_인원계획표 _은행(서울)_Box 터파기 암판정" xfId="4600"/>
    <cellStyle name="_인원계획표 _은행(서울)_Box 터파기 암판정_부대공1" xfId="4601"/>
    <cellStyle name="_인원계획표 _은행(서울)_부대공1" xfId="4602"/>
    <cellStyle name="_인원계획표 _은행(서울)_수목이식(적송)" xfId="4603"/>
    <cellStyle name="_인원계획표 _은행(서울)_수목이식(적송)_부대공1" xfId="4604"/>
    <cellStyle name="_인원계획표 _은행(서울)_신풍-우성내역서(1차1회변경)" xfId="4605"/>
    <cellStyle name="_인원계획표 _은행(서울)_신풍-우성내역서(1차1회변경)_부대공1" xfId="4606"/>
    <cellStyle name="_인원계획표 _은행(서울)_신풍-우성내역서(1차공사)" xfId="4607"/>
    <cellStyle name="_인원계획표 _은행(서울)_신풍-우성내역서(1차공사)_부대공1" xfId="4608"/>
    <cellStyle name="_인원계획표 _은행(서울)_실정보고(합성형강관말뚝)1" xfId="4609"/>
    <cellStyle name="_인원계획표 _은행(서울)_실정보고(합성형강관말뚝)1_부대공1" xfId="4610"/>
    <cellStyle name="_인원계획표 _은행(서울)_실정보고-1" xfId="4611"/>
    <cellStyle name="_인원계획표 _은행(서울)_실정보고-1_부대공1" xfId="4612"/>
    <cellStyle name="_인원계획표 _재료의 품질" xfId="4613"/>
    <cellStyle name="_인원계획표 _재료의 품질_부대공1" xfId="4614"/>
    <cellStyle name="_인원계획표 _적격 " xfId="4615"/>
    <cellStyle name="_인원계획표 _적격 _01 실행(군장산단) Rev00" xfId="4616"/>
    <cellStyle name="_인원계획표 _적격 _01 실행(군장산단) Rev00_01 실행(부산남컨가호안109-원안분) REV04" xfId="4617"/>
    <cellStyle name="_인원계획표 _적격 _부대견적결과" xfId="4618"/>
    <cellStyle name="_인원계획표 _적격 _부대견적결과_01 실행(군장산단) Rev00" xfId="4619"/>
    <cellStyle name="_인원계획표 _적격 _부대견적결과_01 실행(군장산단) Rev00_01 실행(부산남컨가호안109-원안분) REV04" xfId="4620"/>
    <cellStyle name="_인원계획표 _적격 _부대견적결과1" xfId="4621"/>
    <cellStyle name="_인원계획표 _적격 _부대견적결과1_01 실행(군장산단) Rev00" xfId="4622"/>
    <cellStyle name="_인원계획표 _적격 _부대견적결과1_01 실행(군장산단) Rev00_01 실행(부산남컨가호안109-원안분) REV04" xfId="4623"/>
    <cellStyle name="_인원계획표 _적격 _부대견적의뢰" xfId="4624"/>
    <cellStyle name="_인원계획표 _적격 _부대견적의뢰_01 실행(군장산단) Rev00" xfId="4625"/>
    <cellStyle name="_인원계획표 _적격 _부대견적의뢰_01 실행(군장산단) Rev00_01 실행(부산남컨가호안109-원안분) REV04" xfId="4626"/>
    <cellStyle name="_인원계획표 _적격 _부대선정조정품의" xfId="4627"/>
    <cellStyle name="_인원계획표 _적격 _부대선정조정품의_01 실행(군장산단) Rev00" xfId="4628"/>
    <cellStyle name="_인원계획표 _적격 _부대선정조정품의_01 실행(군장산단) Rev00_01 실행(부산남컨가호안109-원안분) REV04" xfId="4629"/>
    <cellStyle name="_인원계획표 _적격 _부대입찰결과" xfId="4630"/>
    <cellStyle name="_인원계획표 _적격 _부대입찰결과_01 실행(군장산단) Rev00" xfId="4631"/>
    <cellStyle name="_인원계획표 _적격 _부대입찰결과_01 실행(군장산단) Rev00_01 실행(부산남컨가호안109-원안분) REV04" xfId="4632"/>
    <cellStyle name="_인원계획표 _적격 _부대입찰송부" xfId="4633"/>
    <cellStyle name="_인원계획표 _적격 _부대입찰송부(1차조정)" xfId="4634"/>
    <cellStyle name="_인원계획표 _적격 _부대입찰송부(1차조정)_01 실행(군장산단) Rev00" xfId="4635"/>
    <cellStyle name="_인원계획표 _적격 _부대입찰송부(1차조정)_01 실행(군장산단) Rev00_01 실행(부산남컨가호안109-원안분) REV04" xfId="4636"/>
    <cellStyle name="_인원계획표 _적격 _부대입찰송부(무안광주)" xfId="4637"/>
    <cellStyle name="_인원계획표 _적격 _부대입찰송부(무안광주)_01 실행(군장산단) Rev00" xfId="4638"/>
    <cellStyle name="_인원계획표 _적격 _부대입찰송부(무안광주)_01 실행(군장산단) Rev00_01 실행(부산남컨가호안109-원안분) REV04" xfId="4639"/>
    <cellStyle name="_인원계획표 _적격 _부대입찰송부_01 실행(군장산단) Rev00" xfId="4640"/>
    <cellStyle name="_인원계획표 _적격 _부대입찰송부_01 실행(군장산단) Rev00_01 실행(부산남컨가호안109-원안분) REV04" xfId="4641"/>
    <cellStyle name="_인원계획표 _적격 _부대입찰조정" xfId="4642"/>
    <cellStyle name="_인원계획표 _적격 _부대입찰조정(광릉숲)" xfId="4643"/>
    <cellStyle name="_인원계획표 _적격 _부대입찰조정(광릉숲)_01 실행(군장산단) Rev00" xfId="4644"/>
    <cellStyle name="_인원계획표 _적격 _부대입찰조정(광릉숲)_01 실행(군장산단) Rev00_01 실행(부산남컨가호안109-원안분) REV04" xfId="4645"/>
    <cellStyle name="_인원계획표 _적격 _부대입찰조정_01 실행(군장산단) Rev00" xfId="4646"/>
    <cellStyle name="_인원계획표 _적격 _부대입찰조정_01 실행(군장산단) Rev00_01 실행(부산남컨가호안109-원안분) REV04" xfId="4647"/>
    <cellStyle name="_인원계획표 _적격 _부대입찰특별조건및내역송부" xfId="4648"/>
    <cellStyle name="_인원계획표 _적격 _부대입찰특별조건및내역송부(최저가)" xfId="4649"/>
    <cellStyle name="_인원계획표 _적격 _부대입찰특별조건및내역송부(최저가)_01 실행(군장산단) Rev00" xfId="4650"/>
    <cellStyle name="_인원계획표 _적격 _부대입찰특별조건및내역송부(최저가)_01 실행(군장산단) Rev00_01 실행(부산남컨가호안109-원안분) REV04" xfId="4651"/>
    <cellStyle name="_인원계획표 _적격 _부대입찰특별조건및내역송부_01 실행(군장산단) Rev00" xfId="4652"/>
    <cellStyle name="_인원계획표 _적격 _부대입찰특별조건및내역송부_01 실행(군장산단) Rev00_01 실행(부산남컨가호안109-원안분) REV04" xfId="4653"/>
    <cellStyle name="_인원계획표 _적격 _투찰" xfId="4654"/>
    <cellStyle name="_인원계획표 _적격 _투찰(14-1)" xfId="4655"/>
    <cellStyle name="_인원계획표 _적격 _투찰(14-1)_01 실행(군장산단) Rev00" xfId="4656"/>
    <cellStyle name="_인원계획표 _적격 _투찰(14-1)_01 실행(군장산단) Rev00_01 실행(부산남컨가호안109-원안분) REV04" xfId="4657"/>
    <cellStyle name="_인원계획표 _적격 _투찰(8공구)" xfId="4658"/>
    <cellStyle name="_인원계획표 _적격 _투찰(8공구)_01 실행(군장산단) Rev00" xfId="4659"/>
    <cellStyle name="_인원계획표 _적격 _투찰(8공구)_01 실행(군장산단) Rev00_01 실행(부산남컨가호안109-원안분) REV04" xfId="4660"/>
    <cellStyle name="_인원계획표 _적격 _투찰(고철10-4)" xfId="4661"/>
    <cellStyle name="_인원계획표 _적격 _투찰(고철10-4)_01 실행(군장산단) Rev00" xfId="4662"/>
    <cellStyle name="_인원계획표 _적격 _투찰(고철10-4)_01 실행(군장산단) Rev00_01 실행(부산남컨가호안109-원안분) REV04" xfId="4663"/>
    <cellStyle name="_인원계획표 _적격 _투찰(무안광주3공구)" xfId="4664"/>
    <cellStyle name="_인원계획표 _적격 _투찰(무안광주3공구)_01 실행(군장산단) Rev00" xfId="4665"/>
    <cellStyle name="_인원계획표 _적격 _투찰(무안광주3공구)_01 실행(군장산단) Rev00_01 실행(부산남컨가호안109-원안분) REV04" xfId="4666"/>
    <cellStyle name="_인원계획표 _적격 _투찰(토목)" xfId="4667"/>
    <cellStyle name="_인원계획표 _적격 _투찰(토목)_01 실행(군장산단) Rev00" xfId="4668"/>
    <cellStyle name="_인원계획표 _적격 _투찰(토목)_01 실행(군장산단) Rev00_01 실행(부산남컨가호안109-원안분) REV04" xfId="4669"/>
    <cellStyle name="_인원계획표 _적격 _투찰_01 실행(군장산단) Rev00" xfId="4670"/>
    <cellStyle name="_인원계획표 _적격 _투찰_01 실행(군장산단) Rev00_01 실행(부산남컨가호안109-원안분) REV04" xfId="4671"/>
    <cellStyle name="_인원계획표 _적격 _투찰_1" xfId="4672"/>
    <cellStyle name="_인원계획표 _적격 _투찰_1_01 실행(군장산단) Rev00" xfId="4673"/>
    <cellStyle name="_인원계획표 _적격 _투찰_1_01 실행(군장산단) Rev00_01 실행(부산남컨가호안109-원안분) REV04" xfId="4674"/>
    <cellStyle name="_인원계획표 _적격 _투찰_부대견적결과" xfId="4675"/>
    <cellStyle name="_인원계획표 _적격 _투찰_부대견적결과_01 실행(군장산단) Rev00" xfId="4676"/>
    <cellStyle name="_인원계획표 _적격 _투찰_부대견적결과_01 실행(군장산단) Rev00_01 실행(부산남컨가호안109-원안분) REV04" xfId="4677"/>
    <cellStyle name="_인원계획표 _적격 _투찰_부대견적결과1" xfId="4678"/>
    <cellStyle name="_인원계획표 _적격 _투찰_부대견적결과1_01 실행(군장산단) Rev00" xfId="4679"/>
    <cellStyle name="_인원계획표 _적격 _투찰_부대견적결과1_01 실행(군장산단) Rev00_01 실행(부산남컨가호안109-원안분) REV04" xfId="4680"/>
    <cellStyle name="_인원계획표 _적격 _투찰_부대견적의뢰" xfId="4681"/>
    <cellStyle name="_인원계획표 _적격 _투찰_부대견적의뢰_01 실행(군장산단) Rev00" xfId="4682"/>
    <cellStyle name="_인원계획표 _적격 _투찰_부대견적의뢰_01 실행(군장산단) Rev00_01 실행(부산남컨가호안109-원안분) REV04" xfId="4683"/>
    <cellStyle name="_인원계획표 _적격 _투찰_부대선정조정품의" xfId="4684"/>
    <cellStyle name="_인원계획표 _적격 _투찰_부대선정조정품의_01 실행(군장산단) Rev00" xfId="4685"/>
    <cellStyle name="_인원계획표 _적격 _투찰_부대선정조정품의_01 실행(군장산단) Rev00_01 실행(부산남컨가호안109-원안분) REV04" xfId="4686"/>
    <cellStyle name="_인원계획표 _적격 _투찰_부대입찰결과" xfId="4687"/>
    <cellStyle name="_인원계획표 _적격 _투찰_부대입찰결과_01 실행(군장산단) Rev00" xfId="4688"/>
    <cellStyle name="_인원계획표 _적격 _투찰_부대입찰결과_01 실행(군장산단) Rev00_01 실행(부산남컨가호안109-원안분) REV04" xfId="4689"/>
    <cellStyle name="_인원계획표 _적격 _투찰_부대입찰송부" xfId="4690"/>
    <cellStyle name="_인원계획표 _적격 _투찰_부대입찰송부(1차조정)" xfId="4691"/>
    <cellStyle name="_인원계획표 _적격 _투찰_부대입찰송부(1차조정)_01 실행(군장산단) Rev00" xfId="4692"/>
    <cellStyle name="_인원계획표 _적격 _투찰_부대입찰송부(1차조정)_01 실행(군장산단) Rev00_01 실행(부산남컨가호안109-원안분) REV04" xfId="4693"/>
    <cellStyle name="_인원계획표 _적격 _투찰_부대입찰송부_01 실행(군장산단) Rev00" xfId="4694"/>
    <cellStyle name="_인원계획표 _적격 _투찰_부대입찰송부_01 실행(군장산단) Rev00_01 실행(부산남컨가호안109-원안분) REV04" xfId="4695"/>
    <cellStyle name="_인원계획표 _적격 _투찰_부대입찰조정" xfId="4696"/>
    <cellStyle name="_인원계획표 _적격 _투찰_부대입찰조정_01 실행(군장산단) Rev00" xfId="4697"/>
    <cellStyle name="_인원계획표 _적격 _투찰_부대입찰조정_01 실행(군장산단) Rev00_01 실행(부산남컨가호안109-원안분) REV04" xfId="4698"/>
    <cellStyle name="_인원계획표 _적격 _투찰_부대입찰특별조건및내역송부" xfId="4699"/>
    <cellStyle name="_인원계획표 _적격 _투찰_부대입찰특별조건및내역송부_01 실행(군장산단) Rev00" xfId="4700"/>
    <cellStyle name="_인원계획표 _적격 _투찰_부대입찰특별조건및내역송부_01 실행(군장산단) Rev00_01 실행(부산남컨가호안109-원안분) REV04" xfId="4701"/>
    <cellStyle name="_인원계획표 _적격 _투찰_투찰" xfId="4702"/>
    <cellStyle name="_인원계획표 _적격 _투찰_투찰(8공구)" xfId="4703"/>
    <cellStyle name="_인원계획표 _적격 _투찰_투찰(8공구)_01 실행(군장산단) Rev00" xfId="4704"/>
    <cellStyle name="_인원계획표 _적격 _투찰_투찰(8공구)_01 실행(군장산단) Rev00_01 실행(부산남컨가호안109-원안분) REV04" xfId="4705"/>
    <cellStyle name="_인원계획표 _적격 _투찰_투찰(토목)" xfId="4706"/>
    <cellStyle name="_인원계획표 _적격 _투찰_투찰(토목)_01 실행(군장산단) Rev00" xfId="4707"/>
    <cellStyle name="_인원계획표 _적격 _투찰_투찰(토목)_01 실행(군장산단) Rev00_01 실행(부산남컨가호안109-원안분) REV04" xfId="4708"/>
    <cellStyle name="_인원계획표 _적격 _투찰_투찰_01 실행(군장산단) Rev00" xfId="4709"/>
    <cellStyle name="_인원계획표 _적격 _투찰_투찰_01 실행(군장산단) Rev00_01 실행(부산남컨가호안109-원안분) REV04" xfId="4710"/>
    <cellStyle name="_인원계획표 _적격 _투찰_투찰서" xfId="4711"/>
    <cellStyle name="_인원계획표 _적격 _투찰_투찰서_01 실행(군장산단) Rev00" xfId="4712"/>
    <cellStyle name="_인원계획표 _적격 _투찰_투찰서_01 실행(군장산단) Rev00_01 실행(부산남컨가호안109-원안분) REV04" xfId="4713"/>
    <cellStyle name="_인원계획표 _적격 _투찰서" xfId="4714"/>
    <cellStyle name="_인원계획표 _적격 _투찰서_01 실행(군장산단) Rev00" xfId="4715"/>
    <cellStyle name="_인원계획표 _적격 _투찰서_01 실행(군장산단) Rev00_01 실행(부산남컨가호안109-원안분) REV04" xfId="4716"/>
    <cellStyle name="_인원계획표 _제2종지구단위계획_선바위관광지" xfId="4717"/>
    <cellStyle name="_인원계획표 _제2종지구단위계획_선바위관광지_20090609_영덕농공단지내역서" xfId="4718"/>
    <cellStyle name="_인원계획표 _제2종지구단위계획_선바위관광지_총괄내역서(090223)" xfId="4719"/>
    <cellStyle name="_인원계획표 _총괄내역서_도시관리계획결정(070907)_계약" xfId="4720"/>
    <cellStyle name="_인원계획표 _총괄내역서_타당성조사및도시관리계획결정(090115)" xfId="4721"/>
    <cellStyle name="_인원계획표 _총괄내역서_타당성조사및도시관리계획결정(090115)_20090609_영덕농공단지내역서" xfId="4722"/>
    <cellStyle name="_인원계획표 _총괄내역서_타당성조사및도시관리계획결정(090115)_총괄내역서(090223)" xfId="4723"/>
    <cellStyle name="_인원계획표 _토목(예산서)" xfId="4724"/>
    <cellStyle name="_인원계획표 _투찰" xfId="4725"/>
    <cellStyle name="_인원계획표 _투찰(14-1)" xfId="4726"/>
    <cellStyle name="_인원계획표 _투찰(14-1)_01 실행(군장산단) Rev00" xfId="4727"/>
    <cellStyle name="_인원계획표 _투찰(14-1)_01 실행(군장산단) Rev00_01 실행(부산남컨가호안109-원안분) REV04" xfId="4728"/>
    <cellStyle name="_인원계획표 _투찰(8공구)" xfId="4729"/>
    <cellStyle name="_인원계획표 _투찰(8공구)_01 실행(군장산단) Rev00" xfId="4730"/>
    <cellStyle name="_인원계획표 _투찰(8공구)_01 실행(군장산단) Rev00_01 실행(부산남컨가호안109-원안분) REV04" xfId="4731"/>
    <cellStyle name="_인원계획표 _투찰(고철10-4)" xfId="4732"/>
    <cellStyle name="_인원계획표 _투찰(고철10-4)_01 실행(군장산단) Rev00" xfId="4733"/>
    <cellStyle name="_인원계획표 _투찰(고철10-4)_01 실행(군장산단) Rev00_01 실행(부산남컨가호안109-원안분) REV04" xfId="4734"/>
    <cellStyle name="_인원계획표 _투찰(무안광주3공구)" xfId="4735"/>
    <cellStyle name="_인원계획표 _투찰(무안광주3공구)_01 실행(군장산단) Rev00" xfId="4736"/>
    <cellStyle name="_인원계획표 _투찰(무안광주3공구)_01 실행(군장산단) Rev00_01 실행(부산남컨가호안109-원안분) REV04" xfId="4737"/>
    <cellStyle name="_인원계획표 _투찰(토목)" xfId="4738"/>
    <cellStyle name="_인원계획표 _투찰(토목)_01 실행(군장산단) Rev00" xfId="4739"/>
    <cellStyle name="_인원계획표 _투찰(토목)_01 실행(군장산단) Rev00_01 실행(부산남컨가호안109-원안분) REV04" xfId="4740"/>
    <cellStyle name="_인원계획표 _투찰_01 실행(군장산단) Rev00" xfId="4741"/>
    <cellStyle name="_인원계획표 _투찰_01 실행(군장산단) Rev00_01 실행(부산남컨가호안109-원안분) REV04" xfId="4742"/>
    <cellStyle name="_인원계획표 _투찰_1" xfId="4743"/>
    <cellStyle name="_인원계획표 _투찰_1_01 실행(군장산단) Rev00" xfId="4744"/>
    <cellStyle name="_인원계획표 _투찰_1_01 실행(군장산단) Rev00_01 실행(부산남컨가호안109-원안분) REV04" xfId="4745"/>
    <cellStyle name="_인원계획표 _투찰_부대견적결과" xfId="4746"/>
    <cellStyle name="_인원계획표 _투찰_부대견적결과_01 실행(군장산단) Rev00" xfId="4747"/>
    <cellStyle name="_인원계획표 _투찰_부대견적결과_01 실행(군장산단) Rev00_01 실행(부산남컨가호안109-원안분) REV04" xfId="4748"/>
    <cellStyle name="_인원계획표 _투찰_부대견적결과1" xfId="4749"/>
    <cellStyle name="_인원계획표 _투찰_부대견적결과1_01 실행(군장산단) Rev00" xfId="4750"/>
    <cellStyle name="_인원계획표 _투찰_부대견적결과1_01 실행(군장산단) Rev00_01 실행(부산남컨가호안109-원안분) REV04" xfId="4751"/>
    <cellStyle name="_인원계획표 _투찰_부대견적의뢰" xfId="4752"/>
    <cellStyle name="_인원계획표 _투찰_부대견적의뢰_01 실행(군장산단) Rev00" xfId="4753"/>
    <cellStyle name="_인원계획표 _투찰_부대견적의뢰_01 실행(군장산단) Rev00_01 실행(부산남컨가호안109-원안분) REV04" xfId="4754"/>
    <cellStyle name="_인원계획표 _투찰_부대선정조정품의" xfId="4755"/>
    <cellStyle name="_인원계획표 _투찰_부대선정조정품의_01 실행(군장산단) Rev00" xfId="4756"/>
    <cellStyle name="_인원계획표 _투찰_부대선정조정품의_01 실행(군장산단) Rev00_01 실행(부산남컨가호안109-원안분) REV04" xfId="4757"/>
    <cellStyle name="_인원계획표 _투찰_부대입찰결과" xfId="4758"/>
    <cellStyle name="_인원계획표 _투찰_부대입찰결과_01 실행(군장산단) Rev00" xfId="4759"/>
    <cellStyle name="_인원계획표 _투찰_부대입찰결과_01 실행(군장산단) Rev00_01 실행(부산남컨가호안109-원안분) REV04" xfId="4760"/>
    <cellStyle name="_인원계획표 _투찰_부대입찰송부" xfId="4761"/>
    <cellStyle name="_인원계획표 _투찰_부대입찰송부(1차조정)" xfId="4762"/>
    <cellStyle name="_인원계획표 _투찰_부대입찰송부(1차조정)_01 실행(군장산단) Rev00" xfId="4763"/>
    <cellStyle name="_인원계획표 _투찰_부대입찰송부(1차조정)_01 실행(군장산단) Rev00_01 실행(부산남컨가호안109-원안분) REV04" xfId="4764"/>
    <cellStyle name="_인원계획표 _투찰_부대입찰송부_01 실행(군장산단) Rev00" xfId="4765"/>
    <cellStyle name="_인원계획표 _투찰_부대입찰송부_01 실행(군장산단) Rev00_01 실행(부산남컨가호안109-원안분) REV04" xfId="4766"/>
    <cellStyle name="_인원계획표 _투찰_부대입찰조정" xfId="4767"/>
    <cellStyle name="_인원계획표 _투찰_부대입찰조정_01 실행(군장산단) Rev00" xfId="4768"/>
    <cellStyle name="_인원계획표 _투찰_부대입찰조정_01 실행(군장산단) Rev00_01 실행(부산남컨가호안109-원안분) REV04" xfId="4769"/>
    <cellStyle name="_인원계획표 _투찰_부대입찰특별조건및내역송부" xfId="4770"/>
    <cellStyle name="_인원계획표 _투찰_부대입찰특별조건및내역송부_01 실행(군장산단) Rev00" xfId="4771"/>
    <cellStyle name="_인원계획표 _투찰_부대입찰특별조건및내역송부_01 실행(군장산단) Rev00_01 실행(부산남컨가호안109-원안분) REV04" xfId="4772"/>
    <cellStyle name="_인원계획표 _투찰_투찰" xfId="4773"/>
    <cellStyle name="_인원계획표 _투찰_투찰(8공구)" xfId="4774"/>
    <cellStyle name="_인원계획표 _투찰_투찰(8공구)_01 실행(군장산단) Rev00" xfId="4775"/>
    <cellStyle name="_인원계획표 _투찰_투찰(8공구)_01 실행(군장산단) Rev00_01 실행(부산남컨가호안109-원안분) REV04" xfId="4776"/>
    <cellStyle name="_인원계획표 _투찰_투찰(토목)" xfId="4777"/>
    <cellStyle name="_인원계획표 _투찰_투찰(토목)_01 실행(군장산단) Rev00" xfId="4778"/>
    <cellStyle name="_인원계획표 _투찰_투찰(토목)_01 실행(군장산단) Rev00_01 실행(부산남컨가호안109-원안분) REV04" xfId="4779"/>
    <cellStyle name="_인원계획표 _투찰_투찰_01 실행(군장산단) Rev00" xfId="4780"/>
    <cellStyle name="_인원계획표 _투찰_투찰_01 실행(군장산단) Rev00_01 실행(부산남컨가호안109-원안분) REV04" xfId="4781"/>
    <cellStyle name="_인원계획표 _투찰_투찰서" xfId="4782"/>
    <cellStyle name="_인원계획표 _투찰_투찰서_01 실행(군장산단) Rev00" xfId="4783"/>
    <cellStyle name="_인원계획표 _투찰_투찰서_01 실행(군장산단) Rev00_01 실행(부산남컨가호안109-원안분) REV04" xfId="4784"/>
    <cellStyle name="_인원계획표 _투찰내역" xfId="4785"/>
    <cellStyle name="_인원계획표 _투찰내역_1차준공검사원" xfId="4786"/>
    <cellStyle name="_인원계획표 _투찰내역_1차준공검사원_부대공1" xfId="4787"/>
    <cellStyle name="_인원계획표 _투찰내역_2차1회기공검사원(5월26일)1" xfId="4788"/>
    <cellStyle name="_인원계획표 _투찰내역_2차1회기공검사원(5월26일)1_부대공1" xfId="4789"/>
    <cellStyle name="_인원계획표 _투찰내역_Box 터파기 암판정" xfId="4790"/>
    <cellStyle name="_인원계획표 _투찰내역_Box 터파기 암판정_부대공1" xfId="4791"/>
    <cellStyle name="_인원계획표 _투찰내역_기성서류" xfId="4792"/>
    <cellStyle name="_인원계획표 _투찰내역_기성서류_부대공1" xfId="4793"/>
    <cellStyle name="_인원계획표 _투찰내역_부대공1" xfId="4794"/>
    <cellStyle name="_인원계획표 _투찰내역_부대입찰선금내역" xfId="4795"/>
    <cellStyle name="_인원계획표 _투찰내역_부대입찰선금내역_부대공1" xfId="4796"/>
    <cellStyle name="_인원계획표 _투찰내역_선급금 청구공문1" xfId="4797"/>
    <cellStyle name="_인원계획표 _투찰내역_선급금 청구공문1_부대공1" xfId="4798"/>
    <cellStyle name="_인원계획표 _투찰내역_수목이식(적송)" xfId="4799"/>
    <cellStyle name="_인원계획표 _투찰내역_수목이식(적송)_부대공1" xfId="4800"/>
    <cellStyle name="_인원계획표 _투찰내역_실정보고(차선,가드,갈매기)2" xfId="4801"/>
    <cellStyle name="_인원계획표 _투찰내역_실정보고(차선,가드,갈매기)2_부대공1" xfId="4802"/>
    <cellStyle name="_인원계획표 _투찰내역_은행이식(기계,바로정식)" xfId="4803"/>
    <cellStyle name="_인원계획표 _투찰내역_은행이식(기계,바로정식)_부대공1" xfId="4804"/>
    <cellStyle name="_인원계획표 _투찰내역_재료의 품질" xfId="4805"/>
    <cellStyle name="_인원계획표 _투찰내역_재료의 품질_부대공1" xfId="4806"/>
    <cellStyle name="_인원계획표 _투찰서" xfId="4807"/>
    <cellStyle name="_인원계획표 _투찰서_01 실행(군장산단) Rev00" xfId="4808"/>
    <cellStyle name="_인원계획표 _투찰서_01 실행(군장산단) Rev00_01 실행(부산남컨가호안109-원안분) REV04" xfId="4809"/>
    <cellStyle name="_인증견적자료" xfId="4810"/>
    <cellStyle name="_인천 FP견적" xfId="4811"/>
    <cellStyle name="_인천공항공사 e-HR시스템 구축 견적서(2007.08.22)" xfId="4812"/>
    <cellStyle name="_인천북항관공선부두(수정내역)" xfId="4813"/>
    <cellStyle name="_인천시 지하시설물통합정보시스템 구축사업 설계내역서_0514(FP)" xfId="4814"/>
    <cellStyle name="_인천시_설계(1006_내부망_수정)" xfId="4815"/>
    <cellStyle name="_인탑_GIS견적05-10-26" xfId="4816"/>
    <cellStyle name="_인트라넷개발내역" xfId="4817"/>
    <cellStyle name="_인포웹" xfId="4818"/>
    <cellStyle name="_입찰표지 " xfId="4819"/>
    <cellStyle name="_입찰표지 _01 실행(군장산단) Rev00" xfId="4820"/>
    <cellStyle name="_입찰표지 _01 실행(군장산단) Rev00_01 실행(부산남컨가호안109-원안분) REV04" xfId="4821"/>
    <cellStyle name="_입찰표지 _01.설계내역2" xfId="4822"/>
    <cellStyle name="_입찰표지 _1차준공검사원" xfId="4823"/>
    <cellStyle name="_입찰표지 _1차준공검사원_부대공1" xfId="4824"/>
    <cellStyle name="_입찰표지 _2차1회기공검사원(5월26일)1" xfId="4825"/>
    <cellStyle name="_입찰표지 _2차1회기공검사원(5월26일)1_부대공1" xfId="4826"/>
    <cellStyle name="_입찰표지 _2차분 하도급내역" xfId="4827"/>
    <cellStyle name="_입찰표지 _2차분 하도급내역_부대공1" xfId="4828"/>
    <cellStyle name="_입찰표지 _3공구투찰(103,078)" xfId="4829"/>
    <cellStyle name="_입찰표지 _3공구투찰(103,078)_1차준공검사원" xfId="4830"/>
    <cellStyle name="_입찰표지 _3공구투찰(103,078)_1차준공검사원_부대공1" xfId="4831"/>
    <cellStyle name="_입찰표지 _3공구투찰(103,078)_2차1회기공검사원(5월26일)1" xfId="4832"/>
    <cellStyle name="_입찰표지 _3공구투찰(103,078)_2차1회기공검사원(5월26일)1_부대공1" xfId="4833"/>
    <cellStyle name="_입찰표지 _3공구투찰(103,078)_Box 터파기 암판정" xfId="4834"/>
    <cellStyle name="_입찰표지 _3공구투찰(103,078)_Box 터파기 암판정_부대공1" xfId="4835"/>
    <cellStyle name="_입찰표지 _3공구투찰(103,078)_기성서류" xfId="4836"/>
    <cellStyle name="_입찰표지 _3공구투찰(103,078)_기성서류_부대공1" xfId="4837"/>
    <cellStyle name="_입찰표지 _3공구투찰(103,078)_부대공1" xfId="4838"/>
    <cellStyle name="_입찰표지 _3공구투찰(103,078)_부대입찰선금내역" xfId="4839"/>
    <cellStyle name="_입찰표지 _3공구투찰(103,078)_부대입찰선금내역_부대공1" xfId="4840"/>
    <cellStyle name="_입찰표지 _3공구투찰(103,078)_선급금 청구공문1" xfId="4841"/>
    <cellStyle name="_입찰표지 _3공구투찰(103,078)_선급금 청구공문1_부대공1" xfId="4842"/>
    <cellStyle name="_입찰표지 _3공구투찰(103,078)_수목이식(적송)" xfId="4843"/>
    <cellStyle name="_입찰표지 _3공구투찰(103,078)_수목이식(적송)_부대공1" xfId="4844"/>
    <cellStyle name="_입찰표지 _3공구투찰(103,078)_실정보고(차선,가드,갈매기)2" xfId="4845"/>
    <cellStyle name="_입찰표지 _3공구투찰(103,078)_실정보고(차선,가드,갈매기)2_부대공1" xfId="4846"/>
    <cellStyle name="_입찰표지 _3공구투찰(103,078)_은행이식(기계,바로정식)" xfId="4847"/>
    <cellStyle name="_입찰표지 _3공구투찰(103,078)_은행이식(기계,바로정식)_부대공1" xfId="4848"/>
    <cellStyle name="_입찰표지 _3공구투찰(103,078)_재료의 품질" xfId="4849"/>
    <cellStyle name="_입찰표지 _3공구투찰(103,078)_재료의 품질_부대공1" xfId="4850"/>
    <cellStyle name="_입찰표지 _Box 터파기 암판정" xfId="4851"/>
    <cellStyle name="_입찰표지 _Box 터파기 암판정_부대공1" xfId="4852"/>
    <cellStyle name="_입찰표지 _공문" xfId="4853"/>
    <cellStyle name="_입찰표지 _공문_부대공1" xfId="4854"/>
    <cellStyle name="_입찰표지 _공문_수목이식(적송)" xfId="4855"/>
    <cellStyle name="_입찰표지 _공문_수목이식(적송)_부대공1" xfId="4856"/>
    <cellStyle name="_입찰표지 _공문_은행이식(기계,바로정식)" xfId="4857"/>
    <cellStyle name="_입찰표지 _공문_은행이식(기계,바로정식)_부대공1" xfId="4858"/>
    <cellStyle name="_입찰표지 _기성내역" xfId="4859"/>
    <cellStyle name="_입찰표지 _기성내역_부대공1" xfId="4860"/>
    <cellStyle name="_입찰표지 _기성서류" xfId="4861"/>
    <cellStyle name="_입찰표지 _기성서류_부대공1" xfId="4862"/>
    <cellStyle name="_입찰표지 _부대견적결과" xfId="4863"/>
    <cellStyle name="_입찰표지 _부대견적결과_01 실행(군장산단) Rev00" xfId="4864"/>
    <cellStyle name="_입찰표지 _부대견적결과_01 실행(군장산단) Rev00_01 실행(부산남컨가호안109-원안분) REV04" xfId="4865"/>
    <cellStyle name="_입찰표지 _부대견적결과1" xfId="4866"/>
    <cellStyle name="_입찰표지 _부대견적결과1_01 실행(군장산단) Rev00" xfId="4867"/>
    <cellStyle name="_입찰표지 _부대견적결과1_01 실행(군장산단) Rev00_01 실행(부산남컨가호안109-원안분) REV04" xfId="4868"/>
    <cellStyle name="_입찰표지 _부대견적의뢰" xfId="4869"/>
    <cellStyle name="_입찰표지 _부대견적의뢰_01 실행(군장산단) Rev00" xfId="4870"/>
    <cellStyle name="_입찰표지 _부대견적의뢰_01 실행(군장산단) Rev00_01 실행(부산남컨가호안109-원안분) REV04" xfId="4871"/>
    <cellStyle name="_입찰표지 _부대공1" xfId="4872"/>
    <cellStyle name="_입찰표지 _부대선정조정품의" xfId="4873"/>
    <cellStyle name="_입찰표지 _부대선정조정품의_01 실행(군장산단) Rev00" xfId="4874"/>
    <cellStyle name="_입찰표지 _부대선정조정품의_01 실행(군장산단) Rev00_01 실행(부산남컨가호안109-원안분) REV04" xfId="4875"/>
    <cellStyle name="_입찰표지 _부대입찰결과" xfId="4876"/>
    <cellStyle name="_입찰표지 _부대입찰결과_01 실행(군장산단) Rev00" xfId="4877"/>
    <cellStyle name="_입찰표지 _부대입찰결과_01 실행(군장산단) Rev00_01 실행(부산남컨가호안109-원안분) REV04" xfId="4878"/>
    <cellStyle name="_입찰표지 _부대입찰선금내역" xfId="4879"/>
    <cellStyle name="_입찰표지 _부대입찰선금내역_부대공1" xfId="4880"/>
    <cellStyle name="_입찰표지 _부대입찰송부" xfId="4881"/>
    <cellStyle name="_입찰표지 _부대입찰송부(1차조정)" xfId="4882"/>
    <cellStyle name="_입찰표지 _부대입찰송부(1차조정)_01 실행(군장산단) Rev00" xfId="4883"/>
    <cellStyle name="_입찰표지 _부대입찰송부(1차조정)_01 실행(군장산단) Rev00_01 실행(부산남컨가호안109-원안분) REV04" xfId="4884"/>
    <cellStyle name="_입찰표지 _부대입찰송부(무안광주)" xfId="4885"/>
    <cellStyle name="_입찰표지 _부대입찰송부(무안광주)_01 실행(군장산단) Rev00" xfId="4886"/>
    <cellStyle name="_입찰표지 _부대입찰송부(무안광주)_01 실행(군장산단) Rev00_01 실행(부산남컨가호안109-원안분) REV04" xfId="4887"/>
    <cellStyle name="_입찰표지 _부대입찰송부_01 실행(군장산단) Rev00" xfId="4888"/>
    <cellStyle name="_입찰표지 _부대입찰송부_01 실행(군장산단) Rev00_01 실행(부산남컨가호안109-원안분) REV04" xfId="4889"/>
    <cellStyle name="_입찰표지 _부대입찰조정" xfId="4890"/>
    <cellStyle name="_입찰표지 _부대입찰조정(광릉숲)" xfId="4891"/>
    <cellStyle name="_입찰표지 _부대입찰조정(광릉숲)_01 실행(군장산단) Rev00" xfId="4892"/>
    <cellStyle name="_입찰표지 _부대입찰조정(광릉숲)_01 실행(군장산단) Rev00_01 실행(부산남컨가호안109-원안분) REV04" xfId="4893"/>
    <cellStyle name="_입찰표지 _부대입찰조정_01 실행(군장산단) Rev00" xfId="4894"/>
    <cellStyle name="_입찰표지 _부대입찰조정_01 실행(군장산단) Rev00_01 실행(부산남컨가호안109-원안분) REV04" xfId="4895"/>
    <cellStyle name="_입찰표지 _부대입찰특별조건및내역송부" xfId="4896"/>
    <cellStyle name="_입찰표지 _부대입찰특별조건및내역송부(최저가)" xfId="4897"/>
    <cellStyle name="_입찰표지 _부대입찰특별조건및내역송부(최저가)_01 실행(군장산단) Rev00" xfId="4898"/>
    <cellStyle name="_입찰표지 _부대입찰특별조건및내역송부(최저가)_01 실행(군장산단) Rev00_01 실행(부산남컨가호안109-원안분) REV04" xfId="4899"/>
    <cellStyle name="_입찰표지 _부대입찰특별조건및내역송부_01 실행(군장산단) Rev00" xfId="4900"/>
    <cellStyle name="_입찰표지 _부대입찰특별조건및내역송부_01 실행(군장산단) Rev00_01 실행(부산남컨가호안109-원안분) REV04" xfId="4901"/>
    <cellStyle name="_입찰표지 _선급금 청구공문1" xfId="4902"/>
    <cellStyle name="_입찰표지 _선급금 청구공문1_부대공1" xfId="4903"/>
    <cellStyle name="_입찰표지 _수목이식(적송)" xfId="4904"/>
    <cellStyle name="_입찰표지 _수목이식(적송)_부대공1" xfId="4905"/>
    <cellStyle name="_입찰표지 _신풍-우성내역서(1차1회변경)" xfId="4906"/>
    <cellStyle name="_입찰표지 _신풍-우성내역서(1차1회변경)_부대공1" xfId="4907"/>
    <cellStyle name="_입찰표지 _신풍-우성내역서(1차공사)" xfId="4908"/>
    <cellStyle name="_입찰표지 _신풍-우성내역서(1차공사)_부대공1" xfId="4909"/>
    <cellStyle name="_입찰표지 _실정보고(차선,가드,갈매기)2" xfId="4910"/>
    <cellStyle name="_입찰표지 _실정보고(차선,가드,갈매기)2_부대공1" xfId="4911"/>
    <cellStyle name="_입찰표지 _실정보고(합성형강관말뚝)1" xfId="4912"/>
    <cellStyle name="_입찰표지 _실정보고(합성형강관말뚝)1_부대공1" xfId="4913"/>
    <cellStyle name="_입찰표지 _실정보고-1" xfId="4914"/>
    <cellStyle name="_입찰표지 _실정보고-1_부대공1" xfId="4915"/>
    <cellStyle name="_입찰표지 _은행(서울)" xfId="4916"/>
    <cellStyle name="_입찰표지 _은행(서울)_2차분 하도급내역" xfId="4917"/>
    <cellStyle name="_입찰표지 _은행(서울)_2차분 하도급내역_부대공1" xfId="4918"/>
    <cellStyle name="_입찰표지 _은행(서울)_Box 터파기 암판정" xfId="4919"/>
    <cellStyle name="_입찰표지 _은행(서울)_Box 터파기 암판정_부대공1" xfId="4920"/>
    <cellStyle name="_입찰표지 _은행(서울)_부대공1" xfId="4921"/>
    <cellStyle name="_입찰표지 _은행(서울)_수목이식(적송)" xfId="4922"/>
    <cellStyle name="_입찰표지 _은행(서울)_수목이식(적송)_부대공1" xfId="4923"/>
    <cellStyle name="_입찰표지 _은행(서울)_신풍-우성내역서(1차1회변경)" xfId="4924"/>
    <cellStyle name="_입찰표지 _은행(서울)_신풍-우성내역서(1차1회변경)_부대공1" xfId="4925"/>
    <cellStyle name="_입찰표지 _은행(서울)_신풍-우성내역서(1차공사)" xfId="4926"/>
    <cellStyle name="_입찰표지 _은행(서울)_신풍-우성내역서(1차공사)_부대공1" xfId="4927"/>
    <cellStyle name="_입찰표지 _은행(서울)_실정보고(합성형강관말뚝)1" xfId="4928"/>
    <cellStyle name="_입찰표지 _은행(서울)_실정보고(합성형강관말뚝)1_부대공1" xfId="4929"/>
    <cellStyle name="_입찰표지 _은행(서울)_실정보고-1" xfId="4930"/>
    <cellStyle name="_입찰표지 _은행(서울)_실정보고-1_부대공1" xfId="4931"/>
    <cellStyle name="_입찰표지 _재료의 품질" xfId="4932"/>
    <cellStyle name="_입찰표지 _재료의 품질_부대공1" xfId="4933"/>
    <cellStyle name="_입찰표지 _제2종지구단위계획_선바위관광지" xfId="4934"/>
    <cellStyle name="_입찰표지 _제2종지구단위계획_선바위관광지_20090609_영덕농공단지내역서" xfId="4935"/>
    <cellStyle name="_입찰표지 _제2종지구단위계획_선바위관광지_총괄내역서(090223)" xfId="4936"/>
    <cellStyle name="_입찰표지 _총괄내역서_도시관리계획결정(070907)_계약" xfId="4937"/>
    <cellStyle name="_입찰표지 _총괄내역서_타당성조사및도시관리계획결정(090115)" xfId="4938"/>
    <cellStyle name="_입찰표지 _총괄내역서_타당성조사및도시관리계획결정(090115)_20090609_영덕농공단지내역서" xfId="4939"/>
    <cellStyle name="_입찰표지 _총괄내역서_타당성조사및도시관리계획결정(090115)_총괄내역서(090223)" xfId="4940"/>
    <cellStyle name="_입찰표지 _토목(예산서)" xfId="4941"/>
    <cellStyle name="_입찰표지 _투찰" xfId="4942"/>
    <cellStyle name="_입찰표지 _투찰(14-1)" xfId="4943"/>
    <cellStyle name="_입찰표지 _투찰(14-1)_01 실행(군장산단) Rev00" xfId="4944"/>
    <cellStyle name="_입찰표지 _투찰(14-1)_01 실행(군장산단) Rev00_01 실행(부산남컨가호안109-원안분) REV04" xfId="4945"/>
    <cellStyle name="_입찰표지 _투찰(8공구)" xfId="4946"/>
    <cellStyle name="_입찰표지 _투찰(8공구)_01 실행(군장산단) Rev00" xfId="4947"/>
    <cellStyle name="_입찰표지 _투찰(8공구)_01 실행(군장산단) Rev00_01 실행(부산남컨가호안109-원안분) REV04" xfId="4948"/>
    <cellStyle name="_입찰표지 _투찰(고철10-4)" xfId="4949"/>
    <cellStyle name="_입찰표지 _투찰(고철10-4)_01 실행(군장산단) Rev00" xfId="4950"/>
    <cellStyle name="_입찰표지 _투찰(고철10-4)_01 실행(군장산단) Rev00_01 실행(부산남컨가호안109-원안분) REV04" xfId="4951"/>
    <cellStyle name="_입찰표지 _투찰(무안광주3공구)" xfId="4952"/>
    <cellStyle name="_입찰표지 _투찰(무안광주3공구)_01 실행(군장산단) Rev00" xfId="4953"/>
    <cellStyle name="_입찰표지 _투찰(무안광주3공구)_01 실행(군장산단) Rev00_01 실행(부산남컨가호안109-원안분) REV04" xfId="4954"/>
    <cellStyle name="_입찰표지 _투찰(토목)" xfId="4955"/>
    <cellStyle name="_입찰표지 _투찰(토목)_01 실행(군장산단) Rev00" xfId="4956"/>
    <cellStyle name="_입찰표지 _투찰(토목)_01 실행(군장산단) Rev00_01 실행(부산남컨가호안109-원안분) REV04" xfId="4957"/>
    <cellStyle name="_입찰표지 _투찰_01 실행(군장산단) Rev00" xfId="4958"/>
    <cellStyle name="_입찰표지 _투찰_01 실행(군장산단) Rev00_01 실행(부산남컨가호안109-원안분) REV04" xfId="4959"/>
    <cellStyle name="_입찰표지 _투찰_1" xfId="4960"/>
    <cellStyle name="_입찰표지 _투찰_1_01 실행(군장산단) Rev00" xfId="4961"/>
    <cellStyle name="_입찰표지 _투찰_1_01 실행(군장산단) Rev00_01 실행(부산남컨가호안109-원안분) REV04" xfId="4962"/>
    <cellStyle name="_입찰표지 _투찰_부대견적결과" xfId="4963"/>
    <cellStyle name="_입찰표지 _투찰_부대견적결과_01 실행(군장산단) Rev00" xfId="4964"/>
    <cellStyle name="_입찰표지 _투찰_부대견적결과_01 실행(군장산단) Rev00_01 실행(부산남컨가호안109-원안분) REV04" xfId="4965"/>
    <cellStyle name="_입찰표지 _투찰_부대견적결과1" xfId="4966"/>
    <cellStyle name="_입찰표지 _투찰_부대견적결과1_01 실행(군장산단) Rev00" xfId="4967"/>
    <cellStyle name="_입찰표지 _투찰_부대견적결과1_01 실행(군장산단) Rev00_01 실행(부산남컨가호안109-원안분) REV04" xfId="4968"/>
    <cellStyle name="_입찰표지 _투찰_부대견적의뢰" xfId="4969"/>
    <cellStyle name="_입찰표지 _투찰_부대견적의뢰_01 실행(군장산단) Rev00" xfId="4970"/>
    <cellStyle name="_입찰표지 _투찰_부대견적의뢰_01 실행(군장산단) Rev00_01 실행(부산남컨가호안109-원안분) REV04" xfId="4971"/>
    <cellStyle name="_입찰표지 _투찰_부대선정조정품의" xfId="4972"/>
    <cellStyle name="_입찰표지 _투찰_부대선정조정품의_01 실행(군장산단) Rev00" xfId="4973"/>
    <cellStyle name="_입찰표지 _투찰_부대선정조정품의_01 실행(군장산단) Rev00_01 실행(부산남컨가호안109-원안분) REV04" xfId="4974"/>
    <cellStyle name="_입찰표지 _투찰_부대입찰결과" xfId="4975"/>
    <cellStyle name="_입찰표지 _투찰_부대입찰결과_01 실행(군장산단) Rev00" xfId="4976"/>
    <cellStyle name="_입찰표지 _투찰_부대입찰결과_01 실행(군장산단) Rev00_01 실행(부산남컨가호안109-원안분) REV04" xfId="4977"/>
    <cellStyle name="_입찰표지 _투찰_부대입찰송부" xfId="4978"/>
    <cellStyle name="_입찰표지 _투찰_부대입찰송부(1차조정)" xfId="4979"/>
    <cellStyle name="_입찰표지 _투찰_부대입찰송부(1차조정)_01 실행(군장산단) Rev00" xfId="4980"/>
    <cellStyle name="_입찰표지 _투찰_부대입찰송부(1차조정)_01 실행(군장산단) Rev00_01 실행(부산남컨가호안109-원안분) REV04" xfId="4981"/>
    <cellStyle name="_입찰표지 _투찰_부대입찰송부_01 실행(군장산단) Rev00" xfId="4982"/>
    <cellStyle name="_입찰표지 _투찰_부대입찰송부_01 실행(군장산단) Rev00_01 실행(부산남컨가호안109-원안분) REV04" xfId="4983"/>
    <cellStyle name="_입찰표지 _투찰_부대입찰조정" xfId="4984"/>
    <cellStyle name="_입찰표지 _투찰_부대입찰조정_01 실행(군장산단) Rev00" xfId="4985"/>
    <cellStyle name="_입찰표지 _투찰_부대입찰조정_01 실행(군장산단) Rev00_01 실행(부산남컨가호안109-원안분) REV04" xfId="4986"/>
    <cellStyle name="_입찰표지 _투찰_부대입찰특별조건및내역송부" xfId="4987"/>
    <cellStyle name="_입찰표지 _투찰_부대입찰특별조건및내역송부_01 실행(군장산단) Rev00" xfId="4988"/>
    <cellStyle name="_입찰표지 _투찰_부대입찰특별조건및내역송부_01 실행(군장산단) Rev00_01 실행(부산남컨가호안109-원안분) REV04" xfId="4989"/>
    <cellStyle name="_입찰표지 _투찰_투찰" xfId="4990"/>
    <cellStyle name="_입찰표지 _투찰_투찰(8공구)" xfId="4991"/>
    <cellStyle name="_입찰표지 _투찰_투찰(8공구)_01 실행(군장산단) Rev00" xfId="4992"/>
    <cellStyle name="_입찰표지 _투찰_투찰(8공구)_01 실행(군장산단) Rev00_01 실행(부산남컨가호안109-원안분) REV04" xfId="4993"/>
    <cellStyle name="_입찰표지 _투찰_투찰(토목)" xfId="4994"/>
    <cellStyle name="_입찰표지 _투찰_투찰(토목)_01 실행(군장산단) Rev00" xfId="4995"/>
    <cellStyle name="_입찰표지 _투찰_투찰(토목)_01 실행(군장산단) Rev00_01 실행(부산남컨가호안109-원안분) REV04" xfId="4996"/>
    <cellStyle name="_입찰표지 _투찰_투찰_01 실행(군장산단) Rev00" xfId="4997"/>
    <cellStyle name="_입찰표지 _투찰_투찰_01 실행(군장산단) Rev00_01 실행(부산남컨가호안109-원안분) REV04" xfId="4998"/>
    <cellStyle name="_입찰표지 _투찰_투찰서" xfId="4999"/>
    <cellStyle name="_입찰표지 _투찰_투찰서_01 실행(군장산단) Rev00" xfId="5000"/>
    <cellStyle name="_입찰표지 _투찰_투찰서_01 실행(군장산단) Rev00_01 실행(부산남컨가호안109-원안분) REV04" xfId="5001"/>
    <cellStyle name="_입찰표지 _투찰내역" xfId="5002"/>
    <cellStyle name="_입찰표지 _투찰내역_1차준공검사원" xfId="5003"/>
    <cellStyle name="_입찰표지 _투찰내역_1차준공검사원_부대공1" xfId="5004"/>
    <cellStyle name="_입찰표지 _투찰내역_2차1회기공검사원(5월26일)1" xfId="5005"/>
    <cellStyle name="_입찰표지 _투찰내역_2차1회기공검사원(5월26일)1_부대공1" xfId="5006"/>
    <cellStyle name="_입찰표지 _투찰내역_Box 터파기 암판정" xfId="5007"/>
    <cellStyle name="_입찰표지 _투찰내역_Box 터파기 암판정_부대공1" xfId="5008"/>
    <cellStyle name="_입찰표지 _투찰내역_기성서류" xfId="5009"/>
    <cellStyle name="_입찰표지 _투찰내역_기성서류_부대공1" xfId="5010"/>
    <cellStyle name="_입찰표지 _투찰내역_부대공1" xfId="5011"/>
    <cellStyle name="_입찰표지 _투찰내역_부대입찰선금내역" xfId="5012"/>
    <cellStyle name="_입찰표지 _투찰내역_부대입찰선금내역_부대공1" xfId="5013"/>
    <cellStyle name="_입찰표지 _투찰내역_선급금 청구공문1" xfId="5014"/>
    <cellStyle name="_입찰표지 _투찰내역_선급금 청구공문1_부대공1" xfId="5015"/>
    <cellStyle name="_입찰표지 _투찰내역_수목이식(적송)" xfId="5016"/>
    <cellStyle name="_입찰표지 _투찰내역_수목이식(적송)_부대공1" xfId="5017"/>
    <cellStyle name="_입찰표지 _투찰내역_실정보고(차선,가드,갈매기)2" xfId="5018"/>
    <cellStyle name="_입찰표지 _투찰내역_실정보고(차선,가드,갈매기)2_부대공1" xfId="5019"/>
    <cellStyle name="_입찰표지 _투찰내역_은행이식(기계,바로정식)" xfId="5020"/>
    <cellStyle name="_입찰표지 _투찰내역_은행이식(기계,바로정식)_부대공1" xfId="5021"/>
    <cellStyle name="_입찰표지 _투찰내역_재료의 품질" xfId="5022"/>
    <cellStyle name="_입찰표지 _투찰내역_재료의 품질_부대공1" xfId="5023"/>
    <cellStyle name="_입찰표지 _투찰서" xfId="5024"/>
    <cellStyle name="_입찰표지 _투찰서_01 실행(군장산단) Rev00" xfId="5025"/>
    <cellStyle name="_입찰표지 _투찰서_01 실행(군장산단) Rev00_01 실행(부산남컨가호안109-원안분) REV04" xfId="5026"/>
    <cellStyle name="_자동차제작결함시스템 서버 " xfId="5027"/>
    <cellStyle name="_자재단가표" xfId="5028"/>
    <cellStyle name="_자재집계표" xfId="5029"/>
    <cellStyle name="_장비" xfId="5030"/>
    <cellStyle name="_장비견적분석" xfId="5031"/>
    <cellStyle name="_장산중학교내역(혁성)" xfId="5032"/>
    <cellStyle name="_장산중학교내역(혁성업체)" xfId="5033"/>
    <cellStyle name="_장산중학교내역하도급(혁성)" xfId="5034"/>
    <cellStyle name="_장성IC투찰" xfId="5035"/>
    <cellStyle name="_장성IC투찰_01 실행(군장산단) Rev00" xfId="5036"/>
    <cellStyle name="_장성IC투찰_01 실행(군장산단) Rev00_01 실행(부산남컨가호안109-원안분) REV04" xfId="5037"/>
    <cellStyle name="_장성IC투찰_경찰서-터미널간도로(투찰)②" xfId="5038"/>
    <cellStyle name="_장성IC투찰_경찰서-터미널간도로(투찰)②_01 실행(군장산단) Rev00" xfId="5039"/>
    <cellStyle name="_장성IC투찰_경찰서-터미널간도로(투찰)②_01 실행(군장산단) Rev00_01 실행(부산남컨가호안109-원안분) REV04" xfId="5040"/>
    <cellStyle name="_장성IC투찰_봉무지방산업단지도로(투찰)②" xfId="5041"/>
    <cellStyle name="_장성IC투찰_봉무지방산업단지도로(투찰)②_01 실행(군장산단) Rev00" xfId="5042"/>
    <cellStyle name="_장성IC투찰_봉무지방산업단지도로(투찰)②_01 실행(군장산단) Rev00_01 실행(부산남컨가호안109-원안분) REV04" xfId="5043"/>
    <cellStyle name="_장성IC투찰_봉무지방산업단지도로(투찰)②+0.250%" xfId="5044"/>
    <cellStyle name="_장성IC투찰_봉무지방산업단지도로(투찰)②+0.250%_01 실행(군장산단) Rev00" xfId="5045"/>
    <cellStyle name="_장성IC투찰_봉무지방산업단지도로(투찰)②+0.250%_01 실행(군장산단) Rev00_01 실행(부산남컨가호안109-원안분) REV04" xfId="5046"/>
    <cellStyle name="_장성IC투찰_합덕-신례원(2공구)투찰" xfId="5047"/>
    <cellStyle name="_장성IC투찰_합덕-신례원(2공구)투찰_01 실행(군장산단) Rev00" xfId="5048"/>
    <cellStyle name="_장성IC투찰_합덕-신례원(2공구)투찰_01 실행(군장산단) Rev00_01 실행(부산남컨가호안109-원안분) REV04" xfId="5049"/>
    <cellStyle name="_장성IC투찰_합덕-신례원(2공구)투찰_경찰서-터미널간도로(투찰)②" xfId="5050"/>
    <cellStyle name="_장성IC투찰_합덕-신례원(2공구)투찰_경찰서-터미널간도로(투찰)②_01 실행(군장산단) Rev00" xfId="5051"/>
    <cellStyle name="_장성IC투찰_합덕-신례원(2공구)투찰_경찰서-터미널간도로(투찰)②_01 실행(군장산단) Rev00_01 실행(부산남컨가호안109-원안분) REV04" xfId="5052"/>
    <cellStyle name="_장성IC투찰_합덕-신례원(2공구)투찰_봉무지방산업단지도로(투찰)②" xfId="5053"/>
    <cellStyle name="_장성IC투찰_합덕-신례원(2공구)투찰_봉무지방산업단지도로(투찰)②_01 실행(군장산단) Rev00" xfId="5054"/>
    <cellStyle name="_장성IC투찰_합덕-신례원(2공구)투찰_봉무지방산업단지도로(투찰)②_01 실행(군장산단) Rev00_01 실행(부산남컨가호안109-원안분) REV04" xfId="5055"/>
    <cellStyle name="_장성IC투찰_합덕-신례원(2공구)투찰_봉무지방산업단지도로(투찰)②+0.250%" xfId="5056"/>
    <cellStyle name="_장성IC투찰_합덕-신례원(2공구)투찰_봉무지방산업단지도로(투찰)②+0.250%_01 실행(군장산단) Rev00" xfId="5057"/>
    <cellStyle name="_장성IC투찰_합덕-신례원(2공구)투찰_봉무지방산업단지도로(투찰)②+0.250%_01 실행(군장산단) Rev00_01 실행(부산남컨가호안109-원안분) REV04" xfId="5058"/>
    <cellStyle name="_장성IC투찰_합덕-신례원(2공구)투찰_합덕-신례원(2공구)투찰" xfId="5059"/>
    <cellStyle name="_장성IC투찰_합덕-신례원(2공구)투찰_합덕-신례원(2공구)투찰_01 실행(군장산단) Rev00" xfId="5060"/>
    <cellStyle name="_장성IC투찰_합덕-신례원(2공구)투찰_합덕-신례원(2공구)투찰_01 실행(군장산단) Rev00_01 실행(부산남컨가호안109-원안분) REV04" xfId="5061"/>
    <cellStyle name="_장성IC투찰_합덕-신례원(2공구)투찰_합덕-신례원(2공구)투찰_경찰서-터미널간도로(투찰)②" xfId="5062"/>
    <cellStyle name="_장성IC투찰_합덕-신례원(2공구)투찰_합덕-신례원(2공구)투찰_경찰서-터미널간도로(투찰)②_01 실행(군장산단) Rev00" xfId="5063"/>
    <cellStyle name="_장성IC투찰_합덕-신례원(2공구)투찰_합덕-신례원(2공구)투찰_경찰서-터미널간도로(투찰)②_01 실행(군장산단) Rev00_01 실행(부산남컨가호안109-원안분) REV04" xfId="5064"/>
    <cellStyle name="_장성IC투찰_합덕-신례원(2공구)투찰_합덕-신례원(2공구)투찰_봉무지방산업단지도로(투찰)②" xfId="5065"/>
    <cellStyle name="_장성IC투찰_합덕-신례원(2공구)투찰_합덕-신례원(2공구)투찰_봉무지방산업단지도로(투찰)②_01 실행(군장산단) Rev00" xfId="5066"/>
    <cellStyle name="_장성IC투찰_합덕-신례원(2공구)투찰_합덕-신례원(2공구)투찰_봉무지방산업단지도로(투찰)②_01 실행(군장산단) Rev00_01 실행(부산남컨가호안109-원안분) REV04" xfId="5067"/>
    <cellStyle name="_장성IC투찰_합덕-신례원(2공구)투찰_합덕-신례원(2공구)투찰_봉무지방산업단지도로(투찰)②+0.250%" xfId="5068"/>
    <cellStyle name="_장성IC투찰_합덕-신례원(2공구)투찰_합덕-신례원(2공구)투찰_봉무지방산업단지도로(투찰)②+0.250%_01 실행(군장산단) Rev00" xfId="5069"/>
    <cellStyle name="_장성IC투찰_합덕-신례원(2공구)투찰_합덕-신례원(2공구)투찰_봉무지방산업단지도로(투찰)②+0.250%_01 실행(군장산단) Rev00_01 실행(부산남컨가호안109-원안분) REV04" xfId="5070"/>
    <cellStyle name="_장성호TY2" xfId="5071"/>
    <cellStyle name="_장성호TY2_2.여주jc7교" xfId="5072"/>
    <cellStyle name="_장천3공구" xfId="5073"/>
    <cellStyle name="_장천4공구" xfId="5074"/>
    <cellStyle name="_장천5공구" xfId="5075"/>
    <cellStyle name="_장천6공구" xfId="5076"/>
    <cellStyle name="_장천총괄내역수량" xfId="5077"/>
    <cellStyle name="_재료비" xfId="5078"/>
    <cellStyle name="_저수지 생태공원 GB관리계획 및 조성계획수립 용역 설계내역서" xfId="5079"/>
    <cellStyle name="_저수지공원화사업" xfId="5080"/>
    <cellStyle name="_적격 " xfId="5081"/>
    <cellStyle name="_적격 _01 실행(군장산단) Rev00" xfId="5082"/>
    <cellStyle name="_적격 _01 실행(군장산단) Rev00_01 실행(부산남컨가호안109-원안분) REV04" xfId="5083"/>
    <cellStyle name="_적격 _부대견적결과" xfId="5084"/>
    <cellStyle name="_적격 _부대견적결과_01 실행(군장산단) Rev00" xfId="5085"/>
    <cellStyle name="_적격 _부대견적결과_01 실행(군장산단) Rev00_01 실행(부산남컨가호안109-원안분) REV04" xfId="5086"/>
    <cellStyle name="_적격 _부대견적결과1" xfId="5087"/>
    <cellStyle name="_적격 _부대견적결과1_01 실행(군장산단) Rev00" xfId="5088"/>
    <cellStyle name="_적격 _부대견적결과1_01 실행(군장산단) Rev00_01 실행(부산남컨가호안109-원안분) REV04" xfId="5089"/>
    <cellStyle name="_적격 _부대견적의뢰" xfId="5090"/>
    <cellStyle name="_적격 _부대견적의뢰_01 실행(군장산단) Rev00" xfId="5091"/>
    <cellStyle name="_적격 _부대견적의뢰_01 실행(군장산단) Rev00_01 실행(부산남컨가호안109-원안분) REV04" xfId="5092"/>
    <cellStyle name="_적격 _부대선정조정품의" xfId="5093"/>
    <cellStyle name="_적격 _부대선정조정품의_01 실행(군장산단) Rev00" xfId="5094"/>
    <cellStyle name="_적격 _부대선정조정품의_01 실행(군장산단) Rev00_01 실행(부산남컨가호안109-원안분) REV04" xfId="5095"/>
    <cellStyle name="_적격 _부대입찰결과" xfId="5096"/>
    <cellStyle name="_적격 _부대입찰결과_01 실행(군장산단) Rev00" xfId="5097"/>
    <cellStyle name="_적격 _부대입찰결과_01 실행(군장산단) Rev00_01 실행(부산남컨가호안109-원안분) REV04" xfId="5098"/>
    <cellStyle name="_적격 _부대입찰송부" xfId="5099"/>
    <cellStyle name="_적격 _부대입찰송부(1차조정)" xfId="5100"/>
    <cellStyle name="_적격 _부대입찰송부(1차조정)_01 실행(군장산단) Rev00" xfId="5101"/>
    <cellStyle name="_적격 _부대입찰송부(1차조정)_01 실행(군장산단) Rev00_01 실행(부산남컨가호안109-원안분) REV04" xfId="5102"/>
    <cellStyle name="_적격 _부대입찰송부(무안광주)" xfId="5103"/>
    <cellStyle name="_적격 _부대입찰송부(무안광주)_01 실행(군장산단) Rev00" xfId="5104"/>
    <cellStyle name="_적격 _부대입찰송부(무안광주)_01 실행(군장산단) Rev00_01 실행(부산남컨가호안109-원안분) REV04" xfId="5105"/>
    <cellStyle name="_적격 _부대입찰송부_01 실행(군장산단) Rev00" xfId="5106"/>
    <cellStyle name="_적격 _부대입찰송부_01 실행(군장산단) Rev00_01 실행(부산남컨가호안109-원안분) REV04" xfId="5107"/>
    <cellStyle name="_적격 _부대입찰조정" xfId="5108"/>
    <cellStyle name="_적격 _부대입찰조정(광릉숲)" xfId="5109"/>
    <cellStyle name="_적격 _부대입찰조정(광릉숲)_01 실행(군장산단) Rev00" xfId="5110"/>
    <cellStyle name="_적격 _부대입찰조정(광릉숲)_01 실행(군장산단) Rev00_01 실행(부산남컨가호안109-원안분) REV04" xfId="5111"/>
    <cellStyle name="_적격 _부대입찰조정_01 실행(군장산단) Rev00" xfId="5112"/>
    <cellStyle name="_적격 _부대입찰조정_01 실행(군장산단) Rev00_01 실행(부산남컨가호안109-원안분) REV04" xfId="5113"/>
    <cellStyle name="_적격 _부대입찰특별조건및내역송부" xfId="5114"/>
    <cellStyle name="_적격 _부대입찰특별조건및내역송부(최저가)" xfId="5115"/>
    <cellStyle name="_적격 _부대입찰특별조건및내역송부(최저가)_01 실행(군장산단) Rev00" xfId="5116"/>
    <cellStyle name="_적격 _부대입찰특별조건및내역송부(최저가)_01 실행(군장산단) Rev00_01 실행(부산남컨가호안109-원안분) REV04" xfId="5117"/>
    <cellStyle name="_적격 _부대입찰특별조건및내역송부_01 실행(군장산단) Rev00" xfId="5118"/>
    <cellStyle name="_적격 _부대입찰특별조건및내역송부_01 실행(군장산단) Rev00_01 실행(부산남컨가호안109-원안분) REV04" xfId="5119"/>
    <cellStyle name="_적격 _집행갑지 " xfId="5120"/>
    <cellStyle name="_적격 _집행갑지 _01 실행(군장산단) Rev00" xfId="5121"/>
    <cellStyle name="_적격 _집행갑지 _01 실행(군장산단) Rev00_01 실행(부산남컨가호안109-원안분) REV04" xfId="5122"/>
    <cellStyle name="_적격 _집행갑지 _부대견적결과" xfId="5123"/>
    <cellStyle name="_적격 _집행갑지 _부대견적결과_01 실행(군장산단) Rev00" xfId="5124"/>
    <cellStyle name="_적격 _집행갑지 _부대견적결과_01 실행(군장산단) Rev00_01 실행(부산남컨가호안109-원안분) REV04" xfId="5125"/>
    <cellStyle name="_적격 _집행갑지 _부대견적결과1" xfId="5126"/>
    <cellStyle name="_적격 _집행갑지 _부대견적결과1_01 실행(군장산단) Rev00" xfId="5127"/>
    <cellStyle name="_적격 _집행갑지 _부대견적결과1_01 실행(군장산단) Rev00_01 실행(부산남컨가호안109-원안분) REV04" xfId="5128"/>
    <cellStyle name="_적격 _집행갑지 _부대견적의뢰" xfId="5129"/>
    <cellStyle name="_적격 _집행갑지 _부대견적의뢰_01 실행(군장산단) Rev00" xfId="5130"/>
    <cellStyle name="_적격 _집행갑지 _부대견적의뢰_01 실행(군장산단) Rev00_01 실행(부산남컨가호안109-원안분) REV04" xfId="5131"/>
    <cellStyle name="_적격 _집행갑지 _부대선정조정품의" xfId="5132"/>
    <cellStyle name="_적격 _집행갑지 _부대선정조정품의_01 실행(군장산단) Rev00" xfId="5133"/>
    <cellStyle name="_적격 _집행갑지 _부대선정조정품의_01 실행(군장산단) Rev00_01 실행(부산남컨가호안109-원안분) REV04" xfId="5134"/>
    <cellStyle name="_적격 _집행갑지 _부대입찰결과" xfId="5135"/>
    <cellStyle name="_적격 _집행갑지 _부대입찰결과_01 실행(군장산단) Rev00" xfId="5136"/>
    <cellStyle name="_적격 _집행갑지 _부대입찰결과_01 실행(군장산단) Rev00_01 실행(부산남컨가호안109-원안분) REV04" xfId="5137"/>
    <cellStyle name="_적격 _집행갑지 _부대입찰송부" xfId="5138"/>
    <cellStyle name="_적격 _집행갑지 _부대입찰송부(1차조정)" xfId="5139"/>
    <cellStyle name="_적격 _집행갑지 _부대입찰송부(1차조정)_01 실행(군장산단) Rev00" xfId="5140"/>
    <cellStyle name="_적격 _집행갑지 _부대입찰송부(1차조정)_01 실행(군장산단) Rev00_01 실행(부산남컨가호안109-원안분) REV04" xfId="5141"/>
    <cellStyle name="_적격 _집행갑지 _부대입찰송부(무안광주)" xfId="5142"/>
    <cellStyle name="_적격 _집행갑지 _부대입찰송부(무안광주)_01 실행(군장산단) Rev00" xfId="5143"/>
    <cellStyle name="_적격 _집행갑지 _부대입찰송부(무안광주)_01 실행(군장산단) Rev00_01 실행(부산남컨가호안109-원안분) REV04" xfId="5144"/>
    <cellStyle name="_적격 _집행갑지 _부대입찰송부_01 실행(군장산단) Rev00" xfId="5145"/>
    <cellStyle name="_적격 _집행갑지 _부대입찰송부_01 실행(군장산단) Rev00_01 실행(부산남컨가호안109-원안분) REV04" xfId="5146"/>
    <cellStyle name="_적격 _집행갑지 _부대입찰조정" xfId="5147"/>
    <cellStyle name="_적격 _집행갑지 _부대입찰조정(광릉숲)" xfId="5148"/>
    <cellStyle name="_적격 _집행갑지 _부대입찰조정(광릉숲)_01 실행(군장산단) Rev00" xfId="5149"/>
    <cellStyle name="_적격 _집행갑지 _부대입찰조정(광릉숲)_01 실행(군장산단) Rev00_01 실행(부산남컨가호안109-원안분) REV04" xfId="5150"/>
    <cellStyle name="_적격 _집행갑지 _부대입찰조정_01 실행(군장산단) Rev00" xfId="5151"/>
    <cellStyle name="_적격 _집행갑지 _부대입찰조정_01 실행(군장산단) Rev00_01 실행(부산남컨가호안109-원안분) REV04" xfId="5152"/>
    <cellStyle name="_적격 _집행갑지 _부대입찰특별조건및내역송부" xfId="5153"/>
    <cellStyle name="_적격 _집행갑지 _부대입찰특별조건및내역송부(최저가)" xfId="5154"/>
    <cellStyle name="_적격 _집행갑지 _부대입찰특별조건및내역송부(최저가)_01 실행(군장산단) Rev00" xfId="5155"/>
    <cellStyle name="_적격 _집행갑지 _부대입찰특별조건및내역송부(최저가)_01 실행(군장산단) Rev00_01 실행(부산남컨가호안109-원안분) REV04" xfId="5156"/>
    <cellStyle name="_적격 _집행갑지 _부대입찰특별조건및내역송부_01 실행(군장산단) Rev00" xfId="5157"/>
    <cellStyle name="_적격 _집행갑지 _부대입찰특별조건및내역송부_01 실행(군장산단) Rev00_01 실행(부산남컨가호안109-원안분) REV04" xfId="5158"/>
    <cellStyle name="_적격 _집행갑지 _투찰" xfId="5159"/>
    <cellStyle name="_적격 _집행갑지 _투찰(14-1)" xfId="5160"/>
    <cellStyle name="_적격 _집행갑지 _투찰(14-1)_01 실행(군장산단) Rev00" xfId="5161"/>
    <cellStyle name="_적격 _집행갑지 _투찰(14-1)_01 실행(군장산단) Rev00_01 실행(부산남컨가호안109-원안분) REV04" xfId="5162"/>
    <cellStyle name="_적격 _집행갑지 _투찰(8공구)" xfId="5163"/>
    <cellStyle name="_적격 _집행갑지 _투찰(8공구)_01 실행(군장산단) Rev00" xfId="5164"/>
    <cellStyle name="_적격 _집행갑지 _투찰(8공구)_01 실행(군장산단) Rev00_01 실행(부산남컨가호안109-원안분) REV04" xfId="5165"/>
    <cellStyle name="_적격 _집행갑지 _투찰(고철10-4)" xfId="5166"/>
    <cellStyle name="_적격 _집행갑지 _투찰(고철10-4)_01 실행(군장산단) Rev00" xfId="5167"/>
    <cellStyle name="_적격 _집행갑지 _투찰(고철10-4)_01 실행(군장산단) Rev00_01 실행(부산남컨가호안109-원안분) REV04" xfId="5168"/>
    <cellStyle name="_적격 _집행갑지 _투찰(무안광주3공구)" xfId="5169"/>
    <cellStyle name="_적격 _집행갑지 _투찰(무안광주3공구)_01 실행(군장산단) Rev00" xfId="5170"/>
    <cellStyle name="_적격 _집행갑지 _투찰(무안광주3공구)_01 실행(군장산단) Rev00_01 실행(부산남컨가호안109-원안분) REV04" xfId="5171"/>
    <cellStyle name="_적격 _집행갑지 _투찰(토목)" xfId="5172"/>
    <cellStyle name="_적격 _집행갑지 _투찰(토목)_01 실행(군장산단) Rev00" xfId="5173"/>
    <cellStyle name="_적격 _집행갑지 _투찰(토목)_01 실행(군장산단) Rev00_01 실행(부산남컨가호안109-원안분) REV04" xfId="5174"/>
    <cellStyle name="_적격 _집행갑지 _투찰_01 실행(군장산단) Rev00" xfId="5175"/>
    <cellStyle name="_적격 _집행갑지 _투찰_01 실행(군장산단) Rev00_01 실행(부산남컨가호안109-원안분) REV04" xfId="5176"/>
    <cellStyle name="_적격 _집행갑지 _투찰_1" xfId="5177"/>
    <cellStyle name="_적격 _집행갑지 _투찰_1_01 실행(군장산단) Rev00" xfId="5178"/>
    <cellStyle name="_적격 _집행갑지 _투찰_1_01 실행(군장산단) Rev00_01 실행(부산남컨가호안109-원안분) REV04" xfId="5179"/>
    <cellStyle name="_적격 _집행갑지 _투찰_부대견적결과" xfId="5180"/>
    <cellStyle name="_적격 _집행갑지 _투찰_부대견적결과_01 실행(군장산단) Rev00" xfId="5181"/>
    <cellStyle name="_적격 _집행갑지 _투찰_부대견적결과_01 실행(군장산단) Rev00_01 실행(부산남컨가호안109-원안분) REV04" xfId="5182"/>
    <cellStyle name="_적격 _집행갑지 _투찰_부대견적결과1" xfId="5183"/>
    <cellStyle name="_적격 _집행갑지 _투찰_부대견적결과1_01 실행(군장산단) Rev00" xfId="5184"/>
    <cellStyle name="_적격 _집행갑지 _투찰_부대견적결과1_01 실행(군장산단) Rev00_01 실행(부산남컨가호안109-원안분) REV04" xfId="5185"/>
    <cellStyle name="_적격 _집행갑지 _투찰_부대견적의뢰" xfId="5186"/>
    <cellStyle name="_적격 _집행갑지 _투찰_부대견적의뢰_01 실행(군장산단) Rev00" xfId="5187"/>
    <cellStyle name="_적격 _집행갑지 _투찰_부대견적의뢰_01 실행(군장산단) Rev00_01 실행(부산남컨가호안109-원안분) REV04" xfId="5188"/>
    <cellStyle name="_적격 _집행갑지 _투찰_부대선정조정품의" xfId="5189"/>
    <cellStyle name="_적격 _집행갑지 _투찰_부대선정조정품의_01 실행(군장산단) Rev00" xfId="5190"/>
    <cellStyle name="_적격 _집행갑지 _투찰_부대선정조정품의_01 실행(군장산단) Rev00_01 실행(부산남컨가호안109-원안분) REV04" xfId="5191"/>
    <cellStyle name="_적격 _집행갑지 _투찰_부대입찰결과" xfId="5192"/>
    <cellStyle name="_적격 _집행갑지 _투찰_부대입찰결과_01 실행(군장산단) Rev00" xfId="5193"/>
    <cellStyle name="_적격 _집행갑지 _투찰_부대입찰결과_01 실행(군장산단) Rev00_01 실행(부산남컨가호안109-원안분) REV04" xfId="5194"/>
    <cellStyle name="_적격 _집행갑지 _투찰_부대입찰송부" xfId="5195"/>
    <cellStyle name="_적격 _집행갑지 _투찰_부대입찰송부(1차조정)" xfId="5196"/>
    <cellStyle name="_적격 _집행갑지 _투찰_부대입찰송부(1차조정)_01 실행(군장산단) Rev00" xfId="5197"/>
    <cellStyle name="_적격 _집행갑지 _투찰_부대입찰송부(1차조정)_01 실행(군장산단) Rev00_01 실행(부산남컨가호안109-원안분) REV04" xfId="5198"/>
    <cellStyle name="_적격 _집행갑지 _투찰_부대입찰송부_01 실행(군장산단) Rev00" xfId="5199"/>
    <cellStyle name="_적격 _집행갑지 _투찰_부대입찰송부_01 실행(군장산단) Rev00_01 실행(부산남컨가호안109-원안분) REV04" xfId="5200"/>
    <cellStyle name="_적격 _집행갑지 _투찰_부대입찰조정" xfId="5201"/>
    <cellStyle name="_적격 _집행갑지 _투찰_부대입찰조정_01 실행(군장산단) Rev00" xfId="5202"/>
    <cellStyle name="_적격 _집행갑지 _투찰_부대입찰조정_01 실행(군장산단) Rev00_01 실행(부산남컨가호안109-원안분) REV04" xfId="5203"/>
    <cellStyle name="_적격 _집행갑지 _투찰_부대입찰특별조건및내역송부" xfId="5204"/>
    <cellStyle name="_적격 _집행갑지 _투찰_부대입찰특별조건및내역송부_01 실행(군장산단) Rev00" xfId="5205"/>
    <cellStyle name="_적격 _집행갑지 _투찰_부대입찰특별조건및내역송부_01 실행(군장산단) Rev00_01 실행(부산남컨가호안109-원안분) REV04" xfId="5206"/>
    <cellStyle name="_적격 _집행갑지 _투찰_투찰" xfId="5207"/>
    <cellStyle name="_적격 _집행갑지 _투찰_투찰(8공구)" xfId="5208"/>
    <cellStyle name="_적격 _집행갑지 _투찰_투찰(8공구)_01 실행(군장산단) Rev00" xfId="5209"/>
    <cellStyle name="_적격 _집행갑지 _투찰_투찰(8공구)_01 실행(군장산단) Rev00_01 실행(부산남컨가호안109-원안분) REV04" xfId="5210"/>
    <cellStyle name="_적격 _집행갑지 _투찰_투찰(토목)" xfId="5211"/>
    <cellStyle name="_적격 _집행갑지 _투찰_투찰(토목)_01 실행(군장산단) Rev00" xfId="5212"/>
    <cellStyle name="_적격 _집행갑지 _투찰_투찰(토목)_01 실행(군장산단) Rev00_01 실행(부산남컨가호안109-원안분) REV04" xfId="5213"/>
    <cellStyle name="_적격 _집행갑지 _투찰_투찰_01 실행(군장산단) Rev00" xfId="5214"/>
    <cellStyle name="_적격 _집행갑지 _투찰_투찰_01 실행(군장산단) Rev00_01 실행(부산남컨가호안109-원안분) REV04" xfId="5215"/>
    <cellStyle name="_적격 _집행갑지 _투찰_투찰서" xfId="5216"/>
    <cellStyle name="_적격 _집행갑지 _투찰_투찰서_01 실행(군장산단) Rev00" xfId="5217"/>
    <cellStyle name="_적격 _집행갑지 _투찰_투찰서_01 실행(군장산단) Rev00_01 실행(부산남컨가호안109-원안분) REV04" xfId="5218"/>
    <cellStyle name="_적격 _집행갑지 _투찰서" xfId="5219"/>
    <cellStyle name="_적격 _집행갑지 _투찰서_01 실행(군장산단) Rev00" xfId="5220"/>
    <cellStyle name="_적격 _집행갑지 _투찰서_01 실행(군장산단) Rev00_01 실행(부산남컨가호안109-원안분) REV04" xfId="5221"/>
    <cellStyle name="_적격 _투찰" xfId="5222"/>
    <cellStyle name="_적격 _투찰(14-1)" xfId="5223"/>
    <cellStyle name="_적격 _투찰(14-1)_01 실행(군장산단) Rev00" xfId="5224"/>
    <cellStyle name="_적격 _투찰(14-1)_01 실행(군장산단) Rev00_01 실행(부산남컨가호안109-원안분) REV04" xfId="5225"/>
    <cellStyle name="_적격 _투찰(8공구)" xfId="5226"/>
    <cellStyle name="_적격 _투찰(8공구)_01 실행(군장산단) Rev00" xfId="5227"/>
    <cellStyle name="_적격 _투찰(8공구)_01 실행(군장산단) Rev00_01 실행(부산남컨가호안109-원안분) REV04" xfId="5228"/>
    <cellStyle name="_적격 _투찰(고철10-4)" xfId="5229"/>
    <cellStyle name="_적격 _투찰(고철10-4)_01 실행(군장산단) Rev00" xfId="5230"/>
    <cellStyle name="_적격 _투찰(고철10-4)_01 실행(군장산단) Rev00_01 실행(부산남컨가호안109-원안분) REV04" xfId="5231"/>
    <cellStyle name="_적격 _투찰(무안광주3공구)" xfId="5232"/>
    <cellStyle name="_적격 _투찰(무안광주3공구)_01 실행(군장산단) Rev00" xfId="5233"/>
    <cellStyle name="_적격 _투찰(무안광주3공구)_01 실행(군장산단) Rev00_01 실행(부산남컨가호안109-원안분) REV04" xfId="5234"/>
    <cellStyle name="_적격 _투찰(토목)" xfId="5235"/>
    <cellStyle name="_적격 _투찰(토목)_01 실행(군장산단) Rev00" xfId="5236"/>
    <cellStyle name="_적격 _투찰(토목)_01 실행(군장산단) Rev00_01 실행(부산남컨가호안109-원안분) REV04" xfId="5237"/>
    <cellStyle name="_적격 _투찰_01 실행(군장산단) Rev00" xfId="5238"/>
    <cellStyle name="_적격 _투찰_01 실행(군장산단) Rev00_01 실행(부산남컨가호안109-원안분) REV04" xfId="5239"/>
    <cellStyle name="_적격 _투찰_1" xfId="5240"/>
    <cellStyle name="_적격 _투찰_1_01 실행(군장산단) Rev00" xfId="5241"/>
    <cellStyle name="_적격 _투찰_1_01 실행(군장산단) Rev00_01 실행(부산남컨가호안109-원안분) REV04" xfId="5242"/>
    <cellStyle name="_적격 _투찰_부대견적결과" xfId="5243"/>
    <cellStyle name="_적격 _투찰_부대견적결과_01 실행(군장산단) Rev00" xfId="5244"/>
    <cellStyle name="_적격 _투찰_부대견적결과_01 실행(군장산단) Rev00_01 실행(부산남컨가호안109-원안분) REV04" xfId="5245"/>
    <cellStyle name="_적격 _투찰_부대견적결과1" xfId="5246"/>
    <cellStyle name="_적격 _투찰_부대견적결과1_01 실행(군장산단) Rev00" xfId="5247"/>
    <cellStyle name="_적격 _투찰_부대견적결과1_01 실행(군장산단) Rev00_01 실행(부산남컨가호안109-원안분) REV04" xfId="5248"/>
    <cellStyle name="_적격 _투찰_부대견적의뢰" xfId="5249"/>
    <cellStyle name="_적격 _투찰_부대견적의뢰_01 실행(군장산단) Rev00" xfId="5250"/>
    <cellStyle name="_적격 _투찰_부대견적의뢰_01 실행(군장산단) Rev00_01 실행(부산남컨가호안109-원안분) REV04" xfId="5251"/>
    <cellStyle name="_적격 _투찰_부대선정조정품의" xfId="5252"/>
    <cellStyle name="_적격 _투찰_부대선정조정품의_01 실행(군장산단) Rev00" xfId="5253"/>
    <cellStyle name="_적격 _투찰_부대선정조정품의_01 실행(군장산단) Rev00_01 실행(부산남컨가호안109-원안분) REV04" xfId="5254"/>
    <cellStyle name="_적격 _투찰_부대입찰결과" xfId="5255"/>
    <cellStyle name="_적격 _투찰_부대입찰결과_01 실행(군장산단) Rev00" xfId="5256"/>
    <cellStyle name="_적격 _투찰_부대입찰결과_01 실행(군장산단) Rev00_01 실행(부산남컨가호안109-원안분) REV04" xfId="5257"/>
    <cellStyle name="_적격 _투찰_부대입찰송부" xfId="5258"/>
    <cellStyle name="_적격 _투찰_부대입찰송부(1차조정)" xfId="5259"/>
    <cellStyle name="_적격 _투찰_부대입찰송부(1차조정)_01 실행(군장산단) Rev00" xfId="5260"/>
    <cellStyle name="_적격 _투찰_부대입찰송부(1차조정)_01 실행(군장산단) Rev00_01 실행(부산남컨가호안109-원안분) REV04" xfId="5261"/>
    <cellStyle name="_적격 _투찰_부대입찰송부_01 실행(군장산단) Rev00" xfId="5262"/>
    <cellStyle name="_적격 _투찰_부대입찰송부_01 실행(군장산단) Rev00_01 실행(부산남컨가호안109-원안분) REV04" xfId="5263"/>
    <cellStyle name="_적격 _투찰_부대입찰조정" xfId="5264"/>
    <cellStyle name="_적격 _투찰_부대입찰조정_01 실행(군장산단) Rev00" xfId="5265"/>
    <cellStyle name="_적격 _투찰_부대입찰조정_01 실행(군장산단) Rev00_01 실행(부산남컨가호안109-원안분) REV04" xfId="5266"/>
    <cellStyle name="_적격 _투찰_부대입찰특별조건및내역송부" xfId="5267"/>
    <cellStyle name="_적격 _투찰_부대입찰특별조건및내역송부_01 실행(군장산단) Rev00" xfId="5268"/>
    <cellStyle name="_적격 _투찰_부대입찰특별조건및내역송부_01 실행(군장산단) Rev00_01 실행(부산남컨가호안109-원안분) REV04" xfId="5269"/>
    <cellStyle name="_적격 _투찰_투찰" xfId="5270"/>
    <cellStyle name="_적격 _투찰_투찰(8공구)" xfId="5271"/>
    <cellStyle name="_적격 _투찰_투찰(8공구)_01 실행(군장산단) Rev00" xfId="5272"/>
    <cellStyle name="_적격 _투찰_투찰(8공구)_01 실행(군장산단) Rev00_01 실행(부산남컨가호안109-원안분) REV04" xfId="5273"/>
    <cellStyle name="_적격 _투찰_투찰(토목)" xfId="5274"/>
    <cellStyle name="_적격 _투찰_투찰(토목)_01 실행(군장산단) Rev00" xfId="5275"/>
    <cellStyle name="_적격 _투찰_투찰(토목)_01 실행(군장산단) Rev00_01 실행(부산남컨가호안109-원안분) REV04" xfId="5276"/>
    <cellStyle name="_적격 _투찰_투찰_01 실행(군장산단) Rev00" xfId="5277"/>
    <cellStyle name="_적격 _투찰_투찰_01 실행(군장산단) Rev00_01 실행(부산남컨가호안109-원안분) REV04" xfId="5278"/>
    <cellStyle name="_적격 _투찰_투찰서" xfId="5279"/>
    <cellStyle name="_적격 _투찰_투찰서_01 실행(군장산단) Rev00" xfId="5280"/>
    <cellStyle name="_적격 _투찰_투찰서_01 실행(군장산단) Rev00_01 실행(부산남컨가호안109-원안분) REV04" xfId="5281"/>
    <cellStyle name="_적격 _투찰서" xfId="5282"/>
    <cellStyle name="_적격 _투찰서_01 실행(군장산단) Rev00" xfId="5283"/>
    <cellStyle name="_적격 _투찰서_01 실행(군장산단) Rev00_01 실행(부산남컨가호안109-원안분) REV04" xfId="5284"/>
    <cellStyle name="_적격(화산) " xfId="5285"/>
    <cellStyle name="_적격(화산) _01 실행(군장산단) Rev00" xfId="5286"/>
    <cellStyle name="_적격(화산) _01 실행(군장산단) Rev00_01 실행(부산남컨가호안109-원안분) REV04" xfId="5287"/>
    <cellStyle name="_적격(화산) _01.설계내역2" xfId="5288"/>
    <cellStyle name="_적격(화산) _1차준공검사원" xfId="5289"/>
    <cellStyle name="_적격(화산) _1차준공검사원_부대공1" xfId="5290"/>
    <cellStyle name="_적격(화산) _2차1회기공검사원(5월26일)1" xfId="5291"/>
    <cellStyle name="_적격(화산) _2차1회기공검사원(5월26일)1_부대공1" xfId="5292"/>
    <cellStyle name="_적격(화산) _2차분 하도급내역" xfId="5293"/>
    <cellStyle name="_적격(화산) _2차분 하도급내역_부대공1" xfId="5294"/>
    <cellStyle name="_적격(화산) _3공구투찰(103,078)" xfId="5295"/>
    <cellStyle name="_적격(화산) _3공구투찰(103,078)_1차준공검사원" xfId="5296"/>
    <cellStyle name="_적격(화산) _3공구투찰(103,078)_1차준공검사원_부대공1" xfId="5297"/>
    <cellStyle name="_적격(화산) _3공구투찰(103,078)_2차1회기공검사원(5월26일)1" xfId="5298"/>
    <cellStyle name="_적격(화산) _3공구투찰(103,078)_2차1회기공검사원(5월26일)1_부대공1" xfId="5299"/>
    <cellStyle name="_적격(화산) _3공구투찰(103,078)_Box 터파기 암판정" xfId="5300"/>
    <cellStyle name="_적격(화산) _3공구투찰(103,078)_Box 터파기 암판정_부대공1" xfId="5301"/>
    <cellStyle name="_적격(화산) _3공구투찰(103,078)_기성서류" xfId="5302"/>
    <cellStyle name="_적격(화산) _3공구투찰(103,078)_기성서류_부대공1" xfId="5303"/>
    <cellStyle name="_적격(화산) _3공구투찰(103,078)_부대공1" xfId="5304"/>
    <cellStyle name="_적격(화산) _3공구투찰(103,078)_부대입찰선금내역" xfId="5305"/>
    <cellStyle name="_적격(화산) _3공구투찰(103,078)_부대입찰선금내역_부대공1" xfId="5306"/>
    <cellStyle name="_적격(화산) _3공구투찰(103,078)_선급금 청구공문1" xfId="5307"/>
    <cellStyle name="_적격(화산) _3공구투찰(103,078)_선급금 청구공문1_부대공1" xfId="5308"/>
    <cellStyle name="_적격(화산) _3공구투찰(103,078)_수목이식(적송)" xfId="5309"/>
    <cellStyle name="_적격(화산) _3공구투찰(103,078)_수목이식(적송)_부대공1" xfId="5310"/>
    <cellStyle name="_적격(화산) _3공구투찰(103,078)_실정보고(차선,가드,갈매기)2" xfId="5311"/>
    <cellStyle name="_적격(화산) _3공구투찰(103,078)_실정보고(차선,가드,갈매기)2_부대공1" xfId="5312"/>
    <cellStyle name="_적격(화산) _3공구투찰(103,078)_은행이식(기계,바로정식)" xfId="5313"/>
    <cellStyle name="_적격(화산) _3공구투찰(103,078)_은행이식(기계,바로정식)_부대공1" xfId="5314"/>
    <cellStyle name="_적격(화산) _3공구투찰(103,078)_재료의 품질" xfId="5315"/>
    <cellStyle name="_적격(화산) _3공구투찰(103,078)_재료의 품질_부대공1" xfId="5316"/>
    <cellStyle name="_적격(화산) _Box 터파기 암판정" xfId="5317"/>
    <cellStyle name="_적격(화산) _Box 터파기 암판정_부대공1" xfId="5318"/>
    <cellStyle name="_적격(화산) _공문" xfId="5319"/>
    <cellStyle name="_적격(화산) _공문_부대공1" xfId="5320"/>
    <cellStyle name="_적격(화산) _공문_수목이식(적송)" xfId="5321"/>
    <cellStyle name="_적격(화산) _공문_수목이식(적송)_부대공1" xfId="5322"/>
    <cellStyle name="_적격(화산) _공문_은행이식(기계,바로정식)" xfId="5323"/>
    <cellStyle name="_적격(화산) _공문_은행이식(기계,바로정식)_부대공1" xfId="5324"/>
    <cellStyle name="_적격(화산) _기성내역" xfId="5325"/>
    <cellStyle name="_적격(화산) _기성내역_부대공1" xfId="5326"/>
    <cellStyle name="_적격(화산) _기성서류" xfId="5327"/>
    <cellStyle name="_적격(화산) _기성서류_부대공1" xfId="5328"/>
    <cellStyle name="_적격(화산) _부대견적결과" xfId="5329"/>
    <cellStyle name="_적격(화산) _부대견적결과_01 실행(군장산단) Rev00" xfId="5330"/>
    <cellStyle name="_적격(화산) _부대견적결과_01 실행(군장산단) Rev00_01 실행(부산남컨가호안109-원안분) REV04" xfId="5331"/>
    <cellStyle name="_적격(화산) _부대견적결과1" xfId="5332"/>
    <cellStyle name="_적격(화산) _부대견적결과1_01 실행(군장산단) Rev00" xfId="5333"/>
    <cellStyle name="_적격(화산) _부대견적결과1_01 실행(군장산단) Rev00_01 실행(부산남컨가호안109-원안분) REV04" xfId="5334"/>
    <cellStyle name="_적격(화산) _부대견적의뢰" xfId="5335"/>
    <cellStyle name="_적격(화산) _부대견적의뢰_01 실행(군장산단) Rev00" xfId="5336"/>
    <cellStyle name="_적격(화산) _부대견적의뢰_01 실행(군장산단) Rev00_01 실행(부산남컨가호안109-원안분) REV04" xfId="5337"/>
    <cellStyle name="_적격(화산) _부대공1" xfId="5338"/>
    <cellStyle name="_적격(화산) _부대선정조정품의" xfId="5339"/>
    <cellStyle name="_적격(화산) _부대선정조정품의_01 실행(군장산단) Rev00" xfId="5340"/>
    <cellStyle name="_적격(화산) _부대선정조정품의_01 실행(군장산단) Rev00_01 실행(부산남컨가호안109-원안분) REV04" xfId="5341"/>
    <cellStyle name="_적격(화산) _부대입찰결과" xfId="5342"/>
    <cellStyle name="_적격(화산) _부대입찰결과_01 실행(군장산단) Rev00" xfId="5343"/>
    <cellStyle name="_적격(화산) _부대입찰결과_01 실행(군장산단) Rev00_01 실행(부산남컨가호안109-원안분) REV04" xfId="5344"/>
    <cellStyle name="_적격(화산) _부대입찰선금내역" xfId="5345"/>
    <cellStyle name="_적격(화산) _부대입찰선금내역_부대공1" xfId="5346"/>
    <cellStyle name="_적격(화산) _부대입찰송부" xfId="5347"/>
    <cellStyle name="_적격(화산) _부대입찰송부(1차조정)" xfId="5348"/>
    <cellStyle name="_적격(화산) _부대입찰송부(1차조정)_01 실행(군장산단) Rev00" xfId="5349"/>
    <cellStyle name="_적격(화산) _부대입찰송부(1차조정)_01 실행(군장산단) Rev00_01 실행(부산남컨가호안109-원안분) REV04" xfId="5350"/>
    <cellStyle name="_적격(화산) _부대입찰송부(무안광주)" xfId="5351"/>
    <cellStyle name="_적격(화산) _부대입찰송부(무안광주)_01 실행(군장산단) Rev00" xfId="5352"/>
    <cellStyle name="_적격(화산) _부대입찰송부(무안광주)_01 실행(군장산단) Rev00_01 실행(부산남컨가호안109-원안분) REV04" xfId="5353"/>
    <cellStyle name="_적격(화산) _부대입찰송부_01 실행(군장산단) Rev00" xfId="5354"/>
    <cellStyle name="_적격(화산) _부대입찰송부_01 실행(군장산단) Rev00_01 실행(부산남컨가호안109-원안분) REV04" xfId="5355"/>
    <cellStyle name="_적격(화산) _부대입찰조정" xfId="5356"/>
    <cellStyle name="_적격(화산) _부대입찰조정(광릉숲)" xfId="5357"/>
    <cellStyle name="_적격(화산) _부대입찰조정(광릉숲)_01 실행(군장산단) Rev00" xfId="5358"/>
    <cellStyle name="_적격(화산) _부대입찰조정(광릉숲)_01 실행(군장산단) Rev00_01 실행(부산남컨가호안109-원안분) REV04" xfId="5359"/>
    <cellStyle name="_적격(화산) _부대입찰조정_01 실행(군장산단) Rev00" xfId="5360"/>
    <cellStyle name="_적격(화산) _부대입찰조정_01 실행(군장산단) Rev00_01 실행(부산남컨가호안109-원안분) REV04" xfId="5361"/>
    <cellStyle name="_적격(화산) _부대입찰특별조건및내역송부" xfId="5362"/>
    <cellStyle name="_적격(화산) _부대입찰특별조건및내역송부(최저가)" xfId="5363"/>
    <cellStyle name="_적격(화산) _부대입찰특별조건및내역송부(최저가)_01 실행(군장산단) Rev00" xfId="5364"/>
    <cellStyle name="_적격(화산) _부대입찰특별조건및내역송부(최저가)_01 실행(군장산단) Rev00_01 실행(부산남컨가호안109-원안분) REV04" xfId="5365"/>
    <cellStyle name="_적격(화산) _부대입찰특별조건및내역송부_01 실행(군장산단) Rev00" xfId="5366"/>
    <cellStyle name="_적격(화산) _부대입찰특별조건및내역송부_01 실행(군장산단) Rev00_01 실행(부산남컨가호안109-원안분) REV04" xfId="5367"/>
    <cellStyle name="_적격(화산) _선급금 청구공문1" xfId="5368"/>
    <cellStyle name="_적격(화산) _선급금 청구공문1_부대공1" xfId="5369"/>
    <cellStyle name="_적격(화산) _수목이식(적송)" xfId="5370"/>
    <cellStyle name="_적격(화산) _수목이식(적송)_부대공1" xfId="5371"/>
    <cellStyle name="_적격(화산) _신풍-우성내역서(1차1회변경)" xfId="5372"/>
    <cellStyle name="_적격(화산) _신풍-우성내역서(1차1회변경)_부대공1" xfId="5373"/>
    <cellStyle name="_적격(화산) _신풍-우성내역서(1차공사)" xfId="5374"/>
    <cellStyle name="_적격(화산) _신풍-우성내역서(1차공사)_부대공1" xfId="5375"/>
    <cellStyle name="_적격(화산) _실정보고(차선,가드,갈매기)2" xfId="5376"/>
    <cellStyle name="_적격(화산) _실정보고(차선,가드,갈매기)2_부대공1" xfId="5377"/>
    <cellStyle name="_적격(화산) _실정보고(합성형강관말뚝)1" xfId="5378"/>
    <cellStyle name="_적격(화산) _실정보고(합성형강관말뚝)1_부대공1" xfId="5379"/>
    <cellStyle name="_적격(화산) _실정보고-1" xfId="5380"/>
    <cellStyle name="_적격(화산) _실정보고-1_부대공1" xfId="5381"/>
    <cellStyle name="_적격(화산) _은행(서울)" xfId="5382"/>
    <cellStyle name="_적격(화산) _은행(서울)_2차분 하도급내역" xfId="5383"/>
    <cellStyle name="_적격(화산) _은행(서울)_2차분 하도급내역_부대공1" xfId="5384"/>
    <cellStyle name="_적격(화산) _은행(서울)_Box 터파기 암판정" xfId="5385"/>
    <cellStyle name="_적격(화산) _은행(서울)_Box 터파기 암판정_부대공1" xfId="5386"/>
    <cellStyle name="_적격(화산) _은행(서울)_부대공1" xfId="5387"/>
    <cellStyle name="_적격(화산) _은행(서울)_수목이식(적송)" xfId="5388"/>
    <cellStyle name="_적격(화산) _은행(서울)_수목이식(적송)_부대공1" xfId="5389"/>
    <cellStyle name="_적격(화산) _은행(서울)_신풍-우성내역서(1차1회변경)" xfId="5390"/>
    <cellStyle name="_적격(화산) _은행(서울)_신풍-우성내역서(1차1회변경)_부대공1" xfId="5391"/>
    <cellStyle name="_적격(화산) _은행(서울)_신풍-우성내역서(1차공사)" xfId="5392"/>
    <cellStyle name="_적격(화산) _은행(서울)_신풍-우성내역서(1차공사)_부대공1" xfId="5393"/>
    <cellStyle name="_적격(화산) _은행(서울)_실정보고(합성형강관말뚝)1" xfId="5394"/>
    <cellStyle name="_적격(화산) _은행(서울)_실정보고(합성형강관말뚝)1_부대공1" xfId="5395"/>
    <cellStyle name="_적격(화산) _은행(서울)_실정보고-1" xfId="5396"/>
    <cellStyle name="_적격(화산) _은행(서울)_실정보고-1_부대공1" xfId="5397"/>
    <cellStyle name="_적격(화산) _재료의 품질" xfId="5398"/>
    <cellStyle name="_적격(화산) _재료의 품질_부대공1" xfId="5399"/>
    <cellStyle name="_적격(화산) _제2종지구단위계획_선바위관광지" xfId="5400"/>
    <cellStyle name="_적격(화산) _제2종지구단위계획_선바위관광지_20090609_영덕농공단지내역서" xfId="5401"/>
    <cellStyle name="_적격(화산) _제2종지구단위계획_선바위관광지_총괄내역서(090223)" xfId="5402"/>
    <cellStyle name="_적격(화산) _총괄내역서_도시관리계획결정(070907)_계약" xfId="5403"/>
    <cellStyle name="_적격(화산) _총괄내역서_타당성조사및도시관리계획결정(090115)" xfId="5404"/>
    <cellStyle name="_적격(화산) _총괄내역서_타당성조사및도시관리계획결정(090115)_20090609_영덕농공단지내역서" xfId="5405"/>
    <cellStyle name="_적격(화산) _총괄내역서_타당성조사및도시관리계획결정(090115)_총괄내역서(090223)" xfId="5406"/>
    <cellStyle name="_적격(화산) _토목(예산서)" xfId="5407"/>
    <cellStyle name="_적격(화산) _투찰" xfId="5408"/>
    <cellStyle name="_적격(화산) _투찰(14-1)" xfId="5409"/>
    <cellStyle name="_적격(화산) _투찰(14-1)_01 실행(군장산단) Rev00" xfId="5410"/>
    <cellStyle name="_적격(화산) _투찰(14-1)_01 실행(군장산단) Rev00_01 실행(부산남컨가호안109-원안분) REV04" xfId="5411"/>
    <cellStyle name="_적격(화산) _투찰(8공구)" xfId="5412"/>
    <cellStyle name="_적격(화산) _투찰(8공구)_01 실행(군장산단) Rev00" xfId="5413"/>
    <cellStyle name="_적격(화산) _투찰(8공구)_01 실행(군장산단) Rev00_01 실행(부산남컨가호안109-원안분) REV04" xfId="5414"/>
    <cellStyle name="_적격(화산) _투찰(고철10-4)" xfId="5415"/>
    <cellStyle name="_적격(화산) _투찰(고철10-4)_01 실행(군장산단) Rev00" xfId="5416"/>
    <cellStyle name="_적격(화산) _투찰(고철10-4)_01 실행(군장산단) Rev00_01 실행(부산남컨가호안109-원안분) REV04" xfId="5417"/>
    <cellStyle name="_적격(화산) _투찰(무안광주3공구)" xfId="5418"/>
    <cellStyle name="_적격(화산) _투찰(무안광주3공구)_01 실행(군장산단) Rev00" xfId="5419"/>
    <cellStyle name="_적격(화산) _투찰(무안광주3공구)_01 실행(군장산단) Rev00_01 실행(부산남컨가호안109-원안분) REV04" xfId="5420"/>
    <cellStyle name="_적격(화산) _투찰(토목)" xfId="5421"/>
    <cellStyle name="_적격(화산) _투찰(토목)_01 실행(군장산단) Rev00" xfId="5422"/>
    <cellStyle name="_적격(화산) _투찰(토목)_01 실행(군장산단) Rev00_01 실행(부산남컨가호안109-원안분) REV04" xfId="5423"/>
    <cellStyle name="_적격(화산) _투찰_01 실행(군장산단) Rev00" xfId="5424"/>
    <cellStyle name="_적격(화산) _투찰_01 실행(군장산단) Rev00_01 실행(부산남컨가호안109-원안분) REV04" xfId="5425"/>
    <cellStyle name="_적격(화산) _투찰_1" xfId="5426"/>
    <cellStyle name="_적격(화산) _투찰_1_01 실행(군장산단) Rev00" xfId="5427"/>
    <cellStyle name="_적격(화산) _투찰_1_01 실행(군장산단) Rev00_01 실행(부산남컨가호안109-원안분) REV04" xfId="5428"/>
    <cellStyle name="_적격(화산) _투찰_부대견적결과" xfId="5429"/>
    <cellStyle name="_적격(화산) _투찰_부대견적결과_01 실행(군장산단) Rev00" xfId="5430"/>
    <cellStyle name="_적격(화산) _투찰_부대견적결과_01 실행(군장산단) Rev00_01 실행(부산남컨가호안109-원안분) REV04" xfId="5431"/>
    <cellStyle name="_적격(화산) _투찰_부대견적결과1" xfId="5432"/>
    <cellStyle name="_적격(화산) _투찰_부대견적결과1_01 실행(군장산단) Rev00" xfId="5433"/>
    <cellStyle name="_적격(화산) _투찰_부대견적결과1_01 실행(군장산단) Rev00_01 실행(부산남컨가호안109-원안분) REV04" xfId="5434"/>
    <cellStyle name="_적격(화산) _투찰_부대견적의뢰" xfId="5435"/>
    <cellStyle name="_적격(화산) _투찰_부대견적의뢰_01 실행(군장산단) Rev00" xfId="5436"/>
    <cellStyle name="_적격(화산) _투찰_부대견적의뢰_01 실행(군장산단) Rev00_01 실행(부산남컨가호안109-원안분) REV04" xfId="5437"/>
    <cellStyle name="_적격(화산) _투찰_부대선정조정품의" xfId="5438"/>
    <cellStyle name="_적격(화산) _투찰_부대선정조정품의_01 실행(군장산단) Rev00" xfId="5439"/>
    <cellStyle name="_적격(화산) _투찰_부대선정조정품의_01 실행(군장산단) Rev00_01 실행(부산남컨가호안109-원안분) REV04" xfId="5440"/>
    <cellStyle name="_적격(화산) _투찰_부대입찰결과" xfId="5441"/>
    <cellStyle name="_적격(화산) _투찰_부대입찰결과_01 실행(군장산단) Rev00" xfId="5442"/>
    <cellStyle name="_적격(화산) _투찰_부대입찰결과_01 실행(군장산단) Rev00_01 실행(부산남컨가호안109-원안분) REV04" xfId="5443"/>
    <cellStyle name="_적격(화산) _투찰_부대입찰송부" xfId="5444"/>
    <cellStyle name="_적격(화산) _투찰_부대입찰송부(1차조정)" xfId="5445"/>
    <cellStyle name="_적격(화산) _투찰_부대입찰송부(1차조정)_01 실행(군장산단) Rev00" xfId="5446"/>
    <cellStyle name="_적격(화산) _투찰_부대입찰송부(1차조정)_01 실행(군장산단) Rev00_01 실행(부산남컨가호안109-원안분) REV04" xfId="5447"/>
    <cellStyle name="_적격(화산) _투찰_부대입찰송부_01 실행(군장산단) Rev00" xfId="5448"/>
    <cellStyle name="_적격(화산) _투찰_부대입찰송부_01 실행(군장산단) Rev00_01 실행(부산남컨가호안109-원안분) REV04" xfId="5449"/>
    <cellStyle name="_적격(화산) _투찰_부대입찰조정" xfId="5450"/>
    <cellStyle name="_적격(화산) _투찰_부대입찰조정_01 실행(군장산단) Rev00" xfId="5451"/>
    <cellStyle name="_적격(화산) _투찰_부대입찰조정_01 실행(군장산단) Rev00_01 실행(부산남컨가호안109-원안분) REV04" xfId="5452"/>
    <cellStyle name="_적격(화산) _투찰_부대입찰특별조건및내역송부" xfId="5453"/>
    <cellStyle name="_적격(화산) _투찰_부대입찰특별조건및내역송부_01 실행(군장산단) Rev00" xfId="5454"/>
    <cellStyle name="_적격(화산) _투찰_부대입찰특별조건및내역송부_01 실행(군장산단) Rev00_01 실행(부산남컨가호안109-원안분) REV04" xfId="5455"/>
    <cellStyle name="_적격(화산) _투찰_투찰" xfId="5456"/>
    <cellStyle name="_적격(화산) _투찰_투찰(8공구)" xfId="5457"/>
    <cellStyle name="_적격(화산) _투찰_투찰(8공구)_01 실행(군장산단) Rev00" xfId="5458"/>
    <cellStyle name="_적격(화산) _투찰_투찰(8공구)_01 실행(군장산단) Rev00_01 실행(부산남컨가호안109-원안분) REV04" xfId="5459"/>
    <cellStyle name="_적격(화산) _투찰_투찰(토목)" xfId="5460"/>
    <cellStyle name="_적격(화산) _투찰_투찰(토목)_01 실행(군장산단) Rev00" xfId="5461"/>
    <cellStyle name="_적격(화산) _투찰_투찰(토목)_01 실행(군장산단) Rev00_01 실행(부산남컨가호안109-원안분) REV04" xfId="5462"/>
    <cellStyle name="_적격(화산) _투찰_투찰_01 실행(군장산단) Rev00" xfId="5463"/>
    <cellStyle name="_적격(화산) _투찰_투찰_01 실행(군장산단) Rev00_01 실행(부산남컨가호안109-원안분) REV04" xfId="5464"/>
    <cellStyle name="_적격(화산) _투찰_투찰서" xfId="5465"/>
    <cellStyle name="_적격(화산) _투찰_투찰서_01 실행(군장산단) Rev00" xfId="5466"/>
    <cellStyle name="_적격(화산) _투찰_투찰서_01 실행(군장산단) Rev00_01 실행(부산남컨가호안109-원안분) REV04" xfId="5467"/>
    <cellStyle name="_적격(화산) _투찰내역" xfId="5468"/>
    <cellStyle name="_적격(화산) _투찰내역_1차준공검사원" xfId="5469"/>
    <cellStyle name="_적격(화산) _투찰내역_1차준공검사원_부대공1" xfId="5470"/>
    <cellStyle name="_적격(화산) _투찰내역_2차1회기공검사원(5월26일)1" xfId="5471"/>
    <cellStyle name="_적격(화산) _투찰내역_2차1회기공검사원(5월26일)1_부대공1" xfId="5472"/>
    <cellStyle name="_적격(화산) _투찰내역_Box 터파기 암판정" xfId="5473"/>
    <cellStyle name="_적격(화산) _투찰내역_Box 터파기 암판정_부대공1" xfId="5474"/>
    <cellStyle name="_적격(화산) _투찰내역_기성서류" xfId="5475"/>
    <cellStyle name="_적격(화산) _투찰내역_기성서류_부대공1" xfId="5476"/>
    <cellStyle name="_적격(화산) _투찰내역_부대공1" xfId="5477"/>
    <cellStyle name="_적격(화산) _투찰내역_부대입찰선금내역" xfId="5478"/>
    <cellStyle name="_적격(화산) _투찰내역_부대입찰선금내역_부대공1" xfId="5479"/>
    <cellStyle name="_적격(화산) _투찰내역_선급금 청구공문1" xfId="5480"/>
    <cellStyle name="_적격(화산) _투찰내역_선급금 청구공문1_부대공1" xfId="5481"/>
    <cellStyle name="_적격(화산) _투찰내역_수목이식(적송)" xfId="5482"/>
    <cellStyle name="_적격(화산) _투찰내역_수목이식(적송)_부대공1" xfId="5483"/>
    <cellStyle name="_적격(화산) _투찰내역_실정보고(차선,가드,갈매기)2" xfId="5484"/>
    <cellStyle name="_적격(화산) _투찰내역_실정보고(차선,가드,갈매기)2_부대공1" xfId="5485"/>
    <cellStyle name="_적격(화산) _투찰내역_은행이식(기계,바로정식)" xfId="5486"/>
    <cellStyle name="_적격(화산) _투찰내역_은행이식(기계,바로정식)_부대공1" xfId="5487"/>
    <cellStyle name="_적격(화산) _투찰내역_재료의 품질" xfId="5488"/>
    <cellStyle name="_적격(화산) _투찰내역_재료의 품질_부대공1" xfId="5489"/>
    <cellStyle name="_적격(화산) _투찰서" xfId="5490"/>
    <cellStyle name="_적격(화산) _투찰서_01 실행(군장산단) Rev00" xfId="5491"/>
    <cellStyle name="_적격(화산) _투찰서_01 실행(군장산단) Rev00_01 실행(부산남컨가호안109-원안분) REV04" xfId="5492"/>
    <cellStyle name="_적격예상투찰" xfId="5493"/>
    <cellStyle name="_적격예상투찰_01 실행(군장산단) Rev00" xfId="5494"/>
    <cellStyle name="_적격예상투찰_01 실행(군장산단) Rev00_01 실행(부산남컨가호안109-원안분) REV04" xfId="5495"/>
    <cellStyle name="_적격예상투찰_적격" xfId="5496"/>
    <cellStyle name="_적격예상투찰_적격_01 실행(군장산단) Rev00" xfId="5497"/>
    <cellStyle name="_적격예상투찰_적격_01 실행(군장산단) Rev00_01 실행(부산남컨가호안109-원안분) REV04" xfId="5498"/>
    <cellStyle name="_적격예상투찰_적격심사평가" xfId="5499"/>
    <cellStyle name="_적격예상투찰_적격심사평가_01 실행(군장산단) Rev00" xfId="5500"/>
    <cellStyle name="_적격예상투찰_적격심사평가_01 실행(군장산단) Rev00_01 실행(부산남컨가호안109-원안분) REV04" xfId="5501"/>
    <cellStyle name="_전곡선사진입부야생화관찰원용역비계약내역서0716(1)" xfId="5502"/>
    <cellStyle name="_전남상수도(투찰)⑤-2.42%" xfId="5503"/>
    <cellStyle name="_전시영상" xfId="5504"/>
    <cellStyle name="_전자영상보고프로그램기능설계" xfId="5505"/>
    <cellStyle name="_전자지불(삼성SDS)" xfId="5506"/>
    <cellStyle name="_전자지불-(케이비)" xfId="5507"/>
    <cellStyle name="_전주시_UIS 확장사업 설계내역서_2" xfId="5508"/>
    <cellStyle name="_전주시관내(이서~용정)건설공사(신화)" xfId="5509"/>
    <cellStyle name="_전체개략공사비(충남도청이전)-수정" xfId="5510"/>
    <cellStyle name="_전체분자재집계표" xfId="5511"/>
    <cellStyle name="_전체분자재집계표_금산제수량(전체최종)" xfId="5512"/>
    <cellStyle name="_전체분자재집계표_금산제수량(전체최종)_두릉1제 수량산출서" xfId="5513"/>
    <cellStyle name="_전체분자재집계표_금산제수량(전체최종)_인계1공구 수량산출" xfId="5514"/>
    <cellStyle name="_전체분자재집계표_금산제수량(전체최종)_총자재집계표" xfId="5515"/>
    <cellStyle name="_전체분자재집계표_두릉1제 수량산출서" xfId="5516"/>
    <cellStyle name="_전체분자재집계표_인계1공구 수량산출" xfId="5517"/>
    <cellStyle name="_전체분자재집계표_총자재집계표" xfId="5518"/>
    <cellStyle name="_정왕호수공원 도시계획시설결정 및 공원조성계획 수립용역" xfId="5519"/>
    <cellStyle name="_정왕호수공원 도시계획시설결정 및 공원조성계획 수립용역(사전재해)" xfId="5520"/>
    <cellStyle name="_정읍시_UIS설계서(0302)" xfId="5521"/>
    <cellStyle name="_정읍시내역서_최종" xfId="5522"/>
    <cellStyle name="_정통망 원가분석_최종_V.1.4(최종)" xfId="5523"/>
    <cellStyle name="_정통망 원가분석_최종_V.1.4(최종)_김K" xfId="5524"/>
    <cellStyle name="_제2종지구단위계획_선바위관광지ff" xfId="5525"/>
    <cellStyle name="_제2종지구단위계획설계내역서" xfId="5526"/>
    <cellStyle name="_제목" xfId="5527"/>
    <cellStyle name="_제목_내역서" xfId="5528"/>
    <cellStyle name="_제주시_운용소프트웨어개발" xfId="5529"/>
    <cellStyle name="_제주한라병원_한국HP_021704(편집)" xfId="5530"/>
    <cellStyle name="_제천항공측량" xfId="5531"/>
    <cellStyle name="_조계종(DL580)060612" xfId="5532"/>
    <cellStyle name="_조곡소공원1127" xfId="5533"/>
    <cellStyle name="_조달청_계약내역(기성1차)" xfId="5534"/>
    <cellStyle name="_조사계약대비금액" xfId="5535"/>
    <cellStyle name="_조사설계용역 내역서" xfId="5536"/>
    <cellStyle name="_조선호텔(PowerBuilder)" xfId="5537"/>
    <cellStyle name="_조원고" xfId="5538"/>
    <cellStyle name="_종포농로" xfId="5539"/>
    <cellStyle name="_종합기상정보시스템 2차년도 견적 2007 05 02 1058" xfId="5540"/>
    <cellStyle name="_종합기상정보시스템 2차년도 구축 및 슈퍼컴퓨터 2호기 성능보강 (개발부문) 2007 04 25 1620" xfId="5541"/>
    <cellStyle name="_주공_실행예산산출_040903_협상 (2)" xfId="5542"/>
    <cellStyle name="_중도관광지(타당성조사2)" xfId="5543"/>
    <cellStyle name="_중림내역표지" xfId="5544"/>
    <cellStyle name="_중앙배수로(조경,호안)최종" xfId="5545"/>
    <cellStyle name="_쥬니퍼" xfId="5546"/>
    <cellStyle name="_지반조사비내역서_감포관광단지" xfId="5547"/>
    <cellStyle name="_지반조사비내역서_감포관광단지_고양관광문화단지 수변공원 용역비(실비정액방식)" xfId="5548"/>
    <cellStyle name="_지역특화특구2" xfId="5549"/>
    <cellStyle name="_지정과제1분기실적(확정990408)" xfId="5550"/>
    <cellStyle name="_지정과제1분기실적(확정990408)_1" xfId="5551"/>
    <cellStyle name="_지정과제2차심의list" xfId="5552"/>
    <cellStyle name="_지정과제2차심의list_1" xfId="5553"/>
    <cellStyle name="_지정과제2차심의list_2" xfId="5554"/>
    <cellStyle name="_지정과제2차심의결과" xfId="5555"/>
    <cellStyle name="_지정과제2차심의결과(금액조정후최종)" xfId="5556"/>
    <cellStyle name="_지정과제2차심의결과(금액조정후최종)_1" xfId="5557"/>
    <cellStyle name="_지정과제2차심의결과(금액조정후최종)_1_dimon" xfId="5558"/>
    <cellStyle name="_지정과제2차심의결과(금액조정후최종)_1_경영개선실적보고(전주공장)" xfId="5559"/>
    <cellStyle name="_지정과제2차심의결과(금액조정후최종)_1_별첨1_2" xfId="5560"/>
    <cellStyle name="_지정과제2차심의결과(금액조정후최종)_1_제안과제집계표(공장전체)" xfId="5561"/>
    <cellStyle name="_지정과제2차심의결과(금액조정후최종)_dimon" xfId="5562"/>
    <cellStyle name="_지정과제2차심의결과(금액조정후최종)_경영개선실적보고(전주공장)" xfId="5563"/>
    <cellStyle name="_지정과제2차심의결과(금액조정후최종)_별첨1_2" xfId="5564"/>
    <cellStyle name="_지정과제2차심의결과(금액조정후최종)_제안과제집계표(공장전체)" xfId="5565"/>
    <cellStyle name="_지정과제2차심의결과_1" xfId="5566"/>
    <cellStyle name="_지질조사비(본댐좌우안)-2" xfId="5567"/>
    <cellStyle name="_지하시설물 통합정보시스템 구축 사업 예산내역서_1.1" xfId="5568"/>
    <cellStyle name="_지하시설물(도로77㎞)측량설계10.31(최종)2급 15개" xfId="5569"/>
    <cellStyle name="_지하시설물_시스템_설계내역서" xfId="5570"/>
    <cellStyle name="_지하시설물관리현장지원시스템구축 산출내역서_1.0" xfId="5571"/>
    <cellStyle name="_지하시설물구축총괄분" xfId="5572"/>
    <cellStyle name="_지하시설물통합관리설계내역서_1.0" xfId="5573"/>
    <cellStyle name="_지하시설물통합및굴착복구관리 설계내역서_1.1" xfId="5574"/>
    <cellStyle name="_지하통합 보완개발 예상비용_v1" xfId="5575"/>
    <cellStyle name="_지형현황측량(238120)" xfId="5576"/>
    <cellStyle name="_직접경비" xfId="5577"/>
    <cellStyle name="_진도군산출내역서_060703(5000)" xfId="5578"/>
    <cellStyle name="_집계" xfId="5579"/>
    <cellStyle name="_집중관리(981231)" xfId="5580"/>
    <cellStyle name="_집중관리(981231)_1" xfId="5581"/>
    <cellStyle name="_집중관리(지정과제및 양식)" xfId="5582"/>
    <cellStyle name="_집중관리(지정과제및 양식)_1" xfId="5583"/>
    <cellStyle name="_집행(1)" xfId="5584"/>
    <cellStyle name="_집행(1)_간이배수펌프장설치에 따른 타당성용역내역" xfId="5585"/>
    <cellStyle name="_집행(1)_선정안(삼산)" xfId="5586"/>
    <cellStyle name="_집행(1)_선정안(삼산)_간이배수펌프장설치에 따른 타당성용역내역" xfId="5587"/>
    <cellStyle name="_집행(1)_추풍령" xfId="5588"/>
    <cellStyle name="_집행(1)_추풍령_간이배수펌프장설치에 따른 타당성용역내역" xfId="5589"/>
    <cellStyle name="_집행(1)_추풍령-1" xfId="5590"/>
    <cellStyle name="_집행(1)_추풍령-1_간이배수펌프장설치에 따른 타당성용역내역" xfId="5591"/>
    <cellStyle name="_집행(2)" xfId="5592"/>
    <cellStyle name="_집행(2)_간이배수펌프장설치에 따른 타당성용역내역" xfId="5593"/>
    <cellStyle name="_집행(2)_선정안(삼산)" xfId="5594"/>
    <cellStyle name="_집행(2)_선정안(삼산)_간이배수펌프장설치에 따른 타당성용역내역" xfId="5595"/>
    <cellStyle name="_집행(2)_추풍령" xfId="5596"/>
    <cellStyle name="_집행(2)_추풍령_간이배수펌프장설치에 따른 타당성용역내역" xfId="5597"/>
    <cellStyle name="_집행(2)_추풍령-1" xfId="5598"/>
    <cellStyle name="_집행(2)_추풍령-1_간이배수펌프장설치에 따른 타당성용역내역" xfId="5599"/>
    <cellStyle name="_집행갑지 " xfId="5600"/>
    <cellStyle name="_집행갑지 _01 실행(군장산단) Rev00" xfId="5601"/>
    <cellStyle name="_집행갑지 _01 실행(군장산단) Rev00_01 실행(부산남컨가호안109-원안분) REV04" xfId="5602"/>
    <cellStyle name="_집행갑지 _부대견적결과" xfId="5603"/>
    <cellStyle name="_집행갑지 _부대견적결과_01 실행(군장산단) Rev00" xfId="5604"/>
    <cellStyle name="_집행갑지 _부대견적결과_01 실행(군장산단) Rev00_01 실행(부산남컨가호안109-원안분) REV04" xfId="5605"/>
    <cellStyle name="_집행갑지 _부대견적결과1" xfId="5606"/>
    <cellStyle name="_집행갑지 _부대견적결과1_01 실행(군장산단) Rev00" xfId="5607"/>
    <cellStyle name="_집행갑지 _부대견적결과1_01 실행(군장산단) Rev00_01 실행(부산남컨가호안109-원안분) REV04" xfId="5608"/>
    <cellStyle name="_집행갑지 _부대견적의뢰" xfId="5609"/>
    <cellStyle name="_집행갑지 _부대견적의뢰_01 실행(군장산단) Rev00" xfId="5610"/>
    <cellStyle name="_집행갑지 _부대견적의뢰_01 실행(군장산단) Rev00_01 실행(부산남컨가호안109-원안분) REV04" xfId="5611"/>
    <cellStyle name="_집행갑지 _부대선정조정품의" xfId="5612"/>
    <cellStyle name="_집행갑지 _부대선정조정품의_01 실행(군장산단) Rev00" xfId="5613"/>
    <cellStyle name="_집행갑지 _부대선정조정품의_01 실행(군장산단) Rev00_01 실행(부산남컨가호안109-원안분) REV04" xfId="5614"/>
    <cellStyle name="_집행갑지 _부대입찰결과" xfId="5615"/>
    <cellStyle name="_집행갑지 _부대입찰결과_01 실행(군장산단) Rev00" xfId="5616"/>
    <cellStyle name="_집행갑지 _부대입찰결과_01 실행(군장산단) Rev00_01 실행(부산남컨가호안109-원안분) REV04" xfId="5617"/>
    <cellStyle name="_집행갑지 _부대입찰송부" xfId="5618"/>
    <cellStyle name="_집행갑지 _부대입찰송부(1차조정)" xfId="5619"/>
    <cellStyle name="_집행갑지 _부대입찰송부(1차조정)_01 실행(군장산단) Rev00" xfId="5620"/>
    <cellStyle name="_집행갑지 _부대입찰송부(1차조정)_01 실행(군장산단) Rev00_01 실행(부산남컨가호안109-원안분) REV04" xfId="5621"/>
    <cellStyle name="_집행갑지 _부대입찰송부(무안광주)" xfId="5622"/>
    <cellStyle name="_집행갑지 _부대입찰송부(무안광주)_01 실행(군장산단) Rev00" xfId="5623"/>
    <cellStyle name="_집행갑지 _부대입찰송부(무안광주)_01 실행(군장산단) Rev00_01 실행(부산남컨가호안109-원안분) REV04" xfId="5624"/>
    <cellStyle name="_집행갑지 _부대입찰송부_01 실행(군장산단) Rev00" xfId="5625"/>
    <cellStyle name="_집행갑지 _부대입찰송부_01 실행(군장산단) Rev00_01 실행(부산남컨가호안109-원안분) REV04" xfId="5626"/>
    <cellStyle name="_집행갑지 _부대입찰조정" xfId="5627"/>
    <cellStyle name="_집행갑지 _부대입찰조정(광릉숲)" xfId="5628"/>
    <cellStyle name="_집행갑지 _부대입찰조정(광릉숲)_01 실행(군장산단) Rev00" xfId="5629"/>
    <cellStyle name="_집행갑지 _부대입찰조정(광릉숲)_01 실행(군장산단) Rev00_01 실행(부산남컨가호안109-원안분) REV04" xfId="5630"/>
    <cellStyle name="_집행갑지 _부대입찰조정_01 실행(군장산단) Rev00" xfId="5631"/>
    <cellStyle name="_집행갑지 _부대입찰조정_01 실행(군장산단) Rev00_01 실행(부산남컨가호안109-원안분) REV04" xfId="5632"/>
    <cellStyle name="_집행갑지 _부대입찰특별조건및내역송부" xfId="5633"/>
    <cellStyle name="_집행갑지 _부대입찰특별조건및내역송부(최저가)" xfId="5634"/>
    <cellStyle name="_집행갑지 _부대입찰특별조건및내역송부(최저가)_01 실행(군장산단) Rev00" xfId="5635"/>
    <cellStyle name="_집행갑지 _부대입찰특별조건및내역송부(최저가)_01 실행(군장산단) Rev00_01 실행(부산남컨가호안109-원안분) REV04" xfId="5636"/>
    <cellStyle name="_집행갑지 _부대입찰특별조건및내역송부_01 실행(군장산단) Rev00" xfId="5637"/>
    <cellStyle name="_집행갑지 _부대입찰특별조건및내역송부_01 실행(군장산단) Rev00_01 실행(부산남컨가호안109-원안분) REV04" xfId="5638"/>
    <cellStyle name="_집행갑지 _투찰" xfId="5639"/>
    <cellStyle name="_집행갑지 _투찰(14-1)" xfId="5640"/>
    <cellStyle name="_집행갑지 _투찰(14-1)_01 실행(군장산단) Rev00" xfId="5641"/>
    <cellStyle name="_집행갑지 _투찰(14-1)_01 실행(군장산단) Rev00_01 실행(부산남컨가호안109-원안분) REV04" xfId="5642"/>
    <cellStyle name="_집행갑지 _투찰(8공구)" xfId="5643"/>
    <cellStyle name="_집행갑지 _투찰(8공구)_01 실행(군장산단) Rev00" xfId="5644"/>
    <cellStyle name="_집행갑지 _투찰(8공구)_01 실행(군장산단) Rev00_01 실행(부산남컨가호안109-원안분) REV04" xfId="5645"/>
    <cellStyle name="_집행갑지 _투찰(고철10-4)" xfId="5646"/>
    <cellStyle name="_집행갑지 _투찰(고철10-4)_01 실행(군장산단) Rev00" xfId="5647"/>
    <cellStyle name="_집행갑지 _투찰(고철10-4)_01 실행(군장산단) Rev00_01 실행(부산남컨가호안109-원안분) REV04" xfId="5648"/>
    <cellStyle name="_집행갑지 _투찰(무안광주3공구)" xfId="5649"/>
    <cellStyle name="_집행갑지 _투찰(무안광주3공구)_01 실행(군장산단) Rev00" xfId="5650"/>
    <cellStyle name="_집행갑지 _투찰(무안광주3공구)_01 실행(군장산단) Rev00_01 실행(부산남컨가호안109-원안분) REV04" xfId="5651"/>
    <cellStyle name="_집행갑지 _투찰(토목)" xfId="5652"/>
    <cellStyle name="_집행갑지 _투찰(토목)_01 실행(군장산단) Rev00" xfId="5653"/>
    <cellStyle name="_집행갑지 _투찰(토목)_01 실행(군장산단) Rev00_01 실행(부산남컨가호안109-원안분) REV04" xfId="5654"/>
    <cellStyle name="_집행갑지 _투찰_01 실행(군장산단) Rev00" xfId="5655"/>
    <cellStyle name="_집행갑지 _투찰_01 실행(군장산단) Rev00_01 실행(부산남컨가호안109-원안분) REV04" xfId="5656"/>
    <cellStyle name="_집행갑지 _투찰_1" xfId="5657"/>
    <cellStyle name="_집행갑지 _투찰_1_01 실행(군장산단) Rev00" xfId="5658"/>
    <cellStyle name="_집행갑지 _투찰_1_01 실행(군장산단) Rev00_01 실행(부산남컨가호안109-원안분) REV04" xfId="5659"/>
    <cellStyle name="_집행갑지 _투찰_부대견적결과" xfId="5660"/>
    <cellStyle name="_집행갑지 _투찰_부대견적결과_01 실행(군장산단) Rev00" xfId="5661"/>
    <cellStyle name="_집행갑지 _투찰_부대견적결과_01 실행(군장산단) Rev00_01 실행(부산남컨가호안109-원안분) REV04" xfId="5662"/>
    <cellStyle name="_집행갑지 _투찰_부대견적결과1" xfId="5663"/>
    <cellStyle name="_집행갑지 _투찰_부대견적결과1_01 실행(군장산단) Rev00" xfId="5664"/>
    <cellStyle name="_집행갑지 _투찰_부대견적결과1_01 실행(군장산단) Rev00_01 실행(부산남컨가호안109-원안분) REV04" xfId="5665"/>
    <cellStyle name="_집행갑지 _투찰_부대견적의뢰" xfId="5666"/>
    <cellStyle name="_집행갑지 _투찰_부대견적의뢰_01 실행(군장산단) Rev00" xfId="5667"/>
    <cellStyle name="_집행갑지 _투찰_부대견적의뢰_01 실행(군장산단) Rev00_01 실행(부산남컨가호안109-원안분) REV04" xfId="5668"/>
    <cellStyle name="_집행갑지 _투찰_부대선정조정품의" xfId="5669"/>
    <cellStyle name="_집행갑지 _투찰_부대선정조정품의_01 실행(군장산단) Rev00" xfId="5670"/>
    <cellStyle name="_집행갑지 _투찰_부대선정조정품의_01 실행(군장산단) Rev00_01 실행(부산남컨가호안109-원안분) REV04" xfId="5671"/>
    <cellStyle name="_집행갑지 _투찰_부대입찰결과" xfId="5672"/>
    <cellStyle name="_집행갑지 _투찰_부대입찰결과_01 실행(군장산단) Rev00" xfId="5673"/>
    <cellStyle name="_집행갑지 _투찰_부대입찰결과_01 실행(군장산단) Rev00_01 실행(부산남컨가호안109-원안분) REV04" xfId="5674"/>
    <cellStyle name="_집행갑지 _투찰_부대입찰송부" xfId="5675"/>
    <cellStyle name="_집행갑지 _투찰_부대입찰송부(1차조정)" xfId="5676"/>
    <cellStyle name="_집행갑지 _투찰_부대입찰송부(1차조정)_01 실행(군장산단) Rev00" xfId="5677"/>
    <cellStyle name="_집행갑지 _투찰_부대입찰송부(1차조정)_01 실행(군장산단) Rev00_01 실행(부산남컨가호안109-원안분) REV04" xfId="5678"/>
    <cellStyle name="_집행갑지 _투찰_부대입찰송부_01 실행(군장산단) Rev00" xfId="5679"/>
    <cellStyle name="_집행갑지 _투찰_부대입찰송부_01 실행(군장산단) Rev00_01 실행(부산남컨가호안109-원안분) REV04" xfId="5680"/>
    <cellStyle name="_집행갑지 _투찰_부대입찰조정" xfId="5681"/>
    <cellStyle name="_집행갑지 _투찰_부대입찰조정_01 실행(군장산단) Rev00" xfId="5682"/>
    <cellStyle name="_집행갑지 _투찰_부대입찰조정_01 실행(군장산단) Rev00_01 실행(부산남컨가호안109-원안분) REV04" xfId="5683"/>
    <cellStyle name="_집행갑지 _투찰_부대입찰특별조건및내역송부" xfId="5684"/>
    <cellStyle name="_집행갑지 _투찰_부대입찰특별조건및내역송부_01 실행(군장산단) Rev00" xfId="5685"/>
    <cellStyle name="_집행갑지 _투찰_부대입찰특별조건및내역송부_01 실행(군장산단) Rev00_01 실행(부산남컨가호안109-원안분) REV04" xfId="5686"/>
    <cellStyle name="_집행갑지 _투찰_투찰" xfId="5687"/>
    <cellStyle name="_집행갑지 _투찰_투찰(8공구)" xfId="5688"/>
    <cellStyle name="_집행갑지 _투찰_투찰(8공구)_01 실행(군장산단) Rev00" xfId="5689"/>
    <cellStyle name="_집행갑지 _투찰_투찰(8공구)_01 실행(군장산단) Rev00_01 실행(부산남컨가호안109-원안분) REV04" xfId="5690"/>
    <cellStyle name="_집행갑지 _투찰_투찰(토목)" xfId="5691"/>
    <cellStyle name="_집행갑지 _투찰_투찰(토목)_01 실행(군장산단) Rev00" xfId="5692"/>
    <cellStyle name="_집행갑지 _투찰_투찰(토목)_01 실행(군장산단) Rev00_01 실행(부산남컨가호안109-원안분) REV04" xfId="5693"/>
    <cellStyle name="_집행갑지 _투찰_투찰_01 실행(군장산단) Rev00" xfId="5694"/>
    <cellStyle name="_집행갑지 _투찰_투찰_01 실행(군장산단) Rev00_01 실행(부산남컨가호안109-원안분) REV04" xfId="5695"/>
    <cellStyle name="_집행갑지 _투찰_투찰서" xfId="5696"/>
    <cellStyle name="_집행갑지 _투찰_투찰서_01 실행(군장산단) Rev00" xfId="5697"/>
    <cellStyle name="_집행갑지 _투찰_투찰서_01 실행(군장산단) Rev00_01 실행(부산남컨가호안109-원안분) REV04" xfId="5698"/>
    <cellStyle name="_집행갑지 _투찰서" xfId="5699"/>
    <cellStyle name="_집행갑지 _투찰서_01 실행(군장산단) Rev00" xfId="5700"/>
    <cellStyle name="_집행갑지 _투찰서_01 실행(군장산단) Rev00_01 실행(부산남컨가호안109-원안분) REV04" xfId="5701"/>
    <cellStyle name="_참고_설계내역서" xfId="5702"/>
    <cellStyle name="_창(에리트(설치제외)" xfId="5703"/>
    <cellStyle name="_창(에리트-최종)" xfId="5704"/>
    <cellStyle name="_창원 북면지역 도시개발사업(감계)" xfId="5705"/>
    <cellStyle name="_창원 북면지역 도시개발사업(동전)" xfId="5706"/>
    <cellStyle name="_창원 북면지역 도시개발사업(무동)" xfId="5707"/>
    <cellStyle name="_창원 북면지역 도시개발사업(신방)" xfId="5708"/>
    <cellStyle name="_창원상수도(투찰)-0.815%" xfId="5709"/>
    <cellStyle name="_창원상수도(투찰)-0.815%②" xfId="5710"/>
    <cellStyle name="_철도청통합사령실(대명)" xfId="5711"/>
    <cellStyle name="_청도군청지적M150020050131" xfId="5712"/>
    <cellStyle name="_청도군청지적TINA20050128" xfId="5713"/>
    <cellStyle name="_청성공원 조성계획 내역서(080220)" xfId="5714"/>
    <cellStyle name="_청소년문화시설 조성사업 사전재해 견적서" xfId="5715"/>
    <cellStyle name="_청소년수련원(20070502)-2007 05 10" xfId="5716"/>
    <cellStyle name="_청주도시기본계획 변경설계서(최종)" xfId="5717"/>
    <cellStyle name="_청통골프장 기본 및 실시설계 발주내역서(060214)" xfId="5718"/>
    <cellStyle name="_총괄_2009.1.6(설계내역서-18만평기준)" xfId="5719"/>
    <cellStyle name="_총괄내역서(춘양)" xfId="5720"/>
    <cellStyle name="_총괄내역서_도시관리계획결정(080114)_계약(변경)" xfId="5721"/>
    <cellStyle name="_총괄단가산출근거표" xfId="5722"/>
    <cellStyle name="_총괄설계내역서(통영11(1).8)" xfId="5723"/>
    <cellStyle name="_총괄최종내역" xfId="5724"/>
    <cellStyle name="_총괄표(성주군)" xfId="5725"/>
    <cellStyle name="_총자재집계표" xfId="5726"/>
    <cellStyle name="_최종-1_방송기기 시설 최종(가야고)" xfId="5727"/>
    <cellStyle name="_최종-1_방송기기 시설 최종(가야고)_2004년 완선공사(최종본)" xfId="5728"/>
    <cellStyle name="_최종-1_방송기기 시설 최종(가야고)_안동전통문화콘텐츠박물관전시영상물구축(전시시설물)" xfId="5729"/>
    <cellStyle name="_최종-1_방송기기 시설 최종(가야고)_안동전통문화콘텐츠박물관전시영상물구축(전시시설물)_원가보고서(종합)-조달" xfId="5730"/>
    <cellStyle name="_최종-1_방송기기 시설 최종(가야고)_안동전통문화콘텐츠박물관전시영상물구축(전시시설물)_원가보고서(흑색)-조달" xfId="5731"/>
    <cellStyle name="_최종-1_방송기기 시설 최종(가야고)_원가계산서(화성상록)" xfId="5732"/>
    <cellStyle name="_최종-1_방송기기 시설 최종(가야고)_원가계산서(화성상록) (version 1)" xfId="5733"/>
    <cellStyle name="_최종-1_방송기기 시설 최종(가야고)_원가계산서(화성상록) (version 1)_원가보고서(종합)-조달" xfId="5734"/>
    <cellStyle name="_최종-1_방송기기 시설 최종(가야고)_원가계산서(화성상록) (version 1)_원가보고서(흑색)-조달" xfId="5735"/>
    <cellStyle name="_최종-1_방송기기 시설 최종(가야고)_원가계산서(화성상록)_원가보고서(종합)-조달" xfId="5736"/>
    <cellStyle name="_최종-1_방송기기 시설 최종(가야고)_원가계산서(화성상록)_원가보고서(흑색)-조달" xfId="5737"/>
    <cellStyle name="_최종내역서" xfId="5738"/>
    <cellStyle name="_추가) 문화재지표조사(김해OO산업단지)" xfId="5739"/>
    <cellStyle name="_추가물량" xfId="5740"/>
    <cellStyle name="_추곡" xfId="5741"/>
    <cellStyle name="_추곡_01.설계내역2" xfId="5742"/>
    <cellStyle name="_추곡_라멘교 토공" xfId="5743"/>
    <cellStyle name="_추곡_라멘교 토공_01.설계내역2" xfId="5744"/>
    <cellStyle name="_추곡_라멘교 토공_제2종지구단위계획_선바위관광지" xfId="5745"/>
    <cellStyle name="_추곡_라멘교 토공_제2종지구단위계획_선바위관광지_20090609_영덕농공단지내역서" xfId="5746"/>
    <cellStyle name="_추곡_라멘교 토공_제2종지구단위계획_선바위관광지_총괄내역서(090223)" xfId="5747"/>
    <cellStyle name="_추곡_라멘교 토공_총괄내역서_도시관리계획결정(070907)_계약" xfId="5748"/>
    <cellStyle name="_추곡_라멘교 토공_총괄내역서_타당성조사및도시관리계획결정(090115)" xfId="5749"/>
    <cellStyle name="_추곡_라멘교 토공_총괄내역서_타당성조사및도시관리계획결정(090115)_20090609_영덕농공단지내역서" xfId="5750"/>
    <cellStyle name="_추곡_라멘교 토공_총괄내역서_타당성조사및도시관리계획결정(090115)_총괄내역서(090223)" xfId="5751"/>
    <cellStyle name="_추곡_제2종지구단위계획_선바위관광지" xfId="5752"/>
    <cellStyle name="_추곡_제2종지구단위계획_선바위관광지_20090609_영덕농공단지내역서" xfId="5753"/>
    <cellStyle name="_추곡_제2종지구단위계획_선바위관광지_총괄내역서(090223)" xfId="5754"/>
    <cellStyle name="_추곡_총괄내역서_도시관리계획결정(070907)_계약" xfId="5755"/>
    <cellStyle name="_추곡_총괄내역서_타당성조사및도시관리계획결정(090115)" xfId="5756"/>
    <cellStyle name="_추곡_총괄내역서_타당성조사및도시관리계획결정(090115)_20090609_영덕농공단지내역서" xfId="5757"/>
    <cellStyle name="_추곡_총괄내역서_타당성조사및도시관리계획결정(090115)_총괄내역서(090223)" xfId="5758"/>
    <cellStyle name="_추곡_추곡" xfId="5759"/>
    <cellStyle name="_추곡_추곡_01.설계내역2" xfId="5760"/>
    <cellStyle name="_추곡_추곡_라멘교 토공" xfId="5761"/>
    <cellStyle name="_추곡_추곡_라멘교 토공_01.설계내역2" xfId="5762"/>
    <cellStyle name="_추곡_추곡_라멘교 토공_제2종지구단위계획_선바위관광지" xfId="5763"/>
    <cellStyle name="_추곡_추곡_라멘교 토공_제2종지구단위계획_선바위관광지_20090609_영덕농공단지내역서" xfId="5764"/>
    <cellStyle name="_추곡_추곡_라멘교 토공_제2종지구단위계획_선바위관광지_총괄내역서(090223)" xfId="5765"/>
    <cellStyle name="_추곡_추곡_라멘교 토공_총괄내역서_도시관리계획결정(070907)_계약" xfId="5766"/>
    <cellStyle name="_추곡_추곡_라멘교 토공_총괄내역서_타당성조사및도시관리계획결정(090115)" xfId="5767"/>
    <cellStyle name="_추곡_추곡_라멘교 토공_총괄내역서_타당성조사및도시관리계획결정(090115)_20090609_영덕농공단지내역서" xfId="5768"/>
    <cellStyle name="_추곡_추곡_라멘교 토공_총괄내역서_타당성조사및도시관리계획결정(090115)_총괄내역서(090223)" xfId="5769"/>
    <cellStyle name="_추곡_추곡_제2종지구단위계획_선바위관광지" xfId="5770"/>
    <cellStyle name="_추곡_추곡_제2종지구단위계획_선바위관광지_20090609_영덕농공단지내역서" xfId="5771"/>
    <cellStyle name="_추곡_추곡_제2종지구단위계획_선바위관광지_총괄내역서(090223)" xfId="5772"/>
    <cellStyle name="_추곡_추곡_총괄내역서_도시관리계획결정(070907)_계약" xfId="5773"/>
    <cellStyle name="_추곡_추곡_총괄내역서_타당성조사및도시관리계획결정(090115)" xfId="5774"/>
    <cellStyle name="_추곡_추곡_총괄내역서_타당성조사및도시관리계획결정(090115)_20090609_영덕농공단지내역서" xfId="5775"/>
    <cellStyle name="_추곡_추곡_총괄내역서_타당성조사및도시관리계획결정(090115)_총괄내역서(090223)" xfId="5776"/>
    <cellStyle name="_추곡_추곡_포장" xfId="5777"/>
    <cellStyle name="_추곡_추곡_포장_01.설계내역2" xfId="5778"/>
    <cellStyle name="_추곡_추곡_포장_라멘교 토공" xfId="5779"/>
    <cellStyle name="_추곡_추곡_포장_라멘교 토공_01.설계내역2" xfId="5780"/>
    <cellStyle name="_추곡_추곡_포장_라멘교 토공_제2종지구단위계획_선바위관광지" xfId="5781"/>
    <cellStyle name="_추곡_추곡_포장_라멘교 토공_제2종지구단위계획_선바위관광지_20090609_영덕농공단지내역서" xfId="5782"/>
    <cellStyle name="_추곡_추곡_포장_라멘교 토공_제2종지구단위계획_선바위관광지_총괄내역서(090223)" xfId="5783"/>
    <cellStyle name="_추곡_추곡_포장_라멘교 토공_총괄내역서_도시관리계획결정(070907)_계약" xfId="5784"/>
    <cellStyle name="_추곡_추곡_포장_라멘교 토공_총괄내역서_타당성조사및도시관리계획결정(090115)" xfId="5785"/>
    <cellStyle name="_추곡_추곡_포장_라멘교 토공_총괄내역서_타당성조사및도시관리계획결정(090115)_20090609_영덕농공단지내역서" xfId="5786"/>
    <cellStyle name="_추곡_추곡_포장_라멘교 토공_총괄내역서_타당성조사및도시관리계획결정(090115)_총괄내역서(090223)" xfId="5787"/>
    <cellStyle name="_추곡_추곡_포장_제2종지구단위계획_선바위관광지" xfId="5788"/>
    <cellStyle name="_추곡_추곡_포장_제2종지구단위계획_선바위관광지_20090609_영덕농공단지내역서" xfId="5789"/>
    <cellStyle name="_추곡_추곡_포장_제2종지구단위계획_선바위관광지_총괄내역서(090223)" xfId="5790"/>
    <cellStyle name="_추곡_추곡_포장_총괄내역서_도시관리계획결정(070907)_계약" xfId="5791"/>
    <cellStyle name="_추곡_추곡_포장_총괄내역서_타당성조사및도시관리계획결정(090115)" xfId="5792"/>
    <cellStyle name="_추곡_추곡_포장_총괄내역서_타당성조사및도시관리계획결정(090115)_20090609_영덕농공단지내역서" xfId="5793"/>
    <cellStyle name="_추곡_추곡_포장_총괄내역서_타당성조사및도시관리계획결정(090115)_총괄내역서(090223)" xfId="5794"/>
    <cellStyle name="_추곡_포장" xfId="5795"/>
    <cellStyle name="_추곡_포장_01.설계내역2" xfId="5796"/>
    <cellStyle name="_추곡_포장_라멘교 토공" xfId="5797"/>
    <cellStyle name="_추곡_포장_라멘교 토공_01.설계내역2" xfId="5798"/>
    <cellStyle name="_추곡_포장_라멘교 토공_제2종지구단위계획_선바위관광지" xfId="5799"/>
    <cellStyle name="_추곡_포장_라멘교 토공_제2종지구단위계획_선바위관광지_20090609_영덕농공단지내역서" xfId="5800"/>
    <cellStyle name="_추곡_포장_라멘교 토공_제2종지구단위계획_선바위관광지_총괄내역서(090223)" xfId="5801"/>
    <cellStyle name="_추곡_포장_라멘교 토공_총괄내역서_도시관리계획결정(070907)_계약" xfId="5802"/>
    <cellStyle name="_추곡_포장_라멘교 토공_총괄내역서_타당성조사및도시관리계획결정(090115)" xfId="5803"/>
    <cellStyle name="_추곡_포장_라멘교 토공_총괄내역서_타당성조사및도시관리계획결정(090115)_20090609_영덕농공단지내역서" xfId="5804"/>
    <cellStyle name="_추곡_포장_라멘교 토공_총괄내역서_타당성조사및도시관리계획결정(090115)_총괄내역서(090223)" xfId="5805"/>
    <cellStyle name="_추곡_포장_제2종지구단위계획_선바위관광지" xfId="5806"/>
    <cellStyle name="_추곡_포장_제2종지구단위계획_선바위관광지_20090609_영덕농공단지내역서" xfId="5807"/>
    <cellStyle name="_추곡_포장_제2종지구단위계획_선바위관광지_총괄내역서(090223)" xfId="5808"/>
    <cellStyle name="_추곡_포장_총괄내역서_도시관리계획결정(070907)_계약" xfId="5809"/>
    <cellStyle name="_추곡_포장_총괄내역서_타당성조사및도시관리계획결정(090115)" xfId="5810"/>
    <cellStyle name="_추곡_포장_총괄내역서_타당성조사및도시관리계획결정(090115)_20090609_영덕농공단지내역서" xfId="5811"/>
    <cellStyle name="_추곡_포장_총괄내역서_타당성조사및도시관리계획결정(090115)_총괄내역서(090223)" xfId="5812"/>
    <cellStyle name="_축령산야영수련장조성및기타공사(동일)" xfId="5813"/>
    <cellStyle name="_충남대병원_이지케어텍_021604" xfId="5814"/>
    <cellStyle name="_충남도청 이전신도시 조성사업(변경)_설계내역서(조경제외)" xfId="5815"/>
    <cellStyle name="_충북지방경찰청" xfId="5816"/>
    <cellStyle name="_측  구" xfId="5817"/>
    <cellStyle name="_측  구_두릉1제 수량산출서" xfId="5818"/>
    <cellStyle name="_측  구_인계1공구 수량산출" xfId="5819"/>
    <cellStyle name="_측  구_총자재집계표" xfId="5820"/>
    <cellStyle name="_측구공" xfId="5821"/>
    <cellStyle name="_측구공_금산제수량(전체최종)" xfId="5822"/>
    <cellStyle name="_측구공_금산제수량(전체최종)_두릉1제 수량산출서" xfId="5823"/>
    <cellStyle name="_측구공_금산제수량(전체최종)_인계1공구 수량산출" xfId="5824"/>
    <cellStyle name="_측구공_금산제수량(전체최종)_총자재집계표" xfId="5825"/>
    <cellStyle name="_측구공_두릉1제 수량산출서" xfId="5826"/>
    <cellStyle name="_측구공_인계1공구 수량산출" xfId="5827"/>
    <cellStyle name="_측구공_총자재집계표" xfId="5828"/>
    <cellStyle name="_측량(항측,감계)" xfId="5829"/>
    <cellStyle name="_측량(항측,동전)" xfId="5830"/>
    <cellStyle name="_측량(항측,무동)" xfId="5831"/>
    <cellStyle name="_측량(항측,신방)" xfId="5832"/>
    <cellStyle name="_코리아링크" xfId="5833"/>
    <cellStyle name="_코마스HW(1023)" xfId="5834"/>
    <cellStyle name="_콘테이너" xfId="5835"/>
    <cellStyle name="_콤텍시스템" xfId="5836"/>
    <cellStyle name="_클레임 요청한딜 1018" xfId="5837"/>
    <cellStyle name="_클레임 요청한딜 1018_0808 FY08Q4 HP Low end server 가격표(WS)" xfId="5838"/>
    <cellStyle name="_클레임 요청한딜 1018_2008_5월 100시리즈 HP Low end server 가격표(WS)v1" xfId="5839"/>
    <cellStyle name="_클레임 요청한딜 1018_Book1" xfId="5840"/>
    <cellStyle name="_클레임 요청한딜 1018_ISS_FY08_8월가격표" xfId="5841"/>
    <cellStyle name="_타이거아이ML350T04X3.0-0830" xfId="5842"/>
    <cellStyle name="_태백시 GIS 용역비 기준단가표" xfId="5843"/>
    <cellStyle name="_태백시 지리정보시스템 구축(수정)" xfId="5844"/>
    <cellStyle name="_터미널현장 토사반입(낙찰적용,시속35)" xfId="5845"/>
    <cellStyle name="_테라테크" xfId="5846"/>
    <cellStyle name="_테마공사새로03" xfId="5847"/>
    <cellStyle name="_토공" xfId="5848"/>
    <cellStyle name="_토공_1" xfId="5849"/>
    <cellStyle name="_토공_금산제수량(전체최종)" xfId="5850"/>
    <cellStyle name="_토공_금산제수량(전체최종)_두릉1제 수량산출서" xfId="5851"/>
    <cellStyle name="_토공_금산제수량(전체최종)_인계1공구 수량산출" xfId="5852"/>
    <cellStyle name="_토공_금산제수량(전체최종)_총자재집계표" xfId="5853"/>
    <cellStyle name="_토공_당평변경" xfId="5854"/>
    <cellStyle name="_토공_두릉1제 수량산출서" xfId="5855"/>
    <cellStyle name="_토공_안심교량" xfId="5856"/>
    <cellStyle name="_토공_안심변경" xfId="5857"/>
    <cellStyle name="_토공_인계1공구 수량산출" xfId="5858"/>
    <cellStyle name="_토공_총자재집계표" xfId="5859"/>
    <cellStyle name="_토공1" xfId="5860"/>
    <cellStyle name="_토공-1차" xfId="5861"/>
    <cellStyle name="_토공깨기" xfId="5862"/>
    <cellStyle name="_토공변경" xfId="5863"/>
    <cellStyle name="_토목공내역서" xfId="5864"/>
    <cellStyle name="_토질내역서(우곡)" xfId="5865"/>
    <cellStyle name="_토질부문설계변경내역서" xfId="5866"/>
    <cellStyle name="_토질조사(감계)" xfId="5867"/>
    <cellStyle name="_토질조사(동전)" xfId="5868"/>
    <cellStyle name="_토질조사(무동)" xfId="5869"/>
    <cellStyle name="_토질조사(신방)" xfId="5870"/>
    <cellStyle name="_토질조사내역서(부안)" xfId="5871"/>
    <cellStyle name="_토질조사세부내역서" xfId="5872"/>
    <cellStyle name="_토질조사세부내역서_고양관광문화단지 수변공원 용역비(실비정액방식)" xfId="5873"/>
    <cellStyle name="_통영일원 지장물조사 용역" xfId="5874"/>
    <cellStyle name="_투입인력MM_v2.0" xfId="5875"/>
    <cellStyle name="_투찰" xfId="5876"/>
    <cellStyle name="_투찰(14-1)" xfId="5877"/>
    <cellStyle name="_투찰(14-1)_01 실행(군장산단) Rev00" xfId="5878"/>
    <cellStyle name="_투찰(14-1)_01 실행(군장산단) Rev00_01 실행(부산남컨가호안109-원안분) REV04" xfId="5879"/>
    <cellStyle name="_투찰(8공구)" xfId="5880"/>
    <cellStyle name="_투찰(8공구)_01 실행(군장산단) Rev00" xfId="5881"/>
    <cellStyle name="_투찰(8공구)_01 실행(군장산단) Rev00_01 실행(부산남컨가호안109-원안분) REV04" xfId="5882"/>
    <cellStyle name="_투찰(고철10-4)" xfId="5883"/>
    <cellStyle name="_투찰(고철10-4)_01 실행(군장산단) Rev00" xfId="5884"/>
    <cellStyle name="_투찰(고철10-4)_01 실행(군장산단) Rev00_01 실행(부산남컨가호안109-원안분) REV04" xfId="5885"/>
    <cellStyle name="_투찰(무안광주3공구)" xfId="5886"/>
    <cellStyle name="_투찰(무안광주3공구)_01 실행(군장산단) Rev00" xfId="5887"/>
    <cellStyle name="_투찰(무안광주3공구)_01 실행(군장산단) Rev00_01 실행(부산남컨가호안109-원안분) REV04" xfId="5888"/>
    <cellStyle name="_투찰(토목)" xfId="5889"/>
    <cellStyle name="_투찰(토목)_01 실행(군장산단) Rev00" xfId="5890"/>
    <cellStyle name="_투찰(토목)_01 실행(군장산단) Rev00_01 실행(부산남컨가호안109-원안분) REV04" xfId="5891"/>
    <cellStyle name="_투찰_01 실행(군장산단) Rev00" xfId="5892"/>
    <cellStyle name="_투찰_01 실행(군장산단) Rev00_01 실행(부산남컨가호안109-원안분) REV04" xfId="5893"/>
    <cellStyle name="_투찰_1" xfId="5894"/>
    <cellStyle name="_투찰_1_01 실행(군장산단) Rev00" xfId="5895"/>
    <cellStyle name="_투찰_1_01 실행(군장산단) Rev00_01 실행(부산남컨가호안109-원안분) REV04" xfId="5896"/>
    <cellStyle name="_투찰_부대견적결과" xfId="5897"/>
    <cellStyle name="_투찰_부대견적결과_01 실행(군장산단) Rev00" xfId="5898"/>
    <cellStyle name="_투찰_부대견적결과_01 실행(군장산단) Rev00_01 실행(부산남컨가호안109-원안분) REV04" xfId="5899"/>
    <cellStyle name="_투찰_부대견적결과1" xfId="5900"/>
    <cellStyle name="_투찰_부대견적결과1_01 실행(군장산단) Rev00" xfId="5901"/>
    <cellStyle name="_투찰_부대견적결과1_01 실행(군장산단) Rev00_01 실행(부산남컨가호안109-원안분) REV04" xfId="5902"/>
    <cellStyle name="_투찰_부대견적의뢰" xfId="5903"/>
    <cellStyle name="_투찰_부대견적의뢰_01 실행(군장산단) Rev00" xfId="5904"/>
    <cellStyle name="_투찰_부대견적의뢰_01 실행(군장산단) Rev00_01 실행(부산남컨가호안109-원안분) REV04" xfId="5905"/>
    <cellStyle name="_투찰_부대선정조정품의" xfId="5906"/>
    <cellStyle name="_투찰_부대선정조정품의_01 실행(군장산단) Rev00" xfId="5907"/>
    <cellStyle name="_투찰_부대선정조정품의_01 실행(군장산단) Rev00_01 실행(부산남컨가호안109-원안분) REV04" xfId="5908"/>
    <cellStyle name="_투찰_부대입찰결과" xfId="5909"/>
    <cellStyle name="_투찰_부대입찰결과_01 실행(군장산단) Rev00" xfId="5910"/>
    <cellStyle name="_투찰_부대입찰결과_01 실행(군장산단) Rev00_01 실행(부산남컨가호안109-원안분) REV04" xfId="5911"/>
    <cellStyle name="_투찰_부대입찰송부" xfId="5912"/>
    <cellStyle name="_투찰_부대입찰송부(1차조정)" xfId="5913"/>
    <cellStyle name="_투찰_부대입찰송부(1차조정)_01 실행(군장산단) Rev00" xfId="5914"/>
    <cellStyle name="_투찰_부대입찰송부(1차조정)_01 실행(군장산단) Rev00_01 실행(부산남컨가호안109-원안분) REV04" xfId="5915"/>
    <cellStyle name="_투찰_부대입찰송부_01 실행(군장산단) Rev00" xfId="5916"/>
    <cellStyle name="_투찰_부대입찰송부_01 실행(군장산단) Rev00_01 실행(부산남컨가호안109-원안분) REV04" xfId="5917"/>
    <cellStyle name="_투찰_부대입찰조정" xfId="5918"/>
    <cellStyle name="_투찰_부대입찰조정_01 실행(군장산단) Rev00" xfId="5919"/>
    <cellStyle name="_투찰_부대입찰조정_01 실행(군장산단) Rev00_01 실행(부산남컨가호안109-원안분) REV04" xfId="5920"/>
    <cellStyle name="_투찰_부대입찰특별조건및내역송부" xfId="5921"/>
    <cellStyle name="_투찰_부대입찰특별조건및내역송부_01 실행(군장산단) Rev00" xfId="5922"/>
    <cellStyle name="_투찰_부대입찰특별조건및내역송부_01 실행(군장산단) Rev00_01 실행(부산남컨가호안109-원안분) REV04" xfId="5923"/>
    <cellStyle name="_투찰_투찰" xfId="5924"/>
    <cellStyle name="_투찰_투찰(8공구)" xfId="5925"/>
    <cellStyle name="_투찰_투찰(8공구)_01 실행(군장산단) Rev00" xfId="5926"/>
    <cellStyle name="_투찰_투찰(8공구)_01 실행(군장산단) Rev00_01 실행(부산남컨가호안109-원안분) REV04" xfId="5927"/>
    <cellStyle name="_투찰_투찰(토목)" xfId="5928"/>
    <cellStyle name="_투찰_투찰(토목)_01 실행(군장산단) Rev00" xfId="5929"/>
    <cellStyle name="_투찰_투찰(토목)_01 실행(군장산단) Rev00_01 실행(부산남컨가호안109-원안분) REV04" xfId="5930"/>
    <cellStyle name="_투찰_투찰_01 실행(군장산단) Rev00" xfId="5931"/>
    <cellStyle name="_투찰_투찰_01 실행(군장산단) Rev00_01 실행(부산남컨가호안109-원안분) REV04" xfId="5932"/>
    <cellStyle name="_투찰_투찰서" xfId="5933"/>
    <cellStyle name="_투찰_투찰서_01 실행(군장산단) Rev00" xfId="5934"/>
    <cellStyle name="_투찰_투찰서_01 실행(군장산단) Rev00_01 실행(부산남컨가호안109-원안분) REV04" xfId="5935"/>
    <cellStyle name="_투찰서" xfId="5936"/>
    <cellStyle name="_투찰서_01 실행(군장산단) Rev00" xfId="5937"/>
    <cellStyle name="_투찰서_01 실행(군장산단) Rev00_01 실행(부산남컨가호안109-원안분) REV04" xfId="5938"/>
    <cellStyle name="_트라이얼_KTG_HW_040302" xfId="5939"/>
    <cellStyle name="_트라이탑MSA1000-1201" xfId="5940"/>
    <cellStyle name="_파미힐스(030705)" xfId="5941"/>
    <cellStyle name="_파주 GIS 시스템설계서(도로,상,하수 시스템)_050406" xfId="5942"/>
    <cellStyle name="_파주시_도로 및 상,하수 범용 도입_050314" xfId="5943"/>
    <cellStyle name="_평촌교수량" xfId="5944"/>
    <cellStyle name="_평촌교수량_070201  정삼각뿔형어초 설계예산서(국화도해역)-최종2" xfId="5945"/>
    <cellStyle name="_평촌교수량_070201  정삼각뿔형어초 설계예산서(국화도해역)-최종2_0704" xfId="5946"/>
    <cellStyle name="_평촌교수량_070201  정삼각뿔형어초 설계예산서(국화도해역)-최종2_도급내역서" xfId="5947"/>
    <cellStyle name="_평촌교수량_070201  정삼각뿔형어초 설계예산서(국화도해역)-최종2_도급내역서_외파수도 정삼각뿔형 인공어초 도면수정" xfId="5948"/>
    <cellStyle name="_평촌교수량_070201  정삼각뿔형어초 설계예산서(국화도해역)-최종2_도급내역서_외파수도 정삼각뿔형 인공어초 설치-20070801" xfId="5949"/>
    <cellStyle name="_평촌교수량_070201  정삼각뿔형어초 설계예산서(국화도해역)-최종2_도급내역서_정삼각뿔형어초(2월29일)수정작업(1)" xfId="5950"/>
    <cellStyle name="_평촌교수량_070201정삼각뿔형어초설계예산서(국화도해역)-최종2" xfId="5951"/>
    <cellStyle name="_평촌교수량_2007남해군 소규모바다목장조성사업(통합)" xfId="5952"/>
    <cellStyle name="_평촌교수량_2007남해군 소규모바다목장조성사업(팔각상자,TTP)" xfId="5953"/>
    <cellStyle name="_평촌교수량_2007팔각상자형설계서(1차년도)" xfId="5954"/>
    <cellStyle name="_평촌교수량_2007팔각상자형설계서(1차년도)(수정작업1월14일)" xfId="5955"/>
    <cellStyle name="_평촌교수량_TTP및피복석시설공사설계서(5월6일)" xfId="5956"/>
    <cellStyle name="_평촌교수량_TTP시설공사설계서(1차년도)(1월14일수정작업)" xfId="5957"/>
    <cellStyle name="_평촌교수량_TTP시설공사설계서(2차년도)" xfId="5958"/>
    <cellStyle name="_평촌교수량_거제 남부다대" xfId="5959"/>
    <cellStyle name="_평촌교수량_경기도 - 도급내역서" xfId="5960"/>
    <cellStyle name="_평촌교수량_남해 상주 노도해역 인공어초 제작 및 시설공사-착공내역" xfId="5961"/>
    <cellStyle name="_평촌교수량_내역서" xfId="5962"/>
    <cellStyle name="_평촌교수량_동서동권역 소규모바다목장 사업(정삼각뿔형어초)설계서" xfId="5963"/>
    <cellStyle name="_평촌교수량_동서동권역소규모바다목장사업(정삼각뿔형어초)설계서(1)" xfId="5964"/>
    <cellStyle name="_평촌교수량_동서동권역소규모바다목장사업(정삼각뿔형어초)설계서(10월)" xfId="5965"/>
    <cellStyle name="_평촌교수량_사천시 소규모 바다목장사업(상자형)수정중" xfId="5966"/>
    <cellStyle name="_평촌교수량_외파수도 정삼각뿔형 인공어초 도면수정" xfId="5967"/>
    <cellStyle name="_평촌교수량_외파수도 정삼각뿔형 인공어초 설치-20070801" xfId="5968"/>
    <cellStyle name="_평촌교수량_정삼각뿔어초 설계예산서(1월9일)" xfId="5969"/>
    <cellStyle name="_평촌교수량_정삼각뿔어초 설계예산서(1월9일)_도급내역서" xfId="5970"/>
    <cellStyle name="_평촌교수량_정삼각뿔어초 설계예산서(1월9일)_도급내역서_외파수도 정삼각뿔형 인공어초 도면수정" xfId="5971"/>
    <cellStyle name="_평촌교수량_정삼각뿔어초 설계예산서(1월9일)_도급내역서_외파수도 정삼각뿔형 인공어초 설치-20070801" xfId="5972"/>
    <cellStyle name="_평촌교수량_정삼각뿔어초 설계예산서(1월9일)_도급내역서_정삼각뿔형어초(2월29일)수정작업(1)" xfId="5973"/>
    <cellStyle name="_평촌교수량_정삼각뿔어초 설계예산서(2007년)" xfId="5974"/>
    <cellStyle name="_평촌교수량_정삼각뿔어초 설계예산서(2007년)_도급내역서" xfId="5975"/>
    <cellStyle name="_평촌교수량_정삼각뿔어초 설계예산서(2007년)_도급내역서_외파수도 정삼각뿔형 인공어초 도면수정" xfId="5976"/>
    <cellStyle name="_평촌교수량_정삼각뿔어초 설계예산서(2007년)_도급내역서_외파수도 정삼각뿔형 인공어초 설치-20070801" xfId="5977"/>
    <cellStyle name="_평촌교수량_정삼각뿔어초 설계예산서(2007년)_도급내역서_정삼각뿔형어초(2월29일)수정작업(1)" xfId="5978"/>
    <cellStyle name="_평촌교수량_정삼각뿔어초 설계예산서(중구소무이도.영흥외리)-관급별도" xfId="5979"/>
    <cellStyle name="_평촌교수량_정삼각뿔어초 설계예산서(중구소무이도.영흥외리)-관급별도(자재단가변경)" xfId="5980"/>
    <cellStyle name="_평촌교수량_정삼각뿔어초 설계예산서(중구소무이도.영흥외리)-관급별도(자재단가변경)_외파수도 정삼각뿔형 인공어초 도면수정" xfId="5981"/>
    <cellStyle name="_평촌교수량_정삼각뿔어초 설계예산서(중구소무이도.영흥외리)-관급별도(자재단가변경)_외파수도 정삼각뿔형 인공어초 설치-20070801" xfId="5982"/>
    <cellStyle name="_평촌교수량_정삼각뿔어초 설계예산서(중구소무이도.영흥외리)-관급별도(자재단가변경)_정삼각뿔형어초(2월29일)수정작업(1)" xfId="5983"/>
    <cellStyle name="_평촌교수량_정삼각뿔어초 설계예산서(중구소무이도.영흥외리)-관급별도_도급내역서" xfId="5984"/>
    <cellStyle name="_평촌교수량_정삼각뿔어초 설계예산서(중구소무이도.영흥외리)-관급별도_도급내역서_외파수도 정삼각뿔형 인공어초 도면수정" xfId="5985"/>
    <cellStyle name="_평촌교수량_정삼각뿔어초 설계예산서(중구소무이도.영흥외리)-관급별도_도급내역서_외파수도 정삼각뿔형 인공어초 설치-20070801" xfId="5986"/>
    <cellStyle name="_평촌교수량_정삼각뿔어초 설계예산서(중구소무이도.영흥외리)-관급별도_도급내역서_정삼각뿔형어초(2월29일)수정작업(1)" xfId="5987"/>
    <cellStyle name="_평촌교수량_정삼각뿔형 인공어초 설계예산서 (전체분)" xfId="5988"/>
    <cellStyle name="_평촌교수량_정삼각뿔형 인공어초 설계예산서 (전체분)_도급내역서" xfId="5989"/>
    <cellStyle name="_평촌교수량_정삼각뿔형 인공어초 설계예산서 (전체분)_도급내역서_외파수도 정삼각뿔형 인공어초 도면수정" xfId="5990"/>
    <cellStyle name="_평촌교수량_정삼각뿔형 인공어초 설계예산서 (전체분)_도급내역서_외파수도 정삼각뿔형 인공어초 설치-20070801" xfId="5991"/>
    <cellStyle name="_평촌교수량_정삼각뿔형 인공어초 설계예산서 (전체분)_도급내역서_정삼각뿔형어초(2월29일)수정작업(1)" xfId="5992"/>
    <cellStyle name="_평촌교수량_정삼각뿔형어초(2월29일)수정작업(1)" xfId="5993"/>
    <cellStyle name="_평촌교수량_정삼각뿔형어초(비계공 포함시)" xfId="5994"/>
    <cellStyle name="_평촌교수량_정삼각뿔형어초설계서(100개)금오도" xfId="5995"/>
    <cellStyle name="_평촌교수량_정삼각뿔형어초설계서(2차년도)" xfId="5996"/>
    <cellStyle name="_평촌교수량_정삼각뿔형어초설계서(2차년도)(변경 준비)" xfId="5997"/>
    <cellStyle name="_평촌교수량_정삼각뿔형어초설계서(2차년도)(일상감사후)" xfId="5998"/>
    <cellStyle name="_평촌교수량_정삼각뿔형어초설계서(60개)" xfId="5999"/>
    <cellStyle name="_평촌교수량_정삼각뿔형어초설계서(사천시)" xfId="6000"/>
    <cellStyle name="_평촌교수량_정삼각형뿔형(시설공사)" xfId="6001"/>
    <cellStyle name="_평촌교수량_착공내역서" xfId="6002"/>
    <cellStyle name="_평촌교수량_화성도급" xfId="6003"/>
    <cellStyle name="_평택내리관광지조성계획 및 타당성조사용역" xfId="6004"/>
    <cellStyle name="_평화정공4006 견적" xfId="6005"/>
    <cellStyle name="_폐기물깨기" xfId="6006"/>
    <cellStyle name="_포스장비" xfId="6007"/>
    <cellStyle name="_포장" xfId="6008"/>
    <cellStyle name="_포장_01.설계내역2" xfId="6009"/>
    <cellStyle name="_포장_라멘교 토공" xfId="6010"/>
    <cellStyle name="_포장_라멘교 토공_01.설계내역2" xfId="6011"/>
    <cellStyle name="_포장_라멘교 토공_제2종지구단위계획_선바위관광지" xfId="6012"/>
    <cellStyle name="_포장_라멘교 토공_제2종지구단위계획_선바위관광지_20090609_영덕농공단지내역서" xfId="6013"/>
    <cellStyle name="_포장_라멘교 토공_제2종지구단위계획_선바위관광지_총괄내역서(090223)" xfId="6014"/>
    <cellStyle name="_포장_라멘교 토공_총괄내역서_도시관리계획결정(070907)_계약" xfId="6015"/>
    <cellStyle name="_포장_라멘교 토공_총괄내역서_타당성조사및도시관리계획결정(090115)" xfId="6016"/>
    <cellStyle name="_포장_라멘교 토공_총괄내역서_타당성조사및도시관리계획결정(090115)_20090609_영덕농공단지내역서" xfId="6017"/>
    <cellStyle name="_포장_라멘교 토공_총괄내역서_타당성조사및도시관리계획결정(090115)_총괄내역서(090223)" xfId="6018"/>
    <cellStyle name="_포장_제2종지구단위계획_선바위관광지" xfId="6019"/>
    <cellStyle name="_포장_제2종지구단위계획_선바위관광지_20090609_영덕농공단지내역서" xfId="6020"/>
    <cellStyle name="_포장_제2종지구단위계획_선바위관광지_총괄내역서(090223)" xfId="6021"/>
    <cellStyle name="_포장_총괄내역서_도시관리계획결정(070907)_계약" xfId="6022"/>
    <cellStyle name="_포장_총괄내역서_타당성조사및도시관리계획결정(090115)" xfId="6023"/>
    <cellStyle name="_포장_총괄내역서_타당성조사및도시관리계획결정(090115)_20090609_영덕농공단지내역서" xfId="6024"/>
    <cellStyle name="_포장_총괄내역서_타당성조사및도시관리계획결정(090115)_총괄내역서(090223)" xfId="6025"/>
    <cellStyle name="_포장공(괴목배수로)" xfId="6026"/>
    <cellStyle name="_포천 시가화예정용지 제1종지구단위계획(총괄내역서)-보정" xfId="6027"/>
    <cellStyle name="_포천GIS설계_전체" xfId="6028"/>
    <cellStyle name="_포천시 UIS 시스템부문 설계내역서_1.0" xfId="6029"/>
    <cellStyle name="_포항교도소(대동)" xfId="6030"/>
    <cellStyle name="_포항교도소(원본)" xfId="6031"/>
    <cellStyle name="_포항시벽천실시설계(2006.04)" xfId="6032"/>
    <cellStyle name="_표본설계" xfId="6033"/>
    <cellStyle name="_표본설계서" xfId="6034"/>
    <cellStyle name="_표시핀설치(ok)" xfId="6035"/>
    <cellStyle name="_표준견적서ML350G3" xfId="6036"/>
    <cellStyle name="_표준견적서ML570G2" xfId="6037"/>
    <cellStyle name="_표준견적서RACK OPTION" xfId="6038"/>
    <cellStyle name="_표지" xfId="6039"/>
    <cellStyle name="_표지판시설물 (version 1)" xfId="6040"/>
    <cellStyle name="_품관소_F6800_F4800_0820" xfId="6041"/>
    <cellStyle name="_풍기인삼랜드설계내역서(최종)" xfId="6042"/>
    <cellStyle name="_퓨쳐시스템_신원정보기술견적040219" xfId="6043"/>
    <cellStyle name="_하가흥변경" xfId="6044"/>
    <cellStyle name="_하도급양식" xfId="6045"/>
    <cellStyle name="_하드웨어사양서" xfId="6046"/>
    <cellStyle name="_하수관거 산출" xfId="6047"/>
    <cellStyle name="_하수관거 산출_1-(금액상승)변경-아치텐트-PVDF-(3mx3mx2.5m)" xfId="6048"/>
    <cellStyle name="_하수관거 산출_1-(금액상승)변경-아치텐트-PVDF-(3mx3mx2.5m)_(조폐공사발송) 약품처리시설" xfId="6049"/>
    <cellStyle name="_하수관거 산출_1-(금액상승)변경-아치텐트-PVDF-(3mx3mx2.5m)_(조폐공사발송) 약품처리시설_2004년 완선공사(최종본)" xfId="6050"/>
    <cellStyle name="_하수관거 산출_1-(금액상승)변경-아치텐트-PVDF-(3mx3mx2.5m)_(조폐공사발송) 약품처리시설_안동전통문화콘텐츠박물관전시영상물구축(전시시설물)" xfId="6051"/>
    <cellStyle name="_하수관거 산출_1-(금액상승)변경-아치텐트-PVDF-(3mx3mx2.5m)_(조폐공사발송) 약품처리시설_안동전통문화콘텐츠박물관전시영상물구축(전시시설물)_원가보고서(종합)-조달" xfId="6052"/>
    <cellStyle name="_하수관거 산출_1-(금액상승)변경-아치텐트-PVDF-(3mx3mx2.5m)_(조폐공사발송) 약품처리시설_안동전통문화콘텐츠박물관전시영상물구축(전시시설물)_원가보고서(흑색)-조달" xfId="6053"/>
    <cellStyle name="_하수관거 산출_1-(금액상승)변경-아치텐트-PVDF-(3mx3mx2.5m)_(조폐공사발송) 약품처리시설_원가계산서(화성상록)" xfId="6054"/>
    <cellStyle name="_하수관거 산출_1-(금액상승)변경-아치텐트-PVDF-(3mx3mx2.5m)_(조폐공사발송) 약품처리시설_원가계산서(화성상록) (version 1)" xfId="6055"/>
    <cellStyle name="_하수관거 산출_1-(금액상승)변경-아치텐트-PVDF-(3mx3mx2.5m)_(조폐공사발송) 약품처리시설_원가계산서(화성상록) (version 1)_원가보고서(종합)-조달" xfId="6056"/>
    <cellStyle name="_하수관거 산출_1-(금액상승)변경-아치텐트-PVDF-(3mx3mx2.5m)_(조폐공사발송) 약품처리시설_원가계산서(화성상록) (version 1)_원가보고서(흑색)-조달" xfId="6057"/>
    <cellStyle name="_하수관거 산출_1-(금액상승)변경-아치텐트-PVDF-(3mx3mx2.5m)_(조폐공사발송) 약품처리시설_원가계산서(화성상록)_원가보고서(종합)-조달" xfId="6058"/>
    <cellStyle name="_하수관거 산출_1-(금액상승)변경-아치텐트-PVDF-(3mx3mx2.5m)_(조폐공사발송) 약품처리시설_원가계산서(화성상록)_원가보고서(흑색)-조달" xfId="6059"/>
    <cellStyle name="_하수관거 산출_1-(금액상승)변경-아치텐트-PVDF-(3mx3mx2.5m)_2004년 완선공사(최종본)" xfId="6060"/>
    <cellStyle name="_하수관거 산출_1-(금액상승)변경-아치텐트-PVDF-(3mx3mx2.5m)_안동전통문화콘텐츠박물관전시영상물구축(전시시설물)" xfId="6061"/>
    <cellStyle name="_하수관거 산출_1-(금액상승)변경-아치텐트-PVDF-(3mx3mx2.5m)_안동전통문화콘텐츠박물관전시영상물구축(전시시설물)_원가보고서(종합)-조달" xfId="6062"/>
    <cellStyle name="_하수관거 산출_1-(금액상승)변경-아치텐트-PVDF-(3mx3mx2.5m)_안동전통문화콘텐츠박물관전시영상물구축(전시시설물)_원가보고서(흑색)-조달" xfId="6063"/>
    <cellStyle name="_하수관거 산출_1-(금액상승)변경-아치텐트-PVDF-(3mx3mx2.5m)_원가계산서(화성상록)" xfId="6064"/>
    <cellStyle name="_하수관거 산출_1-(금액상승)변경-아치텐트-PVDF-(3mx3mx2.5m)_원가계산서(화성상록) (version 1)" xfId="6065"/>
    <cellStyle name="_하수관거 산출_1-(금액상승)변경-아치텐트-PVDF-(3mx3mx2.5m)_원가계산서(화성상록) (version 1)_원가보고서(종합)-조달" xfId="6066"/>
    <cellStyle name="_하수관거 산출_1-(금액상승)변경-아치텐트-PVDF-(3mx3mx2.5m)_원가계산서(화성상록) (version 1)_원가보고서(흑색)-조달" xfId="6067"/>
    <cellStyle name="_하수관거 산출_1-(금액상승)변경-아치텐트-PVDF-(3mx3mx2.5m)_원가계산서(화성상록)_원가보고서(종합)-조달" xfId="6068"/>
    <cellStyle name="_하수관거 산출_1-(금액상승)변경-아치텐트-PVDF-(3mx3mx2.5m)_원가계산서(화성상록)_원가보고서(흑색)-조달" xfId="6069"/>
    <cellStyle name="_하수관거 산출_2004년 완선공사(최종본)" xfId="6070"/>
    <cellStyle name="_하수관거 산출_안동전통문화콘텐츠박물관전시영상물구축(전시시설물)" xfId="6071"/>
    <cellStyle name="_하수관거 산출_안동전통문화콘텐츠박물관전시영상물구축(전시시설물)_원가보고서(종합)-조달" xfId="6072"/>
    <cellStyle name="_하수관거 산출_안동전통문화콘텐츠박물관전시영상물구축(전시시설물)_원가보고서(흑색)-조달" xfId="6073"/>
    <cellStyle name="_하수관거 산출_원가계산서(화성상록)" xfId="6074"/>
    <cellStyle name="_하수관거 산출_원가계산서(화성상록) (version 1)" xfId="6075"/>
    <cellStyle name="_하수관거 산출_원가계산서(화성상록) (version 1)_원가보고서(종합)-조달" xfId="6076"/>
    <cellStyle name="_하수관거 산출_원가계산서(화성상록) (version 1)_원가보고서(흑색)-조달" xfId="6077"/>
    <cellStyle name="_하수관거 산출_원가계산서(화성상록)_원가보고서(종합)-조달" xfId="6078"/>
    <cellStyle name="_하수관거 산출_원가계산서(화성상록)_원가보고서(흑색)-조달" xfId="6079"/>
    <cellStyle name="_한강시민공원통합시스템_산출내역서_050617" xfId="6080"/>
    <cellStyle name="_한국 DB CIES견적(1011)" xfId="6081"/>
    <cellStyle name="_한국DB 8-27  한동진" xfId="6082"/>
    <cellStyle name="_한국게이츠-1" xfId="6083"/>
    <cellStyle name="_한국데이타베이스진흥센타 e-HR시스템 견적서 (2007.11.20)" xfId="6084"/>
    <cellStyle name="_한국데이터베이스진흥센터(이종서연구원님)_v890_0601" xfId="6085"/>
    <cellStyle name="_한국데이터베이스진흥센터_xweb_20070525" xfId="6086"/>
    <cellStyle name="_한국여성정책연구원-물품구매확장개발-_견적서-070522-1" xfId="6087"/>
    <cellStyle name="_한국은행_SSO Agent(KM시스템)_한국DB진행센타_070813" xfId="6088"/>
    <cellStyle name="_한국전자인증_중기청 전자협약 견적서" xfId="6089"/>
    <cellStyle name="_한국철강(050718)_xw4200_원가" xfId="6090"/>
    <cellStyle name="_한전연구견적" xfId="6091"/>
    <cellStyle name="_한천(1공구)수량산출서" xfId="6092"/>
    <cellStyle name="_한천(1공구)수량산출서_두릉1제 수량산출서" xfId="6093"/>
    <cellStyle name="_한천(1공구)수량산출서_인계1공구 수량산출" xfId="6094"/>
    <cellStyle name="_한천(1공구)수량산출서_총자재집계표" xfId="6095"/>
    <cellStyle name="_한화증권_Op공수및견적080211" xfId="6096"/>
    <cellStyle name="_합의서" xfId="6097"/>
    <cellStyle name="_합의서_간이배수펌프장설치에 따른 타당성용역내역" xfId="6098"/>
    <cellStyle name="_합의서_선정안(삼산)" xfId="6099"/>
    <cellStyle name="_합의서_선정안(삼산)_간이배수펌프장설치에 따른 타당성용역내역" xfId="6100"/>
    <cellStyle name="_합의서_추풍령" xfId="6101"/>
    <cellStyle name="_합의서_추풍령_간이배수펌프장설치에 따른 타당성용역내역" xfId="6102"/>
    <cellStyle name="_합의서_추풍령-1" xfId="6103"/>
    <cellStyle name="_합의서_추풍령-1_간이배수펌프장설치에 따른 타당성용역내역" xfId="6104"/>
    <cellStyle name="_합천 도시관리계획및지형도면고시설계서" xfId="6105"/>
    <cellStyle name="_항공사진_관리시스템_아세아_2차" xfId="6106"/>
    <cellStyle name="_항공사진촬영,DB구축,수치표고자료구축,영상지도제작" xfId="6107"/>
    <cellStyle name="_항공사진측량용역 설계서(28만평)" xfId="6108"/>
    <cellStyle name="_항공측량(1.65㎢)" xfId="6109"/>
    <cellStyle name="_항측(원가)" xfId="6110"/>
    <cellStyle name="_항측내역(5.15최종)" xfId="6111"/>
    <cellStyle name="_항측설계(총괄분)" xfId="6112"/>
    <cellStyle name="_항측표본설계서" xfId="6113"/>
    <cellStyle name="_해군C4I_HP원가(3월22일)" xfId="6114"/>
    <cellStyle name="_해운대구청-음식물자원화시설(최종)" xfId="6115"/>
    <cellStyle name="_향산복명" xfId="6116"/>
    <cellStyle name="_현장채무발생내역" xfId="6117"/>
    <cellStyle name="_호남선두계역외2개소연결통로" xfId="6118"/>
    <cellStyle name="_호안블럭" xfId="6119"/>
    <cellStyle name="_호안블럭_두릉1제 수량산출서" xfId="6120"/>
    <cellStyle name="_호안블럭_인계1공구 수량산출" xfId="6121"/>
    <cellStyle name="_호안블럭_총자재집계표" xfId="6122"/>
    <cellStyle name="_호안블럭수량" xfId="6123"/>
    <cellStyle name="_홍제초 수목이식(2차)" xfId="6124"/>
    <cellStyle name="_홍제초등학교(강산)" xfId="6125"/>
    <cellStyle name="_홍제토목" xfId="6126"/>
    <cellStyle name="_홍천(노천1지구)-1공구" xfId="6127"/>
    <cellStyle name="_홍천(노천1지구)-1공구_2(변경)-토공" xfId="6128"/>
    <cellStyle name="_홍천군 시청각관리 종합_크로니아이티" xfId="6129"/>
    <cellStyle name="_홍천중(강임계약내역)" xfId="6130"/>
    <cellStyle name="_화성동탄내역서(0419)" xfId="6131"/>
    <cellStyle name="_화천평화생태공원실시설계 내역서-1 (06.11.8)" xfId="6132"/>
    <cellStyle name="_환경기초 민간위탁(공동오수-개별오수)-KKKK " xfId="6133"/>
    <cellStyle name="_환경기초 민간위탁(공동오수-개별오수)-KKKK _1-(금액상승)변경-아치텐트-PVDF-(3mx3mx2.5m)" xfId="6134"/>
    <cellStyle name="_환경기초 민간위탁(공동오수-개별오수)-KKKK _1-(금액상승)변경-아치텐트-PVDF-(3mx3mx2.5m)_(조폐공사발송) 약품처리시설" xfId="6135"/>
    <cellStyle name="_환경기초 민간위탁(공동오수-개별오수)-KKKK _1-(금액상승)변경-아치텐트-PVDF-(3mx3mx2.5m)_(조폐공사발송) 약품처리시설_2004년 완선공사(최종본)" xfId="6136"/>
    <cellStyle name="_환경기초 민간위탁(공동오수-개별오수)-KKKK _1-(금액상승)변경-아치텐트-PVDF-(3mx3mx2.5m)_(조폐공사발송) 약품처리시설_안동전통문화콘텐츠박물관전시영상물구축(전시시설물)" xfId="6137"/>
    <cellStyle name="_환경기초 민간위탁(공동오수-개별오수)-KKKK _1-(금액상승)변경-아치텐트-PVDF-(3mx3mx2.5m)_(조폐공사발송) 약품처리시설_안동전통문화콘텐츠박물관전시영상물구축(전시시설물)_원가보고서(종합)-조달" xfId="6138"/>
    <cellStyle name="_환경기초 민간위탁(공동오수-개별오수)-KKKK _1-(금액상승)변경-아치텐트-PVDF-(3mx3mx2.5m)_(조폐공사발송) 약품처리시설_안동전통문화콘텐츠박물관전시영상물구축(전시시설물)_원가보고서(흑색)-조달" xfId="6139"/>
    <cellStyle name="_환경기초 민간위탁(공동오수-개별오수)-KKKK _1-(금액상승)변경-아치텐트-PVDF-(3mx3mx2.5m)_(조폐공사발송) 약품처리시설_원가계산서(화성상록)" xfId="6140"/>
    <cellStyle name="_환경기초 민간위탁(공동오수-개별오수)-KKKK _1-(금액상승)변경-아치텐트-PVDF-(3mx3mx2.5m)_(조폐공사발송) 약품처리시설_원가계산서(화성상록) (version 1)" xfId="6141"/>
    <cellStyle name="_환경기초 민간위탁(공동오수-개별오수)-KKKK _1-(금액상승)변경-아치텐트-PVDF-(3mx3mx2.5m)_(조폐공사발송) 약품처리시설_원가계산서(화성상록) (version 1)_원가보고서(종합)-조달" xfId="6142"/>
    <cellStyle name="_환경기초 민간위탁(공동오수-개별오수)-KKKK _1-(금액상승)변경-아치텐트-PVDF-(3mx3mx2.5m)_(조폐공사발송) 약품처리시설_원가계산서(화성상록) (version 1)_원가보고서(흑색)-조달" xfId="6143"/>
    <cellStyle name="_환경기초 민간위탁(공동오수-개별오수)-KKKK _1-(금액상승)변경-아치텐트-PVDF-(3mx3mx2.5m)_(조폐공사발송) 약품처리시설_원가계산서(화성상록)_원가보고서(종합)-조달" xfId="6144"/>
    <cellStyle name="_환경기초 민간위탁(공동오수-개별오수)-KKKK _1-(금액상승)변경-아치텐트-PVDF-(3mx3mx2.5m)_(조폐공사발송) 약품처리시설_원가계산서(화성상록)_원가보고서(흑색)-조달" xfId="6145"/>
    <cellStyle name="_환경기초 민간위탁(공동오수-개별오수)-KKKK _1-(금액상승)변경-아치텐트-PVDF-(3mx3mx2.5m)_2004년 완선공사(최종본)" xfId="6146"/>
    <cellStyle name="_환경기초 민간위탁(공동오수-개별오수)-KKKK _1-(금액상승)변경-아치텐트-PVDF-(3mx3mx2.5m)_안동전통문화콘텐츠박물관전시영상물구축(전시시설물)" xfId="6147"/>
    <cellStyle name="_환경기초 민간위탁(공동오수-개별오수)-KKKK _1-(금액상승)변경-아치텐트-PVDF-(3mx3mx2.5m)_안동전통문화콘텐츠박물관전시영상물구축(전시시설물)_원가보고서(종합)-조달" xfId="6148"/>
    <cellStyle name="_환경기초 민간위탁(공동오수-개별오수)-KKKK _1-(금액상승)변경-아치텐트-PVDF-(3mx3mx2.5m)_안동전통문화콘텐츠박물관전시영상물구축(전시시설물)_원가보고서(흑색)-조달" xfId="6149"/>
    <cellStyle name="_환경기초 민간위탁(공동오수-개별오수)-KKKK _1-(금액상승)변경-아치텐트-PVDF-(3mx3mx2.5m)_원가계산서(화성상록)" xfId="6150"/>
    <cellStyle name="_환경기초 민간위탁(공동오수-개별오수)-KKKK _1-(금액상승)변경-아치텐트-PVDF-(3mx3mx2.5m)_원가계산서(화성상록) (version 1)" xfId="6151"/>
    <cellStyle name="_환경기초 민간위탁(공동오수-개별오수)-KKKK _1-(금액상승)변경-아치텐트-PVDF-(3mx3mx2.5m)_원가계산서(화성상록) (version 1)_원가보고서(종합)-조달" xfId="6152"/>
    <cellStyle name="_환경기초 민간위탁(공동오수-개별오수)-KKKK _1-(금액상승)변경-아치텐트-PVDF-(3mx3mx2.5m)_원가계산서(화성상록) (version 1)_원가보고서(흑색)-조달" xfId="6153"/>
    <cellStyle name="_환경기초 민간위탁(공동오수-개별오수)-KKKK _1-(금액상승)변경-아치텐트-PVDF-(3mx3mx2.5m)_원가계산서(화성상록)_원가보고서(종합)-조달" xfId="6154"/>
    <cellStyle name="_환경기초 민간위탁(공동오수-개별오수)-KKKK _1-(금액상승)변경-아치텐트-PVDF-(3mx3mx2.5m)_원가계산서(화성상록)_원가보고서(흑색)-조달" xfId="6155"/>
    <cellStyle name="_환경기초 민간위탁(공동오수-개별오수)-KKKK _1.컴퓨터용 책상" xfId="6156"/>
    <cellStyle name="_환경기초 민간위탁(공동오수-개별오수)-KKKK _1.컴퓨터용 책상_2004년 완선공사(최종본)" xfId="6157"/>
    <cellStyle name="_환경기초 민간위탁(공동오수-개별오수)-KKKK _1.컴퓨터용 책상_안동전통문화콘텐츠박물관전시영상물구축(전시시설물)" xfId="6158"/>
    <cellStyle name="_환경기초 민간위탁(공동오수-개별오수)-KKKK _1.컴퓨터용 책상_안동전통문화콘텐츠박물관전시영상물구축(전시시설물)_원가보고서(종합)-조달" xfId="6159"/>
    <cellStyle name="_환경기초 민간위탁(공동오수-개별오수)-KKKK _1.컴퓨터용 책상_안동전통문화콘텐츠박물관전시영상물구축(전시시설물)_원가보고서(흑색)-조달" xfId="6160"/>
    <cellStyle name="_환경기초 민간위탁(공동오수-개별오수)-KKKK _1.컴퓨터용 책상_원가계산서(화성상록)" xfId="6161"/>
    <cellStyle name="_환경기초 민간위탁(공동오수-개별오수)-KKKK _1.컴퓨터용 책상_원가계산서(화성상록) (version 1)" xfId="6162"/>
    <cellStyle name="_환경기초 민간위탁(공동오수-개별오수)-KKKK _1.컴퓨터용 책상_원가계산서(화성상록) (version 1)_원가보고서(종합)-조달" xfId="6163"/>
    <cellStyle name="_환경기초 민간위탁(공동오수-개별오수)-KKKK _1.컴퓨터용 책상_원가계산서(화성상록) (version 1)_원가보고서(흑색)-조달" xfId="6164"/>
    <cellStyle name="_환경기초 민간위탁(공동오수-개별오수)-KKKK _1.컴퓨터용 책상_원가계산서(화성상록)_원가보고서(종합)-조달" xfId="6165"/>
    <cellStyle name="_환경기초 민간위탁(공동오수-개별오수)-KKKK _1.컴퓨터용 책상_원가계산서(화성상록)_원가보고서(흑색)-조달" xfId="6166"/>
    <cellStyle name="_환경기초 민간위탁(공동오수-개별오수)-KKKK _2004년 완선공사(최종본)" xfId="6167"/>
    <cellStyle name="_환경기초 민간위탁(공동오수-개별오수)-KKKK _발안천교(수정)" xfId="6168"/>
    <cellStyle name="_환경기초 민간위탁(공동오수-개별오수)-KKKK _안동전통문화콘텐츠박물관전시영상물구축(전시시설물)" xfId="6169"/>
    <cellStyle name="_환경기초 민간위탁(공동오수-개별오수)-KKKK _안동전통문화콘텐츠박물관전시영상물구축(전시시설물)_원가보고서(종합)-조달" xfId="6170"/>
    <cellStyle name="_환경기초 민간위탁(공동오수-개별오수)-KKKK _안동전통문화콘텐츠박물관전시영상물구축(전시시설물)_원가보고서(흑색)-조달" xfId="6171"/>
    <cellStyle name="_환경기초 민간위탁(공동오수-개별오수)-KKKK _원가계산서(화성상록)" xfId="6172"/>
    <cellStyle name="_환경기초 민간위탁(공동오수-개별오수)-KKKK _원가계산서(화성상록) (version 1)" xfId="6173"/>
    <cellStyle name="_환경기초 민간위탁(공동오수-개별오수)-KKKK _원가계산서(화성상록) (version 1)_원가보고서(종합)-조달" xfId="6174"/>
    <cellStyle name="_환경기초 민간위탁(공동오수-개별오수)-KKKK _원가계산서(화성상록) (version 1)_원가보고서(흑색)-조달" xfId="6175"/>
    <cellStyle name="_환경기초 민간위탁(공동오수-개별오수)-KKKK _원가계산서(화성상록)_원가보고서(종합)-조달" xfId="6176"/>
    <cellStyle name="_환경기초 민간위탁(공동오수-개별오수)-KKKK _원가계산서(화성상록)_원가보고서(흑색)-조달" xfId="6177"/>
    <cellStyle name="_환경기초 민간위탁(공동오수-개별오수)-KKKK _초지기 2라인 광택시설 보완" xfId="6178"/>
    <cellStyle name="_환경기초 민간위탁(공동오수-개별오수)-KKKK _초지기 2라인 광택시설 보완_2004년 완선공사(최종본)" xfId="6179"/>
    <cellStyle name="_환경기초 민간위탁(공동오수-개별오수)-KKKK _초지기 2라인 광택시설 보완_안동전통문화콘텐츠박물관전시영상물구축(전시시설물)" xfId="6180"/>
    <cellStyle name="_환경기초 민간위탁(공동오수-개별오수)-KKKK _초지기 2라인 광택시설 보완_안동전통문화콘텐츠박물관전시영상물구축(전시시설물)_원가보고서(종합)-조달" xfId="6181"/>
    <cellStyle name="_환경기초 민간위탁(공동오수-개별오수)-KKKK _초지기 2라인 광택시설 보완_안동전통문화콘텐츠박물관전시영상물구축(전시시설물)_원가보고서(흑색)-조달" xfId="6182"/>
    <cellStyle name="_환경기초 민간위탁(공동오수-개별오수)-KKKK _초지기 2라인 광택시설 보완_원가계산서(화성상록)" xfId="6183"/>
    <cellStyle name="_환경기초 민간위탁(공동오수-개별오수)-KKKK _초지기 2라인 광택시설 보완_원가계산서(화성상록) (version 1)" xfId="6184"/>
    <cellStyle name="_환경기초 민간위탁(공동오수-개별오수)-KKKK _초지기 2라인 광택시설 보완_원가계산서(화성상록) (version 1)_원가보고서(종합)-조달" xfId="6185"/>
    <cellStyle name="_환경기초 민간위탁(공동오수-개별오수)-KKKK _초지기 2라인 광택시설 보완_원가계산서(화성상록) (version 1)_원가보고서(흑색)-조달" xfId="6186"/>
    <cellStyle name="_환경기초 민간위탁(공동오수-개별오수)-KKKK _초지기 2라인 광택시설 보완_원가계산서(화성상록)_원가보고서(종합)-조달" xfId="6187"/>
    <cellStyle name="_환경기초 민간위탁(공동오수-개별오수)-KKKK _초지기 2라인 광택시설 보완_원가계산서(화성상록)_원가보고서(흑색)-조달" xfId="6188"/>
    <cellStyle name="_환경평가(시흥군자지구)" xfId="6189"/>
    <cellStyle name="_환평, 검토" xfId="6190"/>
    <cellStyle name="_회사 VAN 원가분석 양식_최종_V.1.5(최종)" xfId="6191"/>
    <cellStyle name="_횡배수관" xfId="6192"/>
    <cellStyle name="_횡배수관_금산제수량(전체최종)" xfId="6193"/>
    <cellStyle name="_횡배수관_금산제수량(전체최종)_두릉1제 수량산출서" xfId="6194"/>
    <cellStyle name="_횡배수관_금산제수량(전체최종)_인계1공구 수량산출" xfId="6195"/>
    <cellStyle name="_횡배수관_금산제수량(전체최종)_총자재집계표" xfId="6196"/>
    <cellStyle name="_횡배수관_두릉1제 수량산출서" xfId="6197"/>
    <cellStyle name="_횡배수관_인계1공구 수량산출" xfId="6198"/>
    <cellStyle name="_횡배수관_총자재집계표" xfId="6199"/>
    <cellStyle name="_효성인포메이션시스템(노동연구원 AMS500 " xfId="6200"/>
    <cellStyle name="``" xfId="6201"/>
    <cellStyle name="´þ" xfId="6202"/>
    <cellStyle name="´þ·?" xfId="6203"/>
    <cellStyle name="´þ·¯" xfId="6204"/>
    <cellStyle name="’E‰Y [0.00]_laroux" xfId="6205"/>
    <cellStyle name="’E‰Y_laroux" xfId="6206"/>
    <cellStyle name="¤@?e_TEST-1" xfId="6207"/>
    <cellStyle name="+,-,0" xfId="6208"/>
    <cellStyle name="=C:\WINDOWS\SYSTEM32\COMMAND.COM" xfId="6209"/>
    <cellStyle name="=C:\WINNT\SYSTEM32\COMMAND.COM" xfId="6210"/>
    <cellStyle name="△ []" xfId="6211"/>
    <cellStyle name="△ [0]" xfId="6212"/>
    <cellStyle name="△백분율" xfId="6213"/>
    <cellStyle name="△콤마" xfId="6214"/>
    <cellStyle name="°ia¤¼o " xfId="6215"/>
    <cellStyle name="°ia¤¼o¼ya¡" xfId="6216"/>
    <cellStyle name="°íá¤¼ò¼ýá¡" xfId="6217"/>
    <cellStyle name="°ia¤aa " xfId="6218"/>
    <cellStyle name="°ia¤aa·a1" xfId="6219"/>
    <cellStyle name="°íá¤ãâ·â1" xfId="6220"/>
    <cellStyle name="°ia¤aa·a2" xfId="6221"/>
    <cellStyle name="°íá¤ãâ·â2" xfId="6222"/>
    <cellStyle name="•W_laroux" xfId="6223"/>
    <cellStyle name="" xfId="6224"/>
    <cellStyle name="_2007년 도로명주소기반표준전자지도 DB구축 예산설계서_v2.0_070206" xfId="6225"/>
    <cellStyle name="_강제어초(철골가공조립)-수정후(수량이 틀림)" xfId="6226"/>
    <cellStyle name="_개발비" xfId="6227"/>
    <cellStyle name="_공장설립 온라인 지원시스템(최종본)" xfId="6228"/>
    <cellStyle name="_방축소하천교(2008.9)" xfId="6229"/>
    <cellStyle name="_성산건설(주)" xfId="6230"/>
    <cellStyle name="_싸인텔레콤-전광판(최종보고서)" xfId="6231"/>
    <cellStyle name="_완성공사 원가분석(08년도)" xfId="6232"/>
    <cellStyle name="_원가(도천5교제출본)" xfId="6233"/>
    <cellStyle name="_원가보고서(거화1)" xfId="6234"/>
    <cellStyle name="_유성ENT(연기군)" xfId="6235"/>
    <cellStyle name="_측구수로관" xfId="6236"/>
    <cellStyle name="0" xfId="6237"/>
    <cellStyle name="0 2" xfId="6238"/>
    <cellStyle name="0 2 2" xfId="6239"/>
    <cellStyle name="0 3" xfId="6240"/>
    <cellStyle name="0 3 2" xfId="6241"/>
    <cellStyle name="0 4" xfId="6242"/>
    <cellStyle name="0 4 2" xfId="6243"/>
    <cellStyle name="0 5" xfId="6244"/>
    <cellStyle name="0%" xfId="6245"/>
    <cellStyle name="0,0_x000d__x000a_NA_x000d__x000a_" xfId="6246"/>
    <cellStyle name="0.0 2" xfId="6247"/>
    <cellStyle name="0.0 2 2" xfId="6248"/>
    <cellStyle name="0.0 3" xfId="6249"/>
    <cellStyle name="0.0 3 2" xfId="6250"/>
    <cellStyle name="0.0 4" xfId="6251"/>
    <cellStyle name="0.0 4 2" xfId="6252"/>
    <cellStyle name="0.0 5" xfId="6253"/>
    <cellStyle name="0.0%" xfId="6254"/>
    <cellStyle name="0.00%" xfId="6255"/>
    <cellStyle name="0.000%" xfId="6256"/>
    <cellStyle name="0.0000%" xfId="6257"/>
    <cellStyle name="00" xfId="6258"/>
    <cellStyle name="0뾍R_x0005_?뾍b_x0005_" xfId="6259"/>
    <cellStyle name="¾È°ÇÈ¸°è¹ýÀÎ" xfId="6260"/>
    <cellStyle name="1" xfId="6261"/>
    <cellStyle name="1_00-예산서양식100" xfId="6262"/>
    <cellStyle name="1_345kv신안산변전토건공사(해동완료)" xfId="6263"/>
    <cellStyle name="1_Book3" xfId="6264"/>
    <cellStyle name="1_laroux" xfId="6265"/>
    <cellStyle name="1_laroux_ATC-YOON1" xfId="6266"/>
    <cellStyle name="1_total" xfId="6267"/>
    <cellStyle name="1_total_목동내역" xfId="6268"/>
    <cellStyle name="1_total_현충묘지-예산서(조경)" xfId="6269"/>
    <cellStyle name="1_total_현충묘지-예산서(조경)_목동내역" xfId="6270"/>
    <cellStyle name="1_total_현충묘지-예산서(조경)_예산서-엑셀변환양식100" xfId="6271"/>
    <cellStyle name="1_total_현충묘지-예산서(조경)_예산서-엑셀변환양식100_목동내역" xfId="6272"/>
    <cellStyle name="1_tree" xfId="6273"/>
    <cellStyle name="1_tree_목동내역" xfId="6274"/>
    <cellStyle name="1_tree_수량산출" xfId="6275"/>
    <cellStyle name="1_tree_수량산출_목동내역" xfId="6276"/>
    <cellStyle name="1_tree_수량산출_현충묘지-예산서(조경)" xfId="6277"/>
    <cellStyle name="1_tree_수량산출_현충묘지-예산서(조경)_목동내역" xfId="6278"/>
    <cellStyle name="1_tree_수량산출_현충묘지-예산서(조경)_예산서-엑셀변환양식100" xfId="6279"/>
    <cellStyle name="1_tree_수량산출_현충묘지-예산서(조경)_예산서-엑셀변환양식100_목동내역" xfId="6280"/>
    <cellStyle name="1_tree_현충묘지-예산서(조경)" xfId="6281"/>
    <cellStyle name="1_tree_현충묘지-예산서(조경)_목동내역" xfId="6282"/>
    <cellStyle name="1_tree_현충묘지-예산서(조경)_예산서-엑셀변환양식100" xfId="6283"/>
    <cellStyle name="1_tree_현충묘지-예산서(조경)_예산서-엑셀변환양식100_목동내역" xfId="6284"/>
    <cellStyle name="1_강릉대학술정보지원센터총괄(월드2낙찰)" xfId="6285"/>
    <cellStyle name="1_금강Ⅱ지구김제2-2공구토목공사(동도)" xfId="6286"/>
    <cellStyle name="1_길동배수지건설공사(구보)" xfId="6287"/>
    <cellStyle name="1_단가조사표" xfId="6288"/>
    <cellStyle name="1_단가조사표_1011소각" xfId="6289"/>
    <cellStyle name="1_단가조사표_1113교~1" xfId="6290"/>
    <cellStyle name="1_단가조사표_121내역" xfId="6291"/>
    <cellStyle name="1_단가조사표_객토량" xfId="6292"/>
    <cellStyle name="1_단가조사표_교통센~1" xfId="6293"/>
    <cellStyle name="1_단가조사표_교통센터412" xfId="6294"/>
    <cellStyle name="1_단가조사표_교통수" xfId="6295"/>
    <cellStyle name="1_단가조사표_교통수량산출서" xfId="6296"/>
    <cellStyle name="1_단가조사표_구조물대가 (2)" xfId="6297"/>
    <cellStyle name="1_단가조사표_내역서 (2)" xfId="6298"/>
    <cellStyle name="1_단가조사표_대전관저지구" xfId="6299"/>
    <cellStyle name="1_단가조사표_동측지~1" xfId="6300"/>
    <cellStyle name="1_단가조사표_동측지원422" xfId="6301"/>
    <cellStyle name="1_단가조사표_동측지원512" xfId="6302"/>
    <cellStyle name="1_단가조사표_동측지원524" xfId="6303"/>
    <cellStyle name="1_단가조사표_부대422" xfId="6304"/>
    <cellStyle name="1_단가조사표_부대시설" xfId="6305"/>
    <cellStyle name="1_단가조사표_소각수~1" xfId="6306"/>
    <cellStyle name="1_단가조사표_소각수내역서" xfId="6307"/>
    <cellStyle name="1_단가조사표_소각수목2" xfId="6308"/>
    <cellStyle name="1_단가조사표_수량산출서 (2)" xfId="6309"/>
    <cellStyle name="1_단가조사표_엑스포~1" xfId="6310"/>
    <cellStyle name="1_단가조사표_엑스포한빛1" xfId="6311"/>
    <cellStyle name="1_단가조사표_여객터미널331" xfId="6312"/>
    <cellStyle name="1_단가조사표_여객터미널513" xfId="6313"/>
    <cellStyle name="1_단가조사표_여객터미널629" xfId="6314"/>
    <cellStyle name="1_단가조사표_외곽도로616" xfId="6315"/>
    <cellStyle name="1_단가조사표_원가계~1" xfId="6316"/>
    <cellStyle name="1_단가조사표_유기질" xfId="6317"/>
    <cellStyle name="1_단가조사표_자재조서 (2)" xfId="6318"/>
    <cellStyle name="1_단가조사표_총괄내역" xfId="6319"/>
    <cellStyle name="1_단가조사표_총괄내역 (2)" xfId="6320"/>
    <cellStyle name="1_단가조사표_터미널도로403" xfId="6321"/>
    <cellStyle name="1_단가조사표_터미널도로429" xfId="6322"/>
    <cellStyle name="1_단가조사표_포장일위" xfId="6323"/>
    <cellStyle name="1_당동(청강)" xfId="6324"/>
    <cellStyle name="1_당동(청강디스켓1)" xfId="6325"/>
    <cellStyle name="1_대전목양초" xfId="6326"/>
    <cellStyle name="1_대전서붕고하도급" xfId="6327"/>
    <cellStyle name="1_대호지~석문간지방도확포장공사(신일)" xfId="6328"/>
    <cellStyle name="1_등촌고등총괄(동현하도급)" xfId="6329"/>
    <cellStyle name="1_마현~생창국도건설공사" xfId="6330"/>
    <cellStyle name="1_명암지-산성간" xfId="6331"/>
    <cellStyle name="1_목동내역" xfId="6332"/>
    <cellStyle name="1_문화재샘플" xfId="6333"/>
    <cellStyle name="1_백석지구농촌용수개발사업(대원)" xfId="6334"/>
    <cellStyle name="1_병목안배수지건설(100%)" xfId="6335"/>
    <cellStyle name="1_봉곡중총괄(대지완결)" xfId="6336"/>
    <cellStyle name="1_부대입찰확약서" xfId="6337"/>
    <cellStyle name="1_부산해사고(100%)" xfId="6338"/>
    <cellStyle name="1_새들초등학교(동성)" xfId="6339"/>
    <cellStyle name="1_서울대학교사범대교육정보관(에스와이비작업완료)" xfId="6340"/>
    <cellStyle name="1_서울도림초등학교(신한디스켓)" xfId="6341"/>
    <cellStyle name="1_서울화일초(덕동)" xfId="6342"/>
    <cellStyle name="1_성산배수지건설공사(덕동)" xfId="6343"/>
    <cellStyle name="1_송정리역사(토목완료林)" xfId="6344"/>
    <cellStyle name="1_수도권매립지하도급(명도)" xfId="6345"/>
    <cellStyle name="1_수정갑지" xfId="6346"/>
    <cellStyle name="1_시민계략공사" xfId="6347"/>
    <cellStyle name="1_시민계략공사_전기공내역서" xfId="6348"/>
    <cellStyle name="1_시민계략공사_전기-한남" xfId="6349"/>
    <cellStyle name="1_인천북항관공선부두(수정내역)" xfId="6350"/>
    <cellStyle name="1_장산중학교내역(혁성)" xfId="6351"/>
    <cellStyle name="1_장산중학교내역(혁성업체)" xfId="6352"/>
    <cellStyle name="1_장산중학교내역하도급(혁성)" xfId="6353"/>
    <cellStyle name="1_전주시관내(이서~용정)건설공사(신화)" xfId="6354"/>
    <cellStyle name="1_조사계약대비금액" xfId="6355"/>
    <cellStyle name="1_천천고고등학교교사신축공사(산출내역집계표)" xfId="6356"/>
    <cellStyle name="1_철도청통합사령실(대명)" xfId="6357"/>
    <cellStyle name="1_폐기물" xfId="6358"/>
    <cellStyle name="1_포항교도소(대동)" xfId="6359"/>
    <cellStyle name="1_포항교도소(원본)" xfId="6360"/>
    <cellStyle name="1_하도급관리계획서" xfId="6361"/>
    <cellStyle name="1_하도급양식" xfId="6362"/>
    <cellStyle name="1_현충묘지-수량산출서" xfId="6363"/>
    <cellStyle name="10" xfId="6364"/>
    <cellStyle name="100" xfId="6365"/>
    <cellStyle name="10공/㎥" xfId="6366"/>
    <cellStyle name="11" xfId="6367"/>
    <cellStyle name="111" xfId="6368"/>
    <cellStyle name="120" xfId="6369"/>
    <cellStyle name="19990216" xfId="6370"/>
    <cellStyle name="¹e" xfId="6371"/>
    <cellStyle name="¹eº" xfId="6372"/>
    <cellStyle name="¹éº" xfId="6373"/>
    <cellStyle name="¹eº_감곡 건축(양수장 관리사)보완최종" xfId="6374"/>
    <cellStyle name="¹éº_마곡보완" xfId="6375"/>
    <cellStyle name="¹eº_신태인배수장제진기" xfId="6376"/>
    <cellStyle name="¹éº_율북보완" xfId="6377"/>
    <cellStyle name="¹eº_음성양수장단가보완(건축)" xfId="6378"/>
    <cellStyle name="¹eºÐA² [0]" xfId="6379"/>
    <cellStyle name="¹eºÐA² [2]" xfId="6380"/>
    <cellStyle name="1월" xfId="6381"/>
    <cellStyle name="2" xfId="6382"/>
    <cellStyle name="2)" xfId="6383"/>
    <cellStyle name="2_laroux" xfId="6384"/>
    <cellStyle name="2_laroux_ATC-YOON1" xfId="6385"/>
    <cellStyle name="2_단가조사표" xfId="6386"/>
    <cellStyle name="2_단가조사표_1011소각" xfId="6387"/>
    <cellStyle name="2_단가조사표_1113교~1" xfId="6388"/>
    <cellStyle name="2_단가조사표_121내역" xfId="6389"/>
    <cellStyle name="2_단가조사표_객토량" xfId="6390"/>
    <cellStyle name="2_단가조사표_교통센~1" xfId="6391"/>
    <cellStyle name="2_단가조사표_교통센터412" xfId="6392"/>
    <cellStyle name="2_단가조사표_교통수" xfId="6393"/>
    <cellStyle name="2_단가조사표_교통수량산출서" xfId="6394"/>
    <cellStyle name="2_단가조사표_구조물대가 (2)" xfId="6395"/>
    <cellStyle name="2_단가조사표_내역서 (2)" xfId="6396"/>
    <cellStyle name="2_단가조사표_대전관저지구" xfId="6397"/>
    <cellStyle name="2_단가조사표_동측지~1" xfId="6398"/>
    <cellStyle name="2_단가조사표_동측지원422" xfId="6399"/>
    <cellStyle name="2_단가조사표_동측지원512" xfId="6400"/>
    <cellStyle name="2_단가조사표_동측지원524" xfId="6401"/>
    <cellStyle name="2_단가조사표_부대422" xfId="6402"/>
    <cellStyle name="2_단가조사표_부대시설" xfId="6403"/>
    <cellStyle name="2_단가조사표_소각수~1" xfId="6404"/>
    <cellStyle name="2_단가조사표_소각수내역서" xfId="6405"/>
    <cellStyle name="2_단가조사표_소각수목2" xfId="6406"/>
    <cellStyle name="2_단가조사표_수량산출서 (2)" xfId="6407"/>
    <cellStyle name="2_단가조사표_엑스포~1" xfId="6408"/>
    <cellStyle name="2_단가조사표_엑스포한빛1" xfId="6409"/>
    <cellStyle name="2_단가조사표_여객터미널331" xfId="6410"/>
    <cellStyle name="2_단가조사표_여객터미널513" xfId="6411"/>
    <cellStyle name="2_단가조사표_여객터미널629" xfId="6412"/>
    <cellStyle name="2_단가조사표_외곽도로616" xfId="6413"/>
    <cellStyle name="2_단가조사표_원가계~1" xfId="6414"/>
    <cellStyle name="2_단가조사표_유기질" xfId="6415"/>
    <cellStyle name="2_단가조사표_자재조서 (2)" xfId="6416"/>
    <cellStyle name="2_단가조사표_총괄내역" xfId="6417"/>
    <cellStyle name="2_단가조사표_총괄내역 (2)" xfId="6418"/>
    <cellStyle name="2_단가조사표_터미널도로403" xfId="6419"/>
    <cellStyle name="2_단가조사표_터미널도로429" xfId="6420"/>
    <cellStyle name="2_단가조사표_포장일위" xfId="6421"/>
    <cellStyle name="20% - Accent1" xfId="6422"/>
    <cellStyle name="20% - Accent2" xfId="6423"/>
    <cellStyle name="20% - Accent3" xfId="6424"/>
    <cellStyle name="20% - Accent4" xfId="6425"/>
    <cellStyle name="20% - Accent5" xfId="6426"/>
    <cellStyle name="20% - Accent6" xfId="6427"/>
    <cellStyle name="20% - 강조색1 2" xfId="6428"/>
    <cellStyle name="20% - 강조색1 2 2" xfId="6429"/>
    <cellStyle name="20% - 강조색1 2 3" xfId="6430"/>
    <cellStyle name="20% - 강조색1 3" xfId="6431"/>
    <cellStyle name="20% - 강조색1 4" xfId="6432"/>
    <cellStyle name="20% - 강조색2 2" xfId="6433"/>
    <cellStyle name="20% - 강조색2 2 2" xfId="6434"/>
    <cellStyle name="20% - 강조색2 2 3" xfId="6435"/>
    <cellStyle name="20% - 강조색2 3" xfId="6436"/>
    <cellStyle name="20% - 강조색2 3 2" xfId="6437"/>
    <cellStyle name="20% - 강조색2 3 2 2" xfId="6438"/>
    <cellStyle name="20% - 강조색2 3 2 3" xfId="6439"/>
    <cellStyle name="20% - 강조색2 4" xfId="6440"/>
    <cellStyle name="20% - 강조색3 2" xfId="6441"/>
    <cellStyle name="20% - 강조색3 2 2" xfId="6442"/>
    <cellStyle name="20% - 강조색3 2 3" xfId="6443"/>
    <cellStyle name="20% - 강조색3 3" xfId="6444"/>
    <cellStyle name="20% - 강조색3 3 2" xfId="6445"/>
    <cellStyle name="20% - 강조색3 3 2 2" xfId="6446"/>
    <cellStyle name="20% - 강조색3 3 2 3" xfId="6447"/>
    <cellStyle name="20% - 강조색3 4" xfId="6448"/>
    <cellStyle name="20% - 강조색4 2" xfId="6449"/>
    <cellStyle name="20% - 강조색4 2 2" xfId="6450"/>
    <cellStyle name="20% - 강조색4 2 3" xfId="6451"/>
    <cellStyle name="20% - 강조색4 3" xfId="6452"/>
    <cellStyle name="20% - 강조색4 3 2" xfId="6453"/>
    <cellStyle name="20% - 강조색4 3 2 2" xfId="6454"/>
    <cellStyle name="20% - 강조색4 3 2 3" xfId="6455"/>
    <cellStyle name="20% - 강조색4 4" xfId="6456"/>
    <cellStyle name="20% - 강조색5 2" xfId="6457"/>
    <cellStyle name="20% - 강조색5 2 2" xfId="6458"/>
    <cellStyle name="20% - 강조색5 2 3" xfId="6459"/>
    <cellStyle name="20% - 강조색5 3" xfId="6460"/>
    <cellStyle name="20% - 강조색5 4" xfId="6461"/>
    <cellStyle name="20% - 강조색6 2" xfId="6462"/>
    <cellStyle name="20% - 강조색6 2 2" xfId="6463"/>
    <cellStyle name="20% - 강조색6 2 3" xfId="6464"/>
    <cellStyle name="20% - 강조색6 3" xfId="6465"/>
    <cellStyle name="20% - 강조색6 3 2" xfId="6466"/>
    <cellStyle name="20% - 강조색6 3 2 2" xfId="6467"/>
    <cellStyle name="20% - 강조색6 3 2 3" xfId="6468"/>
    <cellStyle name="20% - 강조색6 4" xfId="6469"/>
    <cellStyle name="2자리" xfId="6470"/>
    <cellStyle name="3" xfId="6471"/>
    <cellStyle name="³?a" xfId="6472"/>
    <cellStyle name="³?a￥" xfId="6473"/>
    <cellStyle name="3_산#2-2설비별기본물량산출 집계 " xfId="6474"/>
    <cellStyle name="3_산#7-5 비파괴검사(RT) " xfId="6475"/>
    <cellStyle name="3_산세약품소요량 " xfId="6476"/>
    <cellStyle name="³¯â¥" xfId="6477"/>
    <cellStyle name="40% - Accent1" xfId="6478"/>
    <cellStyle name="40% - Accent2" xfId="6479"/>
    <cellStyle name="40% - Accent3" xfId="6480"/>
    <cellStyle name="40% - Accent4" xfId="6481"/>
    <cellStyle name="40% - Accent5" xfId="6482"/>
    <cellStyle name="40% - Accent6" xfId="6483"/>
    <cellStyle name="40% - 강조색1 2" xfId="6484"/>
    <cellStyle name="40% - 강조색1 2 2" xfId="6485"/>
    <cellStyle name="40% - 강조색1 2 3" xfId="6486"/>
    <cellStyle name="40% - 강조색1 3" xfId="6487"/>
    <cellStyle name="40% - 강조색1 4" xfId="6488"/>
    <cellStyle name="40% - 강조색2 2" xfId="6489"/>
    <cellStyle name="40% - 강조색2 2 2" xfId="6490"/>
    <cellStyle name="40% - 강조색2 2 3" xfId="6491"/>
    <cellStyle name="40% - 강조색2 3" xfId="6492"/>
    <cellStyle name="40% - 강조색2 4" xfId="6493"/>
    <cellStyle name="40% - 강조색3 2" xfId="6494"/>
    <cellStyle name="40% - 강조색3 2 2" xfId="6495"/>
    <cellStyle name="40% - 강조색3 2 3" xfId="6496"/>
    <cellStyle name="40% - 강조색3 3" xfId="6497"/>
    <cellStyle name="40% - 강조색3 4" xfId="6498"/>
    <cellStyle name="40% - 강조색4 2" xfId="6499"/>
    <cellStyle name="40% - 강조색4 2 2" xfId="6500"/>
    <cellStyle name="40% - 강조색4 2 3" xfId="6501"/>
    <cellStyle name="40% - 강조색4 3" xfId="6502"/>
    <cellStyle name="40% - 강조색4 4" xfId="6503"/>
    <cellStyle name="40% - 강조색5 2" xfId="6504"/>
    <cellStyle name="40% - 강조색5 2 2" xfId="6505"/>
    <cellStyle name="40% - 강조색5 2 3" xfId="6506"/>
    <cellStyle name="40% - 강조색5 3" xfId="6507"/>
    <cellStyle name="40% - 강조색5 4" xfId="6508"/>
    <cellStyle name="40% - 강조색6 2" xfId="6509"/>
    <cellStyle name="40% - 강조색6 2 2" xfId="6510"/>
    <cellStyle name="40% - 강조색6 2 3" xfId="6511"/>
    <cellStyle name="40% - 강조색6 3" xfId="6512"/>
    <cellStyle name="40% - 강조색6 4" xfId="6513"/>
    <cellStyle name="6" xfId="6514"/>
    <cellStyle name="60% - Accent1" xfId="6515"/>
    <cellStyle name="60% - Accent2" xfId="6516"/>
    <cellStyle name="60% - Accent3" xfId="6517"/>
    <cellStyle name="60% - Accent4" xfId="6518"/>
    <cellStyle name="60% - Accent5" xfId="6519"/>
    <cellStyle name="60% - Accent6" xfId="6520"/>
    <cellStyle name="60% - 강조색1 2" xfId="6521"/>
    <cellStyle name="60% - 강조색1 2 2" xfId="6522"/>
    <cellStyle name="60% - 강조색1 3" xfId="6523"/>
    <cellStyle name="60% - 강조색1 4" xfId="6524"/>
    <cellStyle name="60% - 강조색2 2" xfId="6525"/>
    <cellStyle name="60% - 강조색2 2 2" xfId="6526"/>
    <cellStyle name="60% - 강조색2 3" xfId="6527"/>
    <cellStyle name="60% - 강조색2 4" xfId="6528"/>
    <cellStyle name="60% - 강조색3 2" xfId="6529"/>
    <cellStyle name="60% - 강조색3 2 2" xfId="6530"/>
    <cellStyle name="60% - 강조색3 3" xfId="6531"/>
    <cellStyle name="60% - 강조색3 4" xfId="6532"/>
    <cellStyle name="60% - 강조색4 2" xfId="6533"/>
    <cellStyle name="60% - 강조색4 2 2" xfId="6534"/>
    <cellStyle name="60% - 강조색4 3" xfId="6535"/>
    <cellStyle name="60% - 강조색4 4" xfId="6536"/>
    <cellStyle name="60% - 강조색5 2" xfId="6537"/>
    <cellStyle name="60% - 강조색5 2 2" xfId="6538"/>
    <cellStyle name="60% - 강조색5 3" xfId="6539"/>
    <cellStyle name="60% - 강조색5 4" xfId="6540"/>
    <cellStyle name="60% - 강조색6 2" xfId="6541"/>
    <cellStyle name="60% - 강조색6 2 2" xfId="6542"/>
    <cellStyle name="60% - 강조색6 3" xfId="6543"/>
    <cellStyle name="60% - 강조색6 4" xfId="6544"/>
    <cellStyle name="_x0014_7." xfId="6545"/>
    <cellStyle name="80" xfId="6546"/>
    <cellStyle name="８０" xfId="6547"/>
    <cellStyle name="800" xfId="6548"/>
    <cellStyle name="82" xfId="6549"/>
    <cellStyle name="90" xfId="6550"/>
    <cellStyle name="96" xfId="6551"/>
    <cellStyle name="a" xfId="6552"/>
    <cellStyle name="a [0]_mud plant bolted" xfId="6553"/>
    <cellStyle name="Ā _x0010_က랐_xdc01_땯_x0001_" xfId="6554"/>
    <cellStyle name="a)" xfId="6555"/>
    <cellStyle name="a_Q2 FY96" xfId="6556"/>
    <cellStyle name="A¡§¡©¡Ë¡þ¡ËO_AO¡§uRCN¢®¨úU " xfId="6557"/>
    <cellStyle name="A¡§¡ⓒ¡E¡þ¡EO [0]_AO¡§uRCN￠R¨uU " xfId="6558"/>
    <cellStyle name="A¡§¡ⓒ¡E¡þ¡EO_AO¡§uRCN￠R¨uU " xfId="6559"/>
    <cellStyle name="A¨­???? [0]_INQUIRY ????¨?¡?A??A?ª " xfId="6560"/>
    <cellStyle name="A¨­????_INQUIRY ????¨?¡?A??A?ª " xfId="6561"/>
    <cellStyle name="A¨­￠￢￠O [0]_¡¾aA￠￢" xfId="6562"/>
    <cellStyle name="A¨­¢¬¢Ò [0]_INQUIRY ¢¯¥ì¨ú¡ÀA©¬A©ª " xfId="6563"/>
    <cellStyle name="A¨­￠￢￠O_¡¾aA￠￢" xfId="6564"/>
    <cellStyle name="A¨­¢¬¢Ò_INQUIRY ¢¯¥ì¨ú¡ÀA©¬A©ª " xfId="6565"/>
    <cellStyle name="A1" xfId="6566"/>
    <cellStyle name="a-4" xfId="6567"/>
    <cellStyle name="aa" xfId="6568"/>
    <cellStyle name="Aⓒ­" xfId="6569"/>
    <cellStyle name="Accent1" xfId="6570"/>
    <cellStyle name="Accent2" xfId="6571"/>
    <cellStyle name="Accent3" xfId="6572"/>
    <cellStyle name="Accent4" xfId="6573"/>
    <cellStyle name="Accent5" xfId="6574"/>
    <cellStyle name="Accent6" xfId="6575"/>
    <cellStyle name="Actual Date" xfId="6576"/>
    <cellStyle name="Ae" xfId="6577"/>
    <cellStyle name="Åë" xfId="6578"/>
    <cellStyle name="Ae_01 투찰(원안-최종)-050817작업" xfId="6579"/>
    <cellStyle name="Åë_마곡보완" xfId="6580"/>
    <cellStyle name="Ae_신태인배수장제진기" xfId="6581"/>
    <cellStyle name="Åë_율북보완" xfId="6582"/>
    <cellStyle name="Ae_음성양수장단가보완(건축)" xfId="6583"/>
    <cellStyle name="Aee­ " xfId="6584"/>
    <cellStyle name="Aee­ [" xfId="6585"/>
    <cellStyle name="Åëè­ [" xfId="6586"/>
    <cellStyle name="Aee­ [_감곡 건축(양수장 관리사)보완최종" xfId="6587"/>
    <cellStyle name="Åëè­ [_마곡보완" xfId="6588"/>
    <cellStyle name="Aee­ [_신태인배수장제진기" xfId="6589"/>
    <cellStyle name="Åëè­ [_율북보완" xfId="6590"/>
    <cellStyle name="Aee­ [_음성양수장단가보완(건축)" xfId="6591"/>
    <cellStyle name="AeE­ [0]_ 2ÆAAþº° " xfId="6592"/>
    <cellStyle name="ÅëÈ­ [0]_¸ðÇü¸·" xfId="6593"/>
    <cellStyle name="AeE­ [0]_¿i¿μ¾E " xfId="6594"/>
    <cellStyle name="ÅëÈ­ [0]_»óºÎ¼ö·®Áý°è " xfId="6595"/>
    <cellStyle name="ÅëÈ­ [0]_¼Ò¿ä¿¹»ê¸í¼¼ " xfId="6596"/>
    <cellStyle name="AeE­ [0]_¼oAI¼º " xfId="6597"/>
    <cellStyle name="ÅëÈ­ [0]_42°³¿ù" xfId="6598"/>
    <cellStyle name="AeE­ [0]_7°eE¹ " xfId="6599"/>
    <cellStyle name="ÅëÈ­ [0]_7°èÈ¹ " xfId="6600"/>
    <cellStyle name="AeE­ [0]_A￥°i¹°·u¼¾AI" xfId="6601"/>
    <cellStyle name="ÅëÈ­ [0]_Á¾ÇÕÃ¶°ÅºÐ " xfId="6602"/>
    <cellStyle name="AeE­ [0]_AMT " xfId="6603"/>
    <cellStyle name="ÅëÈ­ [0]_INQUIRY ¿µ¾÷ÃßÁø " xfId="6604"/>
    <cellStyle name="AeE­ [0]_INQUIRY ¿μ¾÷AßAø " xfId="6605"/>
    <cellStyle name="Åëè­ [0]_laro" xfId="6606"/>
    <cellStyle name="AeE­ [0]_º≫¼± ±æ¾i±uºI ¼o·R Ay°eC￥ " xfId="6607"/>
    <cellStyle name="ÅëÈ­ [0]_Sheet1" xfId="6608"/>
    <cellStyle name="Aee­ _01 시행" xfId="6609"/>
    <cellStyle name="AeE­_ 2ÆAAþº° " xfId="6610"/>
    <cellStyle name="ÅëÈ­_¸ðÇü¸·" xfId="6611"/>
    <cellStyle name="AeE­_¿μ¹RA¶A÷μμ" xfId="6612"/>
    <cellStyle name="ÅëÈ­_»óºÎ¼ö·®Áý°è " xfId="6613"/>
    <cellStyle name="ÅëÈ­_¼Ò¿ä¿¹»ê¸í¼¼ " xfId="6614"/>
    <cellStyle name="AeE­_¼oAI¼º " xfId="6615"/>
    <cellStyle name="ÅëÈ­_42°³¿ù" xfId="6616"/>
    <cellStyle name="AeE­_7°eE¹ " xfId="6617"/>
    <cellStyle name="ÅëÈ­_7°èÈ¹ " xfId="6618"/>
    <cellStyle name="AeE­_A￥°i¹°·u¼¾AI" xfId="6619"/>
    <cellStyle name="ÅëÈ­_Á¾ÇÕÃ¶°ÅºÐ " xfId="6620"/>
    <cellStyle name="AeE­_AMT " xfId="6621"/>
    <cellStyle name="ÅëÈ­_INQUIRY ¿µ¾÷ÃßÁø " xfId="6622"/>
    <cellStyle name="AeE­_INQUIRY ¿μ¾÷AßAø " xfId="6623"/>
    <cellStyle name="Åëè­_laro" xfId="6624"/>
    <cellStyle name="AeE­_º≫¼± ±æ¾i±uºI ¼o·R Ay°eC￥ " xfId="6625"/>
    <cellStyle name="ÅëÈ­_Sheet1" xfId="6626"/>
    <cellStyle name="Aee¡" xfId="6627"/>
    <cellStyle name="AeE¡? [0]_INQUIRY ????¨?¡?A??A?ª " xfId="6628"/>
    <cellStyle name="AeE¡?_INQUIRY ????¨?¡?A??A?ª " xfId="6629"/>
    <cellStyle name="AeE¡© [0]_INQUIRY ¢¯¥ì¨ú¡ÀA©¬A©ª " xfId="6630"/>
    <cellStyle name="AeE¡©_INQUIRY ¢¯¥ì¨ú¡ÀA©¬A©ª " xfId="6631"/>
    <cellStyle name="Aee¡ⓒ " xfId="6632"/>
    <cellStyle name="AeE¡ⓒ [0]_¡¾aA￠￢" xfId="6633"/>
    <cellStyle name="AeE¡ⓒ_¡¾aA￠￢" xfId="6634"/>
    <cellStyle name="AeE¢®¨Ï [0]_AO¡§uRCN¢®¨úU " xfId="6635"/>
    <cellStyle name="AeE¢®¨Ï_AO¡§uRCN¢®¨úU " xfId="6636"/>
    <cellStyle name="AeE￠R¨I [0]_AO¡§uRCN￠R¨uU " xfId="6637"/>
    <cellStyle name="AeE￠R¨I_AO¡§uRCN￠R¨uU " xfId="6638"/>
    <cellStyle name="Æu¼ " xfId="6639"/>
    <cellStyle name="Æû¼¾æ®" xfId="6640"/>
    <cellStyle name="Æu¼¾æR" xfId="6641"/>
    <cellStyle name="AoA¤μCAo ¾EA½" xfId="6642"/>
    <cellStyle name="args.style" xfId="6643"/>
    <cellStyle name="Aþ" xfId="6644"/>
    <cellStyle name="Äþ" xfId="6645"/>
    <cellStyle name="Aþ_감곡 건축(양수장 관리사)보완최종" xfId="6646"/>
    <cellStyle name="Äþ_마곡보완" xfId="6647"/>
    <cellStyle name="Aþ_신태인배수장제진기" xfId="6648"/>
    <cellStyle name="Äþ_율북보완" xfId="6649"/>
    <cellStyle name="Aþ_음성양수장단가보완(건축)" xfId="6650"/>
    <cellStyle name="Aþ¸" xfId="6651"/>
    <cellStyle name="Aþ¸¶ [" xfId="6652"/>
    <cellStyle name="Äþ¸¶ [" xfId="6653"/>
    <cellStyle name="Aþ¸¶ [_감곡 건축(양수장 관리사)보완최종" xfId="6654"/>
    <cellStyle name="Äþ¸¶ [_마곡보완" xfId="6655"/>
    <cellStyle name="Aþ¸¶ [_신태인배수장제진기" xfId="6656"/>
    <cellStyle name="Äþ¸¶ [_율북보완" xfId="6657"/>
    <cellStyle name="Aþ¸¶ [_음성양수장단가보완(건축)" xfId="6658"/>
    <cellStyle name="AÞ¸¶ [0]_ 2ÆAAþº° " xfId="6659"/>
    <cellStyle name="ÄÞ¸¶ [0]_¸ðÇü¸·" xfId="6660"/>
    <cellStyle name="AÞ¸¶ [0]_¿i¿μ¾E " xfId="6661"/>
    <cellStyle name="ÄÞ¸¶ [0]_»óºÎ¼ö·®Áý°è " xfId="6662"/>
    <cellStyle name="ÄÞ¸¶ [0]_¼Ò¿ä¿¹»ê¸í¼¼ " xfId="6663"/>
    <cellStyle name="AÞ¸¶ [0]_¼oAI¼º " xfId="6664"/>
    <cellStyle name="ÄÞ¸¶ [0]_42°³¿ù" xfId="6665"/>
    <cellStyle name="AÞ¸¶ [0]_7°eE¹ " xfId="6666"/>
    <cellStyle name="ÄÞ¸¶ [0]_7°èÈ¹ " xfId="6667"/>
    <cellStyle name="AÞ¸¶ [0]_A￥°i¹°·u¼¾AI" xfId="6668"/>
    <cellStyle name="ÄÞ¸¶ [0]_Á¾ÇÕÃ¶°ÅºÐ " xfId="6669"/>
    <cellStyle name="AÞ¸¶ [0]_AN°y(1.25) " xfId="6670"/>
    <cellStyle name="ÄÞ¸¶ [0]_INQUIRY ¿µ¾÷ÃßÁø " xfId="6671"/>
    <cellStyle name="AÞ¸¶ [0]_INQUIRY ¿μ¾÷AßAø " xfId="6672"/>
    <cellStyle name="Äþ¸¶ [0]_laro" xfId="6673"/>
    <cellStyle name="AÞ¸¶ [0]_º≫¼± ±æ¾i±uºI ¼o·R Ay°eC￥ " xfId="6674"/>
    <cellStyle name="AÞ¸¶ [2]" xfId="6675"/>
    <cellStyle name="AÞ¸¶_ 2ÆAAþº° " xfId="6676"/>
    <cellStyle name="ÄÞ¸¶_¸ðÇü¸·" xfId="6677"/>
    <cellStyle name="AÞ¸¶_±a¼uAe½A " xfId="6678"/>
    <cellStyle name="ÄÞ¸¶_»óºÎ¼ö·®Áý°è " xfId="6679"/>
    <cellStyle name="ÄÞ¸¶_¼Ò¿ä¿¹»ê¸í¼¼ " xfId="6680"/>
    <cellStyle name="AÞ¸¶_¼oAI¼º " xfId="6681"/>
    <cellStyle name="ÄÞ¸¶_42°³¿ù" xfId="6682"/>
    <cellStyle name="AÞ¸¶_7°eE¹ " xfId="6683"/>
    <cellStyle name="ÄÞ¸¶_7°èÈ¹ " xfId="6684"/>
    <cellStyle name="AÞ¸¶_A￥°i¹°·u¼¾AI" xfId="6685"/>
    <cellStyle name="ÄÞ¸¶_Á¾ÇÕÃ¶°ÅºÐ " xfId="6686"/>
    <cellStyle name="AÞ¸¶_AN°y(1.25) " xfId="6687"/>
    <cellStyle name="ÄÞ¸¶_INQUIRY ¿µ¾÷ÃßÁø " xfId="6688"/>
    <cellStyle name="AÞ¸¶_INQUIRY ¿μ¾÷AßAø " xfId="6689"/>
    <cellStyle name="Äþ¸¶_laro" xfId="6690"/>
    <cellStyle name="AÞ¸¶_º≫¼± ±æ¾i±uºI ¼o·R Ay°eC￥ " xfId="6691"/>
    <cellStyle name="Àú¸®¼ö" xfId="6692"/>
    <cellStyle name="Àú¸®¼ö0" xfId="6693"/>
    <cellStyle name="Au¸r " xfId="6694"/>
    <cellStyle name="Au¸r¼" xfId="6695"/>
    <cellStyle name="Au¸R¼o" xfId="6696"/>
    <cellStyle name="Au¸R¼o0" xfId="6697"/>
    <cellStyle name="_x0001_b" xfId="6698"/>
    <cellStyle name="_x0002_b" xfId="6699"/>
    <cellStyle name="b?þ?b?þ?b?þ?b?þ?b?þ?b?þ?b?þ?b?þ?b?þ?b?þ?b灌þ?b?þ?&lt;?b?þ?b濬þ?b?þ?b?þ昰_x0018_?þ????_x0008_" xfId="6700"/>
    <cellStyle name="b?þ?b?þ?b?þ?b灌þ?b?þ?&lt;?b?þ?b濬þ?b?þ?b?þ昰_x0018_?þ????_x0008_" xfId="6701"/>
    <cellStyle name="b␌þකb濰þඪb瀠þයb灌þ්b炈þ宐&lt;෢b濈þෲb濬þขb瀐þฒb瀰þ昰_x0018_⋸þ㤕䰀ጤܕ_x0008_" xfId="6702"/>
    <cellStyle name="BA" xfId="6703"/>
    <cellStyle name="Background" xfId="6704"/>
    <cellStyle name="Bad" xfId="6705"/>
    <cellStyle name="body" xfId="6706"/>
    <cellStyle name="BoldHdr" xfId="6707"/>
    <cellStyle name="Border" xfId="6708"/>
    <cellStyle name="b椬ៜ_x000c_Comma_ODCOS " xfId="6709"/>
    <cellStyle name="b嬜þപb嬼þഺb孬þൊb⍜þ൚b⍼þ൪b⎨þൺb⏜þඊb␌þකb濰þඪb瀠þයb灌þ්b炈þ宐&lt;෢b濈þෲb濬þขb瀐þฒb瀰þ昰_x0018_⋸þ㤕䰀ጤܕ_x0008_" xfId="6710"/>
    <cellStyle name="C" xfId="6711"/>
    <cellStyle name="C:\Data\MS\Excel" xfId="6712"/>
    <cellStyle name="C_TITLE" xfId="6713"/>
    <cellStyle name="C_TITLE_남면 용수리 4반 웃말 교량-08년결산서기준(최종본)" xfId="6714"/>
    <cellStyle name="C_TITLE_옥포해안산책데크구매(제조구매)-제출(수정용)" xfId="6715"/>
    <cellStyle name="C¡?A¨ª_¡?c¨?¡?¨?I¨?¡Æ AN¡Æe " xfId="6716"/>
    <cellStyle name="C¡IA¨ª_¡¾e¡Æⓒ¡En" xfId="6717"/>
    <cellStyle name="C¡ÍA¨ª_¡íc¨ú¡À¨¬I¨¬¡Æ AN¡Æe " xfId="6718"/>
    <cellStyle name="C¢®IA¡§¨£_AO¡§uRCN¢®¨úU " xfId="6719"/>
    <cellStyle name="C￠RIA¡§¨￡_AO¡§uRCN￠R¨uU " xfId="6720"/>
    <cellStyle name="C￥" xfId="6721"/>
    <cellStyle name="Ç¥" xfId="6722"/>
    <cellStyle name="C￥_감곡 건축(양수장 관리사)보완최종" xfId="6723"/>
    <cellStyle name="Ç¥_마곡보완" xfId="6724"/>
    <cellStyle name="C￥_신태인배수장제진기" xfId="6725"/>
    <cellStyle name="Ç¥_율북보완" xfId="6726"/>
    <cellStyle name="C￥_음성양수장단가보완(건축)" xfId="6727"/>
    <cellStyle name="C￥AØ_  FAB AIA¤  " xfId="6728"/>
    <cellStyle name="Ç¥ÁØ_#3E4¿î»ê" xfId="6729"/>
    <cellStyle name="Ç¥ÁØ_¸ðÇü¸·" xfId="6730"/>
    <cellStyle name="C￥AØ_¿i¿μ¾E " xfId="6731"/>
    <cellStyle name="Ç¥ÁØ_±â¼ú°ËÅä" xfId="6732"/>
    <cellStyle name="C￥AØ_≫c¾÷ºIº° AN°e " xfId="6733"/>
    <cellStyle name="Ç¥ÁØ_°¡¼³" xfId="6734"/>
    <cellStyle name="C￥AØ_¼oAI¼º " xfId="6735"/>
    <cellStyle name="Ç¥ÁØ_½½·¡ºêÃ¶±ÙÁý°è " xfId="6736"/>
    <cellStyle name="C￥AØ_½CCa¿¹≫e¼­ " xfId="6737"/>
    <cellStyle name="Ç¥ÁØ_³ëÀÓ´Ü°¡ " xfId="6738"/>
    <cellStyle name="C￥AØ_95,96 ºn±³ " xfId="6739"/>
    <cellStyle name="Ç¥ÁØ_95,96 ºñ±³ " xfId="6740"/>
    <cellStyle name="C￥AØ_A¾CO½A¼³ " xfId="6741"/>
    <cellStyle name="Ç¥ÁØ_Á¾ÇÕ½Å¼³ " xfId="6742"/>
    <cellStyle name="C￥AØ_A¾CO½A¼³ _의령군 UPIS 유지관리 설계서_0816" xfId="6743"/>
    <cellStyle name="Ç¥ÁØ_Á¾ÇÕÃ¶°ÅºÐ " xfId="6744"/>
    <cellStyle name="C￥AØ_A¾COA¶°AºÐ _의령군 UPIS 유지관리 설계서_0816" xfId="6745"/>
    <cellStyle name="Ç¥ÁØ_Àü·Â¼ÕÀÍºÐ¼®" xfId="6746"/>
    <cellStyle name="C￥AØ_Au·A¼OAIºÐ¼R" xfId="6747"/>
    <cellStyle name="Ç¥ÁØ_Áý°èÇ¥(2¿ù) " xfId="6748"/>
    <cellStyle name="C￥AØ_C°¼A(AoAO) " xfId="6749"/>
    <cellStyle name="Ç¥ÁØ_Ç°¼À(ÁöÀÔ) " xfId="6750"/>
    <cellStyle name="C￥AØ_CoAa°u¸Rºn(Ao¹æ) " xfId="6751"/>
    <cellStyle name="Ç¥ÁØ_ÇöÈ²_¹®Á¦Á¡ " xfId="6752"/>
    <cellStyle name="C￥AØ_E¸AaAO½A " xfId="6753"/>
    <cellStyle name="Ç¥ÁØ_Sheet1 (2)" xfId="6754"/>
    <cellStyle name="C￥AØ_Sheet1_¿μ¾÷CoE² " xfId="6755"/>
    <cellStyle name="Ç¥ÁØ_Sheet1_0N-HANDLING " xfId="6756"/>
    <cellStyle name="C￥AØ_Sheet1_Ay°eC￥(2¿u) " xfId="6757"/>
    <cellStyle name="Ç¥ÁØ_Sheet1_Áý°èÇ¥(2¿ù) " xfId="6758"/>
    <cellStyle name="C￥AØ_SOON1 " xfId="6759"/>
    <cellStyle name="Calc Currency (0) 2" xfId="6760"/>
    <cellStyle name="Calc Currency (0) 3" xfId="6761"/>
    <cellStyle name="Calc Currency (0) 4" xfId="6762"/>
    <cellStyle name="Calc Currency (0) 5" xfId="6763"/>
    <cellStyle name="Calc Currency (0) 6" xfId="6764"/>
    <cellStyle name="Calc Currency (0) 7" xfId="6765"/>
    <cellStyle name="Calc Currency (0)_09.03.23_장지천 하천기본계획및 하천대장작성(변경) 내역(2008.12품셈적용)" xfId="6766"/>
    <cellStyle name="Calc Currency (2)" xfId="6767"/>
    <cellStyle name="Calc Percent (0)" xfId="6768"/>
    <cellStyle name="Calc Percent (1)" xfId="6769"/>
    <cellStyle name="Calc Percent (2)" xfId="6770"/>
    <cellStyle name="Calc Units (0)" xfId="6771"/>
    <cellStyle name="Calc Units (1)" xfId="6772"/>
    <cellStyle name="Calc Units (2)" xfId="6773"/>
    <cellStyle name="Calc Units (2) 2" xfId="6774"/>
    <cellStyle name="Calculation" xfId="6775"/>
    <cellStyle name="Calculation 2" xfId="6776"/>
    <cellStyle name="Calculation 2 2" xfId="6777"/>
    <cellStyle name="Calculation 3" xfId="6778"/>
    <cellStyle name="Calculation 3 2" xfId="6779"/>
    <cellStyle name="Calculation 4" xfId="6780"/>
    <cellStyle name="Calculation 4 2" xfId="6781"/>
    <cellStyle name="Calculation 5" xfId="6782"/>
    <cellStyle name="Check Cell" xfId="6783"/>
    <cellStyle name="CIAIÆU¸μAⓒ" xfId="6784"/>
    <cellStyle name="ⓒo" xfId="6785"/>
    <cellStyle name="Çõ»ê" xfId="6786"/>
    <cellStyle name="Co≫" xfId="6787"/>
    <cellStyle name="Co≫e" xfId="6788"/>
    <cellStyle name="CODE" xfId="6789"/>
    <cellStyle name="ⓒoe¨￢¨￠Aⓒ÷_¡¾aA￠￢" xfId="6790"/>
    <cellStyle name="ColHdr" xfId="6791"/>
    <cellStyle name="ColHdr 2" xfId="6792"/>
    <cellStyle name="ColHdr 2 2" xfId="6793"/>
    <cellStyle name="ColHdr 3" xfId="6794"/>
    <cellStyle name="ColHdr 3 2" xfId="6795"/>
    <cellStyle name="ColHdr 4" xfId="6796"/>
    <cellStyle name="ColHdr 4 2" xfId="6797"/>
    <cellStyle name="ColHdr 5" xfId="6798"/>
    <cellStyle name="Column Heading" xfId="6799"/>
    <cellStyle name="Column Heading 2" xfId="6800"/>
    <cellStyle name="Column Heading 2 2" xfId="6801"/>
    <cellStyle name="Column Heading 3" xfId="6802"/>
    <cellStyle name="Column Heading 3 2" xfId="6803"/>
    <cellStyle name="Column Heading 4" xfId="6804"/>
    <cellStyle name="Column Heading 4 2" xfId="6805"/>
    <cellStyle name="Column Heading 5" xfId="6806"/>
    <cellStyle name="Column Headings" xfId="6807"/>
    <cellStyle name="columns_array" xfId="6808"/>
    <cellStyle name="Comma  - Style1" xfId="6809"/>
    <cellStyle name="Comma  - Style2" xfId="6810"/>
    <cellStyle name="Comma  - Style3" xfId="6811"/>
    <cellStyle name="Comma  - Style4" xfId="6812"/>
    <cellStyle name="Comma  - Style5" xfId="6813"/>
    <cellStyle name="Comma  - Style6" xfId="6814"/>
    <cellStyle name="Comma  - Style7" xfId="6815"/>
    <cellStyle name="Comma  - Style8" xfId="6816"/>
    <cellStyle name="Comma [0] 2" xfId="6817"/>
    <cellStyle name="Comma [0]_Full Year FY96_재고관리 " xfId="6818"/>
    <cellStyle name="Comma [00]" xfId="6819"/>
    <cellStyle name="Comma 2" xfId="6820"/>
    <cellStyle name="Comma 3" xfId="6821"/>
    <cellStyle name="Comma 4" xfId="6822"/>
    <cellStyle name="comma zerodec 2" xfId="6823"/>
    <cellStyle name="comma zerodec 3" xfId="6824"/>
    <cellStyle name="Comma_----" xfId="6825"/>
    <cellStyle name="Comma0 2" xfId="6826"/>
    <cellStyle name="Comm뼬_E&amp;ONW2" xfId="6827"/>
    <cellStyle name="Company Info" xfId="6828"/>
    <cellStyle name="Contents Heading 1" xfId="6829"/>
    <cellStyle name="Contents Heading 2" xfId="6830"/>
    <cellStyle name="Contents Heading 3" xfId="6831"/>
    <cellStyle name="CoverHeadline1" xfId="6832"/>
    <cellStyle name="Curr" xfId="6833"/>
    <cellStyle name="Curr 2" xfId="6834"/>
    <cellStyle name="Curr 2 2" xfId="6835"/>
    <cellStyle name="Curr 3" xfId="6836"/>
    <cellStyle name="Curr 3 2" xfId="6837"/>
    <cellStyle name="Curr 4" xfId="6838"/>
    <cellStyle name="Curr 4 2" xfId="6839"/>
    <cellStyle name="Curr 5" xfId="6840"/>
    <cellStyle name="Curren" xfId="6841"/>
    <cellStyle name="Curren?퐀?" xfId="6842"/>
    <cellStyle name="Curren?_x0012_퐀_x0017_?" xfId="6843"/>
    <cellStyle name="Currenby_Cash&amp;DSO Chart" xfId="6844"/>
    <cellStyle name="Currency (0.00)" xfId="6845"/>
    <cellStyle name="Currency [0] 2" xfId="6846"/>
    <cellStyle name="Currency [0]_Full Year FY96_재고관리 " xfId="6847"/>
    <cellStyle name="Currency [00]" xfId="6848"/>
    <cellStyle name="Currency [ﺜ]_P&amp;L_laroux" xfId="6849"/>
    <cellStyle name="Currency 10" xfId="6850"/>
    <cellStyle name="Currency 11" xfId="6851"/>
    <cellStyle name="Currency 12" xfId="6852"/>
    <cellStyle name="Currency 13" xfId="6853"/>
    <cellStyle name="Currency 14" xfId="6854"/>
    <cellStyle name="Currency 15" xfId="6855"/>
    <cellStyle name="Currency 16" xfId="6856"/>
    <cellStyle name="Currency 17" xfId="6857"/>
    <cellStyle name="Currency 18" xfId="6858"/>
    <cellStyle name="Currency 19" xfId="6859"/>
    <cellStyle name="Currency 2" xfId="6860"/>
    <cellStyle name="Currency 20" xfId="6861"/>
    <cellStyle name="Currency 21" xfId="6862"/>
    <cellStyle name="Currency 22" xfId="6863"/>
    <cellStyle name="Currency 23" xfId="6864"/>
    <cellStyle name="Currency 24" xfId="6865"/>
    <cellStyle name="Currency 25" xfId="6866"/>
    <cellStyle name="Currency 26" xfId="6867"/>
    <cellStyle name="Currency 27" xfId="6868"/>
    <cellStyle name="Currency 28" xfId="6869"/>
    <cellStyle name="Currency 29" xfId="6870"/>
    <cellStyle name="Currency 3" xfId="6871"/>
    <cellStyle name="Currency 3 2" xfId="6872"/>
    <cellStyle name="Currency 30" xfId="6873"/>
    <cellStyle name="Currency 31" xfId="6874"/>
    <cellStyle name="Currency 32" xfId="6875"/>
    <cellStyle name="Currency 33" xfId="6876"/>
    <cellStyle name="Currency 34" xfId="6877"/>
    <cellStyle name="Currency 35" xfId="6878"/>
    <cellStyle name="Currency 36" xfId="6879"/>
    <cellStyle name="Currency 4" xfId="6880"/>
    <cellStyle name="Currency 4 2" xfId="6881"/>
    <cellStyle name="Currency 5" xfId="6882"/>
    <cellStyle name="Currency 5 2" xfId="6883"/>
    <cellStyle name="Currency 6" xfId="6884"/>
    <cellStyle name="Currency 7" xfId="6885"/>
    <cellStyle name="Currency 8" xfId="6886"/>
    <cellStyle name="Currency 9" xfId="6887"/>
    <cellStyle name="currency-$" xfId="6888"/>
    <cellStyle name="Currency(￦)" xfId="6889"/>
    <cellStyle name="Currency_----" xfId="6890"/>
    <cellStyle name="Currency0 2" xfId="6891"/>
    <cellStyle name="Currency0 3" xfId="6892"/>
    <cellStyle name="Currency1 2" xfId="6893"/>
    <cellStyle name="Data" xfId="6894"/>
    <cellStyle name="Date 3" xfId="6895"/>
    <cellStyle name="Date Short" xfId="6896"/>
    <cellStyle name="Date_----" xfId="6897"/>
    <cellStyle name="de" xfId="6898"/>
    <cellStyle name="DELTA" xfId="6899"/>
    <cellStyle name="Dezimal [0]_Ausdruck RUND (D)" xfId="6900"/>
    <cellStyle name="Dezimal_Ausdruck RUND (D)" xfId="6901"/>
    <cellStyle name="discount" xfId="6902"/>
    <cellStyle name="Display" xfId="6903"/>
    <cellStyle name="Display 2" xfId="6904"/>
    <cellStyle name="Display 2 2" xfId="6905"/>
    <cellStyle name="Display 3" xfId="6906"/>
    <cellStyle name="Display 3 2" xfId="6907"/>
    <cellStyle name="Display 4" xfId="6908"/>
    <cellStyle name="Display 4 2" xfId="6909"/>
    <cellStyle name="Display 5" xfId="6910"/>
    <cellStyle name="Display Price" xfId="6911"/>
    <cellStyle name="Display Price 2" xfId="6912"/>
    <cellStyle name="Display Price 2 2" xfId="6913"/>
    <cellStyle name="Display Price 3" xfId="6914"/>
    <cellStyle name="Display Price 3 2" xfId="6915"/>
    <cellStyle name="Display Price 4" xfId="6916"/>
    <cellStyle name="Display Price 4 2" xfId="6917"/>
    <cellStyle name="Display Price 5" xfId="6918"/>
    <cellStyle name="Dollar (zero dec) 2" xfId="6919"/>
    <cellStyle name="Dollar (zero dec) 3" xfId="6920"/>
    <cellStyle name="EA" xfId="6921"/>
    <cellStyle name="EA 2" xfId="6922"/>
    <cellStyle name="EA 2 2" xfId="6923"/>
    <cellStyle name="EA 3" xfId="6924"/>
    <cellStyle name="EA 3 2" xfId="6925"/>
    <cellStyle name="EA 4" xfId="6926"/>
    <cellStyle name="EA 4 2" xfId="6927"/>
    <cellStyle name="EA 5" xfId="6928"/>
    <cellStyle name="E­æo±" xfId="6929"/>
    <cellStyle name="E­æo±a" xfId="6930"/>
    <cellStyle name="E­æo±ae￡" xfId="6931"/>
    <cellStyle name="È­æó±âè£" xfId="6932"/>
    <cellStyle name="E­æo±ae￡0" xfId="6933"/>
    <cellStyle name="È­æó±âè£0" xfId="6934"/>
    <cellStyle name="EDS" xfId="6935"/>
    <cellStyle name="Enter Currency (0)" xfId="6936"/>
    <cellStyle name="Enter Currency (2)" xfId="6937"/>
    <cellStyle name="Enter Units (0)" xfId="6938"/>
    <cellStyle name="Enter Units (1)" xfId="6939"/>
    <cellStyle name="Enter Units (2)" xfId="6940"/>
    <cellStyle name="Enter Units (2) 2" xfId="6941"/>
    <cellStyle name="entry" xfId="6942"/>
    <cellStyle name="Euro" xfId="6943"/>
    <cellStyle name="Euro 2" xfId="6944"/>
    <cellStyle name="Explanatory Text" xfId="6945"/>
    <cellStyle name="factor yes" xfId="6946"/>
    <cellStyle name="FinePrint" xfId="6947"/>
    <cellStyle name="Fixed 3" xfId="6948"/>
    <cellStyle name="Followed Hyperlink" xfId="6949"/>
    <cellStyle name="g" xfId="6950"/>
    <cellStyle name="G/표준" xfId="6951"/>
    <cellStyle name="Good" xfId="6952"/>
    <cellStyle name="Grey 2" xfId="6953"/>
    <cellStyle name="Grey 3" xfId="6954"/>
    <cellStyle name="Grey 4" xfId="6955"/>
    <cellStyle name="Grey_총괄표" xfId="6956"/>
    <cellStyle name="H1" xfId="6957"/>
    <cellStyle name="H2" xfId="6958"/>
    <cellStyle name="head" xfId="6959"/>
    <cellStyle name="head 1" xfId="6960"/>
    <cellStyle name="head 1-1" xfId="6961"/>
    <cellStyle name="Header 1" xfId="6962"/>
    <cellStyle name="Header 2" xfId="6963"/>
    <cellStyle name="Header Center" xfId="6964"/>
    <cellStyle name="Header2 2" xfId="6965"/>
    <cellStyle name="Header2 2 2" xfId="6966"/>
    <cellStyle name="Header2 2 2 2" xfId="6967"/>
    <cellStyle name="Header2 2 3" xfId="6968"/>
    <cellStyle name="Header2 2 3 2" xfId="6969"/>
    <cellStyle name="Header2 2 4" xfId="6970"/>
    <cellStyle name="Header2 2 4 2" xfId="6971"/>
    <cellStyle name="Header2 2 5" xfId="6972"/>
    <cellStyle name="Header2 3" xfId="6973"/>
    <cellStyle name="Header2 3 2" xfId="6974"/>
    <cellStyle name="Header2 3 2 2" xfId="6975"/>
    <cellStyle name="Header2 3 3" xfId="6976"/>
    <cellStyle name="Header2 3 3 2" xfId="6977"/>
    <cellStyle name="Header2 3 4" xfId="6978"/>
    <cellStyle name="Header2 3 4 2" xfId="6979"/>
    <cellStyle name="Header2 3 5" xfId="6980"/>
    <cellStyle name="Header2 4" xfId="6981"/>
    <cellStyle name="Header2 4 2" xfId="6982"/>
    <cellStyle name="Heading" xfId="6983"/>
    <cellStyle name="Heading 1 2" xfId="6984"/>
    <cellStyle name="Heading 2 2" xfId="6985"/>
    <cellStyle name="Heading 3" xfId="6986"/>
    <cellStyle name="Heading 4" xfId="6987"/>
    <cellStyle name="Heading 5" xfId="6988"/>
    <cellStyle name="Heading 5 2" xfId="6989"/>
    <cellStyle name="Heading 6" xfId="6990"/>
    <cellStyle name="Heading 6 2" xfId="6991"/>
    <cellStyle name="Heading 7" xfId="6992"/>
    <cellStyle name="Heading 7 2" xfId="6993"/>
    <cellStyle name="Heading 8" xfId="6994"/>
    <cellStyle name="Heading1 3" xfId="6995"/>
    <cellStyle name="Heading2 3" xfId="6996"/>
    <cellStyle name="Heading2Divider" xfId="6997"/>
    <cellStyle name="Heading2Divider 2" xfId="6998"/>
    <cellStyle name="Heading2Divider 2 2" xfId="6999"/>
    <cellStyle name="Heading2Divider 3" xfId="7000"/>
    <cellStyle name="Heading2Divider 3 2" xfId="7001"/>
    <cellStyle name="Heading2Divider 4" xfId="7002"/>
    <cellStyle name="Heading2Divider 4 2" xfId="7003"/>
    <cellStyle name="Heading2Divider 5" xfId="7004"/>
    <cellStyle name="HEADINGS" xfId="7005"/>
    <cellStyle name="HEADINGSTOP" xfId="7006"/>
    <cellStyle name="HIGHLIGHT" xfId="7007"/>
    <cellStyle name="HP Logo" xfId="7008"/>
    <cellStyle name="Hyperlink" xfId="7009"/>
    <cellStyle name="Input" xfId="7010"/>
    <cellStyle name="Input [yellow] 2" xfId="7011"/>
    <cellStyle name="Input [yellow] 2 2" xfId="7012"/>
    <cellStyle name="Input [yellow] 2 2 2" xfId="7013"/>
    <cellStyle name="Input [yellow] 2 3" xfId="7014"/>
    <cellStyle name="Input [yellow] 2 3 2" xfId="7015"/>
    <cellStyle name="Input [yellow] 2 4" xfId="7016"/>
    <cellStyle name="Input [yellow] 2 4 2" xfId="7017"/>
    <cellStyle name="Input [yellow] 2 5" xfId="7018"/>
    <cellStyle name="Input [yellow] 3" xfId="7019"/>
    <cellStyle name="Input [yellow] 3 2" xfId="7020"/>
    <cellStyle name="Input [yellow] 3 2 2" xfId="7021"/>
    <cellStyle name="Input [yellow] 3 3" xfId="7022"/>
    <cellStyle name="Input [yellow] 3 3 2" xfId="7023"/>
    <cellStyle name="Input [yellow] 3 4" xfId="7024"/>
    <cellStyle name="Input [yellow] 3 4 2" xfId="7025"/>
    <cellStyle name="Input [yellow] 3 5" xfId="7026"/>
    <cellStyle name="Input [yellow] 4" xfId="7027"/>
    <cellStyle name="Input [yellow] 4 2" xfId="7028"/>
    <cellStyle name="Input [yellow] 5" xfId="7029"/>
    <cellStyle name="Input [yellow]_총괄표" xfId="7030"/>
    <cellStyle name="Input 10" xfId="7031"/>
    <cellStyle name="Input 11" xfId="7032"/>
    <cellStyle name="Input 12" xfId="7033"/>
    <cellStyle name="Input 13" xfId="7034"/>
    <cellStyle name="Input 14" xfId="7035"/>
    <cellStyle name="Input 15" xfId="7036"/>
    <cellStyle name="Input 16" xfId="7037"/>
    <cellStyle name="Input 17" xfId="7038"/>
    <cellStyle name="Input 2" xfId="7039"/>
    <cellStyle name="Input 2 2" xfId="7040"/>
    <cellStyle name="Input 3" xfId="7041"/>
    <cellStyle name="Input 3 2" xfId="7042"/>
    <cellStyle name="Input 4" xfId="7043"/>
    <cellStyle name="Input 4 2" xfId="7044"/>
    <cellStyle name="Input 5" xfId="7045"/>
    <cellStyle name="Input 5 2" xfId="7046"/>
    <cellStyle name="Input 6" xfId="7047"/>
    <cellStyle name="Input 6 2" xfId="7048"/>
    <cellStyle name="Input 7" xfId="7049"/>
    <cellStyle name="Input 7 2" xfId="7050"/>
    <cellStyle name="Input 8" xfId="7051"/>
    <cellStyle name="Input 9" xfId="7052"/>
    <cellStyle name="Input Price" xfId="7053"/>
    <cellStyle name="Input Quantity" xfId="7054"/>
    <cellStyle name="Input Single Cell" xfId="7055"/>
    <cellStyle name="Input Single Cell 2" xfId="7056"/>
    <cellStyle name="Input Single Cell 2 2" xfId="7057"/>
    <cellStyle name="Input Single Cell 3" xfId="7058"/>
    <cellStyle name="Input Single Cell 3 2" xfId="7059"/>
    <cellStyle name="Input Single Cell 4" xfId="7060"/>
    <cellStyle name="Input Single Cell 4 2" xfId="7061"/>
    <cellStyle name="Input Single Cell 5" xfId="7062"/>
    <cellStyle name="InputBodyCurr" xfId="7063"/>
    <cellStyle name="InputBodyDate" xfId="7064"/>
    <cellStyle name="InputBodyText" xfId="7065"/>
    <cellStyle name="InputColor" xfId="7066"/>
    <cellStyle name="InputColor 2" xfId="7067"/>
    <cellStyle name="InputColor 2 2" xfId="7068"/>
    <cellStyle name="InputColor 3" xfId="7069"/>
    <cellStyle name="InputColor 3 2" xfId="7070"/>
    <cellStyle name="InputColor 4" xfId="7071"/>
    <cellStyle name="InputColor 4 2" xfId="7072"/>
    <cellStyle name="InputColor 5" xfId="7073"/>
    <cellStyle name="Item" xfId="7074"/>
    <cellStyle name="Item Input" xfId="7075"/>
    <cellStyle name="jin" xfId="7076"/>
    <cellStyle name="Jun" xfId="7077"/>
    <cellStyle name="kg" xfId="7078"/>
    <cellStyle name="kg 2" xfId="7079"/>
    <cellStyle name="kg 2 2" xfId="7080"/>
    <cellStyle name="kg 3" xfId="7081"/>
    <cellStyle name="kg 3 2" xfId="7082"/>
    <cellStyle name="kg 4" xfId="7083"/>
    <cellStyle name="kg 4 2" xfId="7084"/>
    <cellStyle name="kg 5" xfId="7085"/>
    <cellStyle name="Komma [0]_BINV" xfId="7086"/>
    <cellStyle name="Komma_BINV" xfId="7087"/>
    <cellStyle name="KPMG Heading 1" xfId="7088"/>
    <cellStyle name="KPMG Heading 2" xfId="7089"/>
    <cellStyle name="KPMG Heading 3" xfId="7090"/>
    <cellStyle name="KPMG Heading 4" xfId="7091"/>
    <cellStyle name="KPMG Normal" xfId="7092"/>
    <cellStyle name="KPMG Normal Text" xfId="7093"/>
    <cellStyle name="KPMG Normal_REALITY RATES" xfId="7094"/>
    <cellStyle name="Kurrency_Currency (a) (3)_PERSONAL" xfId="7095"/>
    <cellStyle name="ℓ" xfId="7096"/>
    <cellStyle name="ℓ 2" xfId="7097"/>
    <cellStyle name="ℓ 2 2" xfId="7098"/>
    <cellStyle name="ℓ 3" xfId="7099"/>
    <cellStyle name="ℓ 3 2" xfId="7100"/>
    <cellStyle name="ℓ 4" xfId="7101"/>
    <cellStyle name="ℓ 4 2" xfId="7102"/>
    <cellStyle name="ℓ 5" xfId="7103"/>
    <cellStyle name="Less than 5" xfId="7104"/>
    <cellStyle name="Link Currency (0)" xfId="7105"/>
    <cellStyle name="Link Currency (2)" xfId="7106"/>
    <cellStyle name="Link Units (0)" xfId="7107"/>
    <cellStyle name="Link Units (1)" xfId="7108"/>
    <cellStyle name="Link Units (2)" xfId="7109"/>
    <cellStyle name="Link Units (2) 2" xfId="7110"/>
    <cellStyle name="Linked Cell" xfId="7111"/>
    <cellStyle name="M" xfId="7112"/>
    <cellStyle name="M 2" xfId="7113"/>
    <cellStyle name="M 2 2" xfId="7114"/>
    <cellStyle name="M 3" xfId="7115"/>
    <cellStyle name="M 3 2" xfId="7116"/>
    <cellStyle name="M 4" xfId="7117"/>
    <cellStyle name="M 4 2" xfId="7118"/>
    <cellStyle name="M 5" xfId="7119"/>
    <cellStyle name="M_4월일위목록" xfId="7120"/>
    <cellStyle name="M_4월일위목록 2" xfId="7121"/>
    <cellStyle name="M_4월일위목록 2 2" xfId="7122"/>
    <cellStyle name="M_4월일위목록 3" xfId="7123"/>
    <cellStyle name="M_4월일위목록 3 2" xfId="7124"/>
    <cellStyle name="M_4월일위목록 4" xfId="7125"/>
    <cellStyle name="M_4월일위목록 4 2" xfId="7126"/>
    <cellStyle name="M_4월일위목록 5" xfId="7127"/>
    <cellStyle name="M2" xfId="7128"/>
    <cellStyle name="M2 2" xfId="7129"/>
    <cellStyle name="M2 2 2" xfId="7130"/>
    <cellStyle name="M2 3" xfId="7131"/>
    <cellStyle name="M2 3 2" xfId="7132"/>
    <cellStyle name="M2 4" xfId="7133"/>
    <cellStyle name="M2 4 2" xfId="7134"/>
    <cellStyle name="M2 5" xfId="7135"/>
    <cellStyle name="M3" xfId="7136"/>
    <cellStyle name="Midtitle" xfId="7137"/>
    <cellStyle name="Millares [0]_laroux" xfId="7138"/>
    <cellStyle name="Millares_laroux" xfId="7139"/>
    <cellStyle name="Milliers [0]_399GC10" xfId="7140"/>
    <cellStyle name="Milliers_399GC10" xfId="7141"/>
    <cellStyle name="mma_CASH &amp; DSO" xfId="7142"/>
    <cellStyle name="Mon?aire [0]_399GC10" xfId="7143"/>
    <cellStyle name="Mon?aire_399GC10" xfId="7144"/>
    <cellStyle name="Moneda [0]_laroux" xfId="7145"/>
    <cellStyle name="Moneda_laroux" xfId="7146"/>
    <cellStyle name="MS Proofing Tools" xfId="7147"/>
    <cellStyle name="n" xfId="7148"/>
    <cellStyle name="N0" xfId="7149"/>
    <cellStyle name="Neutral" xfId="7150"/>
    <cellStyle name="New" xfId="7151"/>
    <cellStyle name="NEW정렬" xfId="7152"/>
    <cellStyle name="no_of_proc" xfId="7153"/>
    <cellStyle name="nohs" xfId="7154"/>
    <cellStyle name="normal" xfId="7155"/>
    <cellStyle name="Normal - Style1 3" xfId="7156"/>
    <cellStyle name="Normal - Style1 4" xfId="7157"/>
    <cellStyle name="Normal - Style1 5" xfId="7158"/>
    <cellStyle name="Normal - Style2" xfId="7159"/>
    <cellStyle name="Normal - Style3" xfId="7160"/>
    <cellStyle name="Normal - Style4" xfId="7161"/>
    <cellStyle name="Normal - Style5" xfId="7162"/>
    <cellStyle name="Normal - Style6" xfId="7163"/>
    <cellStyle name="Normal - Style7" xfId="7164"/>
    <cellStyle name="Normal - Style8" xfId="7165"/>
    <cellStyle name="Normal 2" xfId="7166"/>
    <cellStyle name="Normal_ SG&amp;A Bridge" xfId="7167"/>
    <cellStyle name="Noroal_ SG&amp;A Bridge " xfId="7168"/>
    <cellStyle name="Note" xfId="7169"/>
    <cellStyle name="Note 2" xfId="7170"/>
    <cellStyle name="Note 2 2" xfId="7171"/>
    <cellStyle name="Note 3" xfId="7172"/>
    <cellStyle name="Note 3 2" xfId="7173"/>
    <cellStyle name="Note 4" xfId="7174"/>
    <cellStyle name="Note 4 2" xfId="7175"/>
    <cellStyle name="Note 5" xfId="7176"/>
    <cellStyle name="Note 5 2" xfId="7177"/>
    <cellStyle name="Note 6" xfId="7178"/>
    <cellStyle name="Note 7" xfId="7179"/>
    <cellStyle name="NUM_" xfId="7180"/>
    <cellStyle name="O" xfId="7181"/>
    <cellStyle name="OD" xfId="7182"/>
    <cellStyle name="Œ…?æ맖?e [0.00]_guyan" xfId="7183"/>
    <cellStyle name="Œ…?æ맖?e_guyan" xfId="7184"/>
    <cellStyle name="Œ…‹æØ‚è [0.00]_laroux" xfId="7185"/>
    <cellStyle name="Œ…‹æØ‚è_laroux" xfId="7186"/>
    <cellStyle name="oft Excel]_x000d__x000a_Comment=The open=/f lines load custom functions into the Paste Function list._x000d__x000a_Maximized=1_x000d__x000a_AutoFormat=" xfId="7187"/>
    <cellStyle name="oft Excel]_x000d__x000a_Comment=The open=/f lines load custom functions into the Paste Function list._x000d__x000a_Maximized=3_x000d__x000a_AutoFormat=" xfId="7188"/>
    <cellStyle name="oh" xfId="7189"/>
    <cellStyle name="omma [0]_Mktg Prog" xfId="7190"/>
    <cellStyle name="ormal_Sheet1_1" xfId="7191"/>
    <cellStyle name="Output" xfId="7192"/>
    <cellStyle name="Output 2" xfId="7193"/>
    <cellStyle name="Output 2 2" xfId="7194"/>
    <cellStyle name="Output 3" xfId="7195"/>
    <cellStyle name="Output 3 2" xfId="7196"/>
    <cellStyle name="Output 4" xfId="7197"/>
    <cellStyle name="Output 4 2" xfId="7198"/>
    <cellStyle name="Output 5" xfId="7199"/>
    <cellStyle name="Output Single Cell" xfId="7200"/>
    <cellStyle name="Output Single Cell 2" xfId="7201"/>
    <cellStyle name="Output Single Cell 2 2" xfId="7202"/>
    <cellStyle name="Output Single Cell 3" xfId="7203"/>
    <cellStyle name="Output Single Cell 3 2" xfId="7204"/>
    <cellStyle name="Output Single Cell 4" xfId="7205"/>
    <cellStyle name="Output Single Cell 4 2" xfId="7206"/>
    <cellStyle name="Output Single Cell 5" xfId="7207"/>
    <cellStyle name="Package Size" xfId="7208"/>
    <cellStyle name="per.style" xfId="7209"/>
    <cellStyle name="Percent [0]" xfId="7210"/>
    <cellStyle name="Percent [00]" xfId="7211"/>
    <cellStyle name="Percent 10" xfId="7212"/>
    <cellStyle name="Percent 11" xfId="7213"/>
    <cellStyle name="Percent 12" xfId="7214"/>
    <cellStyle name="Percent 13" xfId="7215"/>
    <cellStyle name="Percent 14" xfId="7216"/>
    <cellStyle name="Percent 15" xfId="7217"/>
    <cellStyle name="Percent 16" xfId="7218"/>
    <cellStyle name="Percent 17" xfId="7219"/>
    <cellStyle name="Percent 18" xfId="7220"/>
    <cellStyle name="Percent 19" xfId="7221"/>
    <cellStyle name="Percent 2" xfId="7222"/>
    <cellStyle name="Percent 20" xfId="7223"/>
    <cellStyle name="Percent 21" xfId="7224"/>
    <cellStyle name="Percent 22" xfId="7225"/>
    <cellStyle name="Percent 23" xfId="7226"/>
    <cellStyle name="Percent 24" xfId="7227"/>
    <cellStyle name="Percent 25" xfId="7228"/>
    <cellStyle name="Percent 26" xfId="7229"/>
    <cellStyle name="Percent 27" xfId="7230"/>
    <cellStyle name="Percent 28" xfId="7231"/>
    <cellStyle name="Percent 29" xfId="7232"/>
    <cellStyle name="Percent 3" xfId="7233"/>
    <cellStyle name="Percent 3 2" xfId="7234"/>
    <cellStyle name="Percent 30" xfId="7235"/>
    <cellStyle name="Percent 31" xfId="7236"/>
    <cellStyle name="Percent 32" xfId="7237"/>
    <cellStyle name="Percent 33" xfId="7238"/>
    <cellStyle name="Percent 34" xfId="7239"/>
    <cellStyle name="Percent 35" xfId="7240"/>
    <cellStyle name="Percent 36" xfId="7241"/>
    <cellStyle name="Percent 4" xfId="7242"/>
    <cellStyle name="Percent 4 2" xfId="7243"/>
    <cellStyle name="Percent 5" xfId="7244"/>
    <cellStyle name="Percent 5 2" xfId="7245"/>
    <cellStyle name="Percent 6" xfId="7246"/>
    <cellStyle name="Percent 7" xfId="7247"/>
    <cellStyle name="Percent 8" xfId="7248"/>
    <cellStyle name="Percent 9" xfId="7249"/>
    <cellStyle name="Percent_----" xfId="7250"/>
    <cellStyle name="PrePop Currency (0)" xfId="7251"/>
    <cellStyle name="PrePop Currency (2)" xfId="7252"/>
    <cellStyle name="PrePop Units (0)" xfId="7253"/>
    <cellStyle name="PrePop Units (1)" xfId="7254"/>
    <cellStyle name="PrePop Units (2)" xfId="7255"/>
    <cellStyle name="PrePop Units (2) 2" xfId="7256"/>
    <cellStyle name="Price" xfId="7257"/>
    <cellStyle name="PRICE2" xfId="7258"/>
    <cellStyle name="Prices" xfId="7259"/>
    <cellStyle name="Print Heading" xfId="7260"/>
    <cellStyle name="Procent_BINV" xfId="7261"/>
    <cellStyle name="Product" xfId="7262"/>
    <cellStyle name="protected" xfId="7263"/>
    <cellStyle name="Q1" xfId="7264"/>
    <cellStyle name="Q4" xfId="7265"/>
    <cellStyle name="Ʀ" xfId="7266"/>
    <cellStyle name="R_TITLE" xfId="7267"/>
    <cellStyle name="R_TITLE_남면 용수리 4반 웃말 교량-08년결산서기준(최종본)" xfId="7268"/>
    <cellStyle name="R_TITLE_옥포해안산책데크구매(제조구매)-제출(수정용)" xfId="7269"/>
    <cellStyle name="Recipe" xfId="7270"/>
    <cellStyle name="Recipe Heading" xfId="7271"/>
    <cellStyle name="regstoresfromspecstores" xfId="7272"/>
    <cellStyle name="Released" xfId="7273"/>
    <cellStyle name="Revenue" xfId="7274"/>
    <cellStyle name="revised" xfId="7275"/>
    <cellStyle name="RevList 2" xfId="7276"/>
    <cellStyle name="RevList_총괄표" xfId="7277"/>
    <cellStyle name="roux_laroux" xfId="7278"/>
    <cellStyle name="Row Heading" xfId="7279"/>
    <cellStyle name="Row Subheading" xfId="7280"/>
    <cellStyle name="RptTitle" xfId="7281"/>
    <cellStyle name="s" xfId="7282"/>
    <cellStyle name="S " xfId="7283"/>
    <cellStyle name="s]_x000d__x000a_load=_x000d__x000a_run=_x000d__x000a_NullPort=None_x000d__x000a_SkipMouseRedetect=1_x000d__x000a_device=QLaser SF700/710,KHQLBP,LPT1:_x000d__x000a__x000d__x000a_[Desktop]_x000d__x000a_Wallpaper=C:\WI" xfId="7284"/>
    <cellStyle name="SAPBEXaggData" xfId="7285"/>
    <cellStyle name="SAPBEXstdData" xfId="7286"/>
    <cellStyle name="sbt2" xfId="7287"/>
    <cellStyle name="section" xfId="7288"/>
    <cellStyle name="sh" xfId="7289"/>
    <cellStyle name="SHADEDSTORES" xfId="7290"/>
    <cellStyle name="SHADEDSTORES 2" xfId="7291"/>
    <cellStyle name="SHADEDSTORES 2 2" xfId="7292"/>
    <cellStyle name="SHADEDSTORES 3" xfId="7293"/>
    <cellStyle name="SHADEDSTORES 3 2" xfId="7294"/>
    <cellStyle name="SHADEDSTORES 4" xfId="7295"/>
    <cellStyle name="SHADEDSTORES 4 2" xfId="7296"/>
    <cellStyle name="SHADEDSTORES 5" xfId="7297"/>
    <cellStyle name="Shadow" xfId="7298"/>
    <cellStyle name="specstores" xfId="7299"/>
    <cellStyle name="ssh" xfId="7300"/>
    <cellStyle name="Standaard_BINV" xfId="7301"/>
    <cellStyle name="STANDARD" xfId="7302"/>
    <cellStyle name="STD" xfId="7303"/>
    <cellStyle name="Style 1" xfId="7304"/>
    <cellStyle name="Sub" xfId="7305"/>
    <cellStyle name="SubHeading" xfId="7306"/>
    <cellStyle name="subt1" xfId="7307"/>
    <cellStyle name="Subtotal 1" xfId="7308"/>
    <cellStyle name="Suggested Quantity" xfId="7309"/>
    <cellStyle name="t1" xfId="7310"/>
    <cellStyle name="testtitle" xfId="7311"/>
    <cellStyle name="Text Indent A" xfId="7312"/>
    <cellStyle name="Text Indent B" xfId="7313"/>
    <cellStyle name="Text Indent B 2" xfId="7314"/>
    <cellStyle name="Text Indent C" xfId="7315"/>
    <cellStyle name="þ?b?þ?b?þ?b?þ?b?þ?b?þ?b?þ?b灌þ?b?þ?&lt;?b?þ?b濬þ?b?þ?b?þ昰_x0018_?þ????_x0008_" xfId="7316"/>
    <cellStyle name="þ൚b⍼þ൪b⎨þൺb⏜þඊb␌þකb濰þඪb瀠þයb灌þ්b炈þ宐&lt;෢b濈þෲb濬þขb瀐þฒb瀰þ昰_x0018_⋸þ㤕䰀ጤܕ_x0008_" xfId="7317"/>
    <cellStyle name="Title 10" xfId="7318"/>
    <cellStyle name="Title 11" xfId="7319"/>
    <cellStyle name="Title 12" xfId="7320"/>
    <cellStyle name="Title 13" xfId="7321"/>
    <cellStyle name="Title 14" xfId="7322"/>
    <cellStyle name="Title 2" xfId="7323"/>
    <cellStyle name="Title 3" xfId="7324"/>
    <cellStyle name="Title 4" xfId="7325"/>
    <cellStyle name="Title 5" xfId="7326"/>
    <cellStyle name="Title 6" xfId="7327"/>
    <cellStyle name="Title 7" xfId="7328"/>
    <cellStyle name="Title 8" xfId="7329"/>
    <cellStyle name="Title 9" xfId="7330"/>
    <cellStyle name="Title_02 김제1-1공구(설계가1203입수)" xfId="7331"/>
    <cellStyle name="Title2" xfId="7332"/>
    <cellStyle name="ton" xfId="7333"/>
    <cellStyle name="Total 2 2" xfId="7334"/>
    <cellStyle name="Total 2 2 2" xfId="7335"/>
    <cellStyle name="Total 2 3" xfId="7336"/>
    <cellStyle name="Total 2 3 2" xfId="7337"/>
    <cellStyle name="Total 2 4" xfId="7338"/>
    <cellStyle name="Total 2 4 2" xfId="7339"/>
    <cellStyle name="Total 2 5" xfId="7340"/>
    <cellStyle name="Total 3" xfId="7341"/>
    <cellStyle name="Total 4" xfId="7342"/>
    <cellStyle name="Total 4 2" xfId="7343"/>
    <cellStyle name="TotalCurr" xfId="7344"/>
    <cellStyle name="TotalHdr" xfId="7345"/>
    <cellStyle name="Unprot" xfId="7346"/>
    <cellStyle name="Unprot$" xfId="7347"/>
    <cellStyle name="Unprotect" xfId="7348"/>
    <cellStyle name="Valuta [0]_BINV" xfId="7349"/>
    <cellStyle name="Valuta_BINV" xfId="7350"/>
    <cellStyle name="W?rung [0]_Ausdruck RUND (D)" xfId="7351"/>
    <cellStyle name="W?rung_Ausdruck RUND (D)" xfId="7352"/>
    <cellStyle name="Warning Text" xfId="7353"/>
    <cellStyle name="xht" xfId="7354"/>
    <cellStyle name="μU¿¡ ¿A´A CIAIÆU¸μAⓒ" xfId="7355"/>
    <cellStyle name="ハイパーリンク_NT見10" xfId="7356"/>
    <cellStyle name="|?ドE" xfId="7357"/>
    <cellStyle name="" xfId="7358"/>
    <cellStyle name="가운데" xfId="7359"/>
    <cellStyle name="가운데 2" xfId="7360"/>
    <cellStyle name="가운데 2 2" xfId="7361"/>
    <cellStyle name="가운데 3" xfId="7362"/>
    <cellStyle name="가운데 3 2" xfId="7363"/>
    <cellStyle name="가운데 4" xfId="7364"/>
    <cellStyle name="가운데 4 2" xfId="7365"/>
    <cellStyle name="가운데 5" xfId="7366"/>
    <cellStyle name="감춤" xfId="7367"/>
    <cellStyle name="강조색1 2" xfId="7368"/>
    <cellStyle name="강조색1 2 2" xfId="7369"/>
    <cellStyle name="강조색1 3" xfId="7370"/>
    <cellStyle name="강조색1 4" xfId="7371"/>
    <cellStyle name="강조색2 2" xfId="7372"/>
    <cellStyle name="강조색2 2 2" xfId="7373"/>
    <cellStyle name="강조색2 3" xfId="7374"/>
    <cellStyle name="강조색2 4" xfId="7375"/>
    <cellStyle name="강조색3 2" xfId="7376"/>
    <cellStyle name="강조색3 2 2" xfId="7377"/>
    <cellStyle name="강조색3 3" xfId="7378"/>
    <cellStyle name="강조색3 4" xfId="7379"/>
    <cellStyle name="강조색4 2" xfId="7380"/>
    <cellStyle name="강조색4 2 2" xfId="7381"/>
    <cellStyle name="강조색4 3" xfId="7382"/>
    <cellStyle name="강조색4 4" xfId="7383"/>
    <cellStyle name="강조색5 2" xfId="7384"/>
    <cellStyle name="강조색5 2 2" xfId="7385"/>
    <cellStyle name="강조색5 3" xfId="7386"/>
    <cellStyle name="강조색5 4" xfId="7387"/>
    <cellStyle name="강조색6 2" xfId="7388"/>
    <cellStyle name="강조색6 2 2" xfId="7389"/>
    <cellStyle name="강조색6 3" xfId="7390"/>
    <cellStyle name="강조색6 4" xfId="7391"/>
    <cellStyle name="개" xfId="7392"/>
    <cellStyle name="개 2" xfId="7393"/>
    <cellStyle name="개 2 2" xfId="7394"/>
    <cellStyle name="개 3" xfId="7395"/>
    <cellStyle name="개 3 2" xfId="7396"/>
    <cellStyle name="개 4" xfId="7397"/>
    <cellStyle name="개 4 2" xfId="7398"/>
    <cellStyle name="개 5" xfId="7399"/>
    <cellStyle name="개_02-포장-1" xfId="7400"/>
    <cellStyle name="개_02-포장-1 2" xfId="7401"/>
    <cellStyle name="개_02-포장-1 2 2" xfId="7402"/>
    <cellStyle name="개_02-포장-1 3" xfId="7403"/>
    <cellStyle name="개_02-포장-1 3 2" xfId="7404"/>
    <cellStyle name="개_02-포장-1 4" xfId="7405"/>
    <cellStyle name="개_02-포장-1 4 2" xfId="7406"/>
    <cellStyle name="개_02-포장-1 5" xfId="7407"/>
    <cellStyle name="개소" xfId="7408"/>
    <cellStyle name="개소 2" xfId="7409"/>
    <cellStyle name="개소 2 2" xfId="7410"/>
    <cellStyle name="개소 3" xfId="7411"/>
    <cellStyle name="개소 3 2" xfId="7412"/>
    <cellStyle name="개소 4" xfId="7413"/>
    <cellStyle name="개소 4 2" xfId="7414"/>
    <cellStyle name="개소 5" xfId="7415"/>
    <cellStyle name="견적" xfId="7416"/>
    <cellStyle name="경고문 2" xfId="7417"/>
    <cellStyle name="경고문 2 2" xfId="7418"/>
    <cellStyle name="경고문 3" xfId="7419"/>
    <cellStyle name="경고문 3 2" xfId="7420"/>
    <cellStyle name="경고문 3 2 2" xfId="7421"/>
    <cellStyle name="경고문 3 2 3" xfId="7422"/>
    <cellStyle name="경고문 4" xfId="7423"/>
    <cellStyle name="계산 2" xfId="7424"/>
    <cellStyle name="계산 2 2" xfId="7425"/>
    <cellStyle name="계산 2 2 2" xfId="7426"/>
    <cellStyle name="계산 2 2 2 2" xfId="7427"/>
    <cellStyle name="계산 2 2 3" xfId="7428"/>
    <cellStyle name="계산 2 2 3 2" xfId="7429"/>
    <cellStyle name="계산 2 2 4" xfId="7430"/>
    <cellStyle name="계산 2 2 4 2" xfId="7431"/>
    <cellStyle name="계산 2 2 5" xfId="7432"/>
    <cellStyle name="계산 2 3" xfId="7433"/>
    <cellStyle name="계산 2 3 2" xfId="7434"/>
    <cellStyle name="계산 2 3 3" xfId="7435"/>
    <cellStyle name="계산 2 4" xfId="7436"/>
    <cellStyle name="계산 2 4 2" xfId="7437"/>
    <cellStyle name="계산 2 5" xfId="7438"/>
    <cellStyle name="계산 2 5 2" xfId="7439"/>
    <cellStyle name="계산 2 6" xfId="7440"/>
    <cellStyle name="계산 3" xfId="7441"/>
    <cellStyle name="계산 3 2" xfId="7442"/>
    <cellStyle name="계산 3 2 2" xfId="7443"/>
    <cellStyle name="계산 3 3" xfId="7444"/>
    <cellStyle name="계산 3 3 2" xfId="7445"/>
    <cellStyle name="계산 3 4" xfId="7446"/>
    <cellStyle name="계산 3 4 2" xfId="7447"/>
    <cellStyle name="계산 3 5" xfId="7448"/>
    <cellStyle name="계산 4" xfId="7449"/>
    <cellStyle name="계산 4 2" xfId="7450"/>
    <cellStyle name="계산 4 2 2" xfId="7451"/>
    <cellStyle name="계산 4 3" xfId="7452"/>
    <cellStyle name="계산 4 3 2" xfId="7453"/>
    <cellStyle name="계산 4 4" xfId="7454"/>
    <cellStyle name="계산 4 4 2" xfId="7455"/>
    <cellStyle name="계산 4 5" xfId="7456"/>
    <cellStyle name="공백" xfId="7457"/>
    <cellStyle name="공백1" xfId="7458"/>
    <cellStyle name="공백1수" xfId="7459"/>
    <cellStyle name="공사원가계산서(조경)" xfId="7460"/>
    <cellStyle name="공종" xfId="7461"/>
    <cellStyle name="構成図作成用" xfId="7462"/>
    <cellStyle name="국종합건설" xfId="7463"/>
    <cellStyle name="그림" xfId="7464"/>
    <cellStyle name="금액" xfId="7465"/>
    <cellStyle name="기계" xfId="7466"/>
    <cellStyle name="김해전기" xfId="7467"/>
    <cellStyle name="끼_x0001_?" xfId="7468"/>
    <cellStyle name="나쁨 2" xfId="7469"/>
    <cellStyle name="나쁨 2 2" xfId="7470"/>
    <cellStyle name="나쁨 3" xfId="7471"/>
    <cellStyle name="나쁨 4" xfId="7472"/>
    <cellStyle name="난제목" xfId="7473"/>
    <cellStyle name="네모제목" xfId="7474"/>
    <cellStyle name="노명용" xfId="7475"/>
    <cellStyle name="노명용 2" xfId="7476"/>
    <cellStyle name="노명용 2 2" xfId="7477"/>
    <cellStyle name="노명용 3" xfId="7478"/>
    <cellStyle name="노명용 3 2" xfId="7479"/>
    <cellStyle name="노명용 4" xfId="7480"/>
    <cellStyle name="노명용 4 2" xfId="7481"/>
    <cellStyle name="노명용 5" xfId="7482"/>
    <cellStyle name="단위" xfId="7483"/>
    <cellStyle name="단위(원)" xfId="7484"/>
    <cellStyle name="뒤에 오는 하이퍼링크" xfId="7485"/>
    <cellStyle name="똿떓죶Ø괻 [0.00]_PRODUCT DETAIL Q1" xfId="7486"/>
    <cellStyle name="똿떓죶Ø괻_PRODUCT DETAIL Q1" xfId="7487"/>
    <cellStyle name="똿뗦먛귟 [0.00]_laroux" xfId="7488"/>
    <cellStyle name="똿뗦먛귟_laroux" xfId="7489"/>
    <cellStyle name="라인" xfId="7490"/>
    <cellStyle name="마감" xfId="7491"/>
    <cellStyle name="마이너스키" xfId="7492"/>
    <cellStyle name="마ㅊ춤" xfId="7493"/>
    <cellStyle name="매" xfId="7494"/>
    <cellStyle name="매_02-포장-1" xfId="7495"/>
    <cellStyle name="메모 2" xfId="7496"/>
    <cellStyle name="메모 2 2" xfId="7497"/>
    <cellStyle name="메모 2 2 2" xfId="7498"/>
    <cellStyle name="메모 2 2 3" xfId="7499"/>
    <cellStyle name="메모 2 3" xfId="7500"/>
    <cellStyle name="메모 2 3 2" xfId="7501"/>
    <cellStyle name="메모 2 4" xfId="7502"/>
    <cellStyle name="메모 2 4 2" xfId="7503"/>
    <cellStyle name="메모 2 5" xfId="7504"/>
    <cellStyle name="메모 3" xfId="7505"/>
    <cellStyle name="메모 3 2" xfId="7506"/>
    <cellStyle name="메모 3 2 2" xfId="7507"/>
    <cellStyle name="메모 3 2 3" xfId="7508"/>
    <cellStyle name="메모 3 3" xfId="7509"/>
    <cellStyle name="메모 4" xfId="7510"/>
    <cellStyle name="메모 4 2" xfId="7511"/>
    <cellStyle name="메모 4 2 2" xfId="7512"/>
    <cellStyle name="메모 4 3" xfId="7513"/>
    <cellStyle name="메모 4 3 2" xfId="7514"/>
    <cellStyle name="메모 4 4" xfId="7515"/>
    <cellStyle name="메모 4 4 2" xfId="7516"/>
    <cellStyle name="메모 4 5" xfId="7517"/>
    <cellStyle name="묮뎋 [0.00]_PRODUCT DETAIL Q1" xfId="7518"/>
    <cellStyle name="묮뎋_PRODUCT DETAIL Q1" xfId="7519"/>
    <cellStyle name="믅됞 [0.00]_laroux" xfId="7520"/>
    <cellStyle name="믅됞_laroux" xfId="7521"/>
    <cellStyle name="배분" xfId="7522"/>
    <cellStyle name="배분 2" xfId="7523"/>
    <cellStyle name="배분 2 2" xfId="7524"/>
    <cellStyle name="배분 3" xfId="7525"/>
    <cellStyle name="배분 3 2" xfId="7526"/>
    <cellStyle name="배분 4" xfId="7527"/>
    <cellStyle name="배분 4 2" xfId="7528"/>
    <cellStyle name="배분 5" xfId="7529"/>
    <cellStyle name="백" xfId="7530"/>
    <cellStyle name="백 " xfId="7531"/>
    <cellStyle name="백_3. 신광R~숭의R(배수공)" xfId="7532"/>
    <cellStyle name="백_3. 신광R~숭의R(배수공)_노임단가(소프트웨어)" xfId="7533"/>
    <cellStyle name="백_깨기" xfId="7534"/>
    <cellStyle name="백_깨기_노임단가(소프트웨어)" xfId="7535"/>
    <cellStyle name="백_깨기_신광R~숭의R(폐기물)" xfId="7536"/>
    <cellStyle name="백_깨기_신광R~숭의R(폐기물)_노임단가(소프트웨어)" xfId="7537"/>
    <cellStyle name="백_노임단가(소프트웨어)" xfId="7538"/>
    <cellStyle name="백_노임단가(소프트웨어)_안성도시관리계획내역서(20100201)" xfId="7539"/>
    <cellStyle name="백_노임단가(소프트웨어)_안성도시관리계획내역서-작업용" xfId="7540"/>
    <cellStyle name="백_배수공" xfId="7541"/>
    <cellStyle name="백_배수공_노임단가(소프트웨어)" xfId="7542"/>
    <cellStyle name="백_솔빛마을연결도로(최종)" xfId="7543"/>
    <cellStyle name="백_솔빛마을연결도로(최종)_노임단가(소프트웨어)" xfId="7544"/>
    <cellStyle name="백_수량산출서(수정)" xfId="7545"/>
    <cellStyle name="백_수량산출서(수정)_3. 신광R~숭의R(배수공)" xfId="7546"/>
    <cellStyle name="백_수량산출서(수정)_3. 신광R~숭의R(배수공)_노임단가(소프트웨어)" xfId="7547"/>
    <cellStyle name="백_수량산출서(수정)_깨기" xfId="7548"/>
    <cellStyle name="백_수량산출서(수정)_깨기_노임단가(소프트웨어)" xfId="7549"/>
    <cellStyle name="백_수량산출서(수정)_깨기_신광R~숭의R(폐기물)" xfId="7550"/>
    <cellStyle name="백_수량산출서(수정)_깨기_신광R~숭의R(폐기물)_노임단가(소프트웨어)" xfId="7551"/>
    <cellStyle name="백_수량산출서(수정)_노임단가(소프트웨어)" xfId="7552"/>
    <cellStyle name="백_수량산출서(수정)_배수공" xfId="7553"/>
    <cellStyle name="백_수량산출서(수정)_배수공_노임단가(소프트웨어)" xfId="7554"/>
    <cellStyle name="백_수량산출서(수정)_솔빛마을연결도로(최종)" xfId="7555"/>
    <cellStyle name="백_수량산출서(수정)_솔빛마을연결도로(최종)_노임단가(소프트웨어)" xfId="7556"/>
    <cellStyle name="백_옹벽 수량(H=4.5m)" xfId="7557"/>
    <cellStyle name="백_옹벽 수량(H=4.5m)_노임단가(소프트웨어)" xfId="7558"/>
    <cellStyle name="백분율 [△1]" xfId="7559"/>
    <cellStyle name="백분율 [△2]" xfId="7560"/>
    <cellStyle name="백분율 10" xfId="7561"/>
    <cellStyle name="백분율 11" xfId="7562"/>
    <cellStyle name="백분율 2" xfId="7563"/>
    <cellStyle name="백분율 2 2" xfId="7564"/>
    <cellStyle name="백분율 2 2 2" xfId="7565"/>
    <cellStyle name="백분율 2 3" xfId="7566"/>
    <cellStyle name="백분율 2 4" xfId="7567"/>
    <cellStyle name="백분율 3" xfId="7568"/>
    <cellStyle name="백분율 3 2" xfId="7569"/>
    <cellStyle name="백분율 3 2 2" xfId="7570"/>
    <cellStyle name="백분율 3 3" xfId="7571"/>
    <cellStyle name="백분율 3 3 2" xfId="7572"/>
    <cellStyle name="백분율 3 4" xfId="7573"/>
    <cellStyle name="백분율 4" xfId="7574"/>
    <cellStyle name="백분율 4 2" xfId="7575"/>
    <cellStyle name="백분율 4 3" xfId="7576"/>
    <cellStyle name="백분율 4 3 2" xfId="7577"/>
    <cellStyle name="백분율 4 3 3" xfId="7578"/>
    <cellStyle name="백분율 5" xfId="7579"/>
    <cellStyle name="백분율 5 2" xfId="7580"/>
    <cellStyle name="백분율 5 2 2" xfId="7581"/>
    <cellStyle name="백분율 5 2 3" xfId="7582"/>
    <cellStyle name="백분율 5 2 3 2" xfId="7583"/>
    <cellStyle name="백분율 5 2 3 3" xfId="7584"/>
    <cellStyle name="백분율 5 2 4" xfId="7585"/>
    <cellStyle name="백분율 5 2 5" xfId="7586"/>
    <cellStyle name="백분율 5 3" xfId="7587"/>
    <cellStyle name="백분율 5 3 2" xfId="7588"/>
    <cellStyle name="백분율 5 3 2 2" xfId="7589"/>
    <cellStyle name="백분율 5 3 2 3" xfId="7590"/>
    <cellStyle name="백분율 5 3 3" xfId="7591"/>
    <cellStyle name="백분율 5 3 4" xfId="7592"/>
    <cellStyle name="백분율 6" xfId="7593"/>
    <cellStyle name="백분율 6 2" xfId="7594"/>
    <cellStyle name="백분율 7" xfId="7595"/>
    <cellStyle name="백분율 8" xfId="7596"/>
    <cellStyle name="백분율 9" xfId="7597"/>
    <cellStyle name="백분율［△1］" xfId="7598"/>
    <cellStyle name="백분율［△2］" xfId="7599"/>
    <cellStyle name="백창콤마" xfId="7600"/>
    <cellStyle name="범위" xfId="7601"/>
    <cellStyle name="벭?_Q1 PRODUCT ACTUAL_4월 (2)" xfId="7602"/>
    <cellStyle name="보통 2" xfId="7603"/>
    <cellStyle name="보통 2 2" xfId="7604"/>
    <cellStyle name="보통 3" xfId="7605"/>
    <cellStyle name="보통 4" xfId="7606"/>
    <cellStyle name="부제목" xfId="7607"/>
    <cellStyle name="뷭?" xfId="7608"/>
    <cellStyle name="빨간색" xfId="7609"/>
    <cellStyle name="빨강" xfId="7610"/>
    <cellStyle name="常规_China_Oct01_List(USD)" xfId="7611"/>
    <cellStyle name="서식" xfId="7612"/>
    <cellStyle name="서식 2" xfId="7613"/>
    <cellStyle name="서식 2 2" xfId="7614"/>
    <cellStyle name="서식 3" xfId="7615"/>
    <cellStyle name="서식 3 2" xfId="7616"/>
    <cellStyle name="서식 4" xfId="7617"/>
    <cellStyle name="서식 4 2" xfId="7618"/>
    <cellStyle name="서식 5" xfId="7619"/>
    <cellStyle name="선택영역" xfId="7620"/>
    <cellStyle name="선택영역 가운데" xfId="7621"/>
    <cellStyle name="선택영역_토공수량" xfId="7622"/>
    <cellStyle name="선택영역의 가운데" xfId="7623"/>
    <cellStyle name="선택영역의 가운데로" xfId="7624"/>
    <cellStyle name="선택영영" xfId="7625"/>
    <cellStyle name="설계서-내용" xfId="7626"/>
    <cellStyle name="설계서-내용-소수점" xfId="7627"/>
    <cellStyle name="설계서-내용-우" xfId="7628"/>
    <cellStyle name="설계서-내용-좌" xfId="7629"/>
    <cellStyle name="설계서-소제목" xfId="7630"/>
    <cellStyle name="설계서-타이틀" xfId="7631"/>
    <cellStyle name="설계서-항목" xfId="7632"/>
    <cellStyle name="설명 텍스트 2" xfId="7633"/>
    <cellStyle name="설명 텍스트 2 2" xfId="7634"/>
    <cellStyle name="설명 텍스트 3" xfId="7635"/>
    <cellStyle name="설명 텍스트 4" xfId="7636"/>
    <cellStyle name="셀 확인 2" xfId="7637"/>
    <cellStyle name="셀 확인 2 2" xfId="7638"/>
    <cellStyle name="셀 확인 2 3" xfId="7639"/>
    <cellStyle name="셀 확인 3" xfId="7640"/>
    <cellStyle name="셀 확인 4" xfId="7641"/>
    <cellStyle name="소수" xfId="7642"/>
    <cellStyle name="소수3" xfId="7643"/>
    <cellStyle name="소수4" xfId="7644"/>
    <cellStyle name="소수점" xfId="7645"/>
    <cellStyle name="소숫점" xfId="7646"/>
    <cellStyle name="소숫점0" xfId="7647"/>
    <cellStyle name="소숫점3" xfId="7648"/>
    <cellStyle name="수당" xfId="7649"/>
    <cellStyle name="수당2" xfId="7650"/>
    <cellStyle name="수량" xfId="7651"/>
    <cellStyle name="수량1" xfId="7652"/>
    <cellStyle name="수량산출" xfId="7653"/>
    <cellStyle name="수목명" xfId="7654"/>
    <cellStyle name="수산" xfId="7655"/>
    <cellStyle name="숨김" xfId="7656"/>
    <cellStyle name="숫자" xfId="7657"/>
    <cellStyle name="숫자_포천 시가화예정용지 제1종지구단위계획(총괄내역서)-보정" xfId="7658"/>
    <cellStyle name="숫자1" xfId="7659"/>
    <cellStyle name="숫자3" xfId="7660"/>
    <cellStyle name="숫자3R" xfId="7661"/>
    <cellStyle name="숫자3자리" xfId="7662"/>
    <cellStyle name="쉼표 [0] 10" xfId="7663"/>
    <cellStyle name="쉼표 [0] 11" xfId="7664"/>
    <cellStyle name="쉼표 [0] 12" xfId="7665"/>
    <cellStyle name="쉼표 [0] 13" xfId="7666"/>
    <cellStyle name="쉼표 [0] 14" xfId="7667"/>
    <cellStyle name="쉼표 [0] 15" xfId="7668"/>
    <cellStyle name="쉼표 [0] 16" xfId="7669"/>
    <cellStyle name="쉼표 [0] 17" xfId="7670"/>
    <cellStyle name="쉼표 [0] 18" xfId="7671"/>
    <cellStyle name="쉼표 [0] 19" xfId="7672"/>
    <cellStyle name="쉼표 [0] 2 10" xfId="7673"/>
    <cellStyle name="쉼표 [0] 2 11" xfId="7674"/>
    <cellStyle name="쉼표 [0] 2 12" xfId="7675"/>
    <cellStyle name="쉼표 [0] 2 13" xfId="7676"/>
    <cellStyle name="쉼표 [0] 2 14" xfId="7677"/>
    <cellStyle name="쉼표 [0] 2 15" xfId="7678"/>
    <cellStyle name="쉼표 [0] 2 16" xfId="7679"/>
    <cellStyle name="쉼표 [0] 2 2" xfId="7680"/>
    <cellStyle name="쉼표 [0] 2 2 2" xfId="7681"/>
    <cellStyle name="쉼표 [0] 2 2 2 2" xfId="7682"/>
    <cellStyle name="쉼표 [0] 2 2 2 2 2" xfId="7683"/>
    <cellStyle name="쉼표 [0] 2 2 2 2 3" xfId="7684"/>
    <cellStyle name="쉼표 [0] 2 2 2 2 4" xfId="7685"/>
    <cellStyle name="쉼표 [0] 2 2 2 2 5" xfId="7686"/>
    <cellStyle name="쉼표 [0] 2 2 2 2 6" xfId="7687"/>
    <cellStyle name="쉼표 [0] 2 2 2 2 7" xfId="7688"/>
    <cellStyle name="쉼표 [0] 2 2 2 3" xfId="7689"/>
    <cellStyle name="쉼표 [0] 2 2 2 4" xfId="7690"/>
    <cellStyle name="쉼표 [0] 2 2 2 5" xfId="7691"/>
    <cellStyle name="쉼표 [0] 2 2 2 6" xfId="7692"/>
    <cellStyle name="쉼표 [0] 2 2 2 7" xfId="7693"/>
    <cellStyle name="쉼표 [0] 2 2 2 8" xfId="7694"/>
    <cellStyle name="쉼표 [0] 2 2 2 9" xfId="7695"/>
    <cellStyle name="쉼표 [0] 2 2 3" xfId="7696"/>
    <cellStyle name="쉼표 [0] 2 2 4" xfId="7697"/>
    <cellStyle name="쉼표 [0] 2 2 5" xfId="7698"/>
    <cellStyle name="쉼표 [0] 2 2 6" xfId="7699"/>
    <cellStyle name="쉼표 [0] 2 2 7" xfId="7700"/>
    <cellStyle name="쉼표 [0] 2 2 8" xfId="7701"/>
    <cellStyle name="쉼표 [0] 2 2 9" xfId="7702"/>
    <cellStyle name="쉼표 [0] 2 3" xfId="7703"/>
    <cellStyle name="쉼표 [0] 2 3 2" xfId="7704"/>
    <cellStyle name="쉼표 [0] 2 3 3" xfId="7705"/>
    <cellStyle name="쉼표 [0] 2 3 4" xfId="7706"/>
    <cellStyle name="쉼표 [0] 2 4" xfId="7707"/>
    <cellStyle name="쉼표 [0] 2 4 2" xfId="7708"/>
    <cellStyle name="쉼표 [0] 2 5" xfId="7709"/>
    <cellStyle name="쉼표 [0] 2 6" xfId="7710"/>
    <cellStyle name="쉼표 [0] 2 7" xfId="7711"/>
    <cellStyle name="쉼표 [0] 2 8" xfId="7712"/>
    <cellStyle name="쉼표 [0] 2 9" xfId="7713"/>
    <cellStyle name="쉼표 [0] 2_북삼오평_실시설계(원가심사반영)(1)" xfId="7714"/>
    <cellStyle name="쉼표 [0] 20" xfId="7715"/>
    <cellStyle name="쉼표 [0] 21" xfId="7716"/>
    <cellStyle name="쉼표 [0] 22" xfId="7717"/>
    <cellStyle name="쉼표 [0] 23" xfId="7718"/>
    <cellStyle name="쉼표 [0] 24" xfId="7719"/>
    <cellStyle name="쉼표 [0] 25" xfId="7720"/>
    <cellStyle name="쉼표 [0] 26" xfId="7721"/>
    <cellStyle name="쉼표 [0] 27" xfId="7722"/>
    <cellStyle name="쉼표 [0] 29" xfId="7723"/>
    <cellStyle name="쉼표 [0] 3" xfId="7724"/>
    <cellStyle name="쉼표 [0] 3 2" xfId="7725"/>
    <cellStyle name="쉼표 [0] 3 2 2" xfId="7726"/>
    <cellStyle name="쉼표 [0] 3 2 3" xfId="7727"/>
    <cellStyle name="쉼표 [0] 3 3" xfId="7728"/>
    <cellStyle name="쉼표 [0] 4" xfId="7729"/>
    <cellStyle name="쉼표 [0] 4 2" xfId="7730"/>
    <cellStyle name="쉼표 [0] 4 2 2" xfId="7731"/>
    <cellStyle name="쉼표 [0] 4 3" xfId="7732"/>
    <cellStyle name="쉼표 [0] 4 4" xfId="7733"/>
    <cellStyle name="쉼표 [0] 5" xfId="7734"/>
    <cellStyle name="쉼표 [0] 5 2" xfId="7735"/>
    <cellStyle name="쉼표 [0] 5 3" xfId="7736"/>
    <cellStyle name="쉼표 [0] 5 4" xfId="7737"/>
    <cellStyle name="쉼표 [0] 6" xfId="7738"/>
    <cellStyle name="쉼표 [0] 6 2" xfId="7739"/>
    <cellStyle name="쉼표 [0] 6 2 2" xfId="7740"/>
    <cellStyle name="쉼표 [0] 6 2 2 2" xfId="7741"/>
    <cellStyle name="쉼표 [0] 6 2 2 3" xfId="7742"/>
    <cellStyle name="쉼표 [0] 6 2 2 3 2" xfId="7743"/>
    <cellStyle name="쉼표 [0] 6 2 2 3 3" xfId="7744"/>
    <cellStyle name="쉼표 [0] 6 2 2 4" xfId="7745"/>
    <cellStyle name="쉼표 [0] 6 2 2 5" xfId="7746"/>
    <cellStyle name="쉼표 [0] 6 3" xfId="7747"/>
    <cellStyle name="쉼표 [0] 6 4" xfId="7748"/>
    <cellStyle name="쉼표 [0] 6 4 2" xfId="7749"/>
    <cellStyle name="쉼표 [0] 6 4 3" xfId="7750"/>
    <cellStyle name="쉼표 [0] 6 5" xfId="7751"/>
    <cellStyle name="쉼표 [0] 6 5 2" xfId="7752"/>
    <cellStyle name="쉼표 [0] 6 5 3" xfId="7753"/>
    <cellStyle name="쉼표 [0] 6 5 3 2" xfId="7754"/>
    <cellStyle name="쉼표 [0] 6 5 3 3" xfId="7755"/>
    <cellStyle name="쉼표 [0] 6 5 4" xfId="7756"/>
    <cellStyle name="쉼표 [0] 6 5 5" xfId="7757"/>
    <cellStyle name="쉼표 [0] 6 6" xfId="7758"/>
    <cellStyle name="쉼표 [0] 7" xfId="7759"/>
    <cellStyle name="쉼표 [0] 7 2" xfId="7760"/>
    <cellStyle name="쉼표 [0] 7 2 2" xfId="7761"/>
    <cellStyle name="쉼표 [0] 7 3" xfId="7762"/>
    <cellStyle name="쉼표 [0] 7 3 2" xfId="7763"/>
    <cellStyle name="쉼표 [0] 7 3 3" xfId="7764"/>
    <cellStyle name="쉼표 [0] 8" xfId="7765"/>
    <cellStyle name="쉼표 [0] 8 2" xfId="7766"/>
    <cellStyle name="쉼표 [0] 8 3" xfId="7767"/>
    <cellStyle name="쉼표 [0] 9" xfId="7768"/>
    <cellStyle name="쉼표 2" xfId="7769"/>
    <cellStyle name="쉼표 4" xfId="7770"/>
    <cellStyle name="쉼표 5" xfId="7771"/>
    <cellStyle name="쉼표 6" xfId="7772"/>
    <cellStyle name="쉼표 7" xfId="7773"/>
    <cellStyle name="쉼표[0]" xfId="7774"/>
    <cellStyle name="쉼표[0] 2" xfId="7775"/>
    <cellStyle name="쉼표[0] 2 2" xfId="7776"/>
    <cellStyle name="쉼표[0] 3" xfId="7777"/>
    <cellStyle name="쉼표[0] 3 2" xfId="7778"/>
    <cellStyle name="쉼표[0] 4" xfId="7779"/>
    <cellStyle name="쉼표[0] 4 2" xfId="7780"/>
    <cellStyle name="쉼표[0] 5" xfId="7781"/>
    <cellStyle name="스타일 1 2" xfId="7782"/>
    <cellStyle name="스타일 1 3" xfId="7783"/>
    <cellStyle name="스타일 1 4" xfId="7784"/>
    <cellStyle name="스타일 1_총괄표" xfId="7785"/>
    <cellStyle name="스타일 10" xfId="7786"/>
    <cellStyle name="스타일 100" xfId="7787"/>
    <cellStyle name="스타일 101" xfId="7788"/>
    <cellStyle name="스타일 102" xfId="7789"/>
    <cellStyle name="스타일 103" xfId="7790"/>
    <cellStyle name="스타일 104" xfId="7791"/>
    <cellStyle name="스타일 105" xfId="7792"/>
    <cellStyle name="스타일 106" xfId="7793"/>
    <cellStyle name="스타일 107" xfId="7794"/>
    <cellStyle name="스타일 108" xfId="7795"/>
    <cellStyle name="스타일 109" xfId="7796"/>
    <cellStyle name="스타일 11" xfId="7797"/>
    <cellStyle name="스타일 110" xfId="7798"/>
    <cellStyle name="스타일 111" xfId="7799"/>
    <cellStyle name="스타일 112" xfId="7800"/>
    <cellStyle name="스타일 113" xfId="7801"/>
    <cellStyle name="스타일 114" xfId="7802"/>
    <cellStyle name="스타일 115" xfId="7803"/>
    <cellStyle name="스타일 116" xfId="7804"/>
    <cellStyle name="스타일 117" xfId="7805"/>
    <cellStyle name="스타일 118" xfId="7806"/>
    <cellStyle name="스타일 119" xfId="7807"/>
    <cellStyle name="스타일 12" xfId="7808"/>
    <cellStyle name="스타일 120" xfId="7809"/>
    <cellStyle name="스타일 121" xfId="7810"/>
    <cellStyle name="스타일 122" xfId="7811"/>
    <cellStyle name="스타일 123" xfId="7812"/>
    <cellStyle name="스타일 124" xfId="7813"/>
    <cellStyle name="스타일 125" xfId="7814"/>
    <cellStyle name="스타일 126" xfId="7815"/>
    <cellStyle name="스타일 127" xfId="7816"/>
    <cellStyle name="스타일 128" xfId="7817"/>
    <cellStyle name="스타일 129" xfId="7818"/>
    <cellStyle name="스타일 13" xfId="7819"/>
    <cellStyle name="스타일 130" xfId="7820"/>
    <cellStyle name="스타일 131" xfId="7821"/>
    <cellStyle name="스타일 132" xfId="7822"/>
    <cellStyle name="스타일 133" xfId="7823"/>
    <cellStyle name="스타일 134" xfId="7824"/>
    <cellStyle name="스타일 135" xfId="7825"/>
    <cellStyle name="스타일 136" xfId="7826"/>
    <cellStyle name="스타일 137" xfId="7827"/>
    <cellStyle name="스타일 138" xfId="7828"/>
    <cellStyle name="스타일 139" xfId="7829"/>
    <cellStyle name="스타일 14" xfId="7830"/>
    <cellStyle name="스타일 140" xfId="7831"/>
    <cellStyle name="스타일 141" xfId="7832"/>
    <cellStyle name="스타일 142" xfId="7833"/>
    <cellStyle name="스타일 143" xfId="7834"/>
    <cellStyle name="스타일 144" xfId="7835"/>
    <cellStyle name="스타일 145" xfId="7836"/>
    <cellStyle name="스타일 146" xfId="7837"/>
    <cellStyle name="스타일 147" xfId="7838"/>
    <cellStyle name="스타일 148" xfId="7839"/>
    <cellStyle name="스타일 149" xfId="7840"/>
    <cellStyle name="스타일 15" xfId="7841"/>
    <cellStyle name="스타일 150" xfId="7842"/>
    <cellStyle name="스타일 151" xfId="7843"/>
    <cellStyle name="스타일 152" xfId="7844"/>
    <cellStyle name="스타일 153" xfId="7845"/>
    <cellStyle name="스타일 154" xfId="7846"/>
    <cellStyle name="스타일 155" xfId="7847"/>
    <cellStyle name="스타일 156" xfId="7848"/>
    <cellStyle name="스타일 157" xfId="7849"/>
    <cellStyle name="스타일 158" xfId="7850"/>
    <cellStyle name="스타일 159" xfId="7851"/>
    <cellStyle name="스타일 16" xfId="7852"/>
    <cellStyle name="스타일 160" xfId="7853"/>
    <cellStyle name="스타일 161" xfId="7854"/>
    <cellStyle name="스타일 162" xfId="7855"/>
    <cellStyle name="스타일 163" xfId="7856"/>
    <cellStyle name="스타일 164" xfId="7857"/>
    <cellStyle name="스타일 165" xfId="7858"/>
    <cellStyle name="스타일 166" xfId="7859"/>
    <cellStyle name="스타일 167" xfId="7860"/>
    <cellStyle name="스타일 168" xfId="7861"/>
    <cellStyle name="스타일 169" xfId="7862"/>
    <cellStyle name="스타일 17" xfId="7863"/>
    <cellStyle name="스타일 170" xfId="7864"/>
    <cellStyle name="스타일 171" xfId="7865"/>
    <cellStyle name="스타일 172" xfId="7866"/>
    <cellStyle name="스타일 173" xfId="7867"/>
    <cellStyle name="스타일 174" xfId="7868"/>
    <cellStyle name="스타일 175" xfId="7869"/>
    <cellStyle name="스타일 176" xfId="7870"/>
    <cellStyle name="스타일 177" xfId="7871"/>
    <cellStyle name="스타일 178" xfId="7872"/>
    <cellStyle name="스타일 179" xfId="7873"/>
    <cellStyle name="스타일 18" xfId="7874"/>
    <cellStyle name="스타일 180" xfId="7875"/>
    <cellStyle name="스타일 181" xfId="7876"/>
    <cellStyle name="스타일 182" xfId="7877"/>
    <cellStyle name="스타일 183" xfId="7878"/>
    <cellStyle name="스타일 184" xfId="7879"/>
    <cellStyle name="스타일 185" xfId="7880"/>
    <cellStyle name="스타일 186" xfId="7881"/>
    <cellStyle name="스타일 187" xfId="7882"/>
    <cellStyle name="스타일 188" xfId="7883"/>
    <cellStyle name="스타일 189" xfId="7884"/>
    <cellStyle name="스타일 19" xfId="7885"/>
    <cellStyle name="스타일 190" xfId="7886"/>
    <cellStyle name="스타일 191" xfId="7887"/>
    <cellStyle name="스타일 192" xfId="7888"/>
    <cellStyle name="스타일 193" xfId="7889"/>
    <cellStyle name="스타일 194" xfId="7890"/>
    <cellStyle name="스타일 195" xfId="7891"/>
    <cellStyle name="스타일 196" xfId="7892"/>
    <cellStyle name="스타일 197" xfId="7893"/>
    <cellStyle name="스타일 198" xfId="7894"/>
    <cellStyle name="스타일 199" xfId="7895"/>
    <cellStyle name="스타일 2" xfId="7896"/>
    <cellStyle name="스타일 20" xfId="7897"/>
    <cellStyle name="스타일 200" xfId="7898"/>
    <cellStyle name="스타일 201" xfId="7899"/>
    <cellStyle name="스타일 202" xfId="7900"/>
    <cellStyle name="스타일 203" xfId="7901"/>
    <cellStyle name="스타일 204" xfId="7902"/>
    <cellStyle name="스타일 205" xfId="7903"/>
    <cellStyle name="스타일 206" xfId="7904"/>
    <cellStyle name="스타일 207" xfId="7905"/>
    <cellStyle name="스타일 208" xfId="7906"/>
    <cellStyle name="스타일 209" xfId="7907"/>
    <cellStyle name="스타일 21" xfId="7908"/>
    <cellStyle name="스타일 210" xfId="7909"/>
    <cellStyle name="스타일 211" xfId="7910"/>
    <cellStyle name="스타일 212" xfId="7911"/>
    <cellStyle name="스타일 213" xfId="7912"/>
    <cellStyle name="스타일 214" xfId="7913"/>
    <cellStyle name="스타일 215" xfId="7914"/>
    <cellStyle name="스타일 216" xfId="7915"/>
    <cellStyle name="스타일 217" xfId="7916"/>
    <cellStyle name="스타일 218" xfId="7917"/>
    <cellStyle name="스타일 219" xfId="7918"/>
    <cellStyle name="스타일 22" xfId="7919"/>
    <cellStyle name="스타일 220" xfId="7920"/>
    <cellStyle name="스타일 221" xfId="7921"/>
    <cellStyle name="스타일 222" xfId="7922"/>
    <cellStyle name="스타일 223" xfId="7923"/>
    <cellStyle name="스타일 224" xfId="7924"/>
    <cellStyle name="스타일 225" xfId="7925"/>
    <cellStyle name="스타일 226" xfId="7926"/>
    <cellStyle name="스타일 227" xfId="7927"/>
    <cellStyle name="스타일 228" xfId="7928"/>
    <cellStyle name="스타일 229" xfId="7929"/>
    <cellStyle name="스타일 23" xfId="7930"/>
    <cellStyle name="스타일 230" xfId="7931"/>
    <cellStyle name="스타일 231" xfId="7932"/>
    <cellStyle name="스타일 232" xfId="7933"/>
    <cellStyle name="스타일 233" xfId="7934"/>
    <cellStyle name="스타일 234" xfId="7935"/>
    <cellStyle name="스타일 235" xfId="7936"/>
    <cellStyle name="스타일 236" xfId="7937"/>
    <cellStyle name="스타일 237" xfId="7938"/>
    <cellStyle name="스타일 238" xfId="7939"/>
    <cellStyle name="스타일 239" xfId="7940"/>
    <cellStyle name="스타일 24" xfId="7941"/>
    <cellStyle name="스타일 240" xfId="7942"/>
    <cellStyle name="스타일 241" xfId="7943"/>
    <cellStyle name="스타일 242" xfId="7944"/>
    <cellStyle name="스타일 243" xfId="7945"/>
    <cellStyle name="스타일 244" xfId="7946"/>
    <cellStyle name="스타일 245" xfId="7947"/>
    <cellStyle name="스타일 246" xfId="7948"/>
    <cellStyle name="스타일 247" xfId="7949"/>
    <cellStyle name="스타일 248" xfId="7950"/>
    <cellStyle name="스타일 249" xfId="7951"/>
    <cellStyle name="스타일 25" xfId="7952"/>
    <cellStyle name="스타일 250" xfId="7953"/>
    <cellStyle name="스타일 251" xfId="7954"/>
    <cellStyle name="스타일 252" xfId="7955"/>
    <cellStyle name="스타일 253" xfId="7956"/>
    <cellStyle name="스타일 254" xfId="7957"/>
    <cellStyle name="스타일 255" xfId="7958"/>
    <cellStyle name="스타일 26" xfId="7959"/>
    <cellStyle name="스타일 27" xfId="7960"/>
    <cellStyle name="스타일 28" xfId="7961"/>
    <cellStyle name="스타일 29" xfId="7962"/>
    <cellStyle name="스타일 3" xfId="7963"/>
    <cellStyle name="스타일 30" xfId="7964"/>
    <cellStyle name="스타일 31" xfId="7965"/>
    <cellStyle name="스타일 32" xfId="7966"/>
    <cellStyle name="스타일 33" xfId="7967"/>
    <cellStyle name="스타일 34" xfId="7968"/>
    <cellStyle name="스타일 35" xfId="7969"/>
    <cellStyle name="스타일 36" xfId="7970"/>
    <cellStyle name="스타일 37" xfId="7971"/>
    <cellStyle name="스타일 38" xfId="7972"/>
    <cellStyle name="스타일 39" xfId="7973"/>
    <cellStyle name="스타일 4" xfId="7974"/>
    <cellStyle name="스타일 40" xfId="7975"/>
    <cellStyle name="스타일 41" xfId="7976"/>
    <cellStyle name="스타일 42" xfId="7977"/>
    <cellStyle name="스타일 43" xfId="7978"/>
    <cellStyle name="스타일 44" xfId="7979"/>
    <cellStyle name="스타일 45" xfId="7980"/>
    <cellStyle name="스타일 46" xfId="7981"/>
    <cellStyle name="스타일 47" xfId="7982"/>
    <cellStyle name="스타일 48" xfId="7983"/>
    <cellStyle name="스타일 49" xfId="7984"/>
    <cellStyle name="스타일 5" xfId="7985"/>
    <cellStyle name="스타일 50" xfId="7986"/>
    <cellStyle name="스타일 51" xfId="7987"/>
    <cellStyle name="스타일 52" xfId="7988"/>
    <cellStyle name="스타일 53" xfId="7989"/>
    <cellStyle name="스타일 54" xfId="7990"/>
    <cellStyle name="스타일 55" xfId="7991"/>
    <cellStyle name="스타일 56" xfId="7992"/>
    <cellStyle name="스타일 57" xfId="7993"/>
    <cellStyle name="스타일 58" xfId="7994"/>
    <cellStyle name="스타일 59" xfId="7995"/>
    <cellStyle name="스타일 6" xfId="7996"/>
    <cellStyle name="스타일 60" xfId="7997"/>
    <cellStyle name="스타일 61" xfId="7998"/>
    <cellStyle name="스타일 62" xfId="7999"/>
    <cellStyle name="스타일 63" xfId="8000"/>
    <cellStyle name="스타일 64" xfId="8001"/>
    <cellStyle name="스타일 65" xfId="8002"/>
    <cellStyle name="스타일 66" xfId="8003"/>
    <cellStyle name="스타일 67" xfId="8004"/>
    <cellStyle name="스타일 68" xfId="8005"/>
    <cellStyle name="스타일 69" xfId="8006"/>
    <cellStyle name="스타일 7" xfId="8007"/>
    <cellStyle name="스타일 70" xfId="8008"/>
    <cellStyle name="스타일 71" xfId="8009"/>
    <cellStyle name="스타일 72" xfId="8010"/>
    <cellStyle name="스타일 73" xfId="8011"/>
    <cellStyle name="스타일 74" xfId="8012"/>
    <cellStyle name="스타일 75" xfId="8013"/>
    <cellStyle name="스타일 76" xfId="8014"/>
    <cellStyle name="스타일 77" xfId="8015"/>
    <cellStyle name="스타일 78" xfId="8016"/>
    <cellStyle name="스타일 79" xfId="8017"/>
    <cellStyle name="스타일 8" xfId="8018"/>
    <cellStyle name="스타일 80" xfId="8019"/>
    <cellStyle name="스타일 81" xfId="8020"/>
    <cellStyle name="스타일 82" xfId="8021"/>
    <cellStyle name="스타일 83" xfId="8022"/>
    <cellStyle name="스타일 84" xfId="8023"/>
    <cellStyle name="스타일 85" xfId="8024"/>
    <cellStyle name="스타일 86" xfId="8025"/>
    <cellStyle name="스타일 87" xfId="8026"/>
    <cellStyle name="스타일 88" xfId="8027"/>
    <cellStyle name="스타일 89" xfId="8028"/>
    <cellStyle name="스타일 9" xfId="8029"/>
    <cellStyle name="스타일 90" xfId="8030"/>
    <cellStyle name="스타일 91" xfId="8031"/>
    <cellStyle name="스타일 92" xfId="8032"/>
    <cellStyle name="스타일 93" xfId="8033"/>
    <cellStyle name="스타일 94" xfId="8034"/>
    <cellStyle name="스타일 95" xfId="8035"/>
    <cellStyle name="스타일 96" xfId="8036"/>
    <cellStyle name="스타일 97" xfId="8037"/>
    <cellStyle name="스타일 98" xfId="8038"/>
    <cellStyle name="스타일 99" xfId="8039"/>
    <cellStyle name="실선" xfId="8040"/>
    <cellStyle name="안건회계법인⁬⸵⼰⸷‰o" xfId="8041"/>
    <cellStyle name="연결된 셀 2" xfId="8042"/>
    <cellStyle name="연결된 셀 2 2" xfId="8043"/>
    <cellStyle name="연결된 셀 3" xfId="8044"/>
    <cellStyle name="연결된 셀 4" xfId="8045"/>
    <cellStyle name="열어본 하이퍼링크" xfId="8046"/>
    <cellStyle name="왼" xfId="8047"/>
    <cellStyle name="왼쪽2" xfId="8048"/>
    <cellStyle name="왼쪽2 2" xfId="8049"/>
    <cellStyle name="왼쪽2 2 2" xfId="8050"/>
    <cellStyle name="왼쪽2 3" xfId="8051"/>
    <cellStyle name="왼쪽2 3 2" xfId="8052"/>
    <cellStyle name="왼쪽2 4" xfId="8053"/>
    <cellStyle name="왼쪽2 4 2" xfId="8054"/>
    <cellStyle name="왼쪽2 5" xfId="8055"/>
    <cellStyle name="왼쪽5" xfId="8056"/>
    <cellStyle name="요약 2" xfId="8057"/>
    <cellStyle name="요약 2 2" xfId="8058"/>
    <cellStyle name="요약 2 2 2" xfId="8059"/>
    <cellStyle name="요약 2 2 2 2" xfId="8060"/>
    <cellStyle name="요약 2 2 3" xfId="8061"/>
    <cellStyle name="요약 2 2 3 2" xfId="8062"/>
    <cellStyle name="요약 2 2 4" xfId="8063"/>
    <cellStyle name="요약 2 2 4 2" xfId="8064"/>
    <cellStyle name="요약 2 2 5" xfId="8065"/>
    <cellStyle name="요약 2 3" xfId="8066"/>
    <cellStyle name="요약 2 3 2" xfId="8067"/>
    <cellStyle name="요약 2 3 3" xfId="8068"/>
    <cellStyle name="요약 2 4" xfId="8069"/>
    <cellStyle name="요약 2 4 2" xfId="8070"/>
    <cellStyle name="요약 2 5" xfId="8071"/>
    <cellStyle name="요약 2 5 2" xfId="8072"/>
    <cellStyle name="요약 2 6" xfId="8073"/>
    <cellStyle name="요약 3" xfId="8074"/>
    <cellStyle name="요약 3 2" xfId="8075"/>
    <cellStyle name="요약 3 2 2" xfId="8076"/>
    <cellStyle name="요약 3 3" xfId="8077"/>
    <cellStyle name="요약 3 3 2" xfId="8078"/>
    <cellStyle name="요약 3 4" xfId="8079"/>
    <cellStyle name="요약 3 4 2" xfId="8080"/>
    <cellStyle name="요약 3 5" xfId="8081"/>
    <cellStyle name="요약 4" xfId="8082"/>
    <cellStyle name="요약 4 2" xfId="8083"/>
    <cellStyle name="요약 4 2 2" xfId="8084"/>
    <cellStyle name="요약 4 3" xfId="8085"/>
    <cellStyle name="요약 4 3 2" xfId="8086"/>
    <cellStyle name="요약 4 4" xfId="8087"/>
    <cellStyle name="요약 4 4 2" xfId="8088"/>
    <cellStyle name="요약 4 5" xfId="8089"/>
    <cellStyle name="우괄호_박심배수구조물공" xfId="8090"/>
    <cellStyle name="우측양괄호" xfId="8091"/>
    <cellStyle name="원_0008금감원통합감독검사정보시스템" xfId="8092"/>
    <cellStyle name="원_0009김포공항LED교체공사(광일)" xfId="8093"/>
    <cellStyle name="원_0011KIST소각설비제작설치" xfId="8094"/>
    <cellStyle name="원_0011긴급전화기정산(99년형광일)" xfId="8095"/>
    <cellStyle name="원_0011부산종합경기장전광판" xfId="8096"/>
    <cellStyle name="원_0012문화유적지표석제작설치" xfId="8097"/>
    <cellStyle name="원_0102국제조명신공항분수조명" xfId="8098"/>
    <cellStyle name="원_0103회전식현수막게시대제작설치" xfId="8099"/>
    <cellStyle name="원_0104포항시침출수처리시스템" xfId="8100"/>
    <cellStyle name="원_0105담배자판기개조원가" xfId="8101"/>
    <cellStyle name="원_0106LG인버터냉난방기제작-1" xfId="8102"/>
    <cellStyle name="원_0107광전송장비구매설치" xfId="8103"/>
    <cellStyle name="원_0107도공IBS설비SW부문(참조)" xfId="8104"/>
    <cellStyle name="원_0107문화재복원용목재-8월6일" xfId="8105"/>
    <cellStyle name="원_0107포천영중수배전반(제조,설치)" xfId="8106"/>
    <cellStyle name="원_0108농기반미곡건조기제작설치" xfId="8107"/>
    <cellStyle name="원_0108담배인삼공사영업춘추복" xfId="8108"/>
    <cellStyle name="원_0108한국전기교통-LED교통신호등((원본))" xfId="8109"/>
    <cellStyle name="원_0111해양수산부등명기제작" xfId="8110"/>
    <cellStyle name="원_0111핸디소프트-전자표준문서시스템" xfId="8111"/>
    <cellStyle name="원_0112금감원사무자동화시스템" xfId="8112"/>
    <cellStyle name="원_0112수도권매립지SW원가" xfId="8113"/>
    <cellStyle name="원_0112중고원-HRD종합정보망구축(完)" xfId="8114"/>
    <cellStyle name="원_02 김제1-1공구(설계가1203입수)" xfId="8115"/>
    <cellStyle name="원_0201종합예술회관의자제작설치-1" xfId="8116"/>
    <cellStyle name="원_0202마사회근무복" xfId="8117"/>
    <cellStyle name="원_0202부경교재-승강칠판" xfId="8118"/>
    <cellStyle name="원_0204한국석묘납골함-1규격" xfId="8119"/>
    <cellStyle name="원_0206금감원금융정보교환망재구축" xfId="8120"/>
    <cellStyle name="원_0206정통부수납장표기기제작설치" xfId="8121"/>
    <cellStyle name="원_0207담배인삼공사-담요" xfId="8122"/>
    <cellStyle name="원_0208레비텍-다층여과기설계변경" xfId="8123"/>
    <cellStyle name="원_0209이산화염소발생기-설치(50K)" xfId="8124"/>
    <cellStyle name="원_0210현대정보기술-TD이중계" xfId="8125"/>
    <cellStyle name="원_0211조달청-#1대북지원사업정산(1월7일)" xfId="8126"/>
    <cellStyle name="원_0212금감원-법규정보시스템(完)" xfId="8127"/>
    <cellStyle name="원_0301교통방송-CCTV유지보수" xfId="8128"/>
    <cellStyle name="원_0302인천경찰청-무인단속기위탁관리" xfId="8129"/>
    <cellStyle name="원_0302조달청-대북지원2차(안성연)" xfId="8130"/>
    <cellStyle name="원_0302조달청-대북지원2차(최수현)" xfId="8131"/>
    <cellStyle name="원_0302표준문서-쌍용정보통신(신)" xfId="8132"/>
    <cellStyle name="원_0304소프트파워-정부표준전자문서시스템" xfId="8133"/>
    <cellStyle name="원_0304소프트파워-정부표준전자문서시스템(完)" xfId="8134"/>
    <cellStyle name="원_0304철도청-주변환장치-1" xfId="8135"/>
    <cellStyle name="원_0305금감원-금융통계정보시스템구축(完)" xfId="8136"/>
    <cellStyle name="원_0305제낭조합-면범포지" xfId="8137"/>
    <cellStyle name="원_0306제낭공업협동조합-면범포지원단(경비까지)" xfId="8138"/>
    <cellStyle name="원_0307경찰청-무인교통단속표준SW개발용역(完)" xfId="8139"/>
    <cellStyle name="원_0308조달청-#8대북지원사업정산" xfId="8140"/>
    <cellStyle name="원_0309두합크린텍-설치원가" xfId="8141"/>
    <cellStyle name="원_0309조달청-#9대북지원사업정산" xfId="8142"/>
    <cellStyle name="원_0310여주상수도-탈수기(유천ENG)" xfId="8143"/>
    <cellStyle name="원_0311대기해양작업시간" xfId="8144"/>
    <cellStyle name="원_0311대기해양중형등명기" xfId="8145"/>
    <cellStyle name="원_0312국민체육진흥공단-전기부문" xfId="8146"/>
    <cellStyle name="원_0312대기해양-중형등명기제작설치" xfId="8147"/>
    <cellStyle name="원_0312라이준-칼라아스콘4규격" xfId="8148"/>
    <cellStyle name="원_03기본및실시설계" xfId="8149"/>
    <cellStyle name="원_0401집진기프로그램SW개발비산정" xfId="8150"/>
    <cellStyle name="원_0404도로공사-전자지불(SW부문)" xfId="8151"/>
    <cellStyle name="원_1_알루미늄 사물함 1인용(최종)" xfId="8152"/>
    <cellStyle name="원_2.자재집계" xfId="8153"/>
    <cellStyle name="원_2001-06조달청신성-한냉지형" xfId="8154"/>
    <cellStyle name="원_2002-03경찰대학-졸업식" xfId="8155"/>
    <cellStyle name="원_2002-03경찰청-경찰표지장" xfId="8156"/>
    <cellStyle name="원_2002-03반디-가로등(열주형)" xfId="8157"/>
    <cellStyle name="원_2002-03신화전자-감지기" xfId="8158"/>
    <cellStyle name="원_2002-04강원랜드-슬러트머신" xfId="8159"/>
    <cellStyle name="원_2002-04메가컴-외주무대" xfId="8160"/>
    <cellStyle name="원_2002-04엘지애드-무대" xfId="8161"/>
    <cellStyle name="원_2002-05강원랜드-슬러트머신(넥스터)" xfId="8162"/>
    <cellStyle name="원_2002-05경기경찰청-냉온수기공사" xfId="8163"/>
    <cellStyle name="원_2002-05대통령비서실-카페트" xfId="8164"/>
    <cellStyle name="원_2002결과표" xfId="8165"/>
    <cellStyle name="원_2002결과표1" xfId="8166"/>
    <cellStyle name="원_2003-01정일사-표창5종" xfId="8167"/>
    <cellStyle name="원_99옥성양보완" xfId="8168"/>
    <cellStyle name="원_Pilot플랜트-계변경" xfId="8169"/>
    <cellStyle name="원_Pilot플랜트이전설치-변경최종" xfId="8170"/>
    <cellStyle name="원_SW(케이비)" xfId="8171"/>
    <cellStyle name="원_간지,목차,페이지,표지" xfId="8172"/>
    <cellStyle name="원_감곡 건축(양수장 관리사)보완최종" xfId="8173"/>
    <cellStyle name="원_강정내역" xfId="8174"/>
    <cellStyle name="원_경찰청-근무,기동복" xfId="8175"/>
    <cellStyle name="원_공사일반관리비양식" xfId="8176"/>
    <cellStyle name="원_기초공사" xfId="8177"/>
    <cellStyle name="원_기초처리(북창제)" xfId="8178"/>
    <cellStyle name="원_기초처리(신성제)" xfId="8179"/>
    <cellStyle name="원_기초처리(용산제)" xfId="8180"/>
    <cellStyle name="원_네인텍정보기술-회로카드(수현)" xfId="8181"/>
    <cellStyle name="원_대기해양노무비" xfId="8182"/>
    <cellStyle name="원_대북자재8월분" xfId="8183"/>
    <cellStyle name="원_대북자재8월분-1" xfId="8184"/>
    <cellStyle name="원_대정수정내역" xfId="8185"/>
    <cellStyle name="원_도로공사MM" xfId="8186"/>
    <cellStyle name="원_도로공사tcssw" xfId="8187"/>
    <cellStyle name="원_도장면적환산" xfId="8188"/>
    <cellStyle name="원_동구초등학교스텐드캐노피외제작설치" xfId="8189"/>
    <cellStyle name="원_동산용사촌수현(원본)" xfId="8190"/>
    <cellStyle name="원_매내천_측구공1_1지구포장수량산출 " xfId="8191"/>
    <cellStyle name="원_백석수지예산서" xfId="8192"/>
    <cellStyle name="원_백제군사전시1" xfId="8193"/>
    <cellStyle name="원_부대공(1공구)" xfId="8194"/>
    <cellStyle name="원_석재조합0224" xfId="8195"/>
    <cellStyle name="원_설계서" xfId="8196"/>
    <cellStyle name="원_수양지구(원가계산서)" xfId="8197"/>
    <cellStyle name="원_수양지구(총괄표)" xfId="8198"/>
    <cellStyle name="원_수초제거기(대양기계)" xfId="8199"/>
    <cellStyle name="원_시설용역" xfId="8200"/>
    <cellStyle name="원_오리엔탈" xfId="8201"/>
    <cellStyle name="원_원본 - 한국전기교통-개선형신호등 4종" xfId="8202"/>
    <cellStyle name="원_인흥공사비(수지예산서)" xfId="8203"/>
    <cellStyle name="원_점리내역" xfId="8204"/>
    <cellStyle name="원_제경비율모음" xfId="8205"/>
    <cellStyle name="원_제조원가" xfId="8206"/>
    <cellStyle name="원_조달청-B판사천강교제작(최종본)" xfId="8207"/>
    <cellStyle name="원_조달청-대북지원3차(최수현)" xfId="8208"/>
    <cellStyle name="원_조달청-대북지원4차(최수현)" xfId="8209"/>
    <cellStyle name="원_조달청-대북지원5차(최수현)" xfId="8210"/>
    <cellStyle name="원_조달청-대북지원6차(번호)" xfId="8211"/>
    <cellStyle name="원_조달청-대북지원6차(최수현)" xfId="8212"/>
    <cellStyle name="원_조달청-대북지원7차(최수현)" xfId="8213"/>
    <cellStyle name="원_조달청-대북지원8차(최수현)" xfId="8214"/>
    <cellStyle name="원_조달청-대북지원9차(최수현)" xfId="8215"/>
    <cellStyle name="원_중앙선관위(투표,개표)" xfId="8216"/>
    <cellStyle name="원_중앙선관위(투표,개표)-사본" xfId="8217"/>
    <cellStyle name="원_지부송부-포동내역-1" xfId="8218"/>
    <cellStyle name="원_창봉지급자재단가" xfId="8219"/>
    <cellStyle name="원_철공가공조립" xfId="8220"/>
    <cellStyle name="원_최종-한국전기교통-개선형신호등 4종(공수조정)" xfId="8221"/>
    <cellStyle name="원_칠원대산입찰내역서" xfId="8222"/>
    <cellStyle name="원_코솔라-제조원가" xfId="8223"/>
    <cellStyle name="원_탄천보도교 정비 및 개선공사 제작,설치(수정)1216" xfId="8224"/>
    <cellStyle name="원_토지공사-간접비" xfId="8225"/>
    <cellStyle name="원_포천 시가화예정용지 제1종지구단위계획(총괄내역서)-보정" xfId="8226"/>
    <cellStyle name="원_한국도로공사" xfId="8227"/>
    <cellStyle name="원_한양프레임도로명판외91종(제작설치원가)" xfId="8228"/>
    <cellStyle name="원_한전내역서-최종" xfId="8229"/>
    <cellStyle name="원_해양종합휴양지조성사업9.13" xfId="8230"/>
    <cellStyle name="유1" xfId="8231"/>
    <cellStyle name="유영" xfId="8232"/>
    <cellStyle name="을지" xfId="8233"/>
    <cellStyle name="을지 2" xfId="8234"/>
    <cellStyle name="을지 2 2" xfId="8235"/>
    <cellStyle name="을지 3" xfId="8236"/>
    <cellStyle name="을지 3 2" xfId="8237"/>
    <cellStyle name="을지 4" xfId="8238"/>
    <cellStyle name="을지 4 2" xfId="8239"/>
    <cellStyle name="을지 5" xfId="8240"/>
    <cellStyle name="일반" xfId="8241"/>
    <cellStyle name="一般_FY04 Taiwan Enterprise Sales Forecast - 0304" xfId="8242"/>
    <cellStyle name="일위대가" xfId="8243"/>
    <cellStyle name="일정_K200창정비 (2)" xfId="8244"/>
    <cellStyle name="입력 2" xfId="8245"/>
    <cellStyle name="입력 2 2" xfId="8246"/>
    <cellStyle name="입력 2 2 2" xfId="8247"/>
    <cellStyle name="입력 2 2 3" xfId="8248"/>
    <cellStyle name="입력 2 3" xfId="8249"/>
    <cellStyle name="입력 2 3 2" xfId="8250"/>
    <cellStyle name="입력 2 4" xfId="8251"/>
    <cellStyle name="입력 2 4 2" xfId="8252"/>
    <cellStyle name="입력 2 5" xfId="8253"/>
    <cellStyle name="입력 3" xfId="8254"/>
    <cellStyle name="입력 3 2" xfId="8255"/>
    <cellStyle name="입력 3 2 2" xfId="8256"/>
    <cellStyle name="입력 3 3" xfId="8257"/>
    <cellStyle name="입력 3 3 2" xfId="8258"/>
    <cellStyle name="입력 3 4" xfId="8259"/>
    <cellStyle name="입력 3 4 2" xfId="8260"/>
    <cellStyle name="입력 3 5" xfId="8261"/>
    <cellStyle name="입력 4" xfId="8262"/>
    <cellStyle name="입력 4 2" xfId="8263"/>
    <cellStyle name="입력 4 2 2" xfId="8264"/>
    <cellStyle name="입력 4 3" xfId="8265"/>
    <cellStyle name="입력 4 3 2" xfId="8266"/>
    <cellStyle name="입력 4 4" xfId="8267"/>
    <cellStyle name="입력 4 4 2" xfId="8268"/>
    <cellStyle name="입력 4 5" xfId="8269"/>
    <cellStyle name="자리수_00 개경포친수공간-03(조성계획)" xfId="8270"/>
    <cellStyle name="帳票" xfId="8271"/>
    <cellStyle name="점선" xfId="8272"/>
    <cellStyle name="정렬" xfId="8273"/>
    <cellStyle name="정렬범위" xfId="8274"/>
    <cellStyle name="정비" xfId="8275"/>
    <cellStyle name="제곱" xfId="8276"/>
    <cellStyle name="제목 1 2" xfId="8277"/>
    <cellStyle name="제목 1 2 2" xfId="8278"/>
    <cellStyle name="제목 1 2 3" xfId="8279"/>
    <cellStyle name="제목 1 3" xfId="8280"/>
    <cellStyle name="제목 1 4" xfId="8281"/>
    <cellStyle name="제목 2 2" xfId="8282"/>
    <cellStyle name="제목 2 2 2" xfId="8283"/>
    <cellStyle name="제목 2 2 3" xfId="8284"/>
    <cellStyle name="제목 2 3" xfId="8285"/>
    <cellStyle name="제목 2 4" xfId="8286"/>
    <cellStyle name="제목 3 2" xfId="8287"/>
    <cellStyle name="제목 3 2 2" xfId="8288"/>
    <cellStyle name="제목 3 2 3" xfId="8289"/>
    <cellStyle name="제목 3 2 4" xfId="8290"/>
    <cellStyle name="제목 3 3" xfId="8291"/>
    <cellStyle name="제목 3 4" xfId="8292"/>
    <cellStyle name="제목 4 2" xfId="8293"/>
    <cellStyle name="제목 4 2 2" xfId="8294"/>
    <cellStyle name="제목 4 2 3" xfId="8295"/>
    <cellStyle name="제목 4 3" xfId="8296"/>
    <cellStyle name="제목 4 4" xfId="8297"/>
    <cellStyle name="제목 5" xfId="8298"/>
    <cellStyle name="제목 5 2" xfId="8299"/>
    <cellStyle name="제목 5 3" xfId="8300"/>
    <cellStyle name="제목 6" xfId="8301"/>
    <cellStyle name="제목 6 2" xfId="8302"/>
    <cellStyle name="제목 7" xfId="8303"/>
    <cellStyle name="제목[1 줄]" xfId="8304"/>
    <cellStyle name="제목[1 줄] 2" xfId="8305"/>
    <cellStyle name="제목[1 줄] 2 2" xfId="8306"/>
    <cellStyle name="제목[1 줄] 3" xfId="8307"/>
    <cellStyle name="제목[1 줄] 3 2" xfId="8308"/>
    <cellStyle name="제목[1 줄] 4" xfId="8309"/>
    <cellStyle name="제목[1 줄] 4 2" xfId="8310"/>
    <cellStyle name="제목[1 줄] 5" xfId="8311"/>
    <cellStyle name="제목[2줄 아래]" xfId="8312"/>
    <cellStyle name="제목[2줄 위]" xfId="8313"/>
    <cellStyle name="제목[2줄 위] 2" xfId="8314"/>
    <cellStyle name="제목[2줄 위] 2 2" xfId="8315"/>
    <cellStyle name="제목[2줄 위] 3" xfId="8316"/>
    <cellStyle name="제목[2줄 위] 3 2" xfId="8317"/>
    <cellStyle name="제목[2줄 위] 4" xfId="8318"/>
    <cellStyle name="제목[2줄 위] 4 2" xfId="8319"/>
    <cellStyle name="제목[2줄 위] 5" xfId="8320"/>
    <cellStyle name="제목1" xfId="8321"/>
    <cellStyle name="제목2" xfId="8322"/>
    <cellStyle name="좋음 2" xfId="8323"/>
    <cellStyle name="좋음 2 2" xfId="8324"/>
    <cellStyle name="좋음 3" xfId="8325"/>
    <cellStyle name="좋음 4" xfId="8326"/>
    <cellStyle name="좌괄호_박심배수구조물공" xfId="8327"/>
    <cellStyle name="좌측양괄호" xfId="8328"/>
    <cellStyle name="지정되지 않음" xfId="8329"/>
    <cellStyle name="지하철정렬" xfId="8330"/>
    <cellStyle name="출력 2" xfId="8331"/>
    <cellStyle name="출력 2 2" xfId="8332"/>
    <cellStyle name="출력 2 2 2" xfId="8333"/>
    <cellStyle name="출력 2 2 2 2" xfId="8334"/>
    <cellStyle name="출력 2 2 3" xfId="8335"/>
    <cellStyle name="출력 2 2 3 2" xfId="8336"/>
    <cellStyle name="출력 2 2 4" xfId="8337"/>
    <cellStyle name="출력 2 2 4 2" xfId="8338"/>
    <cellStyle name="출력 2 2 5" xfId="8339"/>
    <cellStyle name="출력 2 3" xfId="8340"/>
    <cellStyle name="출력 2 3 2" xfId="8341"/>
    <cellStyle name="출력 2 3 3" xfId="8342"/>
    <cellStyle name="출력 2 4" xfId="8343"/>
    <cellStyle name="출력 2 4 2" xfId="8344"/>
    <cellStyle name="출력 2 5" xfId="8345"/>
    <cellStyle name="출력 2 5 2" xfId="8346"/>
    <cellStyle name="출력 2 6" xfId="8347"/>
    <cellStyle name="출력 3" xfId="8348"/>
    <cellStyle name="출력 3 2" xfId="8349"/>
    <cellStyle name="출력 3 2 2" xfId="8350"/>
    <cellStyle name="출력 3 2 3" xfId="8351"/>
    <cellStyle name="출력 3 3" xfId="8352"/>
    <cellStyle name="출력 4" xfId="8353"/>
    <cellStyle name="출력 4 2" xfId="8354"/>
    <cellStyle name="출력 4 2 2" xfId="8355"/>
    <cellStyle name="출력 4 3" xfId="8356"/>
    <cellStyle name="출력 4 3 2" xfId="8357"/>
    <cellStyle name="출력 4 4" xfId="8358"/>
    <cellStyle name="출력 4 4 2" xfId="8359"/>
    <cellStyle name="출력 4 5" xfId="8360"/>
    <cellStyle name="측점" xfId="8361"/>
    <cellStyle name="콤" xfId="8362"/>
    <cellStyle name="콤_01-내역산출서(새재지구)" xfId="8363"/>
    <cellStyle name="콤_03기본및실시설계" xfId="8364"/>
    <cellStyle name="콤_05.교통성검토" xfId="8365"/>
    <cellStyle name="콤_14. 기본 및 실시설계(건축)" xfId="8366"/>
    <cellStyle name="콤_3. 신광R~숭의R(배수공)" xfId="8367"/>
    <cellStyle name="콤_3. 신광R~숭의R(배수공)_노임단가(소프트웨어)" xfId="8368"/>
    <cellStyle name="콤_3차1회-당초제출" xfId="8369"/>
    <cellStyle name="콤_3차1회-당초제출_내지농로(변경)" xfId="8370"/>
    <cellStyle name="콤_3차1회-당초제출_내지농로(변경)_돈지수량산출" xfId="8371"/>
    <cellStyle name="콤_3차1회-당초제출_능양수량산출" xfId="8372"/>
    <cellStyle name="콤_3차1회-당초제출_능양수량산출_돈지수량산출" xfId="8373"/>
    <cellStyle name="콤_3차1회-당초제출_돈지안길" xfId="8374"/>
    <cellStyle name="콤_3차1회-당초제출_돈지안길_배수로" xfId="8375"/>
    <cellStyle name="콤_3차1회-당초제출_돈지안길1000" xfId="8376"/>
    <cellStyle name="콤_3차1회-당초제출_돈지안길1000_배수로" xfId="8377"/>
    <cellStyle name="콤_3차1회-당초제출_배수로" xfId="8378"/>
    <cellStyle name="콤_3차1회-당초제출_배수로_배수로" xfId="8379"/>
    <cellStyle name="콤_3차공사 설계내역서(100억)" xfId="8380"/>
    <cellStyle name="콤_3차공사 설계내역서(100억)_내지농로(변경)" xfId="8381"/>
    <cellStyle name="콤_3차공사 설계내역서(100억)_내지농로(변경)_돈지수량산출" xfId="8382"/>
    <cellStyle name="콤_3차공사 설계내역서(100억)_능양수량산출" xfId="8383"/>
    <cellStyle name="콤_3차공사 설계내역서(100억)_능양수량산출_돈지수량산출" xfId="8384"/>
    <cellStyle name="콤_3차공사 설계내역서(100억)_돈지안길" xfId="8385"/>
    <cellStyle name="콤_3차공사 설계내역서(100억)_돈지안길_배수로" xfId="8386"/>
    <cellStyle name="콤_3차공사 설계내역서(100억)_돈지안길1000" xfId="8387"/>
    <cellStyle name="콤_3차공사 설계내역서(100억)_돈지안길1000_배수로" xfId="8388"/>
    <cellStyle name="콤_3차공사 설계내역서(100억)_배수로" xfId="8389"/>
    <cellStyle name="콤_3차공사 설계내역서(100억)_배수로_배수로" xfId="8390"/>
    <cellStyle name="콤_3차공사-1회" xfId="8391"/>
    <cellStyle name="콤_3차공사-1회_내지농로(변경)" xfId="8392"/>
    <cellStyle name="콤_3차공사-1회_내지농로(변경)_돈지수량산출" xfId="8393"/>
    <cellStyle name="콤_3차공사-1회_능양수량산출" xfId="8394"/>
    <cellStyle name="콤_3차공사-1회_능양수량산출_돈지수량산출" xfId="8395"/>
    <cellStyle name="콤_3차공사-1회_돈지안길" xfId="8396"/>
    <cellStyle name="콤_3차공사-1회_돈지안길_배수로" xfId="8397"/>
    <cellStyle name="콤_3차공사-1회_돈지안길1000" xfId="8398"/>
    <cellStyle name="콤_3차공사-1회_돈지안길1000_배수로" xfId="8399"/>
    <cellStyle name="콤_3차공사-1회_배수로" xfId="8400"/>
    <cellStyle name="콤_3차공사-1회_배수로_배수로" xfId="8401"/>
    <cellStyle name="콤_가야의 땅(실시설계)" xfId="8402"/>
    <cellStyle name="콤_가야의땅(환경 및 재해)" xfId="8403"/>
    <cellStyle name="콤_공유수면매립도시관리계획및실시설계용역" xfId="8404"/>
    <cellStyle name="콤_공유수면매립도시관리계획및실시설계용역_도시개발기본계획설계서(478,527)" xfId="8405"/>
    <cellStyle name="콤_공유수면매립도시관리계획및실시설계용역_은산2농공단지내역서(070910)" xfId="8406"/>
    <cellStyle name="콤_관창일반산업단지확대조성사업 개발계획내역서1(07.10)" xfId="8407"/>
    <cellStyle name="콤_교통검토서" xfId="8408"/>
    <cellStyle name="콤_기성청구내역(3차-1회)" xfId="8409"/>
    <cellStyle name="콤_기성청구내역(3차-1회)_내지농로(변경)" xfId="8410"/>
    <cellStyle name="콤_기성청구내역(3차-1회)_내지농로(변경)_돈지수량산출" xfId="8411"/>
    <cellStyle name="콤_기성청구내역(3차-1회)_능양수량산출" xfId="8412"/>
    <cellStyle name="콤_기성청구내역(3차-1회)_능양수량산출_돈지수량산출" xfId="8413"/>
    <cellStyle name="콤_기성청구내역(3차-1회)_돈지안길" xfId="8414"/>
    <cellStyle name="콤_기성청구내역(3차-1회)_돈지안길_배수로" xfId="8415"/>
    <cellStyle name="콤_기성청구내역(3차-1회)_돈지안길1000" xfId="8416"/>
    <cellStyle name="콤_기성청구내역(3차-1회)_돈지안길1000_배수로" xfId="8417"/>
    <cellStyle name="콤_기성청구내역(3차-1회)_배수로" xfId="8418"/>
    <cellStyle name="콤_기성청구내역(3차-1회)_배수로_배수로" xfId="8419"/>
    <cellStyle name="콤_기성청구내역(3차공사)" xfId="8420"/>
    <cellStyle name="콤_기성청구내역(3차공사)_내지농로(변경)" xfId="8421"/>
    <cellStyle name="콤_기성청구내역(3차공사)_내지농로(변경)_돈지수량산출" xfId="8422"/>
    <cellStyle name="콤_기성청구내역(3차공사)_능양수량산출" xfId="8423"/>
    <cellStyle name="콤_기성청구내역(3차공사)_능양수량산출_돈지수량산출" xfId="8424"/>
    <cellStyle name="콤_기성청구내역(3차공사)_돈지안길" xfId="8425"/>
    <cellStyle name="콤_기성청구내역(3차공사)_돈지안길_배수로" xfId="8426"/>
    <cellStyle name="콤_기성청구내역(3차공사)_돈지안길1000" xfId="8427"/>
    <cellStyle name="콤_기성청구내역(3차공사)_돈지안길1000_배수로" xfId="8428"/>
    <cellStyle name="콤_기성청구내역(3차공사)_배수로" xfId="8429"/>
    <cellStyle name="콤_기성청구내역(3차공사)_배수로_배수로" xfId="8430"/>
    <cellStyle name="콤_깨기" xfId="8431"/>
    <cellStyle name="콤_깨기_노임단가(소프트웨어)" xfId="8432"/>
    <cellStyle name="콤_깨기_신광R~숭의R(폐기물)" xfId="8433"/>
    <cellStyle name="콤_깨기_신광R~숭의R(폐기물)_노임단가(소프트웨어)" xfId="8434"/>
    <cellStyle name="콤_내지농로(변경)" xfId="8435"/>
    <cellStyle name="콤_내지농로(변경)_돈지수량산출" xfId="8436"/>
    <cellStyle name="콤_노임단가(소프트웨어)" xfId="8437"/>
    <cellStyle name="콤_노임단가(소프트웨어)_안성도시관리계획내역서(20100201)" xfId="8438"/>
    <cellStyle name="콤_노임단가(소프트웨어)_안성도시관리계획내역서-작업용" xfId="8439"/>
    <cellStyle name="콤_농촌테마공원_기본계획수립(09.2.24최종검토후)" xfId="8440"/>
    <cellStyle name="콤_능양수량산출" xfId="8441"/>
    <cellStyle name="콤_능양수량산출_돈지수량산출" xfId="8442"/>
    <cellStyle name="콤_도시개발기본계획설계서(478,527)" xfId="8443"/>
    <cellStyle name="콤_돈지안길" xfId="8444"/>
    <cellStyle name="콤_돈지안길_배수로" xfId="8445"/>
    <cellStyle name="콤_돈지안길1000" xfId="8446"/>
    <cellStyle name="콤_돈지안길1000_배수로" xfId="8447"/>
    <cellStyle name="콤_로하스변경내역서-5(06.6.7)" xfId="8448"/>
    <cellStyle name="콤_로하스변경내역서-5(06.6.7)_농촌테마공원_기본계획수립(09.2.24최종검토후)" xfId="8449"/>
    <cellStyle name="콤_로하스변경내역서-5(06.6.7)_로하스변경내역서-6(06(1).6.27 당초변경)" xfId="8450"/>
    <cellStyle name="콤_로하스변경내역서-5(06.6.7)_로하스변경내역서-6(06(1).6.27 당초변경)_농촌테마공원_기본계획수립(09.2.24최종검토후)" xfId="8451"/>
    <cellStyle name="콤_로하스변경내역서-5(06.6.7)_로하스변경내역서-6(06(1).6.27 당초변경)_체육관공원 용역 설계내역서(도급)" xfId="8452"/>
    <cellStyle name="콤_로하스변경내역서-5(06.6.7)_체육관공원 용역 설계내역서(도급)" xfId="8453"/>
    <cellStyle name="콤_로하스변경내역서-6(06.6.21)" xfId="8454"/>
    <cellStyle name="콤_로하스변경내역서-6(06.6.21)_농촌테마공원_기본계획수립(09.2.24최종검토후)" xfId="8455"/>
    <cellStyle name="콤_로하스변경내역서-6(06.6.21)_로하스변경내역서-6(06(1).6.27 당초변경)" xfId="8456"/>
    <cellStyle name="콤_로하스변경내역서-6(06.6.21)_로하스변경내역서-6(06(1).6.27 당초변경)_농촌테마공원_기본계획수립(09.2.24최종검토후)" xfId="8457"/>
    <cellStyle name="콤_로하스변경내역서-6(06.6.21)_로하스변경내역서-6(06(1).6.27 당초변경)_체육관공원 용역 설계내역서(도급)" xfId="8458"/>
    <cellStyle name="콤_로하스변경내역서-6(06.6.21)_체육관공원 용역 설계내역서(도급)" xfId="8459"/>
    <cellStyle name="콤_문경내역(1127)" xfId="8460"/>
    <cellStyle name="콤_문경내역(1127)_노임단가(소프트웨어)" xfId="8461"/>
    <cellStyle name="콤_문경내역(1127)_노임단가(소프트웨어)_안성도시관리계획내역서(20100201)" xfId="8462"/>
    <cellStyle name="콤_문경내역(1127)_노임단가(소프트웨어)_안성도시관리계획내역서-작업용" xfId="8463"/>
    <cellStyle name="콤_문경내역(1127)_농촌테마공원_기본계획수립(09.2.24최종검토후)" xfId="8464"/>
    <cellStyle name="콤_문경내역(1127)_체육관공원 용역 설계내역서(도급)" xfId="8465"/>
    <cellStyle name="콤_배수공" xfId="8466"/>
    <cellStyle name="콤_배수공_노임단가(소프트웨어)" xfId="8467"/>
    <cellStyle name="콤_배수로" xfId="8468"/>
    <cellStyle name="콤_배수로_배수로" xfId="8469"/>
    <cellStyle name="콤_백학세천1" xfId="8470"/>
    <cellStyle name="콤_백학세천1_내지농로(변경)" xfId="8471"/>
    <cellStyle name="콤_백학세천1_돈지수량산출" xfId="8472"/>
    <cellStyle name="콤_부대공" xfId="8473"/>
    <cellStyle name="콤_부대공사" xfId="8474"/>
    <cellStyle name="콤_부대공사단위수량" xfId="8475"/>
    <cellStyle name="콤_솔빛마을연결도로(최종)" xfId="8476"/>
    <cellStyle name="콤_솔빛마을연결도로(최종)_노임단가(소프트웨어)" xfId="8477"/>
    <cellStyle name="콤_수량산출서(수정)" xfId="8478"/>
    <cellStyle name="콤_수량산출서(수정)_3. 신광R~숭의R(배수공)" xfId="8479"/>
    <cellStyle name="콤_수량산출서(수정)_3. 신광R~숭의R(배수공)_노임단가(소프트웨어)" xfId="8480"/>
    <cellStyle name="콤_수량산출서(수정)_깨기" xfId="8481"/>
    <cellStyle name="콤_수량산출서(수정)_깨기_노임단가(소프트웨어)" xfId="8482"/>
    <cellStyle name="콤_수량산출서(수정)_깨기_신광R~숭의R(폐기물)" xfId="8483"/>
    <cellStyle name="콤_수량산출서(수정)_깨기_신광R~숭의R(폐기물)_노임단가(소프트웨어)" xfId="8484"/>
    <cellStyle name="콤_수량산출서(수정)_노임단가(소프트웨어)" xfId="8485"/>
    <cellStyle name="콤_수량산출서(수정)_배수공" xfId="8486"/>
    <cellStyle name="콤_수량산출서(수정)_배수공_노임단가(소프트웨어)" xfId="8487"/>
    <cellStyle name="콤_수량산출서(수정)_솔빛마을연결도로(최종)" xfId="8488"/>
    <cellStyle name="콤_수량산출서(수정)_솔빛마을연결도로(최종)_노임단가(소프트웨어)" xfId="8489"/>
    <cellStyle name="콤_옹벽 수량(H=4.5m)" xfId="8490"/>
    <cellStyle name="콤_옹벽 수량(H=4.5m)_노임단가(소프트웨어)" xfId="8491"/>
    <cellStyle name="콤_울산 도시개발사업(교평)" xfId="8492"/>
    <cellStyle name="콤_울산 도시개발사업(교평)_노임단가(소프트웨어)" xfId="8493"/>
    <cellStyle name="콤_울산 도시개발사업(교평)_노임단가(소프트웨어)_안성도시관리계획내역서(20100201)" xfId="8494"/>
    <cellStyle name="콤_울산 도시개발사업(교평)_노임단가(소프트웨어)_안성도시관리계획내역서-작업용" xfId="8495"/>
    <cellStyle name="콤_은산2농공단지내역서(070910)" xfId="8496"/>
    <cellStyle name="콤_청구내역" xfId="8497"/>
    <cellStyle name="콤_청구내역_내지농로(변경)" xfId="8498"/>
    <cellStyle name="콤_청구내역_내지농로(변경)_돈지수량산출" xfId="8499"/>
    <cellStyle name="콤_청구내역_능양수량산출" xfId="8500"/>
    <cellStyle name="콤_청구내역_능양수량산출_돈지수량산출" xfId="8501"/>
    <cellStyle name="콤_청구내역_돈지안길" xfId="8502"/>
    <cellStyle name="콤_청구내역_돈지안길_배수로" xfId="8503"/>
    <cellStyle name="콤_청구내역_돈지안길1000" xfId="8504"/>
    <cellStyle name="콤_청구내역_돈지안길1000_배수로" xfId="8505"/>
    <cellStyle name="콤_청구내역_배수로" xfId="8506"/>
    <cellStyle name="콤_청구내역_배수로_배수로" xfId="8507"/>
    <cellStyle name="콤_체육관공원 용역 설계내역서(도급)" xfId="8508"/>
    <cellStyle name="콤_추가) 문화재지표조사(김해OO산업단지)" xfId="8509"/>
    <cellStyle name="콤_태풍가드레일변경" xfId="8510"/>
    <cellStyle name="콤_통영생태숲 내역서(변경)" xfId="8511"/>
    <cellStyle name="콤_통영생태숲 사전재해내역서 - 081002 " xfId="8512"/>
    <cellStyle name="콤_포천 시가화예정용지 제1종지구단위계획(총괄내역서)-보정" xfId="8513"/>
    <cellStyle name="콤_포천 시가화예정용지 제1종지구단위계획(총괄내역서)-보정_노임단가(소프트웨어)" xfId="8514"/>
    <cellStyle name="콤냡?&lt;_x000f_$??: `1_1 " xfId="8515"/>
    <cellStyle name="콤마" xfId="8516"/>
    <cellStyle name="콤마 " xfId="8517"/>
    <cellStyle name="콤마 [" xfId="8518"/>
    <cellStyle name="콤마 [#]" xfId="8519"/>
    <cellStyle name="콤마 []" xfId="8520"/>
    <cellStyle name="콤마 [_03기본및실시설계" xfId="8521"/>
    <cellStyle name="콤마 [0.00]" xfId="8522"/>
    <cellStyle name="콤마 [0.00] 2" xfId="8523"/>
    <cellStyle name="콤마 [0.00] 2 2" xfId="8524"/>
    <cellStyle name="콤마 [0.00] 3" xfId="8525"/>
    <cellStyle name="콤마 [0.00] 3 2" xfId="8526"/>
    <cellStyle name="콤마 [0.00] 4" xfId="8527"/>
    <cellStyle name="콤마 [0.00] 4 2" xfId="8528"/>
    <cellStyle name="콤마 [0.00] 5" xfId="8529"/>
    <cellStyle name="콤마 [0]" xfId="8530"/>
    <cellStyle name="콤마 [0]기기자재비" xfId="8531"/>
    <cellStyle name="콤마 [000]" xfId="8532"/>
    <cellStyle name="콤마 [1]" xfId="8533"/>
    <cellStyle name="콤마 [1] 2" xfId="8534"/>
    <cellStyle name="콤마 [1] 2 2" xfId="8535"/>
    <cellStyle name="콤마 [1] 3" xfId="8536"/>
    <cellStyle name="콤마 [1] 3 2" xfId="8537"/>
    <cellStyle name="콤마 [1] 4" xfId="8538"/>
    <cellStyle name="콤마 [1] 4 2" xfId="8539"/>
    <cellStyle name="콤마 [1] 5" xfId="8540"/>
    <cellStyle name="콤마 [3]" xfId="8541"/>
    <cellStyle name="콤마 [금액]" xfId="8542"/>
    <cellStyle name="콤마 [소수]" xfId="8543"/>
    <cellStyle name="콤마 [수량]" xfId="8544"/>
    <cellStyle name="콤마 1" xfId="8545"/>
    <cellStyle name="콤마(0)" xfId="8546"/>
    <cellStyle name="콤마[ ]" xfId="8547"/>
    <cellStyle name="콤마[*]" xfId="8548"/>
    <cellStyle name="콤마[,]" xfId="8549"/>
    <cellStyle name="콤마[,] 2" xfId="8550"/>
    <cellStyle name="콤마[,] 2 2" xfId="8551"/>
    <cellStyle name="콤마[,] 3" xfId="8552"/>
    <cellStyle name="콤마[,] 3 2" xfId="8553"/>
    <cellStyle name="콤마[,] 4" xfId="8554"/>
    <cellStyle name="콤마[,] 4 2" xfId="8555"/>
    <cellStyle name="콤마[,] 5" xfId="8556"/>
    <cellStyle name="콤마[.]" xfId="8557"/>
    <cellStyle name="콤마[0]" xfId="8558"/>
    <cellStyle name="콤마_  종  합  " xfId="8559"/>
    <cellStyle name="쾌" xfId="8560"/>
    <cellStyle name="타이틀" xfId="8561"/>
    <cellStyle name="脱浦 [0.00]_・注資・(ITYA￢°OY，)" xfId="8562"/>
    <cellStyle name="脱浦_・注資・(ITYA￢°OY，)" xfId="8563"/>
    <cellStyle name="테두리" xfId="8564"/>
    <cellStyle name="테두리 2" xfId="8565"/>
    <cellStyle name="테두리 2 2" xfId="8566"/>
    <cellStyle name="테두리 3" xfId="8567"/>
    <cellStyle name="테두리 3 2" xfId="8568"/>
    <cellStyle name="테두리 4" xfId="8569"/>
    <cellStyle name="테두리 4 2" xfId="8570"/>
    <cellStyle name="테두리 5" xfId="8571"/>
    <cellStyle name="토공" xfId="8572"/>
    <cellStyle name="통" xfId="8573"/>
    <cellStyle name="통_01-내역산출서(새재지구)" xfId="8574"/>
    <cellStyle name="통_03기본및실시설계" xfId="8575"/>
    <cellStyle name="통_05.교통성검토" xfId="8576"/>
    <cellStyle name="통_14. 기본 및 실시설계(건축)" xfId="8577"/>
    <cellStyle name="통_3. 신광R~숭의R(배수공)" xfId="8578"/>
    <cellStyle name="통_3. 신광R~숭의R(배수공)_노임단가(소프트웨어)" xfId="8579"/>
    <cellStyle name="통_3차1회-당초제출" xfId="8580"/>
    <cellStyle name="통_3차1회-당초제출_내지농로(변경)" xfId="8581"/>
    <cellStyle name="통_3차1회-당초제출_내지농로(변경)_돈지수량산출" xfId="8582"/>
    <cellStyle name="통_3차1회-당초제출_능양수량산출" xfId="8583"/>
    <cellStyle name="통_3차1회-당초제출_능양수량산출_돈지수량산출" xfId="8584"/>
    <cellStyle name="통_3차1회-당초제출_돈지안길" xfId="8585"/>
    <cellStyle name="통_3차1회-당초제출_돈지안길_배수로" xfId="8586"/>
    <cellStyle name="통_3차1회-당초제출_돈지안길1000" xfId="8587"/>
    <cellStyle name="통_3차1회-당초제출_돈지안길1000_배수로" xfId="8588"/>
    <cellStyle name="통_3차1회-당초제출_배수로" xfId="8589"/>
    <cellStyle name="통_3차1회-당초제출_배수로_배수로" xfId="8590"/>
    <cellStyle name="통_3차공사 설계내역서(100억)" xfId="8591"/>
    <cellStyle name="통_3차공사 설계내역서(100억)_내지농로(변경)" xfId="8592"/>
    <cellStyle name="통_3차공사 설계내역서(100억)_내지농로(변경)_돈지수량산출" xfId="8593"/>
    <cellStyle name="통_3차공사 설계내역서(100억)_능양수량산출" xfId="8594"/>
    <cellStyle name="통_3차공사 설계내역서(100억)_능양수량산출_돈지수량산출" xfId="8595"/>
    <cellStyle name="통_3차공사 설계내역서(100억)_돈지안길" xfId="8596"/>
    <cellStyle name="통_3차공사 설계내역서(100억)_돈지안길_배수로" xfId="8597"/>
    <cellStyle name="통_3차공사 설계내역서(100억)_돈지안길1000" xfId="8598"/>
    <cellStyle name="통_3차공사 설계내역서(100억)_돈지안길1000_배수로" xfId="8599"/>
    <cellStyle name="통_3차공사 설계내역서(100억)_배수로" xfId="8600"/>
    <cellStyle name="통_3차공사 설계내역서(100억)_배수로_배수로" xfId="8601"/>
    <cellStyle name="통_3차공사-1회" xfId="8602"/>
    <cellStyle name="통_3차공사-1회_내지농로(변경)" xfId="8603"/>
    <cellStyle name="통_3차공사-1회_내지농로(변경)_돈지수량산출" xfId="8604"/>
    <cellStyle name="통_3차공사-1회_능양수량산출" xfId="8605"/>
    <cellStyle name="통_3차공사-1회_능양수량산출_돈지수량산출" xfId="8606"/>
    <cellStyle name="통_3차공사-1회_돈지안길" xfId="8607"/>
    <cellStyle name="통_3차공사-1회_돈지안길_배수로" xfId="8608"/>
    <cellStyle name="통_3차공사-1회_돈지안길1000" xfId="8609"/>
    <cellStyle name="통_3차공사-1회_돈지안길1000_배수로" xfId="8610"/>
    <cellStyle name="통_3차공사-1회_배수로" xfId="8611"/>
    <cellStyle name="통_3차공사-1회_배수로_배수로" xfId="8612"/>
    <cellStyle name="통_가야의 땅(실시설계)" xfId="8613"/>
    <cellStyle name="통_가야의땅(환경 및 재해)" xfId="8614"/>
    <cellStyle name="통_공유수면매립도시관리계획및실시설계용역" xfId="8615"/>
    <cellStyle name="통_공유수면매립도시관리계획및실시설계용역_도시개발기본계획설계서(478,527)" xfId="8616"/>
    <cellStyle name="통_공유수면매립도시관리계획및실시설계용역_은산2농공단지내역서(070910)" xfId="8617"/>
    <cellStyle name="통_관창일반산업단지확대조성사업 개발계획내역서1(07.10)" xfId="8618"/>
    <cellStyle name="통_교통검토서" xfId="8619"/>
    <cellStyle name="통_기성청구내역(3차-1회)" xfId="8620"/>
    <cellStyle name="통_기성청구내역(3차-1회)_내지농로(변경)" xfId="8621"/>
    <cellStyle name="통_기성청구내역(3차-1회)_내지농로(변경)_돈지수량산출" xfId="8622"/>
    <cellStyle name="통_기성청구내역(3차-1회)_능양수량산출" xfId="8623"/>
    <cellStyle name="통_기성청구내역(3차-1회)_능양수량산출_돈지수량산출" xfId="8624"/>
    <cellStyle name="통_기성청구내역(3차-1회)_돈지안길" xfId="8625"/>
    <cellStyle name="통_기성청구내역(3차-1회)_돈지안길_배수로" xfId="8626"/>
    <cellStyle name="통_기성청구내역(3차-1회)_돈지안길1000" xfId="8627"/>
    <cellStyle name="통_기성청구내역(3차-1회)_돈지안길1000_배수로" xfId="8628"/>
    <cellStyle name="통_기성청구내역(3차-1회)_배수로" xfId="8629"/>
    <cellStyle name="통_기성청구내역(3차-1회)_배수로_배수로" xfId="8630"/>
    <cellStyle name="통_기성청구내역(3차공사)" xfId="8631"/>
    <cellStyle name="통_기성청구내역(3차공사)_내지농로(변경)" xfId="8632"/>
    <cellStyle name="통_기성청구내역(3차공사)_내지농로(변경)_돈지수량산출" xfId="8633"/>
    <cellStyle name="통_기성청구내역(3차공사)_능양수량산출" xfId="8634"/>
    <cellStyle name="통_기성청구내역(3차공사)_능양수량산출_돈지수량산출" xfId="8635"/>
    <cellStyle name="통_기성청구내역(3차공사)_돈지안길" xfId="8636"/>
    <cellStyle name="통_기성청구내역(3차공사)_돈지안길_배수로" xfId="8637"/>
    <cellStyle name="통_기성청구내역(3차공사)_돈지안길1000" xfId="8638"/>
    <cellStyle name="통_기성청구내역(3차공사)_돈지안길1000_배수로" xfId="8639"/>
    <cellStyle name="통_기성청구내역(3차공사)_배수로" xfId="8640"/>
    <cellStyle name="통_기성청구내역(3차공사)_배수로_배수로" xfId="8641"/>
    <cellStyle name="통_깨기" xfId="8642"/>
    <cellStyle name="통_깨기_노임단가(소프트웨어)" xfId="8643"/>
    <cellStyle name="통_깨기_신광R~숭의R(폐기물)" xfId="8644"/>
    <cellStyle name="통_깨기_신광R~숭의R(폐기물)_노임단가(소프트웨어)" xfId="8645"/>
    <cellStyle name="통_내지농로(변경)" xfId="8646"/>
    <cellStyle name="통_내지농로(변경)_돈지수량산출" xfId="8647"/>
    <cellStyle name="통_노임단가(소프트웨어)" xfId="8648"/>
    <cellStyle name="통_노임단가(소프트웨어)_안성도시관리계획내역서(20100201)" xfId="8649"/>
    <cellStyle name="통_노임단가(소프트웨어)_안성도시관리계획내역서-작업용" xfId="8650"/>
    <cellStyle name="통_농촌테마공원_기본계획수립(09.2.24최종검토후)" xfId="8651"/>
    <cellStyle name="통_능양수량산출" xfId="8652"/>
    <cellStyle name="통_능양수량산출_돈지수량산출" xfId="8653"/>
    <cellStyle name="통_도시개발기본계획설계서(478,527)" xfId="8654"/>
    <cellStyle name="통_돈지안길" xfId="8655"/>
    <cellStyle name="통_돈지안길_배수로" xfId="8656"/>
    <cellStyle name="통_돈지안길1000" xfId="8657"/>
    <cellStyle name="통_돈지안길1000_배수로" xfId="8658"/>
    <cellStyle name="통_로하스변경내역서-5(06.6.7)" xfId="8659"/>
    <cellStyle name="통_로하스변경내역서-5(06.6.7)_농촌테마공원_기본계획수립(09.2.24최종검토후)" xfId="8660"/>
    <cellStyle name="통_로하스변경내역서-5(06.6.7)_로하스변경내역서-6(06(1).6.27 당초변경)" xfId="8661"/>
    <cellStyle name="통_로하스변경내역서-5(06.6.7)_로하스변경내역서-6(06(1).6.27 당초변경)_농촌테마공원_기본계획수립(09.2.24최종검토후)" xfId="8662"/>
    <cellStyle name="통_로하스변경내역서-5(06.6.7)_로하스변경내역서-6(06(1).6.27 당초변경)_체육관공원 용역 설계내역서(도급)" xfId="8663"/>
    <cellStyle name="통_로하스변경내역서-5(06.6.7)_체육관공원 용역 설계내역서(도급)" xfId="8664"/>
    <cellStyle name="통_로하스변경내역서-6(06.6.21)" xfId="8665"/>
    <cellStyle name="통_로하스변경내역서-6(06.6.21)_농촌테마공원_기본계획수립(09.2.24최종검토후)" xfId="8666"/>
    <cellStyle name="통_로하스변경내역서-6(06.6.21)_로하스변경내역서-6(06(1).6.27 당초변경)" xfId="8667"/>
    <cellStyle name="통_로하스변경내역서-6(06.6.21)_로하스변경내역서-6(06(1).6.27 당초변경)_농촌테마공원_기본계획수립(09.2.24최종검토후)" xfId="8668"/>
    <cellStyle name="통_로하스변경내역서-6(06.6.21)_로하스변경내역서-6(06(1).6.27 당초변경)_체육관공원 용역 설계내역서(도급)" xfId="8669"/>
    <cellStyle name="통_로하스변경내역서-6(06.6.21)_체육관공원 용역 설계내역서(도급)" xfId="8670"/>
    <cellStyle name="통_문경내역(1127)" xfId="8671"/>
    <cellStyle name="통_문경내역(1127)_노임단가(소프트웨어)" xfId="8672"/>
    <cellStyle name="통_문경내역(1127)_노임단가(소프트웨어)_안성도시관리계획내역서(20100201)" xfId="8673"/>
    <cellStyle name="통_문경내역(1127)_노임단가(소프트웨어)_안성도시관리계획내역서-작업용" xfId="8674"/>
    <cellStyle name="통_문경내역(1127)_농촌테마공원_기본계획수립(09.2.24최종검토후)" xfId="8675"/>
    <cellStyle name="통_문경내역(1127)_체육관공원 용역 설계내역서(도급)" xfId="8676"/>
    <cellStyle name="통_배수공" xfId="8677"/>
    <cellStyle name="통_배수공_노임단가(소프트웨어)" xfId="8678"/>
    <cellStyle name="통_배수로" xfId="8679"/>
    <cellStyle name="통_배수로_배수로" xfId="8680"/>
    <cellStyle name="통_백학세천1" xfId="8681"/>
    <cellStyle name="통_백학세천1_내지농로(변경)" xfId="8682"/>
    <cellStyle name="통_백학세천1_돈지수량산출" xfId="8683"/>
    <cellStyle name="통_부대공" xfId="8684"/>
    <cellStyle name="통_부대공사" xfId="8685"/>
    <cellStyle name="통_부대공사단위수량" xfId="8686"/>
    <cellStyle name="통_솔빛마을연결도로(최종)" xfId="8687"/>
    <cellStyle name="통_솔빛마을연결도로(최종)_노임단가(소프트웨어)" xfId="8688"/>
    <cellStyle name="통_수량산출서(수정)" xfId="8689"/>
    <cellStyle name="통_수량산출서(수정)_3. 신광R~숭의R(배수공)" xfId="8690"/>
    <cellStyle name="통_수량산출서(수정)_3. 신광R~숭의R(배수공)_노임단가(소프트웨어)" xfId="8691"/>
    <cellStyle name="통_수량산출서(수정)_깨기" xfId="8692"/>
    <cellStyle name="통_수량산출서(수정)_깨기_노임단가(소프트웨어)" xfId="8693"/>
    <cellStyle name="통_수량산출서(수정)_깨기_신광R~숭의R(폐기물)" xfId="8694"/>
    <cellStyle name="통_수량산출서(수정)_깨기_신광R~숭의R(폐기물)_노임단가(소프트웨어)" xfId="8695"/>
    <cellStyle name="통_수량산출서(수정)_노임단가(소프트웨어)" xfId="8696"/>
    <cellStyle name="통_수량산출서(수정)_배수공" xfId="8697"/>
    <cellStyle name="통_수량산출서(수정)_배수공_노임단가(소프트웨어)" xfId="8698"/>
    <cellStyle name="통_수량산출서(수정)_솔빛마을연결도로(최종)" xfId="8699"/>
    <cellStyle name="통_수량산출서(수정)_솔빛마을연결도로(최종)_노임단가(소프트웨어)" xfId="8700"/>
    <cellStyle name="통_옹벽 수량(H=4.5m)" xfId="8701"/>
    <cellStyle name="통_옹벽 수량(H=4.5m)_노임단가(소프트웨어)" xfId="8702"/>
    <cellStyle name="통_울산 도시개발사업(교평)" xfId="8703"/>
    <cellStyle name="통_울산 도시개발사업(교평)_노임단가(소프트웨어)" xfId="8704"/>
    <cellStyle name="통_울산 도시개발사업(교평)_노임단가(소프트웨어)_안성도시관리계획내역서(20100201)" xfId="8705"/>
    <cellStyle name="통_울산 도시개발사업(교평)_노임단가(소프트웨어)_안성도시관리계획내역서-작업용" xfId="8706"/>
    <cellStyle name="통_은산2농공단지내역서(070910)" xfId="8707"/>
    <cellStyle name="통_청구내역" xfId="8708"/>
    <cellStyle name="통_청구내역_내지농로(변경)" xfId="8709"/>
    <cellStyle name="통_청구내역_내지농로(변경)_돈지수량산출" xfId="8710"/>
    <cellStyle name="통_청구내역_능양수량산출" xfId="8711"/>
    <cellStyle name="통_청구내역_능양수량산출_돈지수량산출" xfId="8712"/>
    <cellStyle name="통_청구내역_돈지안길" xfId="8713"/>
    <cellStyle name="통_청구내역_돈지안길_배수로" xfId="8714"/>
    <cellStyle name="통_청구내역_돈지안길1000" xfId="8715"/>
    <cellStyle name="통_청구내역_돈지안길1000_배수로" xfId="8716"/>
    <cellStyle name="통_청구내역_배수로" xfId="8717"/>
    <cellStyle name="통_청구내역_배수로_배수로" xfId="8718"/>
    <cellStyle name="통_체육관공원 용역 설계내역서(도급)" xfId="8719"/>
    <cellStyle name="통_추가) 문화재지표조사(김해OO산업단지)" xfId="8720"/>
    <cellStyle name="통_태풍가드레일변경" xfId="8721"/>
    <cellStyle name="통_통영생태숲 내역서(변경)" xfId="8722"/>
    <cellStyle name="통_통영생태숲 사전재해내역서 - 081002 " xfId="8723"/>
    <cellStyle name="통_포천 시가화예정용지 제1종지구단위계획(총괄내역서)-보정" xfId="8724"/>
    <cellStyle name="통_포천 시가화예정용지 제1종지구단위계획(총괄내역서)-보정_노임단가(소프트웨어)" xfId="8725"/>
    <cellStyle name="통화 [" xfId="8726"/>
    <cellStyle name="通貨 [0.00" xfId="8727"/>
    <cellStyle name="通貨 [0.00]_　配車(by matue)" xfId="8728"/>
    <cellStyle name="통화 [0] 2 2" xfId="8729"/>
    <cellStyle name="통화 [0] 2 5" xfId="8730"/>
    <cellStyle name="통화 [0] 2_북삼오평_실시설계(원가심사반영)(1)" xfId="8731"/>
    <cellStyle name="통화 [0] 27" xfId="8732"/>
    <cellStyle name="통화 [0] 3" xfId="8733"/>
    <cellStyle name="통화 [0] 4" xfId="8734"/>
    <cellStyle name="통화 [0] 5" xfId="8735"/>
    <cellStyle name="통화 [0] 6" xfId="8736"/>
    <cellStyle name="통화 [0] 7" xfId="8737"/>
    <cellStyle name="통화 [0㉝〸" xfId="8738"/>
    <cellStyle name="통화 [0ဠ_Model mix1_원가 " xfId="8739"/>
    <cellStyle name="通貨_　配車(by matue)" xfId="8740"/>
    <cellStyle name="표" xfId="8741"/>
    <cellStyle name="표(가는선,가운데,중앙)" xfId="8742"/>
    <cellStyle name="표(가는선,왼쪽,중앙)" xfId="8743"/>
    <cellStyle name="표(세로쓰기)" xfId="8744"/>
    <cellStyle name="표_01-내역산출서(새재지구)" xfId="8745"/>
    <cellStyle name="표_03기본및실시설계" xfId="8746"/>
    <cellStyle name="표_05.교통성검토" xfId="8747"/>
    <cellStyle name="표_14. 기본 및 실시설계(건축)" xfId="8748"/>
    <cellStyle name="표_3. 신광R~숭의R(배수공)" xfId="8749"/>
    <cellStyle name="표_3. 신광R~숭의R(배수공)_노임단가(소프트웨어)" xfId="8750"/>
    <cellStyle name="표_3차1회-당초제출" xfId="8751"/>
    <cellStyle name="표_3차1회-당초제출_내지농로(변경)" xfId="8752"/>
    <cellStyle name="표_3차1회-당초제출_내지농로(변경)_돈지수량산출" xfId="8753"/>
    <cellStyle name="표_3차1회-당초제출_능양수량산출" xfId="8754"/>
    <cellStyle name="표_3차1회-당초제출_능양수량산출_돈지수량산출" xfId="8755"/>
    <cellStyle name="표_3차1회-당초제출_돈지안길" xfId="8756"/>
    <cellStyle name="표_3차1회-당초제출_돈지안길_배수로" xfId="8757"/>
    <cellStyle name="표_3차1회-당초제출_돈지안길1000" xfId="8758"/>
    <cellStyle name="표_3차1회-당초제출_돈지안길1000_배수로" xfId="8759"/>
    <cellStyle name="표_3차1회-당초제출_배수로" xfId="8760"/>
    <cellStyle name="표_3차1회-당초제출_배수로_배수로" xfId="8761"/>
    <cellStyle name="표_3차공사 설계내역서(100억)" xfId="8762"/>
    <cellStyle name="표_3차공사 설계내역서(100억)_내지농로(변경)" xfId="8763"/>
    <cellStyle name="표_3차공사 설계내역서(100억)_내지농로(변경)_돈지수량산출" xfId="8764"/>
    <cellStyle name="표_3차공사 설계내역서(100억)_능양수량산출" xfId="8765"/>
    <cellStyle name="표_3차공사 설계내역서(100억)_능양수량산출_돈지수량산출" xfId="8766"/>
    <cellStyle name="표_3차공사 설계내역서(100억)_돈지안길" xfId="8767"/>
    <cellStyle name="표_3차공사 설계내역서(100억)_돈지안길_배수로" xfId="8768"/>
    <cellStyle name="표_3차공사 설계내역서(100억)_돈지안길1000" xfId="8769"/>
    <cellStyle name="표_3차공사 설계내역서(100억)_돈지안길1000_배수로" xfId="8770"/>
    <cellStyle name="표_3차공사 설계내역서(100억)_배수로" xfId="8771"/>
    <cellStyle name="표_3차공사 설계내역서(100억)_배수로_배수로" xfId="8772"/>
    <cellStyle name="표_3차공사-1회" xfId="8773"/>
    <cellStyle name="표_3차공사-1회_내지농로(변경)" xfId="8774"/>
    <cellStyle name="표_3차공사-1회_내지농로(변경)_돈지수량산출" xfId="8775"/>
    <cellStyle name="표_3차공사-1회_능양수량산출" xfId="8776"/>
    <cellStyle name="표_3차공사-1회_능양수량산출_돈지수량산출" xfId="8777"/>
    <cellStyle name="표_3차공사-1회_돈지안길" xfId="8778"/>
    <cellStyle name="표_3차공사-1회_돈지안길_배수로" xfId="8779"/>
    <cellStyle name="표_3차공사-1회_돈지안길1000" xfId="8780"/>
    <cellStyle name="표_3차공사-1회_돈지안길1000_배수로" xfId="8781"/>
    <cellStyle name="표_3차공사-1회_배수로" xfId="8782"/>
    <cellStyle name="표_3차공사-1회_배수로_배수로" xfId="8783"/>
    <cellStyle name="표_가야의 땅(실시설계)" xfId="8784"/>
    <cellStyle name="표_가야의땅(환경 및 재해)" xfId="8785"/>
    <cellStyle name="표_공유수면매립도시관리계획및실시설계용역" xfId="8786"/>
    <cellStyle name="표_공유수면매립도시관리계획및실시설계용역_도시개발기본계획설계서(478,527)" xfId="8787"/>
    <cellStyle name="표_공유수면매립도시관리계획및실시설계용역_은산2농공단지내역서(070910)" xfId="8788"/>
    <cellStyle name="표_관창일반산업단지확대조성사업 개발계획내역서1(07.10)" xfId="8789"/>
    <cellStyle name="표_교통검토서" xfId="8790"/>
    <cellStyle name="표_기성청구내역(3차-1회)" xfId="8791"/>
    <cellStyle name="표_기성청구내역(3차-1회)_내지농로(변경)" xfId="8792"/>
    <cellStyle name="표_기성청구내역(3차-1회)_내지농로(변경)_돈지수량산출" xfId="8793"/>
    <cellStyle name="표_기성청구내역(3차-1회)_능양수량산출" xfId="8794"/>
    <cellStyle name="표_기성청구내역(3차-1회)_능양수량산출_돈지수량산출" xfId="8795"/>
    <cellStyle name="표_기성청구내역(3차-1회)_돈지안길" xfId="8796"/>
    <cellStyle name="표_기성청구내역(3차-1회)_돈지안길_배수로" xfId="8797"/>
    <cellStyle name="표_기성청구내역(3차-1회)_돈지안길1000" xfId="8798"/>
    <cellStyle name="표_기성청구내역(3차-1회)_돈지안길1000_배수로" xfId="8799"/>
    <cellStyle name="표_기성청구내역(3차-1회)_배수로" xfId="8800"/>
    <cellStyle name="표_기성청구내역(3차-1회)_배수로_배수로" xfId="8801"/>
    <cellStyle name="표_기성청구내역(3차공사)" xfId="8802"/>
    <cellStyle name="표_기성청구내역(3차공사)_내지농로(변경)" xfId="8803"/>
    <cellStyle name="표_기성청구내역(3차공사)_내지농로(변경)_돈지수량산출" xfId="8804"/>
    <cellStyle name="표_기성청구내역(3차공사)_능양수량산출" xfId="8805"/>
    <cellStyle name="표_기성청구내역(3차공사)_능양수량산출_돈지수량산출" xfId="8806"/>
    <cellStyle name="표_기성청구내역(3차공사)_돈지안길" xfId="8807"/>
    <cellStyle name="표_기성청구내역(3차공사)_돈지안길_배수로" xfId="8808"/>
    <cellStyle name="표_기성청구내역(3차공사)_돈지안길1000" xfId="8809"/>
    <cellStyle name="표_기성청구내역(3차공사)_돈지안길1000_배수로" xfId="8810"/>
    <cellStyle name="표_기성청구내역(3차공사)_배수로" xfId="8811"/>
    <cellStyle name="표_기성청구내역(3차공사)_배수로_배수로" xfId="8812"/>
    <cellStyle name="표_깨기" xfId="8813"/>
    <cellStyle name="표_깨기_노임단가(소프트웨어)" xfId="8814"/>
    <cellStyle name="표_깨기_신광R~숭의R(폐기물)" xfId="8815"/>
    <cellStyle name="표_깨기_신광R~숭의R(폐기물)_노임단가(소프트웨어)" xfId="8816"/>
    <cellStyle name="표_내지농로(변경)" xfId="8817"/>
    <cellStyle name="표_내지농로(변경)_돈지수량산출" xfId="8818"/>
    <cellStyle name="표_노임단가(소프트웨어)" xfId="8819"/>
    <cellStyle name="표_농촌테마공원_기본계획수립(09.2.24최종검토후)" xfId="8820"/>
    <cellStyle name="표_능양수량산출" xfId="8821"/>
    <cellStyle name="표_능양수량산출_돈지수량산출" xfId="8822"/>
    <cellStyle name="표_도시개발기본계획설계서(478,527)" xfId="8823"/>
    <cellStyle name="표_돈지안길" xfId="8824"/>
    <cellStyle name="표_돈지안길_배수로" xfId="8825"/>
    <cellStyle name="표_돈지안길1000" xfId="8826"/>
    <cellStyle name="표_돈지안길1000_배수로" xfId="8827"/>
    <cellStyle name="표_로하스변경내역서-5(06.6.7)" xfId="8828"/>
    <cellStyle name="표_로하스변경내역서-5(06.6.7)_농촌테마공원_기본계획수립(09.2.24최종검토후)" xfId="8829"/>
    <cellStyle name="표_로하스변경내역서-5(06.6.7)_로하스변경내역서-6(06(1).6.27 당초변경)" xfId="8830"/>
    <cellStyle name="표_로하스변경내역서-5(06.6.7)_로하스변경내역서-6(06(1).6.27 당초변경)_농촌테마공원_기본계획수립(09.2.24최종검토후)" xfId="8831"/>
    <cellStyle name="표_로하스변경내역서-5(06.6.7)_로하스변경내역서-6(06(1).6.27 당초변경)_체육관공원 용역 설계내역서(도급)" xfId="8832"/>
    <cellStyle name="표_로하스변경내역서-5(06.6.7)_체육관공원 용역 설계내역서(도급)" xfId="8833"/>
    <cellStyle name="표_로하스변경내역서-6(06.6.21)" xfId="8834"/>
    <cellStyle name="표_로하스변경내역서-6(06.6.21)_농촌테마공원_기본계획수립(09.2.24최종검토후)" xfId="8835"/>
    <cellStyle name="표_로하스변경내역서-6(06.6.21)_로하스변경내역서-6(06(1).6.27 당초변경)" xfId="8836"/>
    <cellStyle name="표_로하스변경내역서-6(06.6.21)_로하스변경내역서-6(06(1).6.27 당초변경)_농촌테마공원_기본계획수립(09.2.24최종검토후)" xfId="8837"/>
    <cellStyle name="표_로하스변경내역서-6(06.6.21)_로하스변경내역서-6(06(1).6.27 당초변경)_체육관공원 용역 설계내역서(도급)" xfId="8838"/>
    <cellStyle name="표_로하스변경내역서-6(06.6.21)_체육관공원 용역 설계내역서(도급)" xfId="8839"/>
    <cellStyle name="표_문경내역(1127)" xfId="8840"/>
    <cellStyle name="표_문경내역(1127)_노임단가(소프트웨어)" xfId="8841"/>
    <cellStyle name="표_문경내역(1127)_노임단가(소프트웨어)_안성도시관리계획내역서(20100201)" xfId="8842"/>
    <cellStyle name="표_문경내역(1127)_노임단가(소프트웨어)_안성도시관리계획내역서-작업용" xfId="8843"/>
    <cellStyle name="표_문경내역(1127)_농촌테마공원_기본계획수립(09.2.24최종검토후)" xfId="8844"/>
    <cellStyle name="표_문경내역(1127)_체육관공원 용역 설계내역서(도급)" xfId="8845"/>
    <cellStyle name="표_배수공" xfId="8846"/>
    <cellStyle name="표_배수공_노임단가(소프트웨어)" xfId="8847"/>
    <cellStyle name="표_배수로" xfId="8848"/>
    <cellStyle name="표_배수로_배수로" xfId="8849"/>
    <cellStyle name="표_백학세천1" xfId="8850"/>
    <cellStyle name="표_백학세천1_내지농로(변경)" xfId="8851"/>
    <cellStyle name="표_백학세천1_돈지수량산출" xfId="8852"/>
    <cellStyle name="표_부대공" xfId="8853"/>
    <cellStyle name="표_부대공사" xfId="8854"/>
    <cellStyle name="표_부대공사단위수량" xfId="8855"/>
    <cellStyle name="표_솔빛마을연결도로(최종)" xfId="8856"/>
    <cellStyle name="표_솔빛마을연결도로(최종)_노임단가(소프트웨어)" xfId="8857"/>
    <cellStyle name="표_수량산출서(수정)" xfId="8858"/>
    <cellStyle name="표_수량산출서(수정)_3. 신광R~숭의R(배수공)" xfId="8859"/>
    <cellStyle name="표_수량산출서(수정)_3. 신광R~숭의R(배수공)_노임단가(소프트웨어)" xfId="8860"/>
    <cellStyle name="표_수량산출서(수정)_깨기" xfId="8861"/>
    <cellStyle name="표_수량산출서(수정)_깨기_노임단가(소프트웨어)" xfId="8862"/>
    <cellStyle name="표_수량산출서(수정)_깨기_신광R~숭의R(폐기물)" xfId="8863"/>
    <cellStyle name="표_수량산출서(수정)_깨기_신광R~숭의R(폐기물)_노임단가(소프트웨어)" xfId="8864"/>
    <cellStyle name="표_수량산출서(수정)_노임단가(소프트웨어)" xfId="8865"/>
    <cellStyle name="표_수량산출서(수정)_배수공" xfId="8866"/>
    <cellStyle name="표_수량산출서(수정)_배수공_노임단가(소프트웨어)" xfId="8867"/>
    <cellStyle name="표_수량산출서(수정)_솔빛마을연결도로(최종)" xfId="8868"/>
    <cellStyle name="표_수량산출서(수정)_솔빛마을연결도로(최종)_노임단가(소프트웨어)" xfId="8869"/>
    <cellStyle name="표_옹벽 수량(H=4.5m)" xfId="8870"/>
    <cellStyle name="표_옹벽 수량(H=4.5m)_노임단가(소프트웨어)" xfId="8871"/>
    <cellStyle name="표_울산 도시개발사업(교평)" xfId="8872"/>
    <cellStyle name="표_울산 도시개발사업(교평)_노임단가(소프트웨어)" xfId="8873"/>
    <cellStyle name="표_울산 도시개발사업(교평)_노임단가(소프트웨어)_안성도시관리계획내역서(20100201)" xfId="8874"/>
    <cellStyle name="표_울산 도시개발사업(교평)_노임단가(소프트웨어)_안성도시관리계획내역서-작업용" xfId="8875"/>
    <cellStyle name="표_은산2농공단지내역서(070910)" xfId="8876"/>
    <cellStyle name="표_청구내역" xfId="8877"/>
    <cellStyle name="표_청구내역_내지농로(변경)" xfId="8878"/>
    <cellStyle name="표_청구내역_내지농로(변경)_돈지수량산출" xfId="8879"/>
    <cellStyle name="표_청구내역_능양수량산출" xfId="8880"/>
    <cellStyle name="표_청구내역_능양수량산출_돈지수량산출" xfId="8881"/>
    <cellStyle name="표_청구내역_돈지안길" xfId="8882"/>
    <cellStyle name="표_청구내역_돈지안길_배수로" xfId="8883"/>
    <cellStyle name="표_청구내역_돈지안길1000" xfId="8884"/>
    <cellStyle name="표_청구내역_돈지안길1000_배수로" xfId="8885"/>
    <cellStyle name="표_청구내역_배수로" xfId="8886"/>
    <cellStyle name="표_청구내역_배수로_배수로" xfId="8887"/>
    <cellStyle name="표_체육관공원 용역 설계내역서(도급)" xfId="8888"/>
    <cellStyle name="표_추가) 문화재지표조사(김해OO산업단지)" xfId="8889"/>
    <cellStyle name="표_태풍가드레일변경" xfId="8890"/>
    <cellStyle name="표_통영생태숲 내역서(변경)" xfId="8891"/>
    <cellStyle name="표_통영생태숲 사전재해내역서 - 081002 " xfId="8892"/>
    <cellStyle name="표_포천 시가화예정용지 제1종지구단위계획(총괄내역서)-보정" xfId="8893"/>
    <cellStyle name="표_포천 시가화예정용지 제1종지구단위계획(총괄내역서)-보정_노임단가(소프트웨어)" xfId="8894"/>
    <cellStyle name="표서식" xfId="8895"/>
    <cellStyle name="표준 10" xfId="8896"/>
    <cellStyle name="표준 10 2" xfId="8897"/>
    <cellStyle name="표준 10 2 2" xfId="8898"/>
    <cellStyle name="표준 10 2 2 2" xfId="8899"/>
    <cellStyle name="표준 10 2 2 2 2" xfId="8900"/>
    <cellStyle name="표준 10 2 2 2 3" xfId="8901"/>
    <cellStyle name="표준 10 2 2 3" xfId="8902"/>
    <cellStyle name="표준 10 2 2 3 2" xfId="8903"/>
    <cellStyle name="표준 10 2 2 3 3" xfId="8904"/>
    <cellStyle name="표준 10 2 2 4" xfId="8905"/>
    <cellStyle name="표준 10 2 2 5" xfId="8906"/>
    <cellStyle name="표준 10 2 3" xfId="8907"/>
    <cellStyle name="표준 10 2 3 2" xfId="8908"/>
    <cellStyle name="표준 10 2 3 3" xfId="8909"/>
    <cellStyle name="표준 10 2 4" xfId="8910"/>
    <cellStyle name="표준 10 2 4 2" xfId="8911"/>
    <cellStyle name="표준 10 2 4 3" xfId="8912"/>
    <cellStyle name="표준 10 2 5" xfId="8913"/>
    <cellStyle name="표준 10 2 6" xfId="8914"/>
    <cellStyle name="표준 10 3" xfId="8915"/>
    <cellStyle name="표준 10 3 2" xfId="8916"/>
    <cellStyle name="표준 10 3 2 2" xfId="8917"/>
    <cellStyle name="표준 10 3 2 3" xfId="8918"/>
    <cellStyle name="표준 10 3 3" xfId="8919"/>
    <cellStyle name="표준 10 3 3 2" xfId="8920"/>
    <cellStyle name="표준 10 3 3 3" xfId="8921"/>
    <cellStyle name="표준 10 3 4" xfId="8922"/>
    <cellStyle name="표준 10 3 5" xfId="8923"/>
    <cellStyle name="표준 10 4" xfId="8924"/>
    <cellStyle name="표준 10 5" xfId="8925"/>
    <cellStyle name="표준 10 5 2" xfId="8926"/>
    <cellStyle name="표준 10 5 3" xfId="8927"/>
    <cellStyle name="표준 10 6" xfId="8928"/>
    <cellStyle name="표준 10 6 2" xfId="8929"/>
    <cellStyle name="표준 10 6 3" xfId="8930"/>
    <cellStyle name="표준 10 7" xfId="8931"/>
    <cellStyle name="표준 10 8" xfId="8932"/>
    <cellStyle name="표준 11" xfId="8933"/>
    <cellStyle name="표준 12" xfId="8934"/>
    <cellStyle name="표준 13" xfId="8935"/>
    <cellStyle name="표준 14" xfId="8936"/>
    <cellStyle name="표준 15" xfId="8937"/>
    <cellStyle name="표준 17" xfId="8938"/>
    <cellStyle name="표준 18" xfId="8939"/>
    <cellStyle name="표준 19" xfId="8940"/>
    <cellStyle name="표준 2 10" xfId="8941"/>
    <cellStyle name="표준 2 11" xfId="8942"/>
    <cellStyle name="표준 2 12" xfId="8943"/>
    <cellStyle name="표준 2 13" xfId="8944"/>
    <cellStyle name="표준 2 14" xfId="8945"/>
    <cellStyle name="표준 2 15" xfId="8946"/>
    <cellStyle name="표준 2 2" xfId="8947"/>
    <cellStyle name="표준 2 2 2" xfId="8948"/>
    <cellStyle name="표준 2 2 2 2" xfId="8949"/>
    <cellStyle name="표준 2 2 2 3" xfId="8950"/>
    <cellStyle name="표준 2 2 2 4" xfId="8951"/>
    <cellStyle name="표준 2 2 2 5" xfId="8952"/>
    <cellStyle name="표준 2 2 2 6" xfId="8953"/>
    <cellStyle name="표준 2 2 2 7" xfId="8954"/>
    <cellStyle name="표준 2 2 3" xfId="8955"/>
    <cellStyle name="표준 2 2 4" xfId="8956"/>
    <cellStyle name="표준 2 2 5" xfId="8957"/>
    <cellStyle name="표준 2 2 6" xfId="8958"/>
    <cellStyle name="표준 2 2 7" xfId="8959"/>
    <cellStyle name="표준 2 2 8" xfId="8960"/>
    <cellStyle name="표준 2 2 9" xfId="8961"/>
    <cellStyle name="표준 2 2_의령군 UPIS 유지관리 설계서_0816" xfId="8962"/>
    <cellStyle name="표준 2 3" xfId="8963"/>
    <cellStyle name="표준 2 3 2" xfId="8964"/>
    <cellStyle name="표준 2 3 2 2" xfId="8965"/>
    <cellStyle name="표준 2 3 2 3" xfId="8966"/>
    <cellStyle name="표준 2 3 3" xfId="8967"/>
    <cellStyle name="표준 2 3 4" xfId="8968"/>
    <cellStyle name="표준 2 4" xfId="8969"/>
    <cellStyle name="표준 2 4 2" xfId="8970"/>
    <cellStyle name="표준 2 5" xfId="8971"/>
    <cellStyle name="표준 2 5 2" xfId="8972"/>
    <cellStyle name="표준 2 6" xfId="8973"/>
    <cellStyle name="표준 2 7" xfId="8974"/>
    <cellStyle name="표준 2 8" xfId="8975"/>
    <cellStyle name="표준 2 9" xfId="8976"/>
    <cellStyle name="표준 2_090528_견적서_수보_FAX, VPN서버" xfId="8977"/>
    <cellStyle name="표준 3" xfId="8978"/>
    <cellStyle name="표준 3 10 5" xfId="8979"/>
    <cellStyle name="표준 3 2" xfId="8980"/>
    <cellStyle name="표준 3 2 2" xfId="8981"/>
    <cellStyle name="표준 3 2 2 2" xfId="8982"/>
    <cellStyle name="표준 3 2 2 3" xfId="8983"/>
    <cellStyle name="표준 3 3" xfId="8984"/>
    <cellStyle name="표준 3 3 2" xfId="8985"/>
    <cellStyle name="표준 3 3 3" xfId="8986"/>
    <cellStyle name="표준 3 4" xfId="8987"/>
    <cellStyle name="표준 3_고창" xfId="8988"/>
    <cellStyle name="표준 4" xfId="8989"/>
    <cellStyle name="표준 4 10" xfId="8990"/>
    <cellStyle name="표준 4 10 2" xfId="8991"/>
    <cellStyle name="표준 4 10 3" xfId="8992"/>
    <cellStyle name="표준 4 2" xfId="8993"/>
    <cellStyle name="표준 4 2 2" xfId="8994"/>
    <cellStyle name="표준 4 2 2 2" xfId="8995"/>
    <cellStyle name="표준 4 2 2 2 2" xfId="8996"/>
    <cellStyle name="표준 4 2 2 2 3" xfId="8997"/>
    <cellStyle name="표준 4 2 2 3" xfId="8998"/>
    <cellStyle name="표준 4 2 2 3 2" xfId="8999"/>
    <cellStyle name="표준 4 2 2 3 3" xfId="9000"/>
    <cellStyle name="표준 4 2 2 4" xfId="9001"/>
    <cellStyle name="표준 4 2 2 5" xfId="9002"/>
    <cellStyle name="표준 4 2 3" xfId="9003"/>
    <cellStyle name="표준 4 2 4" xfId="9004"/>
    <cellStyle name="표준 4 2 4 2" xfId="9005"/>
    <cellStyle name="표준 4 2 4 3" xfId="9006"/>
    <cellStyle name="표준 4 2 5" xfId="9007"/>
    <cellStyle name="표준 4 2 5 2" xfId="9008"/>
    <cellStyle name="표준 4 2 5 3" xfId="9009"/>
    <cellStyle name="표준 4 2 6" xfId="9010"/>
    <cellStyle name="표준 4 2 7" xfId="9011"/>
    <cellStyle name="표준 4 3" xfId="9012"/>
    <cellStyle name="표준 4 4" xfId="9013"/>
    <cellStyle name="표준 4 4 2" xfId="9014"/>
    <cellStyle name="표준 4 4 2 2" xfId="9015"/>
    <cellStyle name="표준 4 4 2 3" xfId="9016"/>
    <cellStyle name="표준 4 4 3" xfId="9017"/>
    <cellStyle name="표준 4 4 3 2" xfId="9018"/>
    <cellStyle name="표준 4 4 3 3" xfId="9019"/>
    <cellStyle name="표준 4 4 4" xfId="9020"/>
    <cellStyle name="표준 4 4 5" xfId="9021"/>
    <cellStyle name="표준 4 5" xfId="9022"/>
    <cellStyle name="표준 4 5 2" xfId="9023"/>
    <cellStyle name="표준 4 5 2 2" xfId="9024"/>
    <cellStyle name="표준 4 5 2 3" xfId="9025"/>
    <cellStyle name="표준 4 5 3" xfId="9026"/>
    <cellStyle name="표준 4 5 3 2" xfId="9027"/>
    <cellStyle name="표준 4 5 3 3" xfId="9028"/>
    <cellStyle name="표준 4 5 4" xfId="9029"/>
    <cellStyle name="표준 4 5 5" xfId="9030"/>
    <cellStyle name="표준 4 6" xfId="9031"/>
    <cellStyle name="표준 4 6 2" xfId="9032"/>
    <cellStyle name="표준 4 6 3" xfId="9033"/>
    <cellStyle name="표준 4 7" xfId="9034"/>
    <cellStyle name="표준 4 7 2" xfId="9035"/>
    <cellStyle name="표준 4 7 3" xfId="9036"/>
    <cellStyle name="표준 4 8" xfId="9037"/>
    <cellStyle name="표준 4 8 2" xfId="9038"/>
    <cellStyle name="표준 4 8 3" xfId="9039"/>
    <cellStyle name="표준 4 9" xfId="9040"/>
    <cellStyle name="표준 4 9 2" xfId="9041"/>
    <cellStyle name="표준 4 9 3" xfId="9042"/>
    <cellStyle name="표준 4_총괄표" xfId="9043"/>
    <cellStyle name="표준 5 2" xfId="9044"/>
    <cellStyle name="표준 5 2 2" xfId="9045"/>
    <cellStyle name="표준 5 2 3" xfId="9046"/>
    <cellStyle name="표준 5 2 3 2" xfId="9047"/>
    <cellStyle name="표준 5 2 3 3" xfId="9048"/>
    <cellStyle name="표준 5 3" xfId="9049"/>
    <cellStyle name="표준 5 4" xfId="9050"/>
    <cellStyle name="표준 5 5" xfId="9051"/>
    <cellStyle name="표준 5 5 2" xfId="9052"/>
    <cellStyle name="표준 5 5 3" xfId="9053"/>
    <cellStyle name="표준 5 6" xfId="9054"/>
    <cellStyle name="표준 5_총괄표" xfId="9055"/>
    <cellStyle name="표준 6" xfId="9056"/>
    <cellStyle name="표준 6 2" xfId="9057"/>
    <cellStyle name="표준 6 2 2" xfId="9058"/>
    <cellStyle name="표준 6 2 2 2" xfId="9059"/>
    <cellStyle name="표준 6 2 2 2 2" xfId="9060"/>
    <cellStyle name="표준 6 2 2 2 3" xfId="9061"/>
    <cellStyle name="표준 6 2 2 3" xfId="9062"/>
    <cellStyle name="표준 6 2 2 4" xfId="9063"/>
    <cellStyle name="표준 6 3" xfId="9064"/>
    <cellStyle name="표준 6 3 2" xfId="9065"/>
    <cellStyle name="표준 6 3 2 2" xfId="9066"/>
    <cellStyle name="표준 6 3 2 3" xfId="9067"/>
    <cellStyle name="표준 6 3 3" xfId="9068"/>
    <cellStyle name="표준 6 3 4" xfId="9069"/>
    <cellStyle name="표준 6 4" xfId="9070"/>
    <cellStyle name="표준 6_총괄표" xfId="9071"/>
    <cellStyle name="표준 7" xfId="9072"/>
    <cellStyle name="표준 7 2" xfId="9073"/>
    <cellStyle name="표준 7 2 2" xfId="9074"/>
    <cellStyle name="표준 7 3" xfId="9075"/>
    <cellStyle name="표준 7 4" xfId="9076"/>
    <cellStyle name="표준 7_총괄표" xfId="9077"/>
    <cellStyle name="표준 8" xfId="9078"/>
    <cellStyle name="표준 8 2" xfId="9079"/>
    <cellStyle name="표준 9" xfId="9080"/>
    <cellStyle name="표준 9 2" xfId="9081"/>
    <cellStyle name="표준 9 2 2" xfId="9082"/>
    <cellStyle name="표준 9 2 3" xfId="9083"/>
    <cellStyle name="표준(배분)" xfId="9084"/>
    <cellStyle name="標準_’９７アウトドアツールフェア" xfId="9085"/>
    <cellStyle name="標準１" xfId="9086"/>
    <cellStyle name="표준123" xfId="9087"/>
    <cellStyle name="표준2" xfId="9088"/>
    <cellStyle name="표준℘Sheet8 (3)" xfId="9089"/>
    <cellStyle name="표준날짜" xfId="9090"/>
    <cellStyle name="표준숫자" xfId="9091"/>
    <cellStyle name="표쥰" xfId="9092"/>
    <cellStyle name="하이퍼링크 2" xfId="9093"/>
    <cellStyle name="하이퍼링크 2 2" xfId="9094"/>
    <cellStyle name="하이퍼링크 2 3" xfId="9095"/>
    <cellStyle name="하이퍼링크 2 4" xfId="9096"/>
    <cellStyle name="하이퍼링크 3" xfId="9097"/>
    <cellStyle name="합계 2" xfId="9098"/>
    <cellStyle name="桁区切り [0.00]_PERSONAL" xfId="9099"/>
    <cellStyle name="桁区切り_PERSONAL" xfId="9100"/>
    <cellStyle name="桁蟻唇Ｆ [0.00]_laroux" xfId="9101"/>
    <cellStyle name="桁蟻唇Ｆ_3346" xfId="9102"/>
    <cellStyle name="회계" xfId="9103"/>
    <cellStyle name="ㅣ" xfId="9104"/>
    <cellStyle name="ㅣ 2" xfId="9105"/>
    <cellStyle name="ㅣ 2 2" xfId="9106"/>
    <cellStyle name="ㅣ 3" xfId="9107"/>
    <cellStyle name="ㅣ 3 2" xfId="9108"/>
    <cellStyle name="ㅣ 4" xfId="9109"/>
    <cellStyle name="ㅣ 4 2" xfId="9110"/>
    <cellStyle name="ㅣ 5" xfId="9111"/>
    <cellStyle name="$_db진흥 2" xfId="9112"/>
    <cellStyle name="$_SE40 2" xfId="9113"/>
    <cellStyle name="$_견적2 2" xfId="9114"/>
    <cellStyle name="$_기아 2" xfId="9115"/>
    <cellStyle name="0.00 2" xfId="9116"/>
    <cellStyle name="Date 2 2" xfId="9117"/>
    <cellStyle name="F4 2" xfId="9118"/>
    <cellStyle name="F8 2" xfId="9119"/>
    <cellStyle name="Fixed 2 2" xfId="9120"/>
    <cellStyle name="HEADING1 2 2" xfId="9121"/>
    <cellStyle name="HEADING2 2 2" xfId="9122"/>
    <cellStyle name="Normal - Style1 2 2" xfId="9123"/>
    <cellStyle name="Title 15" xfId="9124"/>
    <cellStyle name="Total 2 6" xfId="9125"/>
    <cellStyle name="고정소숫점 2" xfId="9126"/>
    <cellStyle name="咬訌裝?INCOM1 2" xfId="9127"/>
    <cellStyle name="咬訌裝?INCOM10 2" xfId="9128"/>
    <cellStyle name="咬訌裝?INCOM2 2" xfId="9129"/>
    <cellStyle name="咬訌裝?INCOM3 2" xfId="9130"/>
    <cellStyle name="咬訌裝?INCOM4 2" xfId="9131"/>
    <cellStyle name="咬訌裝?INCOM5 2" xfId="9132"/>
    <cellStyle name="咬訌裝?INCOM6 2" xfId="9133"/>
    <cellStyle name="咬訌裝?INCOM7 2" xfId="9134"/>
    <cellStyle name="咬訌裝?INCOM8 2" xfId="9135"/>
    <cellStyle name="咬訌裝?INCOM9 2" xfId="9136"/>
    <cellStyle name="咬訌裝?PRIB11 2" xfId="9137"/>
    <cellStyle name="숫자(R) 2" xfId="9138"/>
    <cellStyle name="원_매내천 2" xfId="9139"/>
    <cellStyle name="자리수0 2" xfId="9140"/>
    <cellStyle name="콤마 [2] 2" xfId="9141"/>
    <cellStyle name="퍼센트 2" xfId="9142"/>
    <cellStyle name="화폐기호 2" xfId="9143"/>
    <cellStyle name="화폐기호0 2" xfId="9144"/>
    <cellStyle name="표준 5 7" xfId="9145"/>
    <cellStyle name="표준_천안_기성(1차)설계내역서_060912" xfId="914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externalLink" Target="/xl/externalLinks/externalLink2.xml" Id="rId6"/><Relationship Type="http://schemas.openxmlformats.org/officeDocument/2006/relationships/externalLink" Target="/xl/externalLinks/externalLink3.xml" Id="rId7"/><Relationship Type="http://schemas.openxmlformats.org/officeDocument/2006/relationships/externalLink" Target="/xl/externalLinks/externalLink4.xml" Id="rId8"/><Relationship Type="http://schemas.openxmlformats.org/officeDocument/2006/relationships/externalLink" Target="/xl/externalLinks/externalLink5.xml" Id="rId9"/><Relationship Type="http://schemas.openxmlformats.org/officeDocument/2006/relationships/externalLink" Target="/xl/externalLinks/externalLink6.xml" Id="rId10"/><Relationship Type="http://schemas.openxmlformats.org/officeDocument/2006/relationships/externalLink" Target="/xl/externalLinks/externalLink7.xml" Id="rId11"/><Relationship Type="http://schemas.openxmlformats.org/officeDocument/2006/relationships/externalLink" Target="/xl/externalLinks/externalLink8.xml" Id="rId12"/><Relationship Type="http://schemas.openxmlformats.org/officeDocument/2006/relationships/externalLink" Target="/xl/externalLinks/externalLink9.xml" Id="rId13"/><Relationship Type="http://schemas.openxmlformats.org/officeDocument/2006/relationships/externalLink" Target="/xl/externalLinks/externalLink10.xml" Id="rId14"/><Relationship Type="http://schemas.openxmlformats.org/officeDocument/2006/relationships/externalLink" Target="/xl/externalLinks/externalLink11.xml" Id="rId15"/><Relationship Type="http://schemas.openxmlformats.org/officeDocument/2006/relationships/externalLink" Target="/xl/externalLinks/externalLink12.xml" Id="rId16"/><Relationship Type="http://schemas.openxmlformats.org/officeDocument/2006/relationships/externalLink" Target="/xl/externalLinks/externalLink13.xml" Id="rId17"/><Relationship Type="http://schemas.openxmlformats.org/officeDocument/2006/relationships/externalLink" Target="/xl/externalLinks/externalLink14.xml" Id="rId18"/><Relationship Type="http://schemas.openxmlformats.org/officeDocument/2006/relationships/externalLink" Target="/xl/externalLinks/externalLink15.xml" Id="rId19"/><Relationship Type="http://schemas.openxmlformats.org/officeDocument/2006/relationships/externalLink" Target="/xl/externalLinks/externalLink16.xml" Id="rId20"/><Relationship Type="http://schemas.openxmlformats.org/officeDocument/2006/relationships/externalLink" Target="/xl/externalLinks/externalLink17.xml" Id="rId21"/><Relationship Type="http://schemas.openxmlformats.org/officeDocument/2006/relationships/externalLink" Target="/xl/externalLinks/externalLink18.xml" Id="rId22"/><Relationship Type="http://schemas.openxmlformats.org/officeDocument/2006/relationships/externalLink" Target="/xl/externalLinks/externalLink19.xml" Id="rId23"/><Relationship Type="http://schemas.openxmlformats.org/officeDocument/2006/relationships/externalLink" Target="/xl/externalLinks/externalLink20.xml" Id="rId24"/><Relationship Type="http://schemas.openxmlformats.org/officeDocument/2006/relationships/externalLink" Target="/xl/externalLinks/externalLink21.xml" Id="rId25"/><Relationship Type="http://schemas.openxmlformats.org/officeDocument/2006/relationships/externalLink" Target="/xl/externalLinks/externalLink22.xml" Id="rId26"/><Relationship Type="http://schemas.openxmlformats.org/officeDocument/2006/relationships/externalLink" Target="/xl/externalLinks/externalLink23.xml" Id="rId27"/><Relationship Type="http://schemas.openxmlformats.org/officeDocument/2006/relationships/externalLink" Target="/xl/externalLinks/externalLink24.xml" Id="rId28"/><Relationship Type="http://schemas.openxmlformats.org/officeDocument/2006/relationships/externalLink" Target="/xl/externalLinks/externalLink25.xml" Id="rId29"/><Relationship Type="http://schemas.openxmlformats.org/officeDocument/2006/relationships/externalLink" Target="/xl/externalLinks/externalLink26.xml" Id="rId30"/><Relationship Type="http://schemas.openxmlformats.org/officeDocument/2006/relationships/externalLink" Target="/xl/externalLinks/externalLink27.xml" Id="rId31"/><Relationship Type="http://schemas.openxmlformats.org/officeDocument/2006/relationships/externalLink" Target="/xl/externalLinks/externalLink28.xml" Id="rId32"/><Relationship Type="http://schemas.openxmlformats.org/officeDocument/2006/relationships/externalLink" Target="/xl/externalLinks/externalLink29.xml" Id="rId33"/><Relationship Type="http://schemas.openxmlformats.org/officeDocument/2006/relationships/externalLink" Target="/xl/externalLinks/externalLink30.xml" Id="rId34"/><Relationship Type="http://schemas.openxmlformats.org/officeDocument/2006/relationships/externalLink" Target="/xl/externalLinks/externalLink31.xml" Id="rId35"/><Relationship Type="http://schemas.openxmlformats.org/officeDocument/2006/relationships/externalLink" Target="/xl/externalLinks/externalLink32.xml" Id="rId36"/><Relationship Type="http://schemas.openxmlformats.org/officeDocument/2006/relationships/externalLink" Target="/xl/externalLinks/externalLink33.xml" Id="rId37"/><Relationship Type="http://schemas.openxmlformats.org/officeDocument/2006/relationships/externalLink" Target="/xl/externalLinks/externalLink34.xml" Id="rId38"/><Relationship Type="http://schemas.openxmlformats.org/officeDocument/2006/relationships/externalLink" Target="/xl/externalLinks/externalLink35.xml" Id="rId39"/><Relationship Type="http://schemas.openxmlformats.org/officeDocument/2006/relationships/externalLink" Target="/xl/externalLinks/externalLink36.xml" Id="rId40"/><Relationship Type="http://schemas.openxmlformats.org/officeDocument/2006/relationships/externalLink" Target="/xl/externalLinks/externalLink37.xml" Id="rId41"/><Relationship Type="http://schemas.openxmlformats.org/officeDocument/2006/relationships/externalLink" Target="/xl/externalLinks/externalLink38.xml" Id="rId42"/><Relationship Type="http://schemas.openxmlformats.org/officeDocument/2006/relationships/externalLink" Target="/xl/externalLinks/externalLink39.xml" Id="rId43"/><Relationship Type="http://schemas.openxmlformats.org/officeDocument/2006/relationships/externalLink" Target="/xl/externalLinks/externalLink40.xml" Id="rId44"/><Relationship Type="http://schemas.openxmlformats.org/officeDocument/2006/relationships/externalLink" Target="/xl/externalLinks/externalLink41.xml" Id="rId45"/><Relationship Type="http://schemas.openxmlformats.org/officeDocument/2006/relationships/externalLink" Target="/xl/externalLinks/externalLink42.xml" Id="rId46"/><Relationship Type="http://schemas.openxmlformats.org/officeDocument/2006/relationships/externalLink" Target="/xl/externalLinks/externalLink43.xml" Id="rId47"/><Relationship Type="http://schemas.openxmlformats.org/officeDocument/2006/relationships/externalLink" Target="/xl/externalLinks/externalLink44.xml" Id="rId48"/><Relationship Type="http://schemas.openxmlformats.org/officeDocument/2006/relationships/externalLink" Target="/xl/externalLinks/externalLink45.xml" Id="rId49"/><Relationship Type="http://schemas.openxmlformats.org/officeDocument/2006/relationships/externalLink" Target="/xl/externalLinks/externalLink46.xml" Id="rId50"/><Relationship Type="http://schemas.openxmlformats.org/officeDocument/2006/relationships/externalLink" Target="/xl/externalLinks/externalLink47.xml" Id="rId51"/><Relationship Type="http://schemas.openxmlformats.org/officeDocument/2006/relationships/externalLink" Target="/xl/externalLinks/externalLink48.xml" Id="rId52"/><Relationship Type="http://schemas.openxmlformats.org/officeDocument/2006/relationships/externalLink" Target="/xl/externalLinks/externalLink49.xml" Id="rId53"/><Relationship Type="http://schemas.openxmlformats.org/officeDocument/2006/relationships/externalLink" Target="/xl/externalLinks/externalLink50.xml" Id="rId54"/><Relationship Type="http://schemas.openxmlformats.org/officeDocument/2006/relationships/externalLink" Target="/xl/externalLinks/externalLink51.xml" Id="rId55"/><Relationship Type="http://schemas.openxmlformats.org/officeDocument/2006/relationships/externalLink" Target="/xl/externalLinks/externalLink52.xml" Id="rId56"/><Relationship Type="http://schemas.openxmlformats.org/officeDocument/2006/relationships/externalLink" Target="/xl/externalLinks/externalLink53.xml" Id="rId57"/><Relationship Type="http://schemas.openxmlformats.org/officeDocument/2006/relationships/externalLink" Target="/xl/externalLinks/externalLink54.xml" Id="rId58"/><Relationship Type="http://schemas.openxmlformats.org/officeDocument/2006/relationships/externalLink" Target="/xl/externalLinks/externalLink55.xml" Id="rId59"/><Relationship Type="http://schemas.openxmlformats.org/officeDocument/2006/relationships/externalLink" Target="/xl/externalLinks/externalLink56.xml" Id="rId60"/><Relationship Type="http://schemas.openxmlformats.org/officeDocument/2006/relationships/externalLink" Target="/xl/externalLinks/externalLink57.xml" Id="rId61"/><Relationship Type="http://schemas.openxmlformats.org/officeDocument/2006/relationships/externalLink" Target="/xl/externalLinks/externalLink58.xml" Id="rId62"/><Relationship Type="http://schemas.openxmlformats.org/officeDocument/2006/relationships/externalLink" Target="/xl/externalLinks/externalLink59.xml" Id="rId63"/><Relationship Type="http://schemas.openxmlformats.org/officeDocument/2006/relationships/externalLink" Target="/xl/externalLinks/externalLink60.xml" Id="rId64"/><Relationship Type="http://schemas.openxmlformats.org/officeDocument/2006/relationships/externalLink" Target="/xl/externalLinks/externalLink61.xml" Id="rId65"/><Relationship Type="http://schemas.openxmlformats.org/officeDocument/2006/relationships/externalLink" Target="/xl/externalLinks/externalLink62.xml" Id="rId66"/><Relationship Type="http://schemas.openxmlformats.org/officeDocument/2006/relationships/externalLink" Target="/xl/externalLinks/externalLink63.xml" Id="rId67"/><Relationship Type="http://schemas.openxmlformats.org/officeDocument/2006/relationships/externalLink" Target="/xl/externalLinks/externalLink64.xml" Id="rId68"/><Relationship Type="http://schemas.openxmlformats.org/officeDocument/2006/relationships/externalLink" Target="/xl/externalLinks/externalLink65.xml" Id="rId69"/><Relationship Type="http://schemas.openxmlformats.org/officeDocument/2006/relationships/externalLink" Target="/xl/externalLinks/externalLink66.xml" Id="rId70"/><Relationship Type="http://schemas.openxmlformats.org/officeDocument/2006/relationships/externalLink" Target="/xl/externalLinks/externalLink67.xml" Id="rId71"/><Relationship Type="http://schemas.openxmlformats.org/officeDocument/2006/relationships/externalLink" Target="/xl/externalLinks/externalLink68.xml" Id="rId72"/><Relationship Type="http://schemas.openxmlformats.org/officeDocument/2006/relationships/externalLink" Target="/xl/externalLinks/externalLink69.xml" Id="rId73"/><Relationship Type="http://schemas.openxmlformats.org/officeDocument/2006/relationships/externalLink" Target="/xl/externalLinks/externalLink70.xml" Id="rId74"/><Relationship Type="http://schemas.openxmlformats.org/officeDocument/2006/relationships/externalLink" Target="/xl/externalLinks/externalLink71.xml" Id="rId75"/><Relationship Type="http://schemas.openxmlformats.org/officeDocument/2006/relationships/externalLink" Target="/xl/externalLinks/externalLink72.xml" Id="rId76"/><Relationship Type="http://schemas.openxmlformats.org/officeDocument/2006/relationships/externalLink" Target="/xl/externalLinks/externalLink73.xml" Id="rId77"/><Relationship Type="http://schemas.openxmlformats.org/officeDocument/2006/relationships/externalLink" Target="/xl/externalLinks/externalLink74.xml" Id="rId78"/><Relationship Type="http://schemas.openxmlformats.org/officeDocument/2006/relationships/externalLink" Target="/xl/externalLinks/externalLink75.xml" Id="rId79"/><Relationship Type="http://schemas.openxmlformats.org/officeDocument/2006/relationships/externalLink" Target="/xl/externalLinks/externalLink76.xml" Id="rId80"/><Relationship Type="http://schemas.openxmlformats.org/officeDocument/2006/relationships/externalLink" Target="/xl/externalLinks/externalLink77.xml" Id="rId81"/><Relationship Type="http://schemas.openxmlformats.org/officeDocument/2006/relationships/externalLink" Target="/xl/externalLinks/externalLink78.xml" Id="rId82"/><Relationship Type="http://schemas.openxmlformats.org/officeDocument/2006/relationships/externalLink" Target="/xl/externalLinks/externalLink79.xml" Id="rId83"/><Relationship Type="http://schemas.openxmlformats.org/officeDocument/2006/relationships/externalLink" Target="/xl/externalLinks/externalLink80.xml" Id="rId84"/><Relationship Type="http://schemas.openxmlformats.org/officeDocument/2006/relationships/externalLink" Target="/xl/externalLinks/externalLink81.xml" Id="rId85"/><Relationship Type="http://schemas.openxmlformats.org/officeDocument/2006/relationships/externalLink" Target="/xl/externalLinks/externalLink82.xml" Id="rId86"/><Relationship Type="http://schemas.openxmlformats.org/officeDocument/2006/relationships/externalLink" Target="/xl/externalLinks/externalLink83.xml" Id="rId87"/><Relationship Type="http://schemas.openxmlformats.org/officeDocument/2006/relationships/externalLink" Target="/xl/externalLinks/externalLink84.xml" Id="rId88"/><Relationship Type="http://schemas.openxmlformats.org/officeDocument/2006/relationships/externalLink" Target="/xl/externalLinks/externalLink85.xml" Id="rId89"/><Relationship Type="http://schemas.openxmlformats.org/officeDocument/2006/relationships/externalLink" Target="/xl/externalLinks/externalLink86.xml" Id="rId90"/><Relationship Type="http://schemas.openxmlformats.org/officeDocument/2006/relationships/externalLink" Target="/xl/externalLinks/externalLink87.xml" Id="rId91"/><Relationship Type="http://schemas.openxmlformats.org/officeDocument/2006/relationships/externalLink" Target="/xl/externalLinks/externalLink88.xml" Id="rId92"/><Relationship Type="http://schemas.openxmlformats.org/officeDocument/2006/relationships/externalLink" Target="/xl/externalLinks/externalLink89.xml" Id="rId93"/><Relationship Type="http://schemas.openxmlformats.org/officeDocument/2006/relationships/externalLink" Target="/xl/externalLinks/externalLink90.xml" Id="rId94"/><Relationship Type="http://schemas.openxmlformats.org/officeDocument/2006/relationships/externalLink" Target="/xl/externalLinks/externalLink91.xml" Id="rId95"/><Relationship Type="http://schemas.openxmlformats.org/officeDocument/2006/relationships/externalLink" Target="/xl/externalLinks/externalLink92.xml" Id="rId96"/><Relationship Type="http://schemas.openxmlformats.org/officeDocument/2006/relationships/externalLink" Target="/xl/externalLinks/externalLink93.xml" Id="rId97"/><Relationship Type="http://schemas.openxmlformats.org/officeDocument/2006/relationships/externalLink" Target="/xl/externalLinks/externalLink94.xml" Id="rId98"/><Relationship Type="http://schemas.openxmlformats.org/officeDocument/2006/relationships/externalLink" Target="/xl/externalLinks/externalLink95.xml" Id="rId99"/><Relationship Type="http://schemas.openxmlformats.org/officeDocument/2006/relationships/externalLink" Target="/xl/externalLinks/externalLink96.xml" Id="rId100"/><Relationship Type="http://schemas.openxmlformats.org/officeDocument/2006/relationships/externalLink" Target="/xl/externalLinks/externalLink97.xml" Id="rId101"/><Relationship Type="http://schemas.openxmlformats.org/officeDocument/2006/relationships/externalLink" Target="/xl/externalLinks/externalLink98.xml" Id="rId102"/><Relationship Type="http://schemas.openxmlformats.org/officeDocument/2006/relationships/externalLink" Target="/xl/externalLinks/externalLink99.xml" Id="rId103"/><Relationship Type="http://schemas.openxmlformats.org/officeDocument/2006/relationships/externalLink" Target="/xl/externalLinks/externalLink100.xml" Id="rId104"/><Relationship Type="http://schemas.openxmlformats.org/officeDocument/2006/relationships/externalLink" Target="/xl/externalLinks/externalLink101.xml" Id="rId105"/><Relationship Type="http://schemas.openxmlformats.org/officeDocument/2006/relationships/externalLink" Target="/xl/externalLinks/externalLink102.xml" Id="rId106"/><Relationship Type="http://schemas.openxmlformats.org/officeDocument/2006/relationships/externalLink" Target="/xl/externalLinks/externalLink103.xml" Id="rId107"/><Relationship Type="http://schemas.openxmlformats.org/officeDocument/2006/relationships/externalLink" Target="/xl/externalLinks/externalLink104.xml" Id="rId108"/><Relationship Type="http://schemas.openxmlformats.org/officeDocument/2006/relationships/externalLink" Target="/xl/externalLinks/externalLink105.xml" Id="rId109"/><Relationship Type="http://schemas.openxmlformats.org/officeDocument/2006/relationships/externalLink" Target="/xl/externalLinks/externalLink106.xml" Id="rId110"/><Relationship Type="http://schemas.openxmlformats.org/officeDocument/2006/relationships/externalLink" Target="/xl/externalLinks/externalLink107.xml" Id="rId111"/><Relationship Type="http://schemas.openxmlformats.org/officeDocument/2006/relationships/externalLink" Target="/xl/externalLinks/externalLink108.xml" Id="rId112"/><Relationship Type="http://schemas.openxmlformats.org/officeDocument/2006/relationships/externalLink" Target="/xl/externalLinks/externalLink109.xml" Id="rId113"/><Relationship Type="http://schemas.openxmlformats.org/officeDocument/2006/relationships/externalLink" Target="/xl/externalLinks/externalLink110.xml" Id="rId114"/><Relationship Type="http://schemas.openxmlformats.org/officeDocument/2006/relationships/externalLink" Target="/xl/externalLinks/externalLink111.xml" Id="rId115"/><Relationship Type="http://schemas.openxmlformats.org/officeDocument/2006/relationships/externalLink" Target="/xl/externalLinks/externalLink112.xml" Id="rId116"/><Relationship Type="http://schemas.openxmlformats.org/officeDocument/2006/relationships/externalLink" Target="/xl/externalLinks/externalLink113.xml" Id="rId117"/><Relationship Type="http://schemas.openxmlformats.org/officeDocument/2006/relationships/externalLink" Target="/xl/externalLinks/externalLink114.xml" Id="rId118"/><Relationship Type="http://schemas.openxmlformats.org/officeDocument/2006/relationships/externalLink" Target="/xl/externalLinks/externalLink115.xml" Id="rId119"/><Relationship Type="http://schemas.openxmlformats.org/officeDocument/2006/relationships/externalLink" Target="/xl/externalLinks/externalLink116.xml" Id="rId120"/><Relationship Type="http://schemas.openxmlformats.org/officeDocument/2006/relationships/externalLink" Target="/xl/externalLinks/externalLink117.xml" Id="rId121"/><Relationship Type="http://schemas.openxmlformats.org/officeDocument/2006/relationships/externalLink" Target="/xl/externalLinks/externalLink118.xml" Id="rId122"/><Relationship Type="http://schemas.openxmlformats.org/officeDocument/2006/relationships/externalLink" Target="/xl/externalLinks/externalLink119.xml" Id="rId123"/><Relationship Type="http://schemas.openxmlformats.org/officeDocument/2006/relationships/externalLink" Target="/xl/externalLinks/externalLink120.xml" Id="rId124"/><Relationship Type="http://schemas.openxmlformats.org/officeDocument/2006/relationships/externalLink" Target="/xl/externalLinks/externalLink121.xml" Id="rId125"/><Relationship Type="http://schemas.openxmlformats.org/officeDocument/2006/relationships/externalLink" Target="/xl/externalLinks/externalLink122.xml" Id="rId126"/><Relationship Type="http://schemas.openxmlformats.org/officeDocument/2006/relationships/externalLink" Target="/xl/externalLinks/externalLink123.xml" Id="rId127"/><Relationship Type="http://schemas.openxmlformats.org/officeDocument/2006/relationships/externalLink" Target="/xl/externalLinks/externalLink124.xml" Id="rId128"/><Relationship Type="http://schemas.openxmlformats.org/officeDocument/2006/relationships/externalLink" Target="/xl/externalLinks/externalLink125.xml" Id="rId129"/><Relationship Type="http://schemas.openxmlformats.org/officeDocument/2006/relationships/externalLink" Target="/xl/externalLinks/externalLink126.xml" Id="rId130"/><Relationship Type="http://schemas.openxmlformats.org/officeDocument/2006/relationships/externalLink" Target="/xl/externalLinks/externalLink127.xml" Id="rId131"/><Relationship Type="http://schemas.openxmlformats.org/officeDocument/2006/relationships/externalLink" Target="/xl/externalLinks/externalLink128.xml" Id="rId132"/><Relationship Type="http://schemas.openxmlformats.org/officeDocument/2006/relationships/externalLink" Target="/xl/externalLinks/externalLink129.xml" Id="rId133"/><Relationship Type="http://schemas.openxmlformats.org/officeDocument/2006/relationships/externalLink" Target="/xl/externalLinks/externalLink130.xml" Id="rId134"/><Relationship Type="http://schemas.openxmlformats.org/officeDocument/2006/relationships/externalLink" Target="/xl/externalLinks/externalLink131.xml" Id="rId135"/><Relationship Type="http://schemas.openxmlformats.org/officeDocument/2006/relationships/externalLink" Target="/xl/externalLinks/externalLink132.xml" Id="rId136"/><Relationship Type="http://schemas.openxmlformats.org/officeDocument/2006/relationships/externalLink" Target="/xl/externalLinks/externalLink133.xml" Id="rId137"/><Relationship Type="http://schemas.openxmlformats.org/officeDocument/2006/relationships/externalLink" Target="/xl/externalLinks/externalLink134.xml" Id="rId138"/><Relationship Type="http://schemas.openxmlformats.org/officeDocument/2006/relationships/externalLink" Target="/xl/externalLinks/externalLink135.xml" Id="rId139"/><Relationship Type="http://schemas.openxmlformats.org/officeDocument/2006/relationships/externalLink" Target="/xl/externalLinks/externalLink136.xml" Id="rId140"/><Relationship Type="http://schemas.openxmlformats.org/officeDocument/2006/relationships/externalLink" Target="/xl/externalLinks/externalLink137.xml" Id="rId141"/><Relationship Type="http://schemas.openxmlformats.org/officeDocument/2006/relationships/externalLink" Target="/xl/externalLinks/externalLink138.xml" Id="rId142"/><Relationship Type="http://schemas.openxmlformats.org/officeDocument/2006/relationships/externalLink" Target="/xl/externalLinks/externalLink139.xml" Id="rId143"/><Relationship Type="http://schemas.openxmlformats.org/officeDocument/2006/relationships/externalLink" Target="/xl/externalLinks/externalLink140.xml" Id="rId144"/><Relationship Type="http://schemas.openxmlformats.org/officeDocument/2006/relationships/externalLink" Target="/xl/externalLinks/externalLink141.xml" Id="rId145"/><Relationship Type="http://schemas.openxmlformats.org/officeDocument/2006/relationships/externalLink" Target="/xl/externalLinks/externalLink142.xml" Id="rId146"/><Relationship Type="http://schemas.openxmlformats.org/officeDocument/2006/relationships/externalLink" Target="/xl/externalLinks/externalLink143.xml" Id="rId147"/><Relationship Type="http://schemas.openxmlformats.org/officeDocument/2006/relationships/externalLink" Target="/xl/externalLinks/externalLink144.xml" Id="rId148"/><Relationship Type="http://schemas.openxmlformats.org/officeDocument/2006/relationships/externalLink" Target="/xl/externalLinks/externalLink145.xml" Id="rId149"/><Relationship Type="http://schemas.openxmlformats.org/officeDocument/2006/relationships/externalLink" Target="/xl/externalLinks/externalLink146.xml" Id="rId150"/><Relationship Type="http://schemas.openxmlformats.org/officeDocument/2006/relationships/externalLink" Target="/xl/externalLinks/externalLink147.xml" Id="rId151"/><Relationship Type="http://schemas.openxmlformats.org/officeDocument/2006/relationships/externalLink" Target="/xl/externalLinks/externalLink148.xml" Id="rId152"/><Relationship Type="http://schemas.openxmlformats.org/officeDocument/2006/relationships/externalLink" Target="/xl/externalLinks/externalLink149.xml" Id="rId153"/><Relationship Type="http://schemas.openxmlformats.org/officeDocument/2006/relationships/externalLink" Target="/xl/externalLinks/externalLink150.xml" Id="rId154"/><Relationship Type="http://schemas.openxmlformats.org/officeDocument/2006/relationships/externalLink" Target="/xl/externalLinks/externalLink151.xml" Id="rId155"/><Relationship Type="http://schemas.openxmlformats.org/officeDocument/2006/relationships/externalLink" Target="/xl/externalLinks/externalLink152.xml" Id="rId156"/><Relationship Type="http://schemas.openxmlformats.org/officeDocument/2006/relationships/externalLink" Target="/xl/externalLinks/externalLink153.xml" Id="rId157"/><Relationship Type="http://schemas.openxmlformats.org/officeDocument/2006/relationships/externalLink" Target="/xl/externalLinks/externalLink154.xml" Id="rId158"/><Relationship Type="http://schemas.openxmlformats.org/officeDocument/2006/relationships/externalLink" Target="/xl/externalLinks/externalLink155.xml" Id="rId159"/><Relationship Type="http://schemas.openxmlformats.org/officeDocument/2006/relationships/externalLink" Target="/xl/externalLinks/externalLink156.xml" Id="rId160"/><Relationship Type="http://schemas.openxmlformats.org/officeDocument/2006/relationships/externalLink" Target="/xl/externalLinks/externalLink157.xml" Id="rId161"/><Relationship Type="http://schemas.openxmlformats.org/officeDocument/2006/relationships/externalLink" Target="/xl/externalLinks/externalLink158.xml" Id="rId162"/><Relationship Type="http://schemas.openxmlformats.org/officeDocument/2006/relationships/externalLink" Target="/xl/externalLinks/externalLink159.xml" Id="rId163"/><Relationship Type="http://schemas.openxmlformats.org/officeDocument/2006/relationships/externalLink" Target="/xl/externalLinks/externalLink160.xml" Id="rId164"/><Relationship Type="http://schemas.openxmlformats.org/officeDocument/2006/relationships/externalLink" Target="/xl/externalLinks/externalLink161.xml" Id="rId165"/><Relationship Type="http://schemas.openxmlformats.org/officeDocument/2006/relationships/externalLink" Target="/xl/externalLinks/externalLink162.xml" Id="rId166"/><Relationship Type="http://schemas.openxmlformats.org/officeDocument/2006/relationships/externalLink" Target="/xl/externalLinks/externalLink163.xml" Id="rId167"/><Relationship Type="http://schemas.openxmlformats.org/officeDocument/2006/relationships/externalLink" Target="/xl/externalLinks/externalLink164.xml" Id="rId168"/><Relationship Type="http://schemas.openxmlformats.org/officeDocument/2006/relationships/externalLink" Target="/xl/externalLinks/externalLink165.xml" Id="rId169"/><Relationship Type="http://schemas.openxmlformats.org/officeDocument/2006/relationships/externalLink" Target="/xl/externalLinks/externalLink166.xml" Id="rId170"/><Relationship Type="http://schemas.openxmlformats.org/officeDocument/2006/relationships/externalLink" Target="/xl/externalLinks/externalLink167.xml" Id="rId171"/><Relationship Type="http://schemas.openxmlformats.org/officeDocument/2006/relationships/externalLink" Target="/xl/externalLinks/externalLink168.xml" Id="rId172"/><Relationship Type="http://schemas.openxmlformats.org/officeDocument/2006/relationships/externalLink" Target="/xl/externalLinks/externalLink169.xml" Id="rId173"/><Relationship Type="http://schemas.openxmlformats.org/officeDocument/2006/relationships/externalLink" Target="/xl/externalLinks/externalLink170.xml" Id="rId174"/><Relationship Type="http://schemas.openxmlformats.org/officeDocument/2006/relationships/externalLink" Target="/xl/externalLinks/externalLink171.xml" Id="rId175"/><Relationship Type="http://schemas.openxmlformats.org/officeDocument/2006/relationships/externalLink" Target="/xl/externalLinks/externalLink172.xml" Id="rId176"/><Relationship Type="http://schemas.openxmlformats.org/officeDocument/2006/relationships/externalLink" Target="/xl/externalLinks/externalLink173.xml" Id="rId177"/><Relationship Type="http://schemas.openxmlformats.org/officeDocument/2006/relationships/externalLink" Target="/xl/externalLinks/externalLink174.xml" Id="rId178"/><Relationship Type="http://schemas.openxmlformats.org/officeDocument/2006/relationships/externalLink" Target="/xl/externalLinks/externalLink175.xml" Id="rId179"/><Relationship Type="http://schemas.openxmlformats.org/officeDocument/2006/relationships/externalLink" Target="/xl/externalLinks/externalLink176.xml" Id="rId180"/><Relationship Type="http://schemas.openxmlformats.org/officeDocument/2006/relationships/externalLink" Target="/xl/externalLinks/externalLink177.xml" Id="rId181"/><Relationship Type="http://schemas.openxmlformats.org/officeDocument/2006/relationships/externalLink" Target="/xl/externalLinks/externalLink178.xml" Id="rId182"/><Relationship Type="http://schemas.openxmlformats.org/officeDocument/2006/relationships/externalLink" Target="/xl/externalLinks/externalLink179.xml" Id="rId183"/><Relationship Type="http://schemas.openxmlformats.org/officeDocument/2006/relationships/externalLink" Target="/xl/externalLinks/externalLink180.xml" Id="rId184"/><Relationship Type="http://schemas.openxmlformats.org/officeDocument/2006/relationships/externalLink" Target="/xl/externalLinks/externalLink181.xml" Id="rId185"/><Relationship Type="http://schemas.openxmlformats.org/officeDocument/2006/relationships/externalLink" Target="/xl/externalLinks/externalLink182.xml" Id="rId186"/><Relationship Type="http://schemas.openxmlformats.org/officeDocument/2006/relationships/externalLink" Target="/xl/externalLinks/externalLink183.xml" Id="rId187"/><Relationship Type="http://schemas.openxmlformats.org/officeDocument/2006/relationships/externalLink" Target="/xl/externalLinks/externalLink184.xml" Id="rId188"/><Relationship Type="http://schemas.openxmlformats.org/officeDocument/2006/relationships/externalLink" Target="/xl/externalLinks/externalLink185.xml" Id="rId189"/><Relationship Type="http://schemas.openxmlformats.org/officeDocument/2006/relationships/externalLink" Target="/xl/externalLinks/externalLink186.xml" Id="rId190"/><Relationship Type="http://schemas.openxmlformats.org/officeDocument/2006/relationships/externalLink" Target="/xl/externalLinks/externalLink187.xml" Id="rId191"/><Relationship Type="http://schemas.openxmlformats.org/officeDocument/2006/relationships/externalLink" Target="/xl/externalLinks/externalLink188.xml" Id="rId192"/><Relationship Type="http://schemas.openxmlformats.org/officeDocument/2006/relationships/externalLink" Target="/xl/externalLinks/externalLink189.xml" Id="rId193"/><Relationship Type="http://schemas.openxmlformats.org/officeDocument/2006/relationships/externalLink" Target="/xl/externalLinks/externalLink190.xml" Id="rId194"/><Relationship Type="http://schemas.openxmlformats.org/officeDocument/2006/relationships/externalLink" Target="/xl/externalLinks/externalLink191.xml" Id="rId195"/><Relationship Type="http://schemas.openxmlformats.org/officeDocument/2006/relationships/externalLink" Target="/xl/externalLinks/externalLink192.xml" Id="rId196"/><Relationship Type="http://schemas.openxmlformats.org/officeDocument/2006/relationships/externalLink" Target="/xl/externalLinks/externalLink193.xml" Id="rId197"/><Relationship Type="http://schemas.openxmlformats.org/officeDocument/2006/relationships/externalLink" Target="/xl/externalLinks/externalLink194.xml" Id="rId198"/><Relationship Type="http://schemas.openxmlformats.org/officeDocument/2006/relationships/externalLink" Target="/xl/externalLinks/externalLink195.xml" Id="rId199"/><Relationship Type="http://schemas.openxmlformats.org/officeDocument/2006/relationships/externalLink" Target="/xl/externalLinks/externalLink196.xml" Id="rId200"/><Relationship Type="http://schemas.openxmlformats.org/officeDocument/2006/relationships/externalLink" Target="/xl/externalLinks/externalLink197.xml" Id="rId201"/><Relationship Type="http://schemas.openxmlformats.org/officeDocument/2006/relationships/externalLink" Target="/xl/externalLinks/externalLink198.xml" Id="rId202"/><Relationship Type="http://schemas.openxmlformats.org/officeDocument/2006/relationships/externalLink" Target="/xl/externalLinks/externalLink199.xml" Id="rId203"/><Relationship Type="http://schemas.openxmlformats.org/officeDocument/2006/relationships/externalLink" Target="/xl/externalLinks/externalLink200.xml" Id="rId204"/><Relationship Type="http://schemas.openxmlformats.org/officeDocument/2006/relationships/externalLink" Target="/xl/externalLinks/externalLink201.xml" Id="rId205"/><Relationship Type="http://schemas.openxmlformats.org/officeDocument/2006/relationships/externalLink" Target="/xl/externalLinks/externalLink202.xml" Id="rId206"/><Relationship Type="http://schemas.openxmlformats.org/officeDocument/2006/relationships/externalLink" Target="/xl/externalLinks/externalLink203.xml" Id="rId207"/><Relationship Type="http://schemas.openxmlformats.org/officeDocument/2006/relationships/externalLink" Target="/xl/externalLinks/externalLink204.xml" Id="rId208"/><Relationship Type="http://schemas.openxmlformats.org/officeDocument/2006/relationships/externalLink" Target="/xl/externalLinks/externalLink205.xml" Id="rId209"/><Relationship Type="http://schemas.openxmlformats.org/officeDocument/2006/relationships/externalLink" Target="/xl/externalLinks/externalLink206.xml" Id="rId210"/><Relationship Type="http://schemas.openxmlformats.org/officeDocument/2006/relationships/externalLink" Target="/xl/externalLinks/externalLink207.xml" Id="rId211"/><Relationship Type="http://schemas.openxmlformats.org/officeDocument/2006/relationships/externalLink" Target="/xl/externalLinks/externalLink208.xml" Id="rId212"/><Relationship Type="http://schemas.openxmlformats.org/officeDocument/2006/relationships/externalLink" Target="/xl/externalLinks/externalLink209.xml" Id="rId213"/><Relationship Type="http://schemas.openxmlformats.org/officeDocument/2006/relationships/externalLink" Target="/xl/externalLinks/externalLink210.xml" Id="rId214"/><Relationship Type="http://schemas.openxmlformats.org/officeDocument/2006/relationships/externalLink" Target="/xl/externalLinks/externalLink211.xml" Id="rId215"/><Relationship Type="http://schemas.openxmlformats.org/officeDocument/2006/relationships/externalLink" Target="/xl/externalLinks/externalLink212.xml" Id="rId216"/><Relationship Type="http://schemas.openxmlformats.org/officeDocument/2006/relationships/externalLink" Target="/xl/externalLinks/externalLink213.xml" Id="rId217"/><Relationship Type="http://schemas.openxmlformats.org/officeDocument/2006/relationships/externalLink" Target="/xl/externalLinks/externalLink214.xml" Id="rId218"/><Relationship Type="http://schemas.openxmlformats.org/officeDocument/2006/relationships/externalLink" Target="/xl/externalLinks/externalLink215.xml" Id="rId219"/><Relationship Type="http://schemas.openxmlformats.org/officeDocument/2006/relationships/externalLink" Target="/xl/externalLinks/externalLink216.xml" Id="rId220"/><Relationship Type="http://schemas.openxmlformats.org/officeDocument/2006/relationships/externalLink" Target="/xl/externalLinks/externalLink217.xml" Id="rId221"/><Relationship Type="http://schemas.openxmlformats.org/officeDocument/2006/relationships/externalLink" Target="/xl/externalLinks/externalLink218.xml" Id="rId222"/><Relationship Type="http://schemas.openxmlformats.org/officeDocument/2006/relationships/externalLink" Target="/xl/externalLinks/externalLink219.xml" Id="rId223"/><Relationship Type="http://schemas.openxmlformats.org/officeDocument/2006/relationships/externalLink" Target="/xl/externalLinks/externalLink220.xml" Id="rId224"/><Relationship Type="http://schemas.openxmlformats.org/officeDocument/2006/relationships/externalLink" Target="/xl/externalLinks/externalLink221.xml" Id="rId225"/><Relationship Type="http://schemas.openxmlformats.org/officeDocument/2006/relationships/externalLink" Target="/xl/externalLinks/externalLink222.xml" Id="rId226"/><Relationship Type="http://schemas.openxmlformats.org/officeDocument/2006/relationships/styles" Target="styles.xml" Id="rId227"/><Relationship Type="http://schemas.openxmlformats.org/officeDocument/2006/relationships/theme" Target="theme/theme1.xml" Id="rId22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&#48149;&#49884;&#48276;\C\XECELL\&#49548;&#50577;2-P5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&#51060;&#50689;&#52384;\C\My%20Documents\&#49352;&#47196;&#51089;&#49457;\&#44368;&#47049;&#44396;&#51312;\&#44368;&#44033;&#44396;&#51312;3&#51452;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&#54620;&#49345;&#54617;\&#48372;&#47588;&#44592;&#52384;&#46020;\yooku\4&#44277;&#44396;\2&#52264;&#48516;\4-BOQ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C:\&#44608;&#51456;&#54840;\BOGO\&#44221;&#50689;&#49345;&#53468;%20&#49888;&#51064;&#46020;\2000&#51088;&#47308;(&#50629;&#47924;&#54016;)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&#50724;&#54868;&#49437;\&#44277;&#51676;&#48169;\NETWORK\BOX-E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C:\TEAM-5\My%20Documents\dacom\&#50896;&#51452;~&#51228;&#52380;\&#50896;&#51452;&#52572;&#51333;\&#44277;&#53685;&#51088;&#47308;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Jyd\&#45225;&#54408;&#48169;(&#51208;&#45824;&#49688;&#51221;&#44552;&#51648;)\My%20Documents\&#46041;&#54644;&#44368;&#45824;\&#46041;&#54644;P(PILE)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Jyd\&#45225;&#54408;&#48169;(&#51208;&#45824;&#49688;&#51221;&#44552;&#51648;)\9713090\&#51109;&#54637;&#49440;\EXCEL\BYP60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&#48177;&#48337;&#49440;\&#44288;&#47532;&#49892;\hb\&#49340;&#49328;1&#51648;&#44396;(&#49892;&#49884;)\&#51452;&#44277;&#49688;&#47049;\&#51068;&#50948;&#45824;&#44032;9803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A:\MSOffice\Excel\work\&#45236;&#50669;.XLS" TargetMode="External" Id="rId1"/></Relationships>
</file>

<file path=xl/externalLinks/_rels/externalLink11.xml.rels><Relationships xmlns="http://schemas.openxmlformats.org/package/2006/relationships"><Relationship Type="http://schemas.microsoft.com/office/2006/relationships/xlExternalLinkPath/xlStartup" Target="1DATAFILE/3&#49688;&#47049;&#49328;&#52636;&#49436;/&#50669;T&#54805;&#50745;&#48317;/&#51116;&#47308;&#51665;&#44228;&#54364;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\\&#47928;&#51068;&#54805;\2002PROJECT\kim\&#49688;&#47049;\2001\994004(&#52572;&#51333;&#50500;&#45784;)\kim\&#49688;&#47049;\&#50577;&#51648;&#49688;&#47049;\994004\U-TYPE.xls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A:\My%20Documents\z.&#51456;&#44277;&#44592;&#47197;\&#44397;&#46020;&#50976;&#51648;\&#49888;&#45817;1&#51648;&#44396;\&#51456;&#44277;&#45236;&#50669;\9802&#45800;&#44032;.XLS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A:\My%20Documents\&#54616;&#49688;&#51333;&#47568;\&#45800;&#44032;&#49328;&#52636;\98ES&#45800;&#44032;.XLS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C:\Documents%20and%20Settings\&#50724;&#49440;&#51652;\My%20Documents\My%20data\2003&#45380;&#46020;\&#50857;&#49328;&#44053;&#54788;\&#47932;&#44032;&#48320;&#46041;\My%20Pictures\&#49888;&#45817;1&#51648;&#44396;\&#51456;&#44277;&#45236;&#50669;\9802&#45800;&#44032;.xls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C:\My%20Documents\&#47924;&#47497;2&#51648;&#44396;\3&#52264;&#44277;&#49324;\&#49892;&#51221;&#48372;&#44256;\9901&#45800;&#44032;.xls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C:\My%20Documents\My%20pictures\&#49888;&#45817;1&#51648;&#44396;&#51456;&#44277;\&#51456;&#44277;&#45236;&#50669;\9802&#45800;&#44032;.XLS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C:\Documents%20and%20Settings\wooram\Local%20Settings\Temp\_AZTMP7_\&#45824;&#49569;-&#45824;&#52824;\&#45824;&#49569;-&#45824;&#52824;2&#52264;&#48320;&#44221;\WINDOWS\&#48148;&#53461;%20&#54868;&#47732;\&#45236;%20&#49436;&#47448;%20&#44032;&#48169;\My%20Documents\&#54616;&#46041;&#44400;\&#45453;&#51648;&#44228;\&#45824;&#52824;&#48169;&#51312;&#51228;\&#45824;&#52824;1&#48169;&#51312;&#51228;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C:\My%20Documents\z.&#51456;&#44277;&#44592;&#47197;\&#44397;&#46020;&#50976;&#51648;\&#49888;&#45817;1&#51648;&#44396;\&#51456;&#44277;&#45236;&#50669;\9802&#45800;&#44032;.XLS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\\&#48149;&#47749;&#54984;\NETWORK\NETWORK\&#44221;&#48512;&#49440;-&#44368;&#44033;\&#49688;&#47049;&#51692;&#48981;\PIER42.xls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\\Jyd\&#45225;&#54408;&#48169;(&#51208;&#45824;&#49688;&#51221;&#44552;&#51648;)\&#49688;&#47049;&#49368;&#54540;\CHUNJU\&#50577;&#52492;&#49688;&#47049;\PKIDS\SURYANG\DONGC\TOP-BS\D-CHSOIL.XLS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file:///\\&#51221;&#49437;&#50857;\J.S.Y\My%20Documents\&#45800;%20BOX%20&#44396;&#51312;&#44228;&#49328;&#49436;%20VER%203_01.xls" TargetMode="External" Id="rId1"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file:///A:\602\JANG-B\&#49688;&#47049;\JANGDONG\XLS\Sta0+303&#53685;&#47196;.XLS" TargetMode="External" Id="rId1"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file:///\\&#51109;&#51064;&#54840;\&#47928;&#49436;\JUNG\&#45824;&#54217;\&#51222;&#51648;.XLS" TargetMode="External" Id="rId1"/></Relationships>
</file>

<file path=xl/externalLinks/_rels/externalLink25.xml.rels><Relationships xmlns="http://schemas.openxmlformats.org/package/2006/relationships"><Relationship Type="http://schemas.openxmlformats.org/officeDocument/2006/relationships/externalLinkPath" Target="file:///\\&#54728;&#45224;&#53468;_PC\D\My%20Documents\WINDOWS\NATM.xls" TargetMode="External" Id="rId1"/></Relationships>
</file>

<file path=xl/externalLinks/_rels/externalLink26.xml.rels><Relationships xmlns="http://schemas.openxmlformats.org/package/2006/relationships"><Relationship Type="http://schemas.openxmlformats.org/officeDocument/2006/relationships/externalLinkPath" Target="file:///C:\&#48149;&#55148;&#53469;\&#44228;&#45236;&#51648;&#49440;.xls" TargetMode="External" Id="rId1"/></Relationships>
</file>

<file path=xl/externalLinks/_rels/externalLink27.xml.rels><Relationships xmlns="http://schemas.openxmlformats.org/package/2006/relationships"><Relationship Type="http://schemas.openxmlformats.org/officeDocument/2006/relationships/externalLinkPath" Target="file:///\\&#49436;&#48260;\&#54532;&#47196;&#51229;&#53944;\&#51089;&#50629;&#44277;&#44036;\&#49888;&#44592;&#50808;2&#44368;\&#50612;&#51020;&#44368;\&#49688;&#47049;&#49328;&#52636;\&#48176;&#49688;&#49688;&#47049;\&#48376;&#49440;&#49688;&#47049;\&#50976;&#46041;&#52572;&#51333;.xls" TargetMode="External" Id="rId1"/></Relationships>
</file>

<file path=xl/externalLinks/_rels/externalLink28.xml.rels><Relationships xmlns="http://schemas.openxmlformats.org/package/2006/relationships"><Relationship Type="http://schemas.openxmlformats.org/officeDocument/2006/relationships/externalLinkPath" Target="file:///H:\My%20Documents\&#49692;&#52380;\&#47588;&#44257;8&#53685;\&#48176;&#49688;&#44288;&#44277;.XLS" TargetMode="External" Id="rId1"/></Relationships>
</file>

<file path=xl/externalLinks/_rels/externalLink29.xml.rels><Relationships xmlns="http://schemas.openxmlformats.org/package/2006/relationships"><Relationship Type="http://schemas.openxmlformats.org/officeDocument/2006/relationships/externalLinkPath" Target="file:///\\Jyd\&#45225;&#54408;&#48169;(&#51208;&#45824;&#49688;&#51221;&#44552;&#51648;)\MSOffice\Excel\PIER\&#48393;&#50577;&#44256;&#44032;\BYP25.xls" TargetMode="External" Id="rId1"/></Relationships>
</file>

<file path=xl/externalLinks/_rels/externalLink30.xml.rels><Relationships xmlns="http://schemas.openxmlformats.org/package/2006/relationships"><Relationship Type="http://schemas.openxmlformats.org/officeDocument/2006/relationships/externalLinkPath" Target="file:///\\&#50724;&#51648;&#50689;\D\KHJ\XLS\RC%20RAHMEN\&#54620;&#44221;\&#54620;&#44397;\&#51473;&#49328;&#44368;.XLS" TargetMode="External" Id="rId1"/></Relationships>
</file>

<file path=xl/externalLinks/_rels/externalLink31.xml.rels><Relationships xmlns="http://schemas.openxmlformats.org/package/2006/relationships"><Relationship Type="http://schemas.openxmlformats.org/officeDocument/2006/relationships/externalLinkPath" Target="file:///\\Jyd\&#45225;&#54408;&#48169;(&#51208;&#45824;&#49688;&#51221;&#44552;&#51648;)\&#49688;&#47049;&#49368;&#54540;\CHUNJU\&#50577;&#52492;&#49688;&#47049;\PKIDS\SURYANG\DONGC\TOP-BS\D-CHPIER.XLS" TargetMode="External" Id="rId1"/></Relationships>
</file>

<file path=xl/externalLinks/_rels/externalLink32.xml.rels><Relationships xmlns="http://schemas.openxmlformats.org/package/2006/relationships"><Relationship Type="http://schemas.openxmlformats.org/officeDocument/2006/relationships/externalLinkPath" Target="file:///\\Jyd\&#45225;&#54408;&#48169;(&#51208;&#45824;&#49688;&#51221;&#44552;&#51648;)\My%20Documents\&#46041;&#54644;&#44368;&#45824;\&#50745;&#48317;\&#48152;&#51473;&#47141;&#49885;(h=4.0m).xls" TargetMode="External" Id="rId1"/></Relationships>
</file>

<file path=xl/externalLinks/_rels/externalLink33.xml.rels><Relationships xmlns="http://schemas.openxmlformats.org/package/2006/relationships"><Relationship Type="http://schemas.openxmlformats.org/officeDocument/2006/relationships/externalLinkPath" Target="file:///C:\KHJ\XLS\RC&#49836;&#46972;&#48652;\&#54620;&#44221;\&#51473;&#49328;&#44368;.XLS" TargetMode="External" Id="rId1"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file:///\\&#50724;&#51648;&#50689;\D\KHJ\XLS\RC&#49836;&#46972;&#48652;\&#54620;&#44221;\&#51473;&#49328;&#44368;.XLS" TargetMode="External" Id="rId1"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file:///A:\TEMP\&#51648;&#44396;&#45800;&#50948;&#44228;&#54925;&#54408;&#49480;.xls" TargetMode="External" Id="rId1"/></Relationships>
</file>

<file path=xl/externalLinks/_rels/externalLink36.xml.rels><Relationships xmlns="http://schemas.openxmlformats.org/package/2006/relationships"><Relationship Type="http://schemas.openxmlformats.org/officeDocument/2006/relationships/externalLinkPath" Target="file:///\\Jyd\&#45225;&#54408;&#48169;(&#51208;&#45824;&#49688;&#51221;&#44552;&#51648;)\&#49688;&#47049;&#49368;&#54540;\CHUNJU\&#50577;&#52492;&#49688;&#47049;\EXABUT\HAILABUT.XLS" TargetMode="External" Id="rId1"/></Relationships>
</file>

<file path=xl/externalLinks/_rels/externalLink37.xml.rels><Relationships xmlns="http://schemas.openxmlformats.org/package/2006/relationships"><Relationship Type="http://schemas.openxmlformats.org/officeDocument/2006/relationships/externalLinkPath" Target="file:///B:\EXDATA\&#49688;&#47049;&#49328;&#52636;\&#44368;&#45824;&#53664;&#44277;.XLS" TargetMode="External" Id="rId1"/></Relationships>
</file>

<file path=xl/externalLinks/_rels/externalLink38.xml.rels><Relationships xmlns="http://schemas.openxmlformats.org/package/2006/relationships"><Relationship Type="http://schemas.openxmlformats.org/officeDocument/2006/relationships/externalLinkPath" Target="file:///\\&#52572;&#49345;&#50868;\C\My%20Documents\&#44396;&#48120;\&#44368;&#46041;&#49548;&#54616;&#52380;\BOX.xls" TargetMode="External" Id="rId1"/></Relationships>
</file>

<file path=xl/externalLinks/_rels/externalLink39.xml.rels><Relationships xmlns="http://schemas.openxmlformats.org/package/2006/relationships"><Relationship Type="http://schemas.openxmlformats.org/officeDocument/2006/relationships/externalLinkPath" Target="file:///\\&#51312;&#49464;&#50689;\&#46041;&#50577;&#46041;&#51652;&#51077;&#47196;\WINDOWS\&#48148;&#53461;%20&#54868;&#47732;\rrr.xls" TargetMode="External" Id="rId1"/></Relationships>
</file>

<file path=xl/externalLinks/_rels/externalLink40.xml.rels><Relationships xmlns="http://schemas.openxmlformats.org/package/2006/relationships"><Relationship Type="http://schemas.openxmlformats.org/officeDocument/2006/relationships/externalLinkPath" Target="file:///\\Jyd\&#45225;&#54408;&#48169;(&#51208;&#45824;&#49688;&#51221;&#44552;&#51648;)\&#49457;&#54788;&#51116;\&#49352;%20&#54260;&#45908;\&#46041;&#54644;&#51649;&#51217;5.XLS" TargetMode="External" Id="rId1"/></Relationships>
</file>

<file path=xl/externalLinks/_rels/externalLink41.xml.rels><Relationships xmlns="http://schemas.openxmlformats.org/package/2006/relationships"><Relationship Type="http://schemas.openxmlformats.org/officeDocument/2006/relationships/externalLinkPath" Target="file:///A:\TEMP\&#50857;&#50669;&#48708;&#49328;&#51221;2001.xls" TargetMode="External" Id="rId1"/></Relationships>
</file>

<file path=xl/externalLinks/_rels/externalLink42.xml.rels><Relationships xmlns="http://schemas.openxmlformats.org/package/2006/relationships"><Relationship Type="http://schemas.openxmlformats.org/officeDocument/2006/relationships/externalLinkPath" Target="file:///\\Jyd\&#45225;&#54408;&#48169;(&#51208;&#45824;&#49688;&#51221;&#44552;&#51648;)\My%20Documents\&#46041;&#54644;&#44368;&#45824;\&#44368;&#44033;\&#46041;&#54644;sam.xls" TargetMode="External" Id="rId1"/></Relationships>
</file>

<file path=xl/externalLinks/_rels/externalLink43.xml.rels><Relationships xmlns="http://schemas.openxmlformats.org/package/2006/relationships"><Relationship Type="http://schemas.openxmlformats.org/officeDocument/2006/relationships/externalLinkPath" Target="file:///\\Pc2\c\2003DWG\&#45208;&#46972;&#44148;&#49444;\&#50500;&#49888;&#49440;\&#50500;&#49888;&#49440;\&#49688;&#47049;&#49328;&#52636;\WORK\&#44221;&#52632;&#49440;\P24.xls" TargetMode="External" Id="rId1"/></Relationships>
</file>

<file path=xl/externalLinks/_rels/externalLink44.xml.rels><Relationships xmlns="http://schemas.openxmlformats.org/package/2006/relationships"><Relationship Type="http://schemas.openxmlformats.org/officeDocument/2006/relationships/externalLinkPath" Target="file:///\\&#48177;&#48337;&#49440;\&#44288;&#47532;&#49892;\&#50976;&#49688;&#51648;\Q-NEW\PIER2.XLS" TargetMode="External" Id="rId1"/></Relationships>
</file>

<file path=xl/externalLinks/_rels/externalLink45.xml.rels><Relationships xmlns="http://schemas.openxmlformats.org/package/2006/relationships"><Relationship Type="http://schemas.openxmlformats.org/officeDocument/2006/relationships/externalLinkPath" Target="file:///\\&#48177;&#48337;&#49440;\&#44288;&#47532;&#49892;\&#44221;&#52632;&#49440;%20&#52572;&#51333;\&#44221;&#52632;&#49440;%20&#49688;&#47049;\&#49688;&#47049;\&#49688;&#47049;(&#50896;&#48376;)\&#52384;&#44540;&#47049;\KU-R.xls" TargetMode="External" Id="rId1"/></Relationships>
</file>

<file path=xl/externalLinks/_rels/externalLink46.xml.rels><Relationships xmlns="http://schemas.openxmlformats.org/package/2006/relationships"><Relationship Type="http://schemas.openxmlformats.org/officeDocument/2006/relationships/externalLinkPath" Target="file:///\\&#44428;&#44540;&#50689;\&#44428;&#44540;&#50689;\My%20Documents\&#50641;&#49472;\DATA\ONGA.XLS" TargetMode="External" Id="rId1"/></Relationships>
</file>

<file path=xl/externalLinks/_rels/externalLink47.xml.rels><Relationships xmlns="http://schemas.openxmlformats.org/package/2006/relationships"><Relationship Type="http://schemas.openxmlformats.org/officeDocument/2006/relationships/externalLinkPath" Target="file:///\\&#51312;&#48276;&#54945;\C\DataBackup\&#49688;&#47049;&#49328;&#52636;&#49436;\09&#54252;&#51109;\&#54869;&#54253;&#48512;.xls" TargetMode="External" Id="rId1"/></Relationships>
</file>

<file path=xl/externalLinks/_rels/externalLink48.xml.rels><Relationships xmlns="http://schemas.openxmlformats.org/package/2006/relationships"><Relationship Type="http://schemas.openxmlformats.org/officeDocument/2006/relationships/externalLinkPath" Target="file:///C:\TEAM-5\Office\Excel\9609F\&#44608;&#52380;&#51068;&#50948;.XLS" TargetMode="External" Id="rId1"/></Relationships>
</file>

<file path=xl/externalLinks/_rels/externalLink49.xml.rels><Relationships xmlns="http://schemas.openxmlformats.org/package/2006/relationships"><Relationship Type="http://schemas.openxmlformats.org/officeDocument/2006/relationships/externalLinkPath" Target="file:///\\&#48149;&#47749;&#54984;\NETWORK\NETWORK\&#44221;&#48512;&#49440;-&#44368;&#44033;\&#49688;&#47049;&#51692;&#48981;\PIER44.xls" TargetMode="External" Id="rId1"/></Relationships>
</file>

<file path=xl/externalLinks/_rels/externalLink50.xml.rels><Relationships xmlns="http://schemas.openxmlformats.org/package/2006/relationships"><Relationship Type="http://schemas.openxmlformats.org/officeDocument/2006/relationships/externalLinkPath" Target="file:///\\Jyd\&#45225;&#54408;&#48169;(&#51208;&#45824;&#49688;&#51221;&#44552;&#51648;)\My%20Documents\&#46041;&#54644;&#44368;&#45824;\&#50745;&#48317;\&#49888;&#44600;(h-pile400).xls" TargetMode="External" Id="rId1"/></Relationships>
</file>

<file path=xl/externalLinks/_rels/externalLink51.xml.rels><Relationships xmlns="http://schemas.openxmlformats.org/package/2006/relationships"><Relationship Type="http://schemas.microsoft.com/office/2006/relationships/xlExternalLinkPath/xlStartup" Target="My%20Documents/&#44592;&#53440;/projct/ANSAN/EXL/GONG1818.XLS" TargetMode="External" Id="rId1"/></Relationships>
</file>

<file path=xl/externalLinks/_rels/externalLink52.xml.rels><Relationships xmlns="http://schemas.openxmlformats.org/package/2006/relationships"><Relationship Type="http://schemas.openxmlformats.org/officeDocument/2006/relationships/externalLinkPath" Target="file:///\\CMK\&#44032;&#51256;&#44032;&#49464;&#50836;\WINDOWS\Application%20Data\Microsoft\Templates\2000&#44221;&#51452;EXPO\7&#50900;file\&#46020;&#47196;&#44277;&#49324;\&#49436;&#50872;&#49884;CCTV.xls" TargetMode="External" Id="rId1"/></Relationships>
</file>

<file path=xl/externalLinks/_rels/externalLink53.xml.rels><Relationships xmlns="http://schemas.openxmlformats.org/package/2006/relationships"><Relationship Type="http://schemas.openxmlformats.org/officeDocument/2006/relationships/externalLinkPath" Target="file:///C:\TEAM-5\Office\Excel\9609F\&#44221;&#48513;&#51204;&#44592;.XLS" TargetMode="External" Id="rId1"/></Relationships>
</file>

<file path=xl/externalLinks/_rels/externalLink54.xml.rels><Relationships xmlns="http://schemas.openxmlformats.org/package/2006/relationships"><Relationship Type="http://schemas.openxmlformats.org/officeDocument/2006/relationships/externalLinkPath" Target="file:///\\Jyd\&#45225;&#54408;&#48169;(&#51208;&#45824;&#49688;&#51221;&#44552;&#51648;)\&#54532;&#47196;&#51229;&#53944;\&#51109;&#54637;&#49440;\&#44396;&#51312;\&#44368;&#45824;\ABUT.XLS" TargetMode="External" Id="rId1"/></Relationships>
</file>

<file path=xl/externalLinks/_rels/externalLink55.xml.rels><Relationships xmlns="http://schemas.openxmlformats.org/package/2006/relationships"><Relationship Type="http://schemas.openxmlformats.org/officeDocument/2006/relationships/externalLinkPath" Target="file:///\\KMS\&#45347;&#50612;&#51452;&#49464;&#50836;\WINDOWS\Application%20Data\Microsoft\Templates\MSOffice\99file\&#49436;&#50872;&#49884;CCTV.xls" TargetMode="External" Id="rId1"/></Relationships>
</file>

<file path=xl/externalLinks/_rels/externalLink56.xml.rels><Relationships xmlns="http://schemas.openxmlformats.org/package/2006/relationships"><Relationship Type="http://schemas.openxmlformats.org/officeDocument/2006/relationships/externalLinkPath" Target="file:///\\Pc2\c\2003DWG\&#45208;&#46972;&#44148;&#49444;\&#50500;&#49888;&#49440;\&#50500;&#49888;&#49440;\&#49688;&#47049;&#49328;&#52636;\&#49900;&#50948;&#48372;&#51089;&#50629;&#48169;\&#54532;&#47196;&#44536;&#47016;\&#44368;&#45824;&#50745;&#48317;\&#44368;&#45824;-&#50745;&#48317;.xls" TargetMode="External" Id="rId1"/></Relationships>
</file>

<file path=xl/externalLinks/_rels/externalLink57.xml.rels><Relationships xmlns="http://schemas.openxmlformats.org/package/2006/relationships"><Relationship Type="http://schemas.openxmlformats.org/officeDocument/2006/relationships/externalLinkPath" Target="file:///H:\&#50689;&#50629;&#50629;&#47924;\2011&#45380;\&#51648;&#51088;&#52404;\&#51228;&#52380;&#49884;\UPIS\&#48156;&#51452;&#51088;&#47308;&#51228;&#44277;_20110211\&#51228;&#52380;_UPIS_&#49444;&#44228;&#49436;_20110216_&#52488;&#50504;.xls" TargetMode="External" Id="rId1"/></Relationships>
</file>

<file path=xl/externalLinks/_rels/externalLink58.xml.rels><Relationships xmlns="http://schemas.openxmlformats.org/package/2006/relationships"><Relationship Type="http://schemas.openxmlformats.org/officeDocument/2006/relationships/externalLinkPath" Target="file:///\\Jyd\&#45225;&#54408;&#48169;(&#51208;&#45824;&#49688;&#51221;&#44552;&#51648;)\MSOffice\Excel\USER\B-WALL\B98P.XLS" TargetMode="External" Id="rId1"/></Relationships>
</file>

<file path=xl/externalLinks/_rels/externalLink59.xml.rels><Relationships xmlns="http://schemas.openxmlformats.org/package/2006/relationships"><Relationship Type="http://schemas.openxmlformats.org/officeDocument/2006/relationships/externalLinkPath" Target="file:///\\&#48177;&#48337;&#49440;\&#44288;&#47532;&#49892;\&#50976;&#49688;&#51648;\Q-NEW\PIER44.xls" TargetMode="External" Id="rId1"/></Relationships>
</file>

<file path=xl/externalLinks/_rels/externalLink60.xml.rels><Relationships xmlns="http://schemas.openxmlformats.org/package/2006/relationships"><Relationship Type="http://schemas.openxmlformats.org/officeDocument/2006/relationships/externalLinkPath" Target="file:///\\Jyd\&#45225;&#54408;&#48169;(&#51208;&#45824;&#49688;&#51221;&#44552;&#51648;)\My%20Documents\DDC5.XLS" TargetMode="External" Id="rId1"/></Relationships>
</file>

<file path=xl/externalLinks/_rels/externalLink61.xml.rels><Relationships xmlns="http://schemas.openxmlformats.org/package/2006/relationships"><Relationship Type="http://schemas.openxmlformats.org/officeDocument/2006/relationships/externalLinkPath" Target="file:///\\&#51060;&#44053;&#50980;\&#44600;&#46972;&#51105;&#51060;\&#49345;&#46041;&#49688;&#47049;\&#52509;&#44292;\TF&#49345;&#48512;&#49688;&#47049;.xls" TargetMode="External" Id="rId1"/></Relationships>
</file>

<file path=xl/externalLinks/_rels/externalLink62.xml.rels><Relationships xmlns="http://schemas.openxmlformats.org/package/2006/relationships"><Relationship Type="http://schemas.openxmlformats.org/officeDocument/2006/relationships/externalLinkPath" Target="file:///\\&#47928;&#51068;&#54805;\2002PROJECT\ys\&#54217;&#52285;&#53664;&#44277;.xls" TargetMode="External" Id="rId1"/></Relationships>
</file>

<file path=xl/externalLinks/_rels/externalLink63.xml.rels><Relationships xmlns="http://schemas.openxmlformats.org/package/2006/relationships"><Relationship Type="http://schemas.openxmlformats.org/officeDocument/2006/relationships/externalLinkPath" Target="file:///\\Hjy\&#44032;&#51256;&#44032;&#49464;&#50836;\&#51204;&#51088;&#51648;&#48520;&#49884;&#49828;&#53596;\C&#50532;C&#50896;&#44032;&#44228;&#49328;.xls" TargetMode="External" Id="rId1"/></Relationships>
</file>

<file path=xl/externalLinks/_rels/externalLink64.xml.rels><Relationships xmlns="http://schemas.openxmlformats.org/package/2006/relationships"><Relationship Type="http://schemas.openxmlformats.org/officeDocument/2006/relationships/externalLinkPath" Target="file:///\\Pc2\c\2003DWG\&#45208;&#46972;&#44148;&#49444;\&#50500;&#49888;&#49440;\&#50500;&#49888;&#49440;\&#49688;&#47049;&#49328;&#52636;\&#49900;&#50948;&#48372;&#51089;&#50629;&#48169;\&#54532;&#47196;&#44536;&#47016;\&#44368;&#45824;&#50745;&#48317;\djdg_A.xls" TargetMode="External" Id="rId1"/></Relationships>
</file>

<file path=xl/externalLinks/_rels/externalLink65.xml.rels><Relationships xmlns="http://schemas.openxmlformats.org/package/2006/relationships"><Relationship Type="http://schemas.microsoft.com/office/2006/relationships/xlExternalLinkPath/xlStartup" Target="My%20Documents/&#44592;&#53440;/projct/ANSAN/EXL/gongsu.xls" TargetMode="External" Id="rId1"/></Relationships>
</file>

<file path=xl/externalLinks/_rels/externalLink66.xml.rels><Relationships xmlns="http://schemas.openxmlformats.org/package/2006/relationships"><Relationship Type="http://schemas.openxmlformats.org/officeDocument/2006/relationships/externalLinkPath" Target="file:///\\&#50724;&#51648;&#50689;\D\&#51089;&#50629;&#49892;\&#46041;&#49328;&#44368;\&#52572;&#51333;&#49688;&#47049;\TEST\&#51473;&#49328;&#44368;.XLS" TargetMode="External" Id="rId1"/></Relationships>
</file>

<file path=xl/externalLinks/_rels/externalLink67.xml.rels><Relationships xmlns="http://schemas.openxmlformats.org/package/2006/relationships"><Relationship Type="http://schemas.openxmlformats.org/officeDocument/2006/relationships/externalLinkPath" Target="file:///C:\&#44277;&#50976;&#54260;&#45908;\&#49340;&#48393;&#48176;&#49688;&#47196;.xls" TargetMode="External" Id="rId1"/></Relationships>
</file>

<file path=xl/externalLinks/_rels/externalLink68.xml.rels><Relationships xmlns="http://schemas.openxmlformats.org/package/2006/relationships"><Relationship Type="http://schemas.openxmlformats.org/officeDocument/2006/relationships/externalLinkPath" Target="file:///C:\&#51089;&#50629;&#48169;\&#49328;&#52397;&#44400;\&#45800;&#44228;(11-2&#44277;&#44396;)\2&#52264;&#48320;&#44221;\&#45236;&#50669;\&#45800;&#44228;&#52380;(2&#54924;&#54869;&#51221;).xls" TargetMode="External" Id="rId1"/></Relationships>
</file>

<file path=xl/externalLinks/_rels/externalLink69.xml.rels><Relationships xmlns="http://schemas.openxmlformats.org/package/2006/relationships"><Relationship Type="http://schemas.openxmlformats.org/officeDocument/2006/relationships/externalLinkPath" Target="file:///\\&#44608;&#51221;&#54812;_PC\1WORKSHOP\1Kdm\&#53685;&#49888;\send\&#49457;&#48372;&#44060;&#48156;6&#52264;\&#48512;&#49328;&#52397;\&#51064;&#52380;&#54617;&#51061;&#46041;%20&#46041;&#50500;&#54413;&#47548;&#50500;&#54028;&#53944;&#54788;&#51109;.xls" TargetMode="External" Id="rId1"/></Relationships>
</file>

<file path=xl/externalLinks/_rels/externalLink70.xml.rels><Relationships xmlns="http://schemas.openxmlformats.org/package/2006/relationships"><Relationship Type="http://schemas.openxmlformats.org/officeDocument/2006/relationships/externalLinkPath" Target="file:///C:\&#45224;&#51221;&#50864;\&#54861;&#49328;&#52380;\&#45224;&#52492;&#51648;&#44396;\&#49688;&#47049;(&#45224;&#52492;).XLS" TargetMode="External" Id="rId1"/></Relationships>
</file>

<file path=xl/externalLinks/_rels/externalLink71.xml.rels><Relationships xmlns="http://schemas.openxmlformats.org/package/2006/relationships"><Relationship Type="http://schemas.openxmlformats.org/officeDocument/2006/relationships/externalLinkPath" Target="file:///\\&#48149;&#51008;&#49892;\&#54788;&#51109;&#48324;\E\Romee\program\&#44368;&#45824;&#44228;&#49328;(Excel)\abutxls\djdg_A.xls" TargetMode="External" Id="rId1"/></Relationships>
</file>

<file path=xl/externalLinks/_rels/externalLink72.xml.rels><Relationships xmlns="http://schemas.openxmlformats.org/package/2006/relationships"><Relationship Type="http://schemas.openxmlformats.org/officeDocument/2006/relationships/externalLinkPath" Target="file:///\\&#44608;&#54840;&#51333;\C\My%20Documents\EXCEL\&#44396;&#51312;\RAHMEN\&#54028;&#51060;&#54805;~1\&#46041;&#47932;&#51060;~1.XLS" TargetMode="External" Id="rId1"/></Relationships>
</file>

<file path=xl/externalLinks/_rels/externalLink73.xml.rels><Relationships xmlns="http://schemas.openxmlformats.org/package/2006/relationships"><Relationship Type="http://schemas.openxmlformats.org/officeDocument/2006/relationships/externalLinkPath" Target="file:///\\Jyd\&#45225;&#54408;&#48169;(&#51208;&#45824;&#49688;&#51221;&#44552;&#51648;)\PROJECT\&#51109;&#54637;&#49440;\&#44396;&#51312;\&#44368;&#45824;\IM\dh-a1.XLS" TargetMode="External" Id="rId1"/></Relationships>
</file>

<file path=xl/externalLinks/_rels/externalLink74.xml.rels><Relationships xmlns="http://schemas.openxmlformats.org/package/2006/relationships"><Relationship Type="http://schemas.openxmlformats.org/officeDocument/2006/relationships/externalLinkPath" Target="file:///A:\9701A\OUT\YES.XLS" TargetMode="External" Id="rId1"/></Relationships>
</file>

<file path=xl/externalLinks/_rels/externalLink75.xml.rels><Relationships xmlns="http://schemas.openxmlformats.org/package/2006/relationships"><Relationship Type="http://schemas.openxmlformats.org/officeDocument/2006/relationships/externalLinkPath" Target="file:///\\COORDINATION\&#49324;&#50629;&#51312;&#51221;&#44536;&#47353;\My%20Documents\&#49324;&#51060;&#53944;\&#50808;&#54872;&#51008;&#54665;\&#44204;&#51201;\&#50629;&#52404;&#48324;&#44204;&#51201;&#49436;2\704SUN.xls" TargetMode="External" Id="rId1"/></Relationships>
</file>

<file path=xl/externalLinks/_rels/externalLink76.xml.rels><Relationships xmlns="http://schemas.openxmlformats.org/package/2006/relationships"><Relationship Type="http://schemas.openxmlformats.org/officeDocument/2006/relationships/externalLinkPath" Target="file:///B:\OSO&#50500;&#49328;.XLS" TargetMode="External" Id="rId1"/></Relationships>
</file>

<file path=xl/externalLinks/_rels/externalLink77.xml.rels><Relationships xmlns="http://schemas.openxmlformats.org/package/2006/relationships"><Relationship Type="http://schemas.openxmlformats.org/officeDocument/2006/relationships/externalLinkPath" Target="file:///A:\&#50976;&#49688;&#51648;\Q-NEW\PIER2.XLS" TargetMode="External" Id="rId1"/></Relationships>
</file>

<file path=xl/externalLinks/_rels/externalLink78.xml.rels><Relationships xmlns="http://schemas.openxmlformats.org/package/2006/relationships"><Relationship Type="http://schemas.openxmlformats.org/officeDocument/2006/relationships/externalLinkPath" Target="file:///\\&#44608;&#54840;&#51333;\C\KHJ\XLS\RC&#49836;&#46972;&#48652;\&#54620;&#44221;\&#51473;&#49328;&#44368;.XLS" TargetMode="External" Id="rId1"/></Relationships>
</file>

<file path=xl/externalLinks/_rels/externalLink79.xml.rels><Relationships xmlns="http://schemas.openxmlformats.org/package/2006/relationships"><Relationship Type="http://schemas.openxmlformats.org/officeDocument/2006/relationships/externalLinkPath" Target="file:///A:\CIVIL\EXCLE\DAT\&#44256;&#50577;&#44288;&#51116;.XLS" TargetMode="External" Id="rId1"/></Relationships>
</file>

<file path=xl/externalLinks/_rels/externalLink80.xml.rels><Relationships xmlns="http://schemas.openxmlformats.org/package/2006/relationships"><Relationship Type="http://schemas.openxmlformats.org/officeDocument/2006/relationships/externalLinkPath" Target="file:///\\&#48149;&#49884;&#48276;\C\KHJ\XLS\RC&#49836;&#46972;&#48652;\&#54620;&#44221;\&#51473;&#49328;&#44368;.XLS" TargetMode="External" Id="rId1"/></Relationships>
</file>

<file path=xl/externalLinks/_rels/externalLink81.xml.rels><Relationships xmlns="http://schemas.openxmlformats.org/package/2006/relationships"><Relationship Type="http://schemas.openxmlformats.org/officeDocument/2006/relationships/externalLinkPath" Target="file:///A:\&#51473;&#49328;&#44368;.XLS" TargetMode="External" Id="rId1"/></Relationships>
</file>

<file path=xl/externalLinks/_rels/externalLink82.xml.rels><Relationships xmlns="http://schemas.openxmlformats.org/package/2006/relationships"><Relationship Type="http://schemas.openxmlformats.org/officeDocument/2006/relationships/externalLinkPath" Target="file:///\\&#49436;&#50689;&#49437;\D\Program%20Files\AutoCAD%20R14\&#49892;&#49884;\&#49569;&#46972;&#52488;&#46321;&#54617;&#44368;\&#45236;&#50669;&#49436;\&#49569;&#46972;&#52488;&#51473;&#54617;&#44368;(final).xls" TargetMode="External" Id="rId1"/></Relationships>
</file>

<file path=xl/externalLinks/_rels/externalLink83.xml.rels><Relationships xmlns="http://schemas.openxmlformats.org/package/2006/relationships"><Relationship Type="http://schemas.openxmlformats.org/officeDocument/2006/relationships/externalLinkPath" Target="file:///\\&#49436;&#50689;&#49437;\D\BAKUP\OLD-E\1760\1766\1766-1.xls" TargetMode="External" Id="rId1"/></Relationships>
</file>

<file path=xl/externalLinks/_rels/externalLink84.xml.rels><Relationships xmlns="http://schemas.openxmlformats.org/package/2006/relationships"><Relationship Type="http://schemas.openxmlformats.org/officeDocument/2006/relationships/externalLinkPath" Target="file:///\\&#50724;&#51648;&#50689;\D\TEST\&#51473;&#49328;&#44368;.XLS" TargetMode="External" Id="rId1"/></Relationships>
</file>

<file path=xl/externalLinks/_rels/externalLink85.xml.rels><Relationships xmlns="http://schemas.openxmlformats.org/package/2006/relationships"><Relationship Type="http://schemas.openxmlformats.org/officeDocument/2006/relationships/externalLinkPath" Target="file:///\\Jyd\&#45225;&#54408;&#48169;(&#51208;&#45824;&#49688;&#51221;&#44552;&#51648;)\MSOffice\Excel\PIER\stboxp1.xls" TargetMode="External" Id="rId1"/></Relationships>
</file>

<file path=xl/externalLinks/_rels/externalLink86.xml.rels><Relationships xmlns="http://schemas.openxmlformats.org/package/2006/relationships"><Relationship Type="http://schemas.openxmlformats.org/officeDocument/2006/relationships/externalLinkPath" Target="file:///C:\&#44256;&#49457;&#51648;&#44396;\2001&#45380;&#46020;%20&#54624;&#44277;&#51221;\00%20&#44256;&#49457;&#51648;&#44396;%20&#51221;&#49328;&#49436;.XLS" TargetMode="External" Id="rId1"/></Relationships>
</file>

<file path=xl/externalLinks/_rels/externalLink87.xml.rels><Relationships xmlns="http://schemas.openxmlformats.org/package/2006/relationships"><Relationship Type="http://schemas.openxmlformats.org/officeDocument/2006/relationships/externalLinkPath" Target="file:///\\Jyd\&#45225;&#54408;&#48169;(&#51208;&#45824;&#49688;&#51221;&#44552;&#51648;)\My%20Documents\&#46041;&#54644;&#44368;&#45824;\&#50745;&#48317;\&#48512;&#48317;&#49885;(h=6.50m).xls" TargetMode="External" Id="rId1"/></Relationships>
</file>

<file path=xl/externalLinks/_rels/externalLink88.xml.rels><Relationships xmlns="http://schemas.openxmlformats.org/package/2006/relationships"><Relationship Type="http://schemas.openxmlformats.org/officeDocument/2006/relationships/externalLinkPath" Target="file:///\\NTSERVER\hdd4\My%20Documents\PERSONAL\Q-ty-1.xls" TargetMode="External" Id="rId1"/></Relationships>
</file>

<file path=xl/externalLinks/_rels/externalLink89.xml.rels><Relationships xmlns="http://schemas.openxmlformats.org/package/2006/relationships"><Relationship Type="http://schemas.openxmlformats.org/officeDocument/2006/relationships/externalLinkPath" Target="file:///C:\TEST\&#51473;&#49328;&#44368;.XLS" TargetMode="External" Id="rId1"/></Relationships>
</file>

<file path=xl/externalLinks/_rels/externalLink90.xml.rels><Relationships xmlns="http://schemas.openxmlformats.org/package/2006/relationships"><Relationship Type="http://schemas.openxmlformats.org/officeDocument/2006/relationships/externalLinkPath" Target="file:///\\&#50724;&#51648;&#50689;\D\KHJ\XLS\RC%20RAHMEN\&#54620;&#44397;\&#51473;&#49328;&#44368;.XLS" TargetMode="External" Id="rId1"/></Relationships>
</file>

<file path=xl/externalLinks/_rels/externalLink91.xml.rels><Relationships xmlns="http://schemas.openxmlformats.org/package/2006/relationships"><Relationship Type="http://schemas.openxmlformats.org/officeDocument/2006/relationships/externalLinkPath" Target="file:///\\&#50668;&#47532;\&#50668;&#47532;D\Office\&#48149;&#44592;&#49324;%20&#51089;&#50629;&#50857;\DATA\MR-BAB\&#50641;&#49472;DATA\2.&#53664;&#44277;\&#48149;&#44592;&#49324;-&#45800;&#50948;&#49688;&#47049;.xls" TargetMode="External" Id="rId1"/></Relationships>
</file>

<file path=xl/externalLinks/_rels/externalLink92.xml.rels><Relationships xmlns="http://schemas.openxmlformats.org/package/2006/relationships"><Relationship Type="http://schemas.openxmlformats.org/officeDocument/2006/relationships/externalLinkPath" Target="file:///\\&#50724;&#51648;&#50689;\D\KHJ\XLS\DATA\&#51473;&#49328;&#44368;.XLS" TargetMode="External" Id="rId1"/></Relationships>
</file>

<file path=xl/externalLinks/_rels/externalLink93.xml.rels><Relationships xmlns="http://schemas.openxmlformats.org/package/2006/relationships"><Relationship Type="http://schemas.openxmlformats.org/officeDocument/2006/relationships/externalLinkPath" Target="file:///C:\KHJ\XLS\DATA\&#51473;&#49328;&#44368;.XLS" TargetMode="External" Id="rId1"/></Relationships>
</file>

<file path=xl/externalLinks/_rels/externalLink94.xml.rels><Relationships xmlns="http://schemas.openxmlformats.org/package/2006/relationships"><Relationship Type="http://schemas.openxmlformats.org/officeDocument/2006/relationships/externalLinkPath" Target="file:///H:\unzipped\1&#44277;&#44396;&#44277;&#45236;&#50669;\&#51204;&#44592;&#44228;&#51109;\&#54032;&#51221;&#54364;.XLS" TargetMode="External" Id="rId1"/></Relationships>
</file>

<file path=xl/externalLinks/_rels/externalLink95.xml.rels><Relationships xmlns="http://schemas.openxmlformats.org/package/2006/relationships"><Relationship Type="http://schemas.openxmlformats.org/officeDocument/2006/relationships/externalLinkPath" Target="file:///\\&#49900;&#44397;&#54620;\&#54532;&#47196;&#51229;&#53944;\&#44608;&#53468;&#51456;%20&#51076;&#49884;&#54028;&#51068;\imsi\&#50641;&#49472;&#50696;&#49328;&#49436;.xls" TargetMode="External" Id="rId1"/></Relationships>
</file>

<file path=xl/externalLinks/_rels/externalLink96.xml.rels><Relationships xmlns="http://schemas.openxmlformats.org/package/2006/relationships"><Relationship Type="http://schemas.openxmlformats.org/officeDocument/2006/relationships/externalLinkPath" Target="file:///\\Jyd\&#45225;&#54408;&#48169;(&#51208;&#45824;&#49688;&#51221;&#44552;&#51648;)\My%20Documents\&#46041;&#54644;&#44368;&#45824;\&#50745;&#48317;\&#48376;&#49440;&#48149;~1.XLS" TargetMode="External" Id="rId1"/></Relationships>
</file>

<file path=xl/externalLinks/_rels/externalLink97.xml.rels><Relationships xmlns="http://schemas.openxmlformats.org/package/2006/relationships"><Relationship Type="http://schemas.openxmlformats.org/officeDocument/2006/relationships/externalLinkPath" Target="file:///\\Forward\!!job!!\&#48512;&#45824;&#44277;EXCEL\&#49688;&#47049;-&#47589;\&#54840;&#45224;\&#48512;&#45824;&#44277;&#51088;&#47308;\excel\&#54788;&#51109;&#48143;&#54872;&#44221;.XLS" TargetMode="External" Id="rId1"/></Relationships>
</file>

<file path=xl/externalLinks/_rels/externalLink98.xml.rels><Relationships xmlns="http://schemas.openxmlformats.org/package/2006/relationships"><Relationship Type="http://schemas.openxmlformats.org/officeDocument/2006/relationships/externalLinkPath" Target="file:///\\&#51060;&#50689;&#52384;\C\2004&#45380;&#44277;&#49324;\&#44305;&#50577;&#49884;\&#44305;&#50689;\&#49444;&#44228;&#49436;\&#49688;&#47049;\&#51652;&#49345;-&#44396;&#51312;&#47932;&#44277;.XLS" TargetMode="External" Id="rId1"/></Relationships>
</file>

<file path=xl/externalLinks/_rels/externalLink99.xml.rels><Relationships xmlns="http://schemas.openxmlformats.org/package/2006/relationships"><Relationship Type="http://schemas.openxmlformats.org/officeDocument/2006/relationships/externalLinkPath" Target="file:///\\Jyd\&#45225;&#54408;&#48169;(&#51208;&#45824;&#49688;&#51221;&#44552;&#51648;)\&#51333;&#49440;&#51060;&#44732;\AHN\&#51453;&#51204;&#47532;%20&#51473;&#50521;&#50500;&#54028;&#53944;\&#50641;&#49472;\&#51453;&#51204;&#47532;&#49688;&#47049;&#49328;&#52636;&#49436;2.xls" TargetMode="External" Id="rId1"/></Relationships>
</file>

<file path=xl/externalLinks/_rels/externalLink100.xml.rels><Relationships xmlns="http://schemas.openxmlformats.org/package/2006/relationships"><Relationship Type="http://schemas.openxmlformats.org/officeDocument/2006/relationships/externalLinkPath" Target="file:///\\&#46300;&#47548;&#49884;&#51592;EZ\&#45208;C\My%20Documents\djdg.xla" TargetMode="External" Id="rId1"/></Relationships>
</file>

<file path=xl/externalLinks/_rels/externalLink101.xml.rels><Relationships xmlns="http://schemas.openxmlformats.org/package/2006/relationships"><Relationship Type="http://schemas.openxmlformats.org/officeDocument/2006/relationships/externalLinkPath" Target="file:///\\AHN\&#44032;&#51256;&#44032;&#49464;&#50836;\Documents%20and%20Settings\start\Local%20Settings\Temp\&#44048;&#50864;&#54924;(&#45208;&#45432;).zip&#50640;%20&#45824;&#54620;%20&#51076;&#49884;%20&#46356;&#47113;&#53552;&#47532;%201\office-file\&#54861;&#51648;&#50689;\2002&#45380;\0207\&#50640;&#47532;&#53944;&#54140;&#45768;&#52376;\&#47785;&#51116;&#50668;&#45803;&#51060;&#47928;&#50808;18&#51333;.xls" TargetMode="External" Id="rId1"/></Relationships>
</file>

<file path=xl/externalLinks/_rels/externalLink102.xml.rels><Relationships xmlns="http://schemas.openxmlformats.org/package/2006/relationships"><Relationship Type="http://schemas.openxmlformats.org/officeDocument/2006/relationships/externalLinkPath" Target="file:///\\&#48149;&#44540;&#49688;\MYDOCUMENTS\&#44204;&#51201;&#49436;\&#44204;&#51201;&#49436;(&#50641;&#49472;)\&#54532;&#47196;&#51229;&#53944;\&#54788;&#51228;&#51089;&#50629;&#49892;\&#46020;&#54868;,&#44221;&#54868;,&#44148;&#54868;\&#49457;&#45224;&#51008;&#54665;1&#44032;&#50517;&#51109;.xls" TargetMode="External" Id="rId1"/></Relationships>
</file>

<file path=xl/externalLinks/_rels/externalLink103.xml.rels><Relationships xmlns="http://schemas.openxmlformats.org/package/2006/relationships"><Relationship Type="http://schemas.openxmlformats.org/officeDocument/2006/relationships/externalLinkPath" Target="file:///\\&#48149;&#48124;&#49885;\D\excel\&#49352;%20&#54260;&#45908;\&#49352;%20&#54260;&#45908;\&#51008;&#54616;&#44368;~3.XLS" TargetMode="External" Id="rId1"/></Relationships>
</file>

<file path=xl/externalLinks/_rels/externalLink104.xml.rels><Relationships xmlns="http://schemas.openxmlformats.org/package/2006/relationships"><Relationship Type="http://schemas.openxmlformats.org/officeDocument/2006/relationships/externalLinkPath" Target="file:///A:\&#49884;&#55141;&#49884;&#51116;&#51221;&#48708;\&#51116;&#51221;&#48708;2.xls" TargetMode="External" Id="rId1"/></Relationships>
</file>

<file path=xl/externalLinks/_rels/externalLink105.xml.rels><Relationships xmlns="http://schemas.openxmlformats.org/package/2006/relationships"><Relationship Type="http://schemas.openxmlformats.org/officeDocument/2006/relationships/externalLinkPath" Target="file:///\\&#49900;&#49345;&#51312;\&#47196;&#52972;%20&#46356;&#49828;&#53356;%20(d)\&#45936;&#51060;&#53440;&#48169;\&#50500;&#50715;&#45216;&#51060;&#50668;\&#54840;&#50516;&#51648;&#48372;&#46020;&#50977;&#44368;\&#48320;&#44221;&#45236;&#50669;\99cost\&#51068;&#50948;&#45824;&#44032;\&#44592;&#53440;&#51068;&#50948;.xls" TargetMode="External" Id="rId1"/></Relationships>
</file>

<file path=xl/externalLinks/_rels/externalLink106.xml.rels><Relationships xmlns="http://schemas.openxmlformats.org/package/2006/relationships"><Relationship Type="http://schemas.openxmlformats.org/officeDocument/2006/relationships/externalLinkPath" Target="file:///A:\design\&#44221;&#49688;\&#52572;&#51333;\&#48176;&#49688;&#44060;&#49440;\&#44592;&#48376;&#49444;&#44228;\&#45236;&#44396;\excel\&#45236;&#44396;&#44277;&#49324;&#48708;1.xls" TargetMode="External" Id="rId1"/></Relationships>
</file>

<file path=xl/externalLinks/_rels/externalLink107.xml.rels><Relationships xmlns="http://schemas.openxmlformats.org/package/2006/relationships"><Relationship Type="http://schemas.openxmlformats.org/officeDocument/2006/relationships/externalLinkPath" Target="file:///A:\&#48155;&#52840;&#51116;&#49373;.xls" TargetMode="External" Id="rId1"/></Relationships>
</file>

<file path=xl/externalLinks/_rels/externalLink108.xml.rels><Relationships xmlns="http://schemas.openxmlformats.org/package/2006/relationships"><Relationship Type="http://schemas.openxmlformats.org/officeDocument/2006/relationships/externalLinkPath" Target="file:///C:\&#45936;&#51060;&#53440;&#48169;\&#50641;&#49472;&#51089;&#50629;\&#49345;&#51312;&#50641;&#49472;\&#51921;&#45236;&#50669;&#49436;\&#44277;&#49324;&#45236;&#50669;.XLS" TargetMode="External" Id="rId1"/></Relationships>
</file>

<file path=xl/externalLinks/_rels/externalLink109.xml.rels><Relationships xmlns="http://schemas.openxmlformats.org/package/2006/relationships"><Relationship Type="http://schemas.openxmlformats.org/officeDocument/2006/relationships/externalLinkPath" Target="file:///\\&#44608;&#45824;&#49688;\C\&#48372;&#49457;\&#51109;&#49457;\&#51652;&#50896;&#45909;&#52492;\&#44060;&#44144;.XLS" TargetMode="External" Id="rId1"/></Relationships>
</file>

<file path=xl/externalLinks/_rels/externalLink110.xml.rels><Relationships xmlns="http://schemas.openxmlformats.org/package/2006/relationships"><Relationship Type="http://schemas.openxmlformats.org/officeDocument/2006/relationships/externalLinkPath" Target="file:///\\&#49340;&#48372;586\&#44032;C\WINDOWS\&#48148;&#53461;%20&#54868;&#47732;\&#44053;&#51652;&#49688;&#47049;\&#49444;&#44228;&#54028;&#51068;&#47784;&#51020;\&#49444;&#44228;&#54532;&#47196;&#44536;&#47016;\&#51068;&#50948;&#45824;&#44032;&#54364;.xls" TargetMode="External" Id="rId1"/></Relationships>
</file>

<file path=xl/externalLinks/_rels/externalLink111.xml.rels><Relationships xmlns="http://schemas.openxmlformats.org/package/2006/relationships"><Relationship Type="http://schemas.openxmlformats.org/officeDocument/2006/relationships/externalLinkPath" Target="file:///\\&#47700;&#51064;\D\My%20Documents\&#44204;&#51201;\&#46041;&#45224;&#54633;&#49457;\&#44288;&#47532;\FORM\XLS\EQ9900000(&#45236;&#50669;&#49436;).xls" TargetMode="External" Id="rId1"/></Relationships>
</file>

<file path=xl/externalLinks/_rels/externalLink112.xml.rels><Relationships xmlns="http://schemas.openxmlformats.org/package/2006/relationships"><Relationship Type="http://schemas.openxmlformats.org/officeDocument/2006/relationships/externalLinkPath" Target="file:///H:\&#47196;&#52972;%20&#46356;&#49828;&#53356;%20(D)\&#51204;&#51116;&#54840;new1\UIS\&#49436;&#49328;&#49884;\&#48372;&#45236;&#51456;&#51088;&#47308;\&#49444;&#44228;&#49436;&#51089;&#49457;\&#44221;&#44592;&#46020;\&#44608;&#54252;&#49884;\05&#45380;%20&#46020;&#47196;%20&#48143;%20&#51648;&#54616;&#49884;&#49444;&#47932;\&#44552;&#50529;&#49444;&#44228;&#49436;\mySingle\Temp\&#49444;&#44228;3&#52264;\5)&#51648;&#47532;&#51221;&#48372;&#49436;&#48708;&#49828;\&#54868;&#49457;&#49884;%20&#46020;&#49884;&#51221;&#48372;&#49884;&#49828;&#53596;%20&#44396;&#52629;(&#46020;&#47196;%20&#48143;%20&#46020;&#47196;&#51064;&#53552;&#45367;).xls" TargetMode="External" Id="rId1"/></Relationships>
</file>

<file path=xl/externalLinks/_rels/externalLink113.xml.rels><Relationships xmlns="http://schemas.openxmlformats.org/package/2006/relationships"><Relationship Type="http://schemas.openxmlformats.org/officeDocument/2006/relationships/externalLinkPath" Target="file:///H:\&#47196;&#52972;%20&#46356;&#49828;&#53356;%20(D)\&#51204;&#51116;&#54840;new1\UIS\&#49436;&#49328;&#49884;\&#48372;&#45236;&#51456;&#51088;&#47308;\&#49444;&#44228;&#49436;&#51089;&#49457;\&#44221;&#44592;&#46020;\&#44608;&#54252;&#49884;\05&#45380;%20&#46020;&#47196;%20&#48143;%20&#51648;&#54616;&#49884;&#49444;&#47932;\&#44552;&#50529;&#49444;&#44228;&#49436;\mySingle\Temp\5)&#51648;&#47532;&#51221;&#48372;&#49436;&#48708;&#49828;\&#54868;&#49457;&#49884;%20&#46020;&#49884;&#51221;&#48372;&#49884;&#49828;&#53596;%20&#44396;&#52629;(&#46020;&#47196;%20&#48143;%20&#46020;&#47196;&#51064;&#53552;&#45367;).xls" TargetMode="External" Id="rId1"/></Relationships>
</file>

<file path=xl/externalLinks/_rels/externalLink114.xml.rels><Relationships xmlns="http://schemas.openxmlformats.org/package/2006/relationships"><Relationship Type="http://schemas.openxmlformats.org/officeDocument/2006/relationships/externalLinkPath" Target="file:///H:\&#47196;&#52972;%20&#46356;&#49828;&#53356;%20(D)\&#51204;&#51116;&#54840;new1\UIS\&#49436;&#49328;&#49884;\&#48372;&#45236;&#51456;&#51088;&#47308;\&#49444;&#44228;&#49436;&#51089;&#49457;\&#44221;&#44592;&#46020;\&#44608;&#54252;&#49884;\05&#45380;%20&#46020;&#47196;%20&#48143;%20&#51648;&#54616;&#49884;&#49444;&#47932;\&#44552;&#50529;&#49444;&#44228;&#49436;\mySingle\Temp\&#49444;&#44228;3&#52264;\5)&#51648;&#47532;&#51221;&#48372;&#49436;&#48708;&#49828;\&#54868;&#49457;&#49884;%20&#46020;&#49884;&#51221;&#48372;&#49884;&#49828;&#53596;%20&#44396;&#52629;(&#51648;&#47532;&#51221;&#48372;&#49436;&#48708;&#49828;).xls" TargetMode="External" Id="rId1"/></Relationships>
</file>

<file path=xl/externalLinks/_rels/externalLink115.xml.rels><Relationships xmlns="http://schemas.openxmlformats.org/package/2006/relationships"><Relationship Type="http://schemas.openxmlformats.org/officeDocument/2006/relationships/externalLinkPath" Target="file:///\\&#49436;&#45224;31\&#47196;&#52972;%20&#46356;&#49828;&#53356;%20(d)\&#44277;&#50976;\&#54620;&#50857;&#55148;\&#51089;&#50629;&#54028;&#51068;\excel\&#54616;&#49688;&#44288;&#44144;\&#48512;&#52380;&#54616;&#49688;&#44288;&#44144;\&#45236;&#50669;&#49436;\6&#52264;\&#45236;&#50669;&#49436;\4&#52264;\&#49444;&#44228;&#45236;&#50669;&#49436;(&#52572;&#51333;).xls" TargetMode="External" Id="rId1"/></Relationships>
</file>

<file path=xl/externalLinks/_rels/externalLink116.xml.rels><Relationships xmlns="http://schemas.openxmlformats.org/package/2006/relationships"><Relationship Type="http://schemas.openxmlformats.org/officeDocument/2006/relationships/externalLinkPath" Target="file:///\\&#51060;&#48120;&#54805;\MY%20DOCUMENTS\&#47928;&#49436;\&#44288;&#44277;&#49324;\&#44277;&#44592;&#49328;&#51221;.XLS" TargetMode="External" Id="rId1"/></Relationships>
</file>

<file path=xl/externalLinks/_rels/externalLink117.xml.rels><Relationships xmlns="http://schemas.openxmlformats.org/package/2006/relationships"><Relationship Type="http://schemas.openxmlformats.org/officeDocument/2006/relationships/externalLinkPath" Target="file:///\\&#49888;&#50857;&#46301;\06-&#44228;&#50557;&#44288;&#47144;\Documents%20and%20Settings\&#51060;&#44592;&#49328;\Local%20Settings\Temporary%20Internet%20Files\Content.IE5\PFRZ91KE\lim\down\&#50676;&#47536;&#44368;&#51221;&#48143;&#55092;&#49885;&#44277;&#50896;&#51312;&#49457;&#44277;&#49324;(&#49688;&#47049;&#49328;&#52636;2003.3)20).xls" TargetMode="External" Id="rId1"/></Relationships>
</file>

<file path=xl/externalLinks/_rels/externalLink118.xml.rels><Relationships xmlns="http://schemas.openxmlformats.org/package/2006/relationships"><Relationship Type="http://schemas.openxmlformats.org/officeDocument/2006/relationships/externalLinkPath" Target="file:///\\&#49436;&#45224;31\&#47196;&#52972;%20&#46356;&#49828;&#53356;%20(d)\&#44277;&#50976;\&#54620;&#50857;&#55148;\&#51089;&#50629;&#54028;&#51068;\excel\&#54616;&#49688;&#44288;&#44144;\&#44256;&#50577;&#54616;&#49688;&#44288;&#44144;\&#49444;&#44228;&#45236;&#50669;&#49436;\2&#52264;\&#51068;&#49328;&#45236;&#50669;(&#44288;&#44144;&#49892;&#49884;).xls" TargetMode="External" Id="rId1"/></Relationships>
</file>

<file path=xl/externalLinks/_rels/externalLink119.xml.rels><Relationships xmlns="http://schemas.openxmlformats.org/package/2006/relationships"><Relationship Type="http://schemas.openxmlformats.org/officeDocument/2006/relationships/externalLinkPath" Target="file:///C:\Documents%20and%20Settings\wooram\Local%20Settings\Temp\_AZTMP7_\&#52397;&#44305;&#48176;&#49688;&#47196;.xls" TargetMode="External" Id="rId1"/></Relationships>
</file>

<file path=xl/externalLinks/_rels/externalLink120.xml.rels><Relationships xmlns="http://schemas.openxmlformats.org/package/2006/relationships"><Relationship Type="http://schemas.openxmlformats.org/officeDocument/2006/relationships/externalLinkPath" Target="file:///H:\Documents%20and%20Settings\&#44608;&#49340;&#44260;\Local%20Settings\Temporary%20Internet%20Files\Content.IE5\ARC7MBW5\jjj\&#50696;&#52380;&#50577;&#49688;TL\&#50696;&#52380;&#50577;&#49688;TL\&#49888;&#44032;&#54217;_&#49888;&#54252;&#52380;&#50868;&#48152;&#50857;&#50669;&#49444;&#44228;0926.xls" TargetMode="External" Id="rId1"/></Relationships>
</file>

<file path=xl/externalLinks/_rels/externalLink121.xml.rels><Relationships xmlns="http://schemas.openxmlformats.org/package/2006/relationships"><Relationship Type="http://schemas.openxmlformats.org/officeDocument/2006/relationships/externalLinkPath" Target="file:///H:\&#49324;&#50629;&#44288;&#47532;\&#49324;&#50629;&#51648;&#50669;&#44396;&#48516;\&#44221;&#44592;&#51648;&#50669;\&#45224;&#50577;&#51452;&#49884;&#52397;\&#45224;&#50577;&#51452;2002\2002&#45380;&#50696;&#49328;&#51088;&#47308;\&#52488;&#50504;&#51089;&#49457;\&#45224;&#50577;&#51452;&#49884;&#52397;&#52628;&#44032;&#50629;&#47924;\&#51204;&#49328;&#49892;\&#49457;&#44284;&#49900;&#49324;&#48708;(&#51204;&#49328;).XLS" TargetMode="External" Id="rId1"/></Relationships>
</file>

<file path=xl/externalLinks/_rels/externalLink122.xml.rels><Relationships xmlns="http://schemas.openxmlformats.org/package/2006/relationships"><Relationship Type="http://schemas.openxmlformats.org/officeDocument/2006/relationships/externalLinkPath" Target="file:///\\Cosmos\d$\&#49324;&#50629;&#44288;&#47532;\&#44221;&#48513;&#51648;&#50669;\&#44221;&#49328;&#49884;&#52397;\&#52488;&#50504;&#51089;&#49457;\&#44221;&#49328;&#49884;&#44592;&#51456;&#51216;&#48143;&#51340;&#54364;&#48320;&#54872;.XLS" TargetMode="External" Id="rId1"/></Relationships>
</file>

<file path=xl/externalLinks/_rels/externalLink123.xml.rels><Relationships xmlns="http://schemas.openxmlformats.org/package/2006/relationships"><Relationship Type="http://schemas.openxmlformats.org/officeDocument/2006/relationships/externalLinkPath" Target="file:///\\&#51221;&#51648;&#54785;\C\&#51089;&#50629;&#49892;\&#50672;&#52380;&#44400;\&#50857;&#51064;&#49884;\wp\&#44032;&#49437;&#51648;&#44396;\&#45236;&#50669;&#49436;.xls" TargetMode="External" Id="rId1"/></Relationships>
</file>

<file path=xl/externalLinks/_rels/externalLink124.xml.rels><Relationships xmlns="http://schemas.openxmlformats.org/package/2006/relationships"><Relationship Type="http://schemas.openxmlformats.org/officeDocument/2006/relationships/externalLinkPath" Target="file:///\\&#50724;&#50857;&#54785;\E\WINDOWS\TEMP\ztv9163\&#54872;&#44221;&#50689;&#54693;&#54217;&#44032;.xls" TargetMode="External" Id="rId1"/></Relationships>
</file>

<file path=xl/externalLinks/_rels/externalLink125.xml.rels><Relationships xmlns="http://schemas.openxmlformats.org/package/2006/relationships"><Relationship Type="http://schemas.openxmlformats.org/officeDocument/2006/relationships/externalLinkPath" Target="file:///C:\0data\&#44204;&#51201;\&#44277;&#54637;,&#54637;&#47564;\J-&#44305;&#50577;&#54637;.xls" TargetMode="External" Id="rId1"/></Relationships>
</file>

<file path=xl/externalLinks/_rels/externalLink126.xml.rels><Relationships xmlns="http://schemas.openxmlformats.org/package/2006/relationships"><Relationship Type="http://schemas.openxmlformats.org/officeDocument/2006/relationships/externalLinkPath" Target="file:///H:\GIS\&#44256;&#47532;&#48513;&#44221;&#45224;TL\&#44608;&#51116;&#49457;\EXCEL\EXCEL\&#44277;&#51333;&#45800;&#44032;.XLS" TargetMode="External" Id="rId1"/></Relationships>
</file>

<file path=xl/externalLinks/_rels/externalLink127.xml.rels><Relationships xmlns="http://schemas.openxmlformats.org/package/2006/relationships"><Relationship Type="http://schemas.openxmlformats.org/officeDocument/2006/relationships/externalLinkPath" Target="file:///B:\TEMP\&#51312;&#51221;3&#50900;13&#51068;&#47308;&#51068;&#49352;&#48317;.xls" TargetMode="External" Id="rId1"/></Relationships>
</file>

<file path=xl/externalLinks/_rels/externalLink128.xml.rels><Relationships xmlns="http://schemas.openxmlformats.org/package/2006/relationships"><Relationship Type="http://schemas.openxmlformats.org/officeDocument/2006/relationships/externalLinkPath" Target="file:///C:\TEAM-5\My%20Documents\dacom\&#50896;&#51452;~&#51228;&#52380;\&#50896;&#51452;&#52572;&#51333;\&#50696;&#49328;&#45236;~1.XLS" TargetMode="External" Id="rId1"/></Relationships>
</file>

<file path=xl/externalLinks/_rels/externalLink129.xml.rels><Relationships xmlns="http://schemas.openxmlformats.org/package/2006/relationships"><Relationship Type="http://schemas.openxmlformats.org/officeDocument/2006/relationships/externalLinkPath" Target="file:///H:\&#52380;&#50504;&#44592;&#48376;&#44228;&#54925;\&#44288;&#47532;&#44228;&#54925;(&#48156;&#51452;&#44288;&#47144;)\&#47588;&#51068;&#47588;&#51068;\23&#51068;\3&#50900;%2023&#51068;\&#44396;&#51312;&#54868;%20&#48143;%20&#49549;&#49457;%20DB&#51077;&#47141;.xls" TargetMode="External" Id="rId1"/></Relationships>
</file>

<file path=xl/externalLinks/_rels/externalLink130.xml.rels><Relationships xmlns="http://schemas.openxmlformats.org/package/2006/relationships"><Relationship Type="http://schemas.openxmlformats.org/officeDocument/2006/relationships/externalLinkPath" Target="file:///C:\&#50857;&#50669;\&#49444;&#44228;&#50696;&#49328;&#49436;(&#49437;&#47928;&#46041;&#52380;)&#48320;&#44221;&#50577;&#49885;.xls" TargetMode="External" Id="rId1"/></Relationships>
</file>

<file path=xl/externalLinks/_rels/externalLink131.xml.rels><Relationships xmlns="http://schemas.openxmlformats.org/package/2006/relationships"><Relationship Type="http://schemas.openxmlformats.org/officeDocument/2006/relationships/externalLinkPath" Target="file:///C:\&#52380;&#50504;&#44592;&#48376;&#44228;&#54925;\&#44288;&#47532;&#44228;&#54925;(&#48156;&#51452;&#44288;&#47144;)\&#47588;&#51068;&#47588;&#51068;\23&#51068;\3&#50900;%2023&#51068;\&#44396;&#51312;&#54868;%20&#48143;%20&#49549;&#49457;%20DB&#51077;&#47141;.xls" TargetMode="External" Id="rId1"/></Relationships>
</file>

<file path=xl/externalLinks/_rels/externalLink132.xml.rels><Relationships xmlns="http://schemas.openxmlformats.org/package/2006/relationships"><Relationship Type="http://schemas.openxmlformats.org/officeDocument/2006/relationships/externalLinkPath" Target="file:///C:\My%20Documents\&#47924;&#47497;2&#51648;&#44396;\2&#52264;&#44277;&#49324;\&#49888;&#45817;2&#51648;&#44396;98esc\98ES&#45800;&#44032;.XLS" TargetMode="External" Id="rId1"/></Relationships>
</file>

<file path=xl/externalLinks/_rels/externalLink133.xml.rels><Relationships xmlns="http://schemas.openxmlformats.org/package/2006/relationships"><Relationship Type="http://schemas.openxmlformats.org/officeDocument/2006/relationships/externalLinkPath" Target="file:///B:\&#49324;&#50629;2000excell\E&#44397;&#51648;&#46020;\&#47928;&#44305;&#52397;&#52380;\2000year\&#52397;&#52380;&#44396;&#44036;\&#52397;&#52380;&#45909;&#54217;&#44036;\2000&#52397;&#52380;-&#45909;&#54217;&#48156;&#51452;&#54252;&#51109;1.xls" TargetMode="External" Id="rId1"/></Relationships>
</file>

<file path=xl/externalLinks/_rels/externalLink134.xml.rels><Relationships xmlns="http://schemas.openxmlformats.org/package/2006/relationships"><Relationship Type="http://schemas.openxmlformats.org/officeDocument/2006/relationships/externalLinkPath" Target="file:///H:\&#49324;&#50629;&#44288;&#47532;\&#49324;&#50629;&#51648;&#50669;&#44396;&#48516;\&#44221;&#45224;&#51648;&#50669;\&#51652;&#54644;&#49884;&#52397;\2002&#45380;&#48376;&#49324;&#50629;\1&#52264;&#45380;&#46020;_&#49444;&#44228;&#51221;&#49328;&#44288;&#47144;\&#52628;&#44032;\DB&#48376;&#49324;&#50629;\&#49444;&#44228;111.xls" TargetMode="External" Id="rId1"/></Relationships>
</file>

<file path=xl/externalLinks/_rels/externalLink135.xml.rels><Relationships xmlns="http://schemas.openxmlformats.org/package/2006/relationships"><Relationship Type="http://schemas.openxmlformats.org/officeDocument/2006/relationships/externalLinkPath" Target="file:///A:\ABB\SEBANG\INCHON\ELEC\DATA.XLS" TargetMode="External" Id="rId1"/></Relationships>
</file>

<file path=xl/externalLinks/_rels/externalLink136.xml.rels><Relationships xmlns="http://schemas.openxmlformats.org/package/2006/relationships"><Relationship Type="http://schemas.openxmlformats.org/officeDocument/2006/relationships/externalLinkPath" Target="file:///\\&#49888;&#46041;&#54596;\C\My%20Documents\2001&#45380;&#49688;&#47049;&#49328;&#52636;\&#49548;&#48169;&#46020;&#47196;\&#50857;&#49328;19&#53685;&#49548;&#48169;&#46020;&#47196;\&#49688;&#54924;~&#45824;&#51204;\&#54252;&#51109;&#44277;.xls" TargetMode="External" Id="rId1"/></Relationships>
</file>

<file path=xl/externalLinks/_rels/externalLink137.xml.rels><Relationships xmlns="http://schemas.openxmlformats.org/package/2006/relationships"><Relationship Type="http://schemas.openxmlformats.org/officeDocument/2006/relationships/externalLinkPath" Target="file:///H:\&#49444;&#44228;\&#46020;&#47196;\&#50948;&#54744;&#46020;&#47196;\&#50948;&#54744;&#46020;&#47196;&#44060;&#49440;&#49324;&#50629;(&#44305;&#51452;&#44397;&#46020;&#44288;&#47532;&#49548;&amp;2000.7)\&#54532;&#47196;&#51117;&#53944;1,2.xls" TargetMode="External" Id="rId1"/></Relationships>
</file>

<file path=xl/externalLinks/_rels/externalLink138.xml.rels><Relationships xmlns="http://schemas.openxmlformats.org/package/2006/relationships"><Relationship Type="http://schemas.openxmlformats.org/officeDocument/2006/relationships/externalLinkPath" Target="file:///A:\My%20Documents\&#45236;&#50669;&#49436;\aaa\a1\kim\SDS\LGEN\ROOM\ASAN\C1&#52509;&#44292;.XLS" TargetMode="External" Id="rId1"/></Relationships>
</file>

<file path=xl/externalLinks/_rels/externalLink139.xml.rels><Relationships xmlns="http://schemas.openxmlformats.org/package/2006/relationships"><Relationship Type="http://schemas.openxmlformats.org/officeDocument/2006/relationships/externalLinkPath" Target="file:///A:\design\&#44221;&#49688;\&#52572;&#51333;\My%20Documents\&#54924;&#47329;&#44592;&#48376;\&#44277;&#49324;&#48708;.xls" TargetMode="External" Id="rId1"/></Relationships>
</file>

<file path=xl/externalLinks/_rels/externalLink140.xml.rels><Relationships xmlns="http://schemas.openxmlformats.org/package/2006/relationships"><Relationship Type="http://schemas.openxmlformats.org/officeDocument/2006/relationships/externalLinkPath" Target="file:///\\&#53468;&#48156;&#51060;\C\2003&#45380;&#44277;&#49324;\&#51109;&#49457;&#54588;&#50516;&#49436;&#50896;\&#44648;&#44592;\&#51228;&#51312;\&#53356;&#47021;&#53356;&#50808;\EXCEL\&#51312;&#44221;&#45236;.XLS" TargetMode="External" Id="rId1"/></Relationships>
</file>

<file path=xl/externalLinks/_rels/externalLink141.xml.rels><Relationships xmlns="http://schemas.openxmlformats.org/package/2006/relationships"><Relationship Type="http://schemas.openxmlformats.org/officeDocument/2006/relationships/externalLinkPath" Target="file:///\\HMW\&#50689;&#46041;-&#44608;&#52380;(LM\03-&#49688;&#47049;&#49328;&#52636;&#49436;(&#50896;&#44032;&#49688;&#47049;)\08-&#54889;&#44036;IC&#50977;&#44368;\01-&#49345;&#48512;\11.xls" TargetMode="External" Id="rId1"/></Relationships>
</file>

<file path=xl/externalLinks/_rels/externalLink142.xml.rels><Relationships xmlns="http://schemas.openxmlformats.org/package/2006/relationships"><Relationship Type="http://schemas.openxmlformats.org/officeDocument/2006/relationships/externalLinkPath" Target="file:///C:\Work\&#50857;&#50896;-&#54617;&#49457;%20'01\&#50516;&#44144;&#49688;&#47049;&#49328;&#52636;(&#52572;&#51333;).xls" TargetMode="External" Id="rId1"/></Relationships>
</file>

<file path=xl/externalLinks/_rels/externalLink143.xml.rels><Relationships xmlns="http://schemas.openxmlformats.org/package/2006/relationships"><Relationship Type="http://schemas.openxmlformats.org/officeDocument/2006/relationships/externalLinkPath" Target="file:///\\&#51076;&#51008;&#51452;\C\&#51076;&#49884;&#54260;&#45908;\&#48176;&#49688;&#44277;33.xls" TargetMode="External" Id="rId1"/></Relationships>
</file>

<file path=xl/externalLinks/_rels/externalLink144.xml.rels><Relationships xmlns="http://schemas.openxmlformats.org/package/2006/relationships"><Relationship Type="http://schemas.openxmlformats.org/officeDocument/2006/relationships/externalLinkPath" Target="file:///\\&#51221;&#52384;&#50896;\C\&#49345;&#51312;&#50641;&#49472;\&#49688;&#47049;&#49328;&#52636;\&#54252;&#51109;&#44277;&#49548;&#47196;2-437.xls" TargetMode="External" Id="rId1"/></Relationships>
</file>

<file path=xl/externalLinks/_rels/externalLink145.xml.rels><Relationships xmlns="http://schemas.openxmlformats.org/package/2006/relationships"><Relationship Type="http://schemas.openxmlformats.org/officeDocument/2006/relationships/externalLinkPath" Target="file:///\\&#48149;&#49884;&#48276;\C\TEST\&#51473;&#49328;&#44368;.XLS" TargetMode="External" Id="rId1"/></Relationships>
</file>

<file path=xl/externalLinks/_rels/externalLink146.xml.rels><Relationships xmlns="http://schemas.openxmlformats.org/package/2006/relationships"><Relationship Type="http://schemas.openxmlformats.org/officeDocument/2006/relationships/externalLinkPath" Target="file:///C:\My%20Documents\&#44144;&#48393;&#44368;\&#44144;&#48393;ES&#44160;&#53664;\ES&#44144;&#48393;&#45800;&#44032;.xls" TargetMode="External" Id="rId1"/></Relationships>
</file>

<file path=xl/externalLinks/_rels/externalLink147.xml.rels><Relationships xmlns="http://schemas.openxmlformats.org/package/2006/relationships"><Relationship Type="http://schemas.openxmlformats.org/officeDocument/2006/relationships/externalLinkPath" Target="file:///C:\backup\PROJBACKUP\&#45800;&#50577;&#44400;\&#44032;&#45824;&#46020;&#47196;\word\&#44032;&#45824;&#49688;&#47049;\&#44053;&#51652;&#50868;&#50516;.xls" TargetMode="External" Id="rId1"/></Relationships>
</file>

<file path=xl/externalLinks/_rels/externalLink148.xml.rels><Relationships xmlns="http://schemas.openxmlformats.org/package/2006/relationships"><Relationship Type="http://schemas.openxmlformats.org/officeDocument/2006/relationships/externalLinkPath" Target="file:///H:\&#47196;&#52972;%20&#46356;&#49828;&#53356;%20(D)\&#51204;&#51116;&#54840;new1\UIS\&#49436;&#49328;&#49884;\&#48372;&#45236;&#51456;&#51088;&#47308;\&#49444;&#44228;&#49436;&#51089;&#49457;\&#44221;&#44592;&#46020;\&#44608;&#54252;&#49884;\05&#45380;%20&#46020;&#47196;%20&#48143;%20&#51648;&#54616;&#49884;&#49444;&#47932;\&#44552;&#50529;&#49444;&#44228;&#49436;\ysw_data\2003\&#54620;&#48120;&#47476;\&#51228;&#50504;&#51089;&#50629;\&#48324;&#52392;4%20&#54620;&#48120;&#47476;%20&#49324;&#50629;&#49444;&#44228;&#49436;.xls" TargetMode="External" Id="rId1"/></Relationships>
</file>

<file path=xl/externalLinks/_rels/externalLink149.xml.rels><Relationships xmlns="http://schemas.openxmlformats.org/package/2006/relationships"><Relationship Type="http://schemas.openxmlformats.org/officeDocument/2006/relationships/externalLinkPath" Target="file:///\\Csh\&#44277;&#50976;%20&#44536;&#47548;\&#51076;&#49884;&#54028;&#51068;\KNK\2002&#45380;\&#50896;&#44032;&#44228;&#49328;\&#48372;&#46972;&#47588;&#48337;&#50896;\office%20&#50577;&#49885;\I&#19968;&#33324;&#27604;.xls" TargetMode="External" Id="rId1"/></Relationships>
</file>

<file path=xl/externalLinks/_rels/externalLink150.xml.rels><Relationships xmlns="http://schemas.openxmlformats.org/package/2006/relationships"><Relationship Type="http://schemas.openxmlformats.org/officeDocument/2006/relationships/externalLinkPath" Target="file:///C:\My%20Documents\&#49444;&#44228;&#48320;&#44221;\&#49888;&#45817;2&#44396;\99DS&#44160;&#53664;\9903&#45800;&#44032;.XLS" TargetMode="External" Id="rId1"/></Relationships>
</file>

<file path=xl/externalLinks/_rels/externalLink151.xml.rels><Relationships xmlns="http://schemas.openxmlformats.org/package/2006/relationships"><Relationship Type="http://schemas.openxmlformats.org/officeDocument/2006/relationships/externalLinkPath" Target="file:///\\&#54788;&#51452;1\C\&#46020;&#47196;\&#44600;&#51452;\&#44552;&#54840;&#51648;&#44396;-&#49436;&#44305;&#51452;&#50669;&#44036;%20&#46020;&#47196;&#44060;&#49444;&#44277;&#49324;\&#51204;&#44592;&#49884;&#48169;&#49436;\HWP\&#44032;&#47196;&#46321;&#49328;&#52636;&#49436;.xls" TargetMode="External" Id="rId1"/></Relationships>
</file>

<file path=xl/externalLinks/_rels/externalLink152.xml.rels><Relationships xmlns="http://schemas.openxmlformats.org/package/2006/relationships"><Relationship Type="http://schemas.openxmlformats.org/officeDocument/2006/relationships/externalLinkPath" Target="file:///\\KNK\&#44032;&#51256;&#44032;&#49464;&#50836;\&#44221;&#52272;&#51333;&#54633;&#54617;&#44368;-&#49548;&#44033;&#45432;\&#46020;&#44277;-&#51088;&#44592;&#53685;&#54665;&#44428;\2003&#45380;&#54364;&#51648;&#50577;&#49885;\&#48372;&#46972;&#47588;&#48337;&#50896;\WINDOWS\Application%20Data\Microsoft\Templates\MSOffice\99file\&#49436;&#50872;&#49884;&#49888;&#54840;-2.xls" TargetMode="External" Id="rId1"/></Relationships>
</file>

<file path=xl/externalLinks/_rels/externalLink153.xml.rels><Relationships xmlns="http://schemas.openxmlformats.org/package/2006/relationships"><Relationship Type="http://schemas.microsoft.com/office/2006/relationships/xlExternalLinkPath/xlStartup" Target="IC&#49688;&#47049;/&#48176;&#49688;&#44288;&#44277;(IC).xls" TargetMode="External" Id="rId1"/></Relationships>
</file>

<file path=xl/externalLinks/_rels/externalLink154.xml.rels><Relationships xmlns="http://schemas.openxmlformats.org/package/2006/relationships"><Relationship Type="http://schemas.openxmlformats.org/officeDocument/2006/relationships/externalLinkPath" Target="file:///C:\TEAM-5\My%20Documents\dacom\&#50896;&#51452;~&#51228;&#52380;\&#50896;&#51452;&#52572;&#51333;\&#53685;&#51068;&#51068;&#50948;1.xls" TargetMode="External" Id="rId1"/></Relationships>
</file>

<file path=xl/externalLinks/_rels/externalLink155.xml.rels><Relationships xmlns="http://schemas.openxmlformats.org/package/2006/relationships"><Relationship Type="http://schemas.openxmlformats.org/officeDocument/2006/relationships/externalLinkPath" Target="file:///A:\99&#51452;&#44277;-&#49688;&#48176;&#51613;&#48729;&#51088;&#47308;.xls" TargetMode="External" Id="rId1"/></Relationships>
</file>

<file path=xl/externalLinks/_rels/externalLink156.xml.rels><Relationships xmlns="http://schemas.openxmlformats.org/package/2006/relationships"><Relationship Type="http://schemas.openxmlformats.org/officeDocument/2006/relationships/externalLinkPath" Target="file:///\\&#49468;&#49464;&#51060;&#49496;\C\&#44608;&#50472;%5e%5e;\&#51652;&#50501;&#48177;&#50868;&#46041;\xls\&#44053;&#51652;&#50868;&#50516;.xls" TargetMode="External" Id="rId1"/></Relationships>
</file>

<file path=xl/externalLinks/_rels/externalLink157.xml.rels><Relationships xmlns="http://schemas.openxmlformats.org/package/2006/relationships"><Relationship Type="http://schemas.openxmlformats.org/officeDocument/2006/relationships/externalLinkPath" Target="file:///\\&#50689;&#48372;1\C\EXCEL\&#48124;&#47672;&#47532;\&#52769;&#44396;2.XLS" TargetMode="External" Id="rId1"/></Relationships>
</file>

<file path=xl/externalLinks/_rels/externalLink158.xml.rels><Relationships xmlns="http://schemas.openxmlformats.org/package/2006/relationships"><Relationship Type="http://schemas.openxmlformats.org/officeDocument/2006/relationships/externalLinkPath" Target="file:///\\&#51060;&#46041;&#50689;\C\&#54620;&#44228;2&#44368;\&#49688;&#47049;\&#54620;&#44228;2&#44368;&#49688;&#47049;-1.xls" TargetMode="External" Id="rId1"/></Relationships>
</file>

<file path=xl/externalLinks/_rels/externalLink159.xml.rels><Relationships xmlns="http://schemas.openxmlformats.org/package/2006/relationships"><Relationship Type="http://schemas.openxmlformats.org/officeDocument/2006/relationships/externalLinkPath" Target="file:///\\&#46020;&#47196;&#48512;&#49436;&#48260;\&#44053;&#47497;&#44264;&#54532;&#51109;\ys\&#54217;&#52285;&#53664;&#44277;.xls" TargetMode="External" Id="rId1"/></Relationships>
</file>

<file path=xl/externalLinks/_rels/externalLink160.xml.rels><Relationships xmlns="http://schemas.openxmlformats.org/package/2006/relationships"><Relationship Type="http://schemas.openxmlformats.org/officeDocument/2006/relationships/externalLinkPath" Target="file:///\\HMW\12&#50900;27&#51068;CDWR\old-com\GA-DUK\XLS\RAMP-1\GOOMI\DOHWA03.XLS" TargetMode="External" Id="rId1"/></Relationships>
</file>

<file path=xl/externalLinks/_rels/externalLink161.xml.rels><Relationships xmlns="http://schemas.openxmlformats.org/package/2006/relationships"><Relationship Type="http://schemas.openxmlformats.org/officeDocument/2006/relationships/externalLinkPath" Target="file:///A:\aaa\a1\kim\SDS\LGEN\ROOM\ASAN\C1&#52509;&#44292;.XLS" TargetMode="External" Id="rId1"/></Relationships>
</file>

<file path=xl/externalLinks/_rels/externalLink162.xml.rels><Relationships xmlns="http://schemas.openxmlformats.org/package/2006/relationships"><Relationship Type="http://schemas.openxmlformats.org/officeDocument/2006/relationships/externalLinkPath" Target="file:///C:\My%20Documents\&#53468;&#49457;&#52628;&#51216;\&#44592;&#49457;2002\&#47928;&#49436;\&#47928;&#49436;6.xls" TargetMode="External" Id="rId1"/></Relationships>
</file>

<file path=xl/externalLinks/_rels/externalLink163.xml.rels><Relationships xmlns="http://schemas.openxmlformats.org/package/2006/relationships"><Relationship Type="http://schemas.openxmlformats.org/officeDocument/2006/relationships/externalLinkPath" Target="file:///C:\My%20Documents\&#53468;&#49457;&#52628;&#51216;\&#44592;&#49457;2002\My%20Documents\&#54616;&#49688;&#51333;&#47568;\&#45800;&#44032;&#49328;&#52636;\98ES&#45800;&#44032;.XLS" TargetMode="External" Id="rId1"/></Relationships>
</file>

<file path=xl/externalLinks/_rels/externalLink164.xml.rels><Relationships xmlns="http://schemas.openxmlformats.org/package/2006/relationships"><Relationship Type="http://schemas.openxmlformats.org/officeDocument/2006/relationships/externalLinkPath" Target="file:///C:\ACAD%20DATA\&#44148;&#54868;\&#51453;%20&#51204;\Magpie\&#50857;&#51064;&#51453;&#51204;&#51648;&#44396;%20&#52572;&#51333;&#46020;&#47732;\&#47928;&#49436;\&#49688;&#47049;&#49328;&#52636;&#49436;\GOOMI\DOHWA03.XLS" TargetMode="External" Id="rId1"/></Relationships>
</file>

<file path=xl/externalLinks/_rels/externalLink165.xml.rels><Relationships xmlns="http://schemas.openxmlformats.org/package/2006/relationships"><Relationship Type="http://schemas.openxmlformats.org/officeDocument/2006/relationships/externalLinkPath" Target="file:///H:\&#54868;&#49692;&#44256;&#51064;&#46028;&#44277;&#50896;&#51312;&#49457;&#49324;&#50629;\&#44284;&#50629;&#51648;&#49884;&#49436;&#48143;%20&#49444;&#44228;&#45236;&#50669;&#49436;\&#52769;&#47049;&#45236;&#50669;&#49436;\&#44428;&#47532;&#51312;&#49324;.XLS" TargetMode="External" Id="rId1"/></Relationships>
</file>

<file path=xl/externalLinks/_rels/externalLink166.xml.rels><Relationships xmlns="http://schemas.openxmlformats.org/package/2006/relationships"><Relationship Type="http://schemas.openxmlformats.org/officeDocument/2006/relationships/externalLinkPath" Target="file:///C:\Documents%20and%20Settings\&#50724;&#49440;&#51652;\My%20Documents\My%20data\2003&#45380;&#46020;\&#50857;&#49328;&#44053;&#54788;\&#47932;&#44032;&#48320;&#46041;\&#47924;&#47497;2&#51648;&#44396;\2&#52264;&#44277;&#49324;\&#49888;&#45817;2&#51648;&#44396;98esc\98ES&#45800;&#44032;.XLS" TargetMode="External" Id="rId1"/></Relationships>
</file>

<file path=xl/externalLinks/_rels/externalLink167.xml.rels><Relationships xmlns="http://schemas.openxmlformats.org/package/2006/relationships"><Relationship Type="http://schemas.openxmlformats.org/officeDocument/2006/relationships/externalLinkPath" Target="file:///H:\&#49324;&#50629;&#44288;&#47532;\&#49324;&#50629;&#51648;&#50669;&#44396;&#48516;\&#44221;&#44592;&#51648;&#50669;\&#50504;&#50577;&#49884;&#52397;\&#51648;&#54616;&#49884;&#49444;&#47932;&#51204;&#49328;&#54868;&#49324;&#50629;\&#50504;&#50577;&#49884;&#52628;&#44032;&#49444;&#44228;&#51473;\&#49688;&#52824;&#51648;&#46020;&#48512;&#48516;\04&#50504;&#50577;&#49688;&#52824;&#51648;&#46020;&#51228;&#51089;.xls" TargetMode="External" Id="rId1"/></Relationships>
</file>

<file path=xl/externalLinks/_rels/externalLink168.xml.rels><Relationships xmlns="http://schemas.openxmlformats.org/package/2006/relationships"><Relationship Type="http://schemas.openxmlformats.org/officeDocument/2006/relationships/externalLinkPath" Target="file:///A:\aaa\a1\kim\SDS\LGEN\MIRAN\OSO&#50500;&#49328;.XLS" TargetMode="External" Id="rId1"/></Relationships>
</file>

<file path=xl/externalLinks/_rels/externalLink169.xml.rels><Relationships xmlns="http://schemas.openxmlformats.org/package/2006/relationships"><Relationship Type="http://schemas.openxmlformats.org/officeDocument/2006/relationships/externalLinkPath" Target="file:///\\7\d\W-EXCEL\&#49688;&#47049;&#49328;&#52636;&#49436;\&#45824;&#44396;&#51652;&#52380;&#49340;&#49457;APT.xls" TargetMode="External" Id="rId1"/></Relationships>
</file>

<file path=xl/externalLinks/_rels/externalLink170.xml.rels><Relationships xmlns="http://schemas.openxmlformats.org/package/2006/relationships"><Relationship Type="http://schemas.openxmlformats.org/officeDocument/2006/relationships/externalLinkPath" Target="file:///C:\&#51076;&#49884;&#54260;&#45908;\&#48176;&#49688;&#44277;33.xls" TargetMode="External" Id="rId1"/></Relationships>
</file>

<file path=xl/externalLinks/_rels/externalLink171.xml.rels><Relationships xmlns="http://schemas.openxmlformats.org/package/2006/relationships"><Relationship Type="http://schemas.openxmlformats.org/officeDocument/2006/relationships/externalLinkPath" Target="file:///H:\&#47196;&#52972;%20&#46356;&#49828;&#53356;%20(D)\&#51204;&#51116;&#54840;new1\UIS\&#49436;&#49328;&#49884;\&#48372;&#45236;&#51456;&#51088;&#47308;\&#49444;&#44228;&#49436;&#51089;&#49457;\&#44221;&#44592;&#46020;\&#44608;&#54252;&#49884;\05&#45380;%20&#46020;&#47196;%20&#48143;%20&#51648;&#54616;&#49884;&#49444;&#47932;\&#44552;&#50529;&#49444;&#44228;&#49436;\&#45208;&#51032;%20&#51089;&#50629;&#51109;\&#51648;&#51088;&#52404;\&#44608;&#51228;&#49884;\&#44228;&#50557;\&#44228;&#50557;&#50857;%20&#52572;&#51333;\&#44608;&#51228;&#49884;%20&#46020;&#47196;&#50752;%20&#51648;&#54616;&#49884;&#49444;&#47932;%20&#44277;&#46041;&#44396;&#52629;&#49324;&#50629;%20&#49444;&#44228;&#49436;_&#44228;&#50557;(1&#52264;&#45380;&#46020;)_1.xls" TargetMode="External" Id="rId1"/></Relationships>
</file>

<file path=xl/externalLinks/_rels/externalLink172.xml.rels><Relationships xmlns="http://schemas.openxmlformats.org/package/2006/relationships"><Relationship Type="http://schemas.openxmlformats.org/officeDocument/2006/relationships/externalLinkPath" Target="file:///\\&#51312;&#51064;&#49688;\C\My%20Documents\&#46020;&#47196;\&#50756;&#46020;&#54840;&#50504;\&#46041;&#44256;&#54840;&#50504;\&#53664;%20%20&#44277;.xls" TargetMode="External" Id="rId1"/></Relationships>
</file>

<file path=xl/externalLinks/_rels/externalLink173.xml.rels><Relationships xmlns="http://schemas.openxmlformats.org/package/2006/relationships"><Relationship Type="http://schemas.openxmlformats.org/officeDocument/2006/relationships/externalLinkPath" Target="http://105.19.10.2:8880/servlet/&#51648;&#45432;/2003/&#51032;&#51221;&#48512;&#49884;/&#51032;&#51221;&#48512;%20%20&#49345;&#54616;&#49688;&#46020;%20&#49444;&#44228;&#45236;&#50669;&#49436;_1.2.xls" TargetMode="External" Id="rId1"/></Relationships>
</file>

<file path=xl/externalLinks/_rels/externalLink174.xml.rels><Relationships xmlns="http://schemas.openxmlformats.org/package/2006/relationships"><Relationship Type="http://schemas.openxmlformats.org/officeDocument/2006/relationships/externalLinkPath" Target="file:///B:\&#54632;&#49688;&#50672;&#49845;.xls" TargetMode="External" Id="rId1"/></Relationships>
</file>

<file path=xl/externalLinks/_rels/externalLink175.xml.rels><Relationships xmlns="http://schemas.openxmlformats.org/package/2006/relationships"><Relationship Type="http://schemas.openxmlformats.org/officeDocument/2006/relationships/externalLinkPath" Target="file:///A:\Documents%20and%20Settings\Administrator\My%20Documents\&#50836;&#54616;&#45768;&#47928;&#49436;\&#50629;&#47924;&#54260;&#45908;\&#44204;&#51201;&#49436;\&#44204;&#51201;&#49436;&#50577;&#49885;\&#54364;&#51456;&#45800;&#44032;&#49328;&#52636;&#50577;&#49885;.xls" TargetMode="External" Id="rId1"/></Relationships>
</file>

<file path=xl/externalLinks/_rels/externalLink176.xml.rels><Relationships xmlns="http://schemas.openxmlformats.org/package/2006/relationships"><Relationship Type="http://schemas.openxmlformats.org/officeDocument/2006/relationships/externalLinkPath" Target="file:///\\Jyj\c\My%20Documents\&#49444;&#44228;&#54028;&#51068;&#47784;&#51020;\&#49444;&#44228;&#54532;&#47196;&#44536;&#47016;\&#51068;&#50948;&#45824;&#44032;&#54364;.xls" TargetMode="External" Id="rId1"/></Relationships>
</file>

<file path=xl/externalLinks/_rels/externalLink177.xml.rels><Relationships xmlns="http://schemas.openxmlformats.org/package/2006/relationships"><Relationship Type="http://schemas.openxmlformats.org/officeDocument/2006/relationships/externalLinkPath" Target="file:///C:\TEAM-5\WINDOWS\&#48148;&#53461;%20&#54868;&#47732;\dacom\&#51652;&#52380;~&#51613;&#54217;\&#51652;&#52380;,&#51613;&#54217;(9.3).xls" TargetMode="External" Id="rId1"/></Relationships>
</file>

<file path=xl/externalLinks/_rels/externalLink178.xml.rels><Relationships xmlns="http://schemas.openxmlformats.org/package/2006/relationships"><Relationship Type="http://schemas.openxmlformats.org/officeDocument/2006/relationships/externalLinkPath" Target="file:///\\&#46300;&#47548;&#49884;&#51592;EZ\&#45208;C\&#44608;&#44592;&#49324;\&#51652;&#50501;&#48177;&#50868;&#46041;\xls\&#50672;&#51109;&#51665;&#44228;&#54364;.xls" TargetMode="External" Id="rId1"/></Relationships>
</file>

<file path=xl/externalLinks/_rels/externalLink179.xml.rels><Relationships xmlns="http://schemas.openxmlformats.org/package/2006/relationships"><Relationship Type="http://schemas.openxmlformats.org/officeDocument/2006/relationships/externalLinkPath" Target="file:///A:\design\&#44221;&#49688;\&#52572;&#51333;\BAEKPO\DAN1.XLS" TargetMode="External" Id="rId1"/></Relationships>
</file>

<file path=xl/externalLinks/_rels/externalLink180.xml.rels><Relationships xmlns="http://schemas.openxmlformats.org/package/2006/relationships"><Relationship Type="http://schemas.openxmlformats.org/officeDocument/2006/relationships/externalLinkPath" Target="file:///\\Pc00\d\My%20Documents\GOOMI\DOHWA03.XLS" TargetMode="External" Id="rId1"/></Relationships>
</file>

<file path=xl/externalLinks/_rels/externalLink181.xml.rels><Relationships xmlns="http://schemas.openxmlformats.org/package/2006/relationships"><Relationship Type="http://schemas.openxmlformats.org/officeDocument/2006/relationships/externalLinkPath" Target="file:///\\sh\&#51648;&#51088;&#52404;\Documents%20and%20Settings\admin\&#48148;&#53461;%20&#54868;&#47732;\My%20Documents\&#48155;&#51008;%20&#54028;&#51068;\OFFICE%20&#50577;&#49885;\N&#36035;&#63963;-&#32887;.xls" TargetMode="External" Id="rId1"/></Relationships>
</file>

<file path=xl/externalLinks/_rels/externalLink182.xml.rels><Relationships xmlns="http://schemas.openxmlformats.org/package/2006/relationships"><Relationship Type="http://schemas.openxmlformats.org/officeDocument/2006/relationships/externalLinkPath" Target="file:///\\NANOENTECH\nanoentech.co.Ltd\Documents%20and%20Settings\lsh\My%20Documents\&#48155;&#51008;%20&#54028;&#51068;\My%20Documents\&#44608;&#44221;&#53469;\&#50977;&#44400;&#51228;1266&#48512;&#45824;\&#51228;&#51312;\&#53356;&#47021;&#53356;&#50808;\EXCEL\&#51312;&#44221;&#45236;.XLS" TargetMode="External" Id="rId1"/></Relationships>
</file>

<file path=xl/externalLinks/_rels/externalLink183.xml.rels><Relationships xmlns="http://schemas.openxmlformats.org/package/2006/relationships"><Relationship Type="http://schemas.openxmlformats.org/officeDocument/2006/relationships/externalLinkPath" Target="file:///\\&#49888;&#50857;&#46301;\06-&#44228;&#50557;&#44288;&#47144;\Documents%20and%20Settings\&#44428;&#53468;&#49885;\My%20Documents\&#52572;&#51648;&#54984;\&#49444;&#44228;&#44288;&#47144;\3&#44592;&#51456;.xls" TargetMode="External" Id="rId1"/></Relationships>
</file>

<file path=xl/externalLinks/_rels/externalLink184.xml.rels><Relationships xmlns="http://schemas.openxmlformats.org/package/2006/relationships"><Relationship Type="http://schemas.openxmlformats.org/officeDocument/2006/relationships/externalLinkPath" Target="file:///\\Girl\d\My%20Documents\&#47928;&#49436;\&#49440;&#44553;&#44552;.xls" TargetMode="External" Id="rId1"/></Relationships>
</file>

<file path=xl/externalLinks/_rels/externalLink185.xml.rels><Relationships xmlns="http://schemas.openxmlformats.org/package/2006/relationships"><Relationship Type="http://schemas.openxmlformats.org/officeDocument/2006/relationships/externalLinkPath" Target="file:///H:\work\&#48152;&#44257;&#48516;&#44592;\&#44221;&#44284;&#51648;&#49444;&#44228;\&#52572;&#51333;\&#49436;&#44221;&#48513;&#49888;&#50504;&#49457;\&#44608;&#51116;&#49457;\EXCEL\EXCEL\&#44277;&#51333;&#45800;&#44032;.XLS" TargetMode="External" Id="rId1"/></Relationships>
</file>

<file path=xl/externalLinks/_rels/externalLink186.xml.rels><Relationships xmlns="http://schemas.openxmlformats.org/package/2006/relationships"><Relationship Type="http://schemas.openxmlformats.org/officeDocument/2006/relationships/externalLinkPath" Target="file:///\\Cjh\&#44277;&#50976;\Documents%20and%20Settings\alfredo\My%20Documents\&#48155;&#51008;%20&#54028;&#51068;\Documents%20and%20Settings\Owner\Local%20Settings\Temporary%20Internet%20Files\Content.IE5\FATKPSEX\&#53664;&#51648;&#47588;&#49688;&#44288;&#47532;&#49884;&#49828;&#53596;_&#44060;&#48156;&#44552;&#50529;&#49328;&#52636;.xls" TargetMode="External" Id="rId1"/></Relationships>
</file>

<file path=xl/externalLinks/_rels/externalLink187.xml.rels><Relationships xmlns="http://schemas.openxmlformats.org/package/2006/relationships"><Relationship Type="http://schemas.openxmlformats.org/officeDocument/2006/relationships/externalLinkPath" Target="file:///A:\EXCEL\YESTER\&#44540;&#44144;&#49436;.XLS" TargetMode="External" Id="rId1"/></Relationships>
</file>

<file path=xl/externalLinks/_rels/externalLink188.xml.rels><Relationships xmlns="http://schemas.openxmlformats.org/package/2006/relationships"><Relationship Type="http://schemas.openxmlformats.org/officeDocument/2006/relationships/externalLinkPath" Target="file:///\\HJY\&#44032;&#51256;&#44032;&#49464;&#50836;\My%20Documents\&#54644;&#49440;&#44256;&#45236;&#50669;&#49436;\&#54616;&#49328;\&#54616;&#49328;\&#54616;&#44277;&#51221;.xls" TargetMode="External" Id="rId1"/></Relationships>
</file>

<file path=xl/externalLinks/_rels/externalLink189.xml.rels><Relationships xmlns="http://schemas.openxmlformats.org/package/2006/relationships"><Relationship Type="http://schemas.openxmlformats.org/officeDocument/2006/relationships/externalLinkPath" Target="file:///\\Main\&#48372;&#44256;&#49436;\ISO(rev.3)\&#44368;&#53685;&#47928;&#49436;\&#45236;&#50669;&#49436;\2004\&#50689;&#54693;&#54217;&#44032;\&#44032;&#51256;&#44032;&#49800;\&#12615;&#12615;&#51648;&#44396;%20&#46020;&#49884;&#44060;&#48156;&#49324;&#50629;.xls" TargetMode="External" Id="rId1"/></Relationships>
</file>

<file path=xl/externalLinks/_rels/externalLink190.xml.rels><Relationships xmlns="http://schemas.openxmlformats.org/package/2006/relationships"><Relationship Type="http://schemas.openxmlformats.org/officeDocument/2006/relationships/externalLinkPath" Target="file:///\\&#51060;&#54788;&#44508;\&#44592;&#44228;&#54868;&#44221;&#51089;&#47196;\WINDOWS\&#48148;&#53461;%20&#54868;&#47732;\&#45236;%20&#49436;&#47448;%20&#44032;&#48169;\&#45824;&#54788;\&#48393;&#51032;&#51648;&#44396;.xls" TargetMode="External" Id="rId1"/></Relationships>
</file>

<file path=xl/externalLinks/_rels/externalLink191.xml.rels><Relationships xmlns="http://schemas.openxmlformats.org/package/2006/relationships"><Relationship Type="http://schemas.openxmlformats.org/officeDocument/2006/relationships/externalLinkPath" Target="file:///\\&#51312;&#54620;&#49849;\&#45224;&#51221;&#50864;\&#45224;&#51221;&#50864;\&#54861;&#49328;&#52380;\&#45224;&#52492;&#51648;&#44396;\&#49688;&#47049;(&#45224;&#52492;).XLS" TargetMode="External" Id="rId1"/></Relationships>
</file>

<file path=xl/externalLinks/_rels/externalLink192.xml.rels><Relationships xmlns="http://schemas.openxmlformats.org/package/2006/relationships"><Relationship Type="http://schemas.openxmlformats.org/officeDocument/2006/relationships/externalLinkPath" Target="file:///\\Psy\c\WORK\&#50872;&#49328;-&#46160;&#49328;,&#44256;&#47144;&#51648;\2003&#44592;&#52488;&#52376;&#47532;&#45800;&#44032;&#54364;(&#49888;&#44508;).xls" TargetMode="External" Id="rId1"/></Relationships>
</file>

<file path=xl/externalLinks/_rels/externalLink193.xml.rels><Relationships xmlns="http://schemas.openxmlformats.org/package/2006/relationships"><Relationship Type="http://schemas.openxmlformats.org/officeDocument/2006/relationships/externalLinkPath" Target="file:///C:\WINDOWS\TEMP\_hztmp_\&#44032;&#51256;&#44032;&#49800;\&#12615;&#12615;&#51648;&#44396;%20&#46020;&#49884;&#44060;&#48156;&#49324;&#50629;.xls" TargetMode="External" Id="rId1"/></Relationships>
</file>

<file path=xl/externalLinks/_rels/externalLink194.xml.rels><Relationships xmlns="http://schemas.openxmlformats.org/package/2006/relationships"><Relationship Type="http://schemas.openxmlformats.org/officeDocument/2006/relationships/externalLinkPath" Target="file:///A:\2000&#45380;\&#44592;&#53440;&#49324;&#54637;\&#50857;&#50669;&#49444;&#44228;(&#48320;&#44221;).xls" TargetMode="External" Id="rId1"/></Relationships>
</file>

<file path=xl/externalLinks/_rels/externalLink195.xml.rels><Relationships xmlns="http://schemas.openxmlformats.org/package/2006/relationships"><Relationship Type="http://schemas.openxmlformats.org/officeDocument/2006/relationships/externalLinkPath" Target="file:///C:\&#51076;&#49884;\&#51652;&#46041;&#44277;&#49324;.XLS" TargetMode="External" Id="rId1"/></Relationships>
</file>

<file path=xl/externalLinks/_rels/externalLink196.xml.rels><Relationships xmlns="http://schemas.openxmlformats.org/package/2006/relationships"><Relationship Type="http://schemas.openxmlformats.org/officeDocument/2006/relationships/externalLinkPath" Target="file:///C:\Documents%20and%20Settings\wooram\Local%20Settings\Temp\_AZTMP7_\&#50724;&#48169;&#51648;&#44396;\2000&#48372;&#50756;\&#51652;&#46041;&#51648;&#44396;\&#51652;&#46041;&#51648;&#44396;&#49324;&#50629;&#49688;&#51648;.xls" TargetMode="External" Id="rId1"/></Relationships>
</file>

<file path=xl/externalLinks/_rels/externalLink197.xml.rels><Relationships xmlns="http://schemas.openxmlformats.org/package/2006/relationships"><Relationship Type="http://schemas.openxmlformats.org/officeDocument/2006/relationships/externalLinkPath" Target="file:///H:\Office\&#48149;&#44592;&#49324;%20&#51089;&#50629;&#50857;\DATA\MR-BAB\&#50641;&#49472;DATA\3.&#48176;&#49688;&#44277;\BUDAE.XLS" TargetMode="External" Id="rId1"/></Relationships>
</file>

<file path=xl/externalLinks/_rels/externalLink198.xml.rels><Relationships xmlns="http://schemas.openxmlformats.org/package/2006/relationships"><Relationship Type="http://schemas.openxmlformats.org/officeDocument/2006/relationships/externalLinkPath" Target="file:///\\Kkh\&#47196;&#52972;%20&#46356;&#49828;&#53356;%20(C)\&#45800;&#44032;\&#45800;&#44032;&#49328;&#52636;\&#53364;&#47200;&#48288;&#51060;&#49828;\&#53364;&#47200;&#48288;&#51060;&#49828;2000.xls" TargetMode="External" Id="rId1"/></Relationships>
</file>

<file path=xl/externalLinks/_rels/externalLink199.xml.rels><Relationships xmlns="http://schemas.openxmlformats.org/package/2006/relationships"><Relationship Type="http://schemas.openxmlformats.org/officeDocument/2006/relationships/externalLinkPath" Target="file:///B:\&#54532;&#47004;(PLAN)\&#52397;&#52380;\200&#48156;&#51452;\2000&#52397;&#52380;-&#45909;&#54217;&#48156;&#51452;.xls" TargetMode="External" Id="rId1"/></Relationships>
</file>

<file path=xl/externalLinks/_rels/externalLink200.xml.rels><Relationships xmlns="http://schemas.openxmlformats.org/package/2006/relationships"><Relationship Type="http://schemas.openxmlformats.org/officeDocument/2006/relationships/externalLinkPath" Target="file:///A:\design\&#44221;&#49688;\&#52572;&#51333;\&#48176;&#49688;&#44060;&#49440;\&#49892;&#49884;&#49444;&#44228;\&#50864;&#44053;\&#49888;&#50864;&#44053;\excel\&#49888;&#50864;&#44053;&#49324;&#50629;&#48708;2.xls" TargetMode="External" Id="rId1"/></Relationships>
</file>

<file path=xl/externalLinks/_rels/externalLink201.xml.rels><Relationships xmlns="http://schemas.openxmlformats.org/package/2006/relationships"><Relationship Type="http://schemas.openxmlformats.org/officeDocument/2006/relationships/externalLinkPath" Target="file:///L:\&#48149;&#51333;&#48124;\K&#46300;&#46972;&#51060;&#48652;\work\&#47928;&#49436;&#44288;&#47532;\&#49324;&#50629;&#48156;&#51452;\&#44340;&#49328;\&#52488;&#50504;\&#44340;&#49328;_UPIS&#49444;&#44228;&#45236;&#50669;&#49436;_09.04.24.xls" TargetMode="External" Id="rId1"/></Relationships>
</file>

<file path=xl/externalLinks/_rels/externalLink202.xml.rels><Relationships xmlns="http://schemas.openxmlformats.org/package/2006/relationships"><Relationship Type="http://schemas.openxmlformats.org/officeDocument/2006/relationships/externalLinkPath" Target="file:///\\&#49340;&#48372;586\&#44032;C\&#44608;&#50472;%5e%5e;\&#51652;&#50501;&#48177;&#50868;&#46041;\xls\&#44053;&#51652;&#50868;&#50516;.xls" TargetMode="External" Id="rId1"/></Relationships>
</file>

<file path=xl/externalLinks/_rels/externalLink203.xml.rels><Relationships xmlns="http://schemas.openxmlformats.org/package/2006/relationships"><Relationship Type="http://schemas.openxmlformats.org/officeDocument/2006/relationships/externalLinkPath" Target="file:///C:\&#44396;&#51312;&#48516;&#50556;\&#50689;%20&#50900;\&#45909;&#49345;-&#50672;&#45909;\&#49688;&#47049;\&#49688;&#47049;&#51665;&#44228;&#54364;.xls" TargetMode="External" Id="rId1"/></Relationships>
</file>

<file path=xl/externalLinks/_rels/externalLink204.xml.rels><Relationships xmlns="http://schemas.openxmlformats.org/package/2006/relationships"><Relationship Type="http://schemas.openxmlformats.org/officeDocument/2006/relationships/externalLinkPath" Target="file:///H:\Down\&#45348;&#51060;&#53944;&#50728;%20&#48155;&#51008;%20&#54028;&#51068;\&#50500;&#49328;-&#52509;&#44292;&#49444;&#44228;&#45236;&#50669;&#49436;(&#44288;&#47532;,&#51201;&#49457;,&#51204;&#49328;&#54868;,&#51648;&#54805;)-(&#45817;&#49324;&#51228;&#50504;)-050912_1.xls" TargetMode="External" Id="rId1"/></Relationships>
</file>

<file path=xl/externalLinks/_rels/externalLink205.xml.rels><Relationships xmlns="http://schemas.openxmlformats.org/package/2006/relationships"><Relationship Type="http://schemas.openxmlformats.org/officeDocument/2006/relationships/externalLinkPath" Target="file:///B:\&#49324;&#50629;2000excell\E&#44397;&#51648;&#46020;\&#47928;&#44305;&#52397;&#52380;\2000year\&#52397;&#52380;&#44396;&#44036;\&#51648;&#52492;&#45909;&#54217;\2000&#51648;&#52492;-&#45909;&#54217;&#48156;&#51452;.xls" TargetMode="External" Id="rId1"/></Relationships>
</file>

<file path=xl/externalLinks/_rels/externalLink206.xml.rels><Relationships xmlns="http://schemas.openxmlformats.org/package/2006/relationships"><Relationship Type="http://schemas.openxmlformats.org/officeDocument/2006/relationships/externalLinkPath" Target="file:///C:\Documents%20and%20Settings\akaikim1\&#48148;&#53461;%20&#54868;&#47732;\&#50672;&#44592;_&#46020;&#49884;&#44228;&#54925;&#51204;&#49328;&#54868;.xls" TargetMode="External" Id="rId1"/></Relationships>
</file>

<file path=xl/externalLinks/_rels/externalLink207.xml.rels><Relationships xmlns="http://schemas.openxmlformats.org/package/2006/relationships"><Relationship Type="http://schemas.openxmlformats.org/officeDocument/2006/relationships/externalLinkPath" Target="file:///\\&#49436;&#45224;31\&#47196;&#52972;%20&#46356;&#49828;&#53356;%20(d)\&#44277;&#50976;\&#54620;&#50857;&#55148;\&#51089;&#50629;&#54028;&#51068;\excel\&#54616;&#49688;&#44288;&#44144;\&#44256;&#50577;&#54616;&#49688;&#44288;&#44144;\&#49444;&#44228;&#45236;&#50669;&#49436;\2&#52264;\&#45236;&#50669;&#49436;\4&#52264;\&#49444;&#44228;&#45236;&#50669;&#49436;(&#52572;&#51333;).xls" TargetMode="External" Id="rId1"/></Relationships>
</file>

<file path=xl/externalLinks/_rels/externalLink208.xml.rels><Relationships xmlns="http://schemas.openxmlformats.org/package/2006/relationships"><Relationship Type="http://schemas.openxmlformats.org/officeDocument/2006/relationships/externalLinkPath" Target="file:///A:\01.&#51089;&#50629;&#49892;\04.&#51652;&#54665;&#50629;&#47924;\02.UIS\01.&#44400;&#49328;&#49884;UIS\2004\&#49444;&#44228;&#51089;&#50629;\New\0513\SI&#48512;&#47928;_&#44608;&#52380;&#49884;.xls" TargetMode="External" Id="rId1"/></Relationships>
</file>

<file path=xl/externalLinks/_rels/externalLink209.xml.rels><Relationships xmlns="http://schemas.openxmlformats.org/package/2006/relationships"><Relationship Type="http://schemas.openxmlformats.org/officeDocument/2006/relationships/externalLinkPath" Target="file:///\\&#47448;&#50857;&#54788;\&#49688;&#47049;(&#49688;&#51221;)\WAL-SAN\PIER\P4567-5.xls" TargetMode="External" Id="rId1"/></Relationships>
</file>

<file path=xl/externalLinks/_rels/externalLink210.xml.rels><Relationships xmlns="http://schemas.openxmlformats.org/package/2006/relationships"><Relationship Type="http://schemas.openxmlformats.org/officeDocument/2006/relationships/externalLinkPath" Target="file:///H:\&#52380;&#50504;&#44592;&#48376;&#44228;&#54925;\&#44288;&#47532;&#44228;&#54925;(&#48156;&#51452;&#44288;&#47144;)\&#54408;&#49480;(&#44060;&#51221;&#54032;).xls" TargetMode="External" Id="rId1"/></Relationships>
</file>

<file path=xl/externalLinks/_rels/externalLink211.xml.rels><Relationships xmlns="http://schemas.openxmlformats.org/package/2006/relationships"><Relationship Type="http://schemas.openxmlformats.org/officeDocument/2006/relationships/externalLinkPath" Target="file:///\\&#49888;&#46041;&#54596;\C\My%20Documents\2001&#45380;&#49688;&#47049;&#49328;&#52636;\&#49548;&#48169;&#46020;&#47196;\&#51060;&#47448;(&#50864;&#52404;&#44397;&#46244;)&#49548;&#48169;&#46020;&#47196;\&#54252;&#51109;&#44277;.xls" TargetMode="External" Id="rId1"/></Relationships>
</file>

<file path=xl/externalLinks/_rels/externalLink212.xml.rels><Relationships xmlns="http://schemas.openxmlformats.org/package/2006/relationships"><Relationship Type="http://schemas.openxmlformats.org/officeDocument/2006/relationships/externalLinkPath" Target="file:///C:\&#49688;&#47049;\&#50516;&#44144;\&#50516;&#44144;&#49688;&#47049;&#49328;&#52636;(&#52572;&#51333;).xls" TargetMode="External" Id="rId1"/></Relationships>
</file>

<file path=xl/externalLinks/_rels/externalLink213.xml.rels><Relationships xmlns="http://schemas.openxmlformats.org/package/2006/relationships"><Relationship Type="http://schemas.openxmlformats.org/officeDocument/2006/relationships/externalLinkPath" Target="file:///C:\-&#49444;&#44228;&#45236;&#50669;&#51088;&#47308;-\&#52649;&#51452;&#52380;&#54616;&#49345;\&#52649;&#51452;&#52380;&#51068;&#48372;&#51204;&#46020;&#44552;\&#50641;&#49472;&#50672;&#49845;&#47588;&#53356;&#47196;\&#54032;&#47588;&#46321;&#47197;(2).xls" TargetMode="External" Id="rId1"/></Relationships>
</file>

<file path=xl/externalLinks/_rels/externalLink214.xml.rels><Relationships xmlns="http://schemas.openxmlformats.org/package/2006/relationships"><Relationship Type="http://schemas.openxmlformats.org/officeDocument/2006/relationships/externalLinkPath" Target="file:///C:\&#52380;&#50504;&#44592;&#48376;&#44228;&#54925;\&#44288;&#47532;&#44228;&#54925;(&#48156;&#51452;&#44288;&#47144;)\&#54408;&#49480;(&#44060;&#51221;&#54032;).xls" TargetMode="External" Id="rId1"/></Relationships>
</file>

<file path=xl/externalLinks/_rels/externalLink215.xml.rels><Relationships xmlns="http://schemas.openxmlformats.org/package/2006/relationships"><Relationship Type="http://schemas.openxmlformats.org/officeDocument/2006/relationships/externalLinkPath" Target="file:///\\&#50672;&#51333;\C\My%20Documents\&#49444;&#44228;&#54028;&#51068;&#47784;&#51020;\&#49444;&#44228;&#54532;&#47196;&#44536;&#47016;\&#51068;&#50948;&#45824;&#44032;&#54364;.xls" TargetMode="External" Id="rId1"/></Relationships>
</file>

<file path=xl/externalLinks/_rels/externalLink216.xml.rels><Relationships xmlns="http://schemas.openxmlformats.org/package/2006/relationships"><Relationship Type="http://schemas.openxmlformats.org/officeDocument/2006/relationships/externalLinkPath" Target="file:///C:\2002work\&#51076;&#54644;&#51652;&#46020;&#47196;&#50504;&#51204;&#51652;&#45800;\&#52280;&#44256;&#51088;&#47308;\&#51076;&#54644;&#51652;&#46020;&#47196;&#49688;&#54644;&#48373;&#44396;&#44277;&#49324;\ultra-jet%20&#51068;&#50948;&#45824;&#44032;.xls" TargetMode="External" Id="rId1"/></Relationships>
</file>

<file path=xl/externalLinks/_rels/externalLink217.xml.rels><Relationships xmlns="http://schemas.openxmlformats.org/package/2006/relationships"><Relationship Type="http://schemas.openxmlformats.org/officeDocument/2006/relationships/externalLinkPath" Target="file:///\\&#44608;&#54840;&#51333;\C\TEST\&#51473;&#49328;&#44368;.XLS" TargetMode="External" Id="rId1"/></Relationships>
</file>

<file path=xl/externalLinks/_rels/externalLink218.xml.rels><Relationships xmlns="http://schemas.openxmlformats.org/package/2006/relationships"><Relationship Type="http://schemas.openxmlformats.org/officeDocument/2006/relationships/externalLinkPath" Target="file:///\\&#44608;&#45824;&#49688;\C\&#48372;&#49457;\&#50641;&#49472;&#51088;&#47308;\&#44592;&#53440;&#44396;&#51312;&#47932;\&#44033;&#54805;&#47592;&#54848;&#48143;&#44060;&#44144;.XLS" TargetMode="External" Id="rId1"/></Relationships>
</file>

<file path=xl/externalLinks/_rels/externalLink219.xml.rels><Relationships xmlns="http://schemas.openxmlformats.org/package/2006/relationships"><Relationship Type="http://schemas.openxmlformats.org/officeDocument/2006/relationships/externalLinkPath" Target="file:///A:\Documents%20and%20Settings\Owner.SAMSUNG-PUCE3P1\My%20Documents\&#45908;&#44592;&#44732;\&#49888;&#49688;&#46020;\&#49888;&#49688;&#46020;(E.S)&#44396;.xls" TargetMode="External" Id="rId1"/></Relationships>
</file>

<file path=xl/externalLinks/_rels/externalLink220.xml.rels><Relationships xmlns="http://schemas.openxmlformats.org/package/2006/relationships"><Relationship Type="http://schemas.openxmlformats.org/officeDocument/2006/relationships/externalLinkPath" Target="file:///\\AHN\&#44032;&#51256;&#44032;&#49464;&#50836;\&#51076;&#49884;&#54028;&#51068;\KNK\2002&#45380;\&#50896;&#44032;&#44228;&#49328;\&#47560;&#54252;&#44221;&#52272;&#49436;\&#48372;&#46972;&#47588;&#48337;&#50896;\&#51076;&#49884;&#54028;&#51068;\KNK\file\&#49436;&#50872;&#49884;CCTV.xls" TargetMode="External" Id="rId1"/></Relationships>
</file>

<file path=xl/externalLinks/_rels/externalLink221.xml.rels><Relationships xmlns="http://schemas.openxmlformats.org/package/2006/relationships"><Relationship Type="http://schemas.openxmlformats.org/officeDocument/2006/relationships/externalLinkPath" Target="file:///A:\&#51109;&#49328;&#51648;&#44396;\&#50857;&#49688;&#44036;&#49440;.XLS" TargetMode="External" Id="rId1"/></Relationships>
</file>

<file path=xl/externalLinks/_rels/externalLink222.xml.rels><Relationships xmlns="http://schemas.openxmlformats.org/package/2006/relationships"><Relationship Type="http://schemas.openxmlformats.org/officeDocument/2006/relationships/externalLinkPath" Target="file:///\\Bae\c\MSOffice\Excel\KK\&#49328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교각계산"/>
      <sheetName val="CAPBEAM 단면계산"/>
      <sheetName val="교좌면설계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3BL공동구 수량"/>
    </sheetNames>
    <sheetDataSet>
      <sheetData sheetId="0">
        <row r="32">
          <cell r="E32">
            <v>11.4</v>
          </cell>
        </row>
        <row r="38">
          <cell r="M38">
            <v>0.222</v>
          </cell>
        </row>
        <row r="40">
          <cell r="M40">
            <v>5</v>
          </cell>
        </row>
        <row r="86">
          <cell r="K86">
            <v>162.30099999999999</v>
          </cell>
        </row>
        <row r="98">
          <cell r="K98">
            <v>42.49</v>
          </cell>
        </row>
        <row r="108">
          <cell r="G108">
            <v>32.67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교각계산"/>
      <sheetName val="코벨전단"/>
      <sheetName val="횡방향구속철근"/>
      <sheetName val="교좌면설계"/>
      <sheetName val="Sheet9"/>
      <sheetName val="Sheet10"/>
      <sheetName val="부하(성남)"/>
    </sheetNames>
    <sheetDataSet>
      <sheetData sheetId="0">
        <row r="12">
          <cell r="I12">
            <v>240</v>
          </cell>
        </row>
        <row r="13">
          <cell r="I13">
            <v>3000</v>
          </cell>
        </row>
        <row r="38">
          <cell r="M38">
            <v>0.17799999999999999</v>
          </cell>
        </row>
        <row r="40">
          <cell r="M40">
            <v>0.81599999999999995</v>
          </cell>
        </row>
        <row r="95">
          <cell r="Q95">
            <v>12.120000000000001</v>
          </cell>
        </row>
      </sheetData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BOQ"/>
      <sheetName val="수로단위수량"/>
      <sheetName val="교각계산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경영상태"/>
      <sheetName val="우수"/>
      <sheetName val="협력(대기업)"/>
      <sheetName val="협력(중소)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INPUT DATA (2)"/>
      <sheetName val="단면 (2)"/>
      <sheetName val="BOX본체수량 (2)"/>
      <sheetName val="BOX토공 (2)"/>
      <sheetName val="Sheet13"/>
      <sheetName val="Sheet14"/>
      <sheetName val="Sheet15"/>
      <sheetName val="Sheet16"/>
      <sheetName val="INPUT"/>
    </sheetNames>
    <sheetDataSet>
      <sheetData sheetId="0" refreshError="1"/>
      <sheetData sheetId="1" refreshError="1"/>
      <sheetData sheetId="2" refreshError="1">
        <row r="55">
          <cell r="K55">
            <v>10.872999999999999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일위대가"/>
    </sheetNames>
    <sheetDataSet>
      <sheetData sheetId="0" refreshError="1">
        <row r="732">
          <cell r="A732" t="str">
            <v>K02</v>
          </cell>
          <cell r="B732">
            <v>47</v>
          </cell>
          <cell r="D732" t="str">
            <v>제 47 호표</v>
          </cell>
          <cell r="E732" t="str">
            <v>프라임코팅</v>
          </cell>
          <cell r="H732" t="str">
            <v>MC-1</v>
          </cell>
          <cell r="L732" t="str">
            <v>근거 : 건설12-11</v>
          </cell>
          <cell r="Q732" t="str">
            <v>단위 : 100m2</v>
          </cell>
        </row>
        <row r="733">
          <cell r="A733" t="str">
            <v> </v>
          </cell>
          <cell r="D733" t="str">
            <v>명    칭</v>
          </cell>
          <cell r="E733" t="str">
            <v>규   격</v>
          </cell>
          <cell r="F733" t="str">
            <v>단  위</v>
          </cell>
          <cell r="G733" t="str">
            <v>수  량</v>
          </cell>
          <cell r="H733" t="str">
            <v>직접</v>
          </cell>
          <cell r="I733" t="str">
            <v>재료비</v>
          </cell>
          <cell r="J733" t="str">
            <v>간접</v>
          </cell>
          <cell r="K733" t="str">
            <v>재료비</v>
          </cell>
          <cell r="L733" t="str">
            <v>직접</v>
          </cell>
          <cell r="M733" t="str">
            <v>노무비</v>
          </cell>
          <cell r="N733" t="str">
            <v>경</v>
          </cell>
          <cell r="O733" t="str">
            <v>비</v>
          </cell>
          <cell r="P733" t="str">
            <v>계</v>
          </cell>
          <cell r="Q733" t="str">
            <v>비    고</v>
          </cell>
        </row>
        <row r="734">
          <cell r="A734" t="str">
            <v> </v>
          </cell>
          <cell r="H734" t="str">
            <v>단가</v>
          </cell>
          <cell r="I734" t="str">
            <v>금액</v>
          </cell>
          <cell r="J734" t="str">
            <v>단가</v>
          </cell>
          <cell r="K734" t="str">
            <v>금액</v>
          </cell>
          <cell r="L734" t="str">
            <v>단가</v>
          </cell>
          <cell r="M734" t="str">
            <v>금액</v>
          </cell>
          <cell r="N734" t="str">
            <v>단가</v>
          </cell>
          <cell r="O734" t="str">
            <v>금액</v>
          </cell>
        </row>
        <row r="735">
          <cell r="A735" t="str">
            <v>I005</v>
          </cell>
          <cell r="B735">
            <v>0.38</v>
          </cell>
          <cell r="D735" t="str">
            <v>아스팔트</v>
          </cell>
          <cell r="E735" t="str">
            <v>MC-1</v>
          </cell>
          <cell r="F735" t="str">
            <v>d/m</v>
          </cell>
          <cell r="G735">
            <v>0.38</v>
          </cell>
          <cell r="H735">
            <v>38000</v>
          </cell>
          <cell r="I735">
            <v>14440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14440</v>
          </cell>
        </row>
        <row r="736">
          <cell r="A736" t="str">
            <v>r036</v>
          </cell>
          <cell r="B736">
            <v>0.04</v>
          </cell>
          <cell r="D736" t="str">
            <v>포장공</v>
          </cell>
          <cell r="E736">
            <v>0</v>
          </cell>
          <cell r="F736" t="str">
            <v>인</v>
          </cell>
          <cell r="G736">
            <v>0.04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68200</v>
          </cell>
          <cell r="M736">
            <v>2728</v>
          </cell>
          <cell r="N736">
            <v>0</v>
          </cell>
          <cell r="O736">
            <v>0</v>
          </cell>
          <cell r="P736">
            <v>2728</v>
          </cell>
        </row>
        <row r="737">
          <cell r="A737" t="str">
            <v>r010</v>
          </cell>
          <cell r="B737">
            <v>0.12</v>
          </cell>
          <cell r="D737" t="str">
            <v>보통인부</v>
          </cell>
          <cell r="E737">
            <v>0</v>
          </cell>
          <cell r="F737" t="str">
            <v>인</v>
          </cell>
          <cell r="G737">
            <v>0.12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34900</v>
          </cell>
          <cell r="M737">
            <v>4188</v>
          </cell>
          <cell r="N737">
            <v>0</v>
          </cell>
          <cell r="O737">
            <v>0</v>
          </cell>
          <cell r="P737">
            <v>4188</v>
          </cell>
        </row>
        <row r="742">
          <cell r="A742" t="str">
            <v> </v>
          </cell>
        </row>
        <row r="743">
          <cell r="A743" t="str">
            <v> </v>
          </cell>
        </row>
        <row r="744">
          <cell r="A744" t="str">
            <v> </v>
          </cell>
        </row>
        <row r="745">
          <cell r="A745" t="str">
            <v> </v>
          </cell>
          <cell r="C745" t="str">
            <v>K02</v>
          </cell>
          <cell r="D745" t="str">
            <v>계</v>
          </cell>
          <cell r="E745" t="str">
            <v>제 47 호표</v>
          </cell>
          <cell r="I745">
            <v>14440</v>
          </cell>
          <cell r="K745">
            <v>0</v>
          </cell>
          <cell r="M745">
            <v>6916</v>
          </cell>
          <cell r="O745">
            <v>0</v>
          </cell>
          <cell r="P745">
            <v>21356</v>
          </cell>
        </row>
        <row r="1400">
          <cell r="A1400" t="str">
            <v>B22</v>
          </cell>
          <cell r="B1400">
            <v>93</v>
          </cell>
          <cell r="D1400" t="str">
            <v>제 93 호표</v>
          </cell>
          <cell r="E1400" t="str">
            <v>관용접(Φ400mm)</v>
          </cell>
          <cell r="H1400">
            <v>0</v>
          </cell>
          <cell r="L1400" t="str">
            <v>근거 : 건설17-8</v>
          </cell>
          <cell r="Q1400" t="str">
            <v>단위 : 개소/6m</v>
          </cell>
        </row>
        <row r="1401">
          <cell r="A1401" t="str">
            <v> </v>
          </cell>
          <cell r="D1401" t="str">
            <v>명    칭</v>
          </cell>
          <cell r="E1401" t="str">
            <v>규   격</v>
          </cell>
          <cell r="F1401" t="str">
            <v>단  위</v>
          </cell>
          <cell r="G1401" t="str">
            <v>수  량</v>
          </cell>
          <cell r="H1401" t="str">
            <v>직접</v>
          </cell>
          <cell r="I1401" t="str">
            <v>재료비</v>
          </cell>
          <cell r="J1401" t="str">
            <v>간접</v>
          </cell>
          <cell r="K1401" t="str">
            <v>재료비</v>
          </cell>
          <cell r="L1401" t="str">
            <v>직접</v>
          </cell>
          <cell r="M1401" t="str">
            <v>노무비</v>
          </cell>
          <cell r="N1401" t="str">
            <v>경</v>
          </cell>
          <cell r="O1401" t="str">
            <v>비</v>
          </cell>
          <cell r="P1401" t="str">
            <v>계</v>
          </cell>
          <cell r="Q1401" t="str">
            <v>비    고</v>
          </cell>
        </row>
        <row r="1402">
          <cell r="A1402" t="str">
            <v> </v>
          </cell>
          <cell r="H1402" t="str">
            <v>단가</v>
          </cell>
          <cell r="I1402" t="str">
            <v>금액</v>
          </cell>
          <cell r="J1402" t="str">
            <v>단가</v>
          </cell>
          <cell r="K1402" t="str">
            <v>금액</v>
          </cell>
          <cell r="L1402" t="str">
            <v>단가</v>
          </cell>
          <cell r="M1402" t="str">
            <v>금액</v>
          </cell>
          <cell r="N1402" t="str">
            <v>단가</v>
          </cell>
          <cell r="O1402" t="str">
            <v>금액</v>
          </cell>
        </row>
        <row r="1403">
          <cell r="A1403" t="str">
            <v>I020</v>
          </cell>
          <cell r="B1403">
            <v>1.6</v>
          </cell>
          <cell r="D1403" t="str">
            <v>용접봉</v>
          </cell>
          <cell r="E1403" t="str">
            <v>115×3mm</v>
          </cell>
          <cell r="F1403" t="str">
            <v>kg</v>
          </cell>
          <cell r="G1403">
            <v>1.6</v>
          </cell>
          <cell r="H1403">
            <v>0</v>
          </cell>
          <cell r="I1403">
            <v>0</v>
          </cell>
          <cell r="J1403">
            <v>920</v>
          </cell>
          <cell r="K1403">
            <v>1472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1472</v>
          </cell>
        </row>
        <row r="1404">
          <cell r="A1404" t="str">
            <v>r013</v>
          </cell>
          <cell r="B1404">
            <v>0.54</v>
          </cell>
          <cell r="D1404" t="str">
            <v>용접공</v>
          </cell>
          <cell r="E1404">
            <v>0</v>
          </cell>
          <cell r="F1404" t="str">
            <v>인</v>
          </cell>
          <cell r="G1404">
            <v>0.54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65500</v>
          </cell>
          <cell r="M1404">
            <v>35370</v>
          </cell>
          <cell r="N1404">
            <v>0</v>
          </cell>
          <cell r="O1404">
            <v>0</v>
          </cell>
          <cell r="P1404">
            <v>35370</v>
          </cell>
        </row>
        <row r="1411">
          <cell r="A1411" t="str">
            <v> </v>
          </cell>
        </row>
        <row r="1412">
          <cell r="A1412" t="str">
            <v> </v>
          </cell>
        </row>
        <row r="1413">
          <cell r="A1413" t="str">
            <v> </v>
          </cell>
          <cell r="C1413" t="str">
            <v>B22</v>
          </cell>
          <cell r="D1413" t="str">
            <v>계</v>
          </cell>
          <cell r="E1413" t="str">
            <v>제 93 호표</v>
          </cell>
          <cell r="I1413">
            <v>0</v>
          </cell>
          <cell r="K1413">
            <v>1472</v>
          </cell>
          <cell r="M1413">
            <v>35370</v>
          </cell>
          <cell r="O1413">
            <v>0</v>
          </cell>
          <cell r="P1413">
            <v>36842</v>
          </cell>
        </row>
        <row r="1516">
          <cell r="A1516" t="str">
            <v>O03</v>
          </cell>
          <cell r="B1516">
            <v>101</v>
          </cell>
          <cell r="D1516" t="str">
            <v>제 101 호표</v>
          </cell>
          <cell r="E1516" t="str">
            <v>인력 터파기(풍화암 및 연암)</v>
          </cell>
          <cell r="H1516" t="str">
            <v>인력(2-3)</v>
          </cell>
          <cell r="L1516" t="str">
            <v>근거 : 토공3-1</v>
          </cell>
          <cell r="Q1516" t="str">
            <v>단위 :㎥</v>
          </cell>
        </row>
        <row r="1517">
          <cell r="A1517" t="str">
            <v> </v>
          </cell>
          <cell r="D1517" t="str">
            <v>명    칭</v>
          </cell>
          <cell r="E1517" t="str">
            <v>규   격</v>
          </cell>
          <cell r="F1517" t="str">
            <v>단  위</v>
          </cell>
          <cell r="G1517" t="str">
            <v>수  량</v>
          </cell>
          <cell r="H1517" t="str">
            <v>직접</v>
          </cell>
          <cell r="I1517" t="str">
            <v>재료비</v>
          </cell>
          <cell r="J1517" t="str">
            <v>간접</v>
          </cell>
          <cell r="K1517" t="str">
            <v>재료비</v>
          </cell>
          <cell r="L1517" t="str">
            <v>직접</v>
          </cell>
          <cell r="M1517" t="str">
            <v>노무비</v>
          </cell>
          <cell r="N1517" t="str">
            <v>경</v>
          </cell>
          <cell r="O1517" t="str">
            <v>비</v>
          </cell>
          <cell r="P1517" t="str">
            <v>계</v>
          </cell>
          <cell r="Q1517" t="str">
            <v>비    고</v>
          </cell>
        </row>
        <row r="1518">
          <cell r="A1518" t="str">
            <v> </v>
          </cell>
          <cell r="H1518" t="str">
            <v>단가</v>
          </cell>
          <cell r="I1518" t="str">
            <v>금액</v>
          </cell>
          <cell r="J1518" t="str">
            <v>단가</v>
          </cell>
          <cell r="K1518" t="str">
            <v>금액</v>
          </cell>
          <cell r="L1518" t="str">
            <v>단가</v>
          </cell>
          <cell r="M1518" t="str">
            <v>금액</v>
          </cell>
          <cell r="N1518" t="str">
            <v>단가</v>
          </cell>
          <cell r="O1518" t="str">
            <v>금액</v>
          </cell>
        </row>
        <row r="1519">
          <cell r="A1519" t="str">
            <v>r010</v>
          </cell>
          <cell r="B1519">
            <v>1</v>
          </cell>
          <cell r="D1519" t="str">
            <v>보통인부</v>
          </cell>
          <cell r="E1519">
            <v>0</v>
          </cell>
          <cell r="F1519" t="str">
            <v>인</v>
          </cell>
          <cell r="G1519">
            <v>1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34900</v>
          </cell>
          <cell r="M1519">
            <v>34900</v>
          </cell>
          <cell r="N1519">
            <v>0</v>
          </cell>
          <cell r="O1519">
            <v>0</v>
          </cell>
          <cell r="P1519">
            <v>34900</v>
          </cell>
          <cell r="Q1519" t="str">
            <v>주위에 장애물이 있을경우</v>
          </cell>
        </row>
        <row r="1520">
          <cell r="A1520" t="str">
            <v>R037</v>
          </cell>
          <cell r="B1520">
            <v>2</v>
          </cell>
          <cell r="D1520" t="str">
            <v>할석공</v>
          </cell>
          <cell r="E1520">
            <v>0</v>
          </cell>
          <cell r="F1520" t="str">
            <v>인</v>
          </cell>
          <cell r="G1520">
            <v>2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65700</v>
          </cell>
          <cell r="M1520">
            <v>131400</v>
          </cell>
          <cell r="N1520">
            <v>0</v>
          </cell>
          <cell r="O1520">
            <v>0</v>
          </cell>
          <cell r="P1520">
            <v>131400</v>
          </cell>
          <cell r="Q1520" t="str">
            <v>50%까지 할증가능</v>
          </cell>
        </row>
        <row r="1528">
          <cell r="A1528" t="str">
            <v> </v>
          </cell>
        </row>
        <row r="1529">
          <cell r="A1529" t="str">
            <v> </v>
          </cell>
          <cell r="C1529" t="str">
            <v>O03</v>
          </cell>
          <cell r="D1529" t="str">
            <v>계</v>
          </cell>
          <cell r="E1529" t="str">
            <v>제 101 호표</v>
          </cell>
          <cell r="I1529">
            <v>0</v>
          </cell>
          <cell r="K1529">
            <v>0</v>
          </cell>
          <cell r="M1529">
            <v>166300</v>
          </cell>
          <cell r="O1529">
            <v>0</v>
          </cell>
          <cell r="P1529">
            <v>166300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put data"/>
      <sheetName val="통합"/>
      <sheetName val="철근단면적"/>
      <sheetName val="내민받침"/>
      <sheetName val="말뚝지지력산정"/>
    </sheetNames>
    <sheetDataSet>
      <sheetData sheetId="0" refreshError="1"/>
      <sheetData sheetId="1" refreshError="1"/>
      <sheetData sheetId="2" refreshError="1">
        <row r="2">
          <cell r="C2">
            <v>0.71330000000000005</v>
          </cell>
        </row>
        <row r="8">
          <cell r="C8">
            <v>6.4240000000000004</v>
          </cell>
        </row>
        <row r="9">
          <cell r="C9">
            <v>7.9420000000000002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통합"/>
      <sheetName val="철근단면적"/>
      <sheetName val="공칭철근단면적,충격계수"/>
      <sheetName val="말뚝본체검토"/>
      <sheetName val="Sheet8"/>
      <sheetName val="INPUT(덕도방향-시점)"/>
      <sheetName val="노임단가"/>
    </sheetNames>
    <sheetDataSet>
      <sheetData sheetId="0" refreshError="1"/>
      <sheetData sheetId="1" refreshError="1">
        <row r="3">
          <cell r="C3">
            <v>1.2669999999999999</v>
          </cell>
        </row>
        <row r="4">
          <cell r="C4">
            <v>1.986</v>
          </cell>
        </row>
        <row r="5">
          <cell r="C5">
            <v>2.8650000000000002</v>
          </cell>
        </row>
        <row r="6">
          <cell r="C6">
            <v>3.871</v>
          </cell>
        </row>
        <row r="7">
          <cell r="C7">
            <v>5.0670000000000002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일위대가"/>
      <sheetName val="조명시설"/>
      <sheetName val="도근좌표"/>
      <sheetName val="산출근거"/>
      <sheetName val="직재"/>
      <sheetName val="Sheet1"/>
      <sheetName val="Sheet2"/>
      <sheetName val="Sheet3"/>
      <sheetName val="archi(본사)"/>
      <sheetName val="설직재-1"/>
      <sheetName val="제-노임"/>
      <sheetName val="제직재"/>
      <sheetName val="6PILE  (돌출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총괄"/>
      <sheetName val="갑,을"/>
      <sheetName val="노임단가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조명시설"/>
      <sheetName val="단가"/>
      <sheetName val="발주내역"/>
      <sheetName val="결과조달"/>
      <sheetName val="9GNG운반"/>
      <sheetName val="설계개요"/>
      <sheetName val="계약일반사항"/>
      <sheetName val="사유서(출)"/>
      <sheetName val="내역"/>
      <sheetName val="도로구조공사비"/>
      <sheetName val="도로토공공사비"/>
      <sheetName val="여수토공사비"/>
      <sheetName val="한전납입금"/>
      <sheetName val="약품설비"/>
      <sheetName val="ABUT수량-A1"/>
      <sheetName val="예가표"/>
      <sheetName val="집계표"/>
      <sheetName val="1호맨홀토공"/>
      <sheetName val="다곡2교"/>
      <sheetName val="INPUT"/>
      <sheetName val="MODELING"/>
      <sheetName val="일위대가목차"/>
      <sheetName val="수량산출"/>
      <sheetName val="일위"/>
      <sheetName val="총괄표"/>
      <sheetName val="노무비"/>
      <sheetName val="제경비요율"/>
      <sheetName val="사리부설"/>
      <sheetName val="#REF"/>
      <sheetName val="내역서"/>
      <sheetName val="철집"/>
      <sheetName val="실행철강하도"/>
      <sheetName val="일위대가표"/>
      <sheetName val="설명"/>
      <sheetName val="시공여유율"/>
      <sheetName val="전차선로 물량표"/>
      <sheetName val="부안일위"/>
      <sheetName val="현장관리비 산출내역"/>
      <sheetName val="공사비집계"/>
      <sheetName val="수토공단위당"/>
      <sheetName val="조경일람"/>
      <sheetName val="내역표지"/>
      <sheetName val="자재견적 (대왕) (2)"/>
      <sheetName val="산출근거"/>
      <sheetName val="공사비"/>
      <sheetName val="전기"/>
      <sheetName val="품셈(기초)"/>
      <sheetName val="PAD TR보호대기초"/>
      <sheetName val="가로등기초"/>
      <sheetName val="HANDHOLE(2)"/>
      <sheetName val="일위대가(계측기설치)"/>
      <sheetName val="CCTV내역서"/>
      <sheetName val="unit"/>
      <sheetName val="재료값"/>
      <sheetName val="VXXXXX"/>
      <sheetName val="1.동력공사"/>
      <sheetName val="구조물철거타공정이월"/>
      <sheetName val="일위대가(가설)"/>
      <sheetName val="산수배수"/>
      <sheetName val="1,2공구원가계산서"/>
      <sheetName val="2공구산출내역"/>
      <sheetName val="1공구산출내역서"/>
      <sheetName val="투찰내역"/>
      <sheetName val="설계(원가)"/>
      <sheetName val="내역서(변경2)"/>
      <sheetName val="내역서 (변경)"/>
      <sheetName val="자재집계표"/>
      <sheetName val="환토"/>
      <sheetName val="단가산출(운반장비)"/>
      <sheetName val="토공집계표"/>
      <sheetName val="토공계산서"/>
      <sheetName val="운반성토집계"/>
      <sheetName val="토적집계"/>
      <sheetName val="토적표"/>
      <sheetName val="비탈면보호공수량"/>
      <sheetName val="구조물깨기"/>
      <sheetName val="구조물깨기산근"/>
      <sheetName val="배수공집계표"/>
      <sheetName val="배수토공"/>
      <sheetName val="측구공"/>
      <sheetName val="L형측구"/>
      <sheetName val="도로경계석"/>
      <sheetName val="산마루측구"/>
      <sheetName val=" U형배수관"/>
      <sheetName val="도수로"/>
      <sheetName val="집수정(측구)"/>
      <sheetName val="용수로"/>
      <sheetName val="우오수공"/>
      <sheetName val="관수량"/>
      <sheetName val="우수받이"/>
      <sheetName val="집수정 (우오수)"/>
      <sheetName val="암거공"/>
      <sheetName val="박스암거"/>
      <sheetName val="맹암거공"/>
      <sheetName val="설계변경(운동장)"/>
      <sheetName val="운동장맹암거1"/>
      <sheetName val="운동장맹암거2"/>
      <sheetName val="집수정(맹암거)"/>
      <sheetName val="운동장맹암거(평면도)"/>
      <sheetName val="옹벽공"/>
      <sheetName val="포장공"/>
      <sheetName val="소로수량"/>
      <sheetName val="소로수량산출"/>
      <sheetName val="보도수량"/>
      <sheetName val="가로수수량"/>
      <sheetName val="차선도색"/>
      <sheetName val="차선수량"/>
      <sheetName val="도수로원가"/>
      <sheetName val="도수로내역"/>
      <sheetName val="도수로수량"/>
      <sheetName val="단위가격 "/>
      <sheetName val="교각계산"/>
      <sheetName val="재료비"/>
      <sheetName val="일위대가"/>
      <sheetName val="DATE"/>
      <sheetName val="DATA"/>
      <sheetName val="A(Rev.3)"/>
      <sheetName val="Macro"/>
      <sheetName val="Taux"/>
      <sheetName val="BID"/>
      <sheetName val="금액내역서"/>
      <sheetName val="전기혼잡제경비(45)"/>
      <sheetName val="단면가정"/>
      <sheetName val="부대내역"/>
      <sheetName val="터파기및재료"/>
      <sheetName val="설계"/>
      <sheetName val="1단계"/>
      <sheetName val="단면 (2)"/>
      <sheetName val="A-4"/>
      <sheetName val="공문"/>
      <sheetName val="계수시트"/>
      <sheetName val="원가계산서"/>
      <sheetName val="공사비예산서(토목분)"/>
      <sheetName val="년도별"/>
      <sheetName val="왕십리방향"/>
      <sheetName val="투찰"/>
      <sheetName val="단가조사"/>
      <sheetName val="제출내역 (2)"/>
      <sheetName val="밸브설치"/>
      <sheetName val="98NS-N"/>
      <sheetName val="공종단가"/>
      <sheetName val="남양내역"/>
      <sheetName val="SG"/>
      <sheetName val="공사비총괄표"/>
      <sheetName val="참조"/>
      <sheetName val="날개벽(시점좌측)"/>
      <sheetName val="입찰안"/>
      <sheetName val="토적"/>
      <sheetName val="NYS"/>
      <sheetName val="공내역"/>
      <sheetName val="중기비"/>
      <sheetName val="일위집계표"/>
      <sheetName val="입상내역"/>
      <sheetName val="요율"/>
      <sheetName val="Sheet2"/>
      <sheetName val="횡배수관집현황(2공구)"/>
      <sheetName val="cover예산"/>
      <sheetName val="cover설계서"/>
      <sheetName val="예산서갑지"/>
      <sheetName val="원가계산"/>
      <sheetName val="원가근거 "/>
      <sheetName val="관급자재집계"/>
      <sheetName val="내역서집계"/>
      <sheetName val="내역서(1. 옥외전력 및 수변전설비)"/>
      <sheetName val="내역서(2. 접지 및 피뢰침 설비)"/>
      <sheetName val="내역서(3. CABLE TRAY)"/>
      <sheetName val="내역서(4. 가압장 동력)"/>
      <sheetName val="내역서(5. 약품투입동,응집침전지 동력)"/>
      <sheetName val="내역서(6. 여과지 동력)"/>
      <sheetName val="내역서(7. 농축조,농축분배조 동력)"/>
      <sheetName val="내역서(8. 조정농축조,조정농축분배조 동력)"/>
      <sheetName val="내역서(9. 탈리액농축조,탈리액농축분배조 동력)"/>
      <sheetName val="내역서(10. 탈수기동,회수펌프동 동력)"/>
      <sheetName val="내역서(11. 식당 및 창고 전력간선,전열)"/>
      <sheetName val="내역서(12. 식당 및 창고 전등)"/>
      <sheetName val="내역서(13. 가압장 전력간선,전열)"/>
      <sheetName val="내역서(14. 가압장 전등)"/>
      <sheetName val="내역서(15. 여과지 전력간선,전열)"/>
      <sheetName val="내역서(16. 여과지 전등)"/>
      <sheetName val="내역서(17. 각 농축분배조 전등.전열)"/>
      <sheetName val="내역서(18. 옥외 약전 및 방송)"/>
      <sheetName val="내역서(19. 각동 약전 및 방송)"/>
      <sheetName val="부대설비"/>
      <sheetName val="대가갑지"/>
      <sheetName val="분전반설치비 일위대가"/>
      <sheetName val="그림갑지"/>
      <sheetName val="잡철물제작"/>
      <sheetName val="관로굴착"/>
      <sheetName val="단가갑지"/>
      <sheetName val="단가비교표"/>
      <sheetName val="산출서갑지"/>
      <sheetName val="공량갑지"/>
      <sheetName val="공량(1. 옥외전력 및 수변전, 외등설비)"/>
      <sheetName val="공량(2. 접지 및 피뢰침 설비)"/>
      <sheetName val="공량(3. CABLE TRAY)"/>
      <sheetName val="공량(4. 가압장 동력)"/>
      <sheetName val="공량(5. 약품투입동,응집침전지 동력)"/>
      <sheetName val="공량(6. 여과지 동력)"/>
      <sheetName val="공량(7. 농축조,농축분배조 동력)"/>
      <sheetName val="공량(8. 조정농축조,조정농축분배조 동력)"/>
      <sheetName val="공량(9. 탈리액농축조,탈리액농축분배조 동력)"/>
      <sheetName val="공량(10. 탈수기동,회수펌프동 동력)"/>
      <sheetName val="공량(11. 식당 및 창고 전력간선,전열)"/>
      <sheetName val="공량(12. 식당 및 창고 전등)"/>
      <sheetName val="공량(13. 가압장 전력간선,전열)"/>
      <sheetName val="공량(14. 가압장 전등)"/>
      <sheetName val="공량(15. 여과지 전력간선,전열)"/>
      <sheetName val="공량(16. 여과지 전등)"/>
      <sheetName val="공량(17. 각 농축분배조 전등.전열)"/>
      <sheetName val="공량(18. 옥외 약전 및 방송)"/>
      <sheetName val="공량(19. 각동 약전 및 방송"/>
      <sheetName val="산출조서갑지"/>
      <sheetName val="산출조서(1.옥외전력 및 수변전, 외등설비)"/>
      <sheetName val="산출조서(2. 접지 및 피뢰침 설비)"/>
      <sheetName val="산출조서(3. CABLE TRAY)"/>
      <sheetName val="산출조서(4. 가압장 동력)"/>
      <sheetName val="산출조서(5. 약품투입동,응집침전지 동력)"/>
      <sheetName val="산출조서(6. 여과지 동력)"/>
      <sheetName val="산출조서(7. 농축조,농축분배조 동력)"/>
      <sheetName val="산출조서(8. 조정농축조,조정농축분배조 동력)"/>
      <sheetName val="산출조서(9. 탈리액농축조,탈리액농축분배조 동력)"/>
      <sheetName val="산출조서(10. 탈수기동,회수펌프동 동력)"/>
      <sheetName val="산출조서(11. 식당 및 창고 전력간선,전열)"/>
      <sheetName val="산출조서(12. 식당 및 창고 전등)"/>
      <sheetName val="산출조서(13. 가압장 전력간선,전열)"/>
      <sheetName val="산출조서(L1. 관리동 전등)"/>
      <sheetName val="산출조서(L2. 침사지 전등,전열)"/>
      <sheetName val="산출조서(15. 여과지 전력간선,전열)"/>
      <sheetName val="산출조서(16. 여과지 전등)"/>
      <sheetName val="산출조서(17. 각 농축분배조 전등.전열)"/>
      <sheetName val="산출조서(18. 옥외 약전 및 방송)"/>
      <sheetName val="산출조서(19. 각동 약전 및 방송)"/>
      <sheetName val="견적갑지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5"/>
      <sheetName val="한전 수탁비 계산 내역"/>
      <sheetName val="CUBICLE설치비 일위대가 "/>
      <sheetName val="9811"/>
      <sheetName val="NFB"/>
      <sheetName val="여과지동"/>
      <sheetName val="1.토공"/>
      <sheetName val="전선 및 전선관"/>
      <sheetName val="찍기"/>
      <sheetName val="P-산#1-1(WOWA1)"/>
      <sheetName val="매립"/>
      <sheetName val="98수문일위"/>
      <sheetName val="고창방향"/>
      <sheetName val="일위대가(목록)"/>
      <sheetName val="자원리스트"/>
      <sheetName val="조건표"/>
      <sheetName val="유림골조"/>
      <sheetName val="가설공사비"/>
      <sheetName val="대비"/>
      <sheetName val="별첨1-임식"/>
      <sheetName val="기본자료"/>
      <sheetName val="총괄내역서"/>
      <sheetName val="Sheet1 (2)"/>
      <sheetName val="천방교접속"/>
      <sheetName val="일위_파일"/>
      <sheetName val="양수장내역"/>
      <sheetName val="양수장"/>
      <sheetName val="견적대비"/>
      <sheetName val="지급자재"/>
      <sheetName val="변경집계표"/>
      <sheetName val="건              축"/>
      <sheetName val="참조자료"/>
      <sheetName val="날개벽"/>
      <sheetName val="PIPE내역_FCN_"/>
      <sheetName val="원가계산서 "/>
      <sheetName val="고용보험료"/>
      <sheetName val="예산내역서"/>
      <sheetName val="9509"/>
      <sheetName val="배수내역"/>
      <sheetName val="96보완계획7.12"/>
      <sheetName val="업무처리전"/>
      <sheetName val="설계내역서"/>
      <sheetName val="Sheet1"/>
      <sheetName val="반중력식옹벽"/>
      <sheetName val="당초명세(평)"/>
      <sheetName val="작업일보"/>
      <sheetName val="표준계약서"/>
      <sheetName val="대치판정"/>
      <sheetName val="문학간접"/>
      <sheetName val="건축"/>
      <sheetName val="건축-물가변동"/>
      <sheetName val="일반문틀 설치"/>
      <sheetName val="샌딩 에폭시 도장"/>
      <sheetName val="스텐문틀설치"/>
      <sheetName val="주beam"/>
      <sheetName val="1.설계조건"/>
      <sheetName val="교각1"/>
      <sheetName val="CODE"/>
      <sheetName val="COPING"/>
      <sheetName val="기초공"/>
      <sheetName val="기둥(원형)"/>
      <sheetName val="상 부"/>
      <sheetName val="계화배수"/>
      <sheetName val="6PILE  (돌출)"/>
      <sheetName val="I一般比"/>
      <sheetName val="도근좌표"/>
      <sheetName val="지장물C"/>
      <sheetName val="갑지"/>
      <sheetName val="산출내역서집계표"/>
      <sheetName val="1공구 건정토건 철콘"/>
      <sheetName val="2공구하도급내역서"/>
      <sheetName val="토량1-1"/>
      <sheetName val="적현로"/>
      <sheetName val="변경내역서"/>
      <sheetName val="수목단가"/>
      <sheetName val="시설수량표"/>
      <sheetName val="식재수량표"/>
      <sheetName val="전체"/>
      <sheetName val="관급자재"/>
      <sheetName val="제경비"/>
      <sheetName val="초기화면"/>
      <sheetName val="토공사"/>
      <sheetName val="정렬"/>
      <sheetName val="계약내역서"/>
      <sheetName val="직공비"/>
      <sheetName val="을"/>
      <sheetName val="8.PILE  (돌출)"/>
      <sheetName val="말뚝지지력산정"/>
      <sheetName val="날개벽수량표"/>
      <sheetName val="대로근거"/>
      <sheetName val="새공통"/>
      <sheetName val="화해(함평)"/>
      <sheetName val="화해(장성)"/>
      <sheetName val="총내"/>
      <sheetName val="연습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토공집계표"/>
      <sheetName val="재료집계표"/>
      <sheetName val="현황산출서"/>
      <sheetName val="역T형옹벽수량"/>
      <sheetName val="옹벽기초자료"/>
      <sheetName val="단위수량"/>
      <sheetName val="옹벽치수표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U-TYPE일반수량집계"/>
      <sheetName val="U-TYPE(1)"/>
      <sheetName val="U-TYPE(2)"/>
      <sheetName val="U-TYPE(3)"/>
      <sheetName val="U-TYPE(4)"/>
      <sheetName val="설계조건"/>
      <sheetName val="안정검토(온1)"/>
      <sheetName val="유기공정"/>
      <sheetName val="수량산출"/>
    </sheetNames>
    <sheetDataSet>
      <sheetData sheetId="0"/>
      <sheetData sheetId="1">
        <row r="10">
          <cell r="F10">
            <v>5</v>
          </cell>
        </row>
      </sheetData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노임단가"/>
      <sheetName val="경비단가"/>
      <sheetName val="중기집계"/>
      <sheetName val="중기손료"/>
      <sheetName val="자재단가"/>
      <sheetName val="토   공 "/>
      <sheetName val="배수공"/>
      <sheetName val="교량공"/>
      <sheetName val="포장공"/>
      <sheetName val="부대공"/>
      <sheetName val="단가목록"/>
      <sheetName val="신규단가"/>
      <sheetName val="Sheet4"/>
      <sheetName val="Sheet5"/>
      <sheetName val="U-TYPE(1)"/>
      <sheetName val="중기사용료"/>
    </sheetNames>
    <sheetDataSet>
      <sheetData sheetId="0">
        <row r="105">
          <cell r="C105">
            <v>49600</v>
          </cell>
          <cell r="D105">
            <v>58906</v>
          </cell>
        </row>
        <row r="136">
          <cell r="C136">
            <v>60249</v>
          </cell>
          <cell r="D136">
            <v>60249</v>
          </cell>
        </row>
      </sheetData>
      <sheetData sheetId="1">
        <row r="10">
          <cell r="D10">
            <v>159000</v>
          </cell>
        </row>
        <row r="11">
          <cell r="D11">
            <v>206570</v>
          </cell>
        </row>
        <row r="12">
          <cell r="D12">
            <v>5000</v>
          </cell>
        </row>
        <row r="13">
          <cell r="D13">
            <v>5000</v>
          </cell>
        </row>
      </sheetData>
      <sheetData sheetId="2"/>
      <sheetData sheetId="3"/>
      <sheetData sheetId="4">
        <row r="52">
          <cell r="H52">
            <v>0</v>
          </cell>
        </row>
        <row r="53">
          <cell r="H53">
            <v>0</v>
          </cell>
        </row>
        <row r="104">
          <cell r="H104">
            <v>-118000</v>
          </cell>
        </row>
        <row r="105">
          <cell r="H105">
            <v>-118000</v>
          </cell>
        </row>
        <row r="144">
          <cell r="H144">
            <v>820000</v>
          </cell>
        </row>
        <row r="145">
          <cell r="H145">
            <v>820000</v>
          </cell>
        </row>
        <row r="164">
          <cell r="H164">
            <v>454</v>
          </cell>
        </row>
        <row r="165">
          <cell r="H165">
            <v>454</v>
          </cell>
        </row>
        <row r="184">
          <cell r="H184">
            <v>1600</v>
          </cell>
        </row>
        <row r="185">
          <cell r="H185">
            <v>1600</v>
          </cell>
        </row>
        <row r="200">
          <cell r="H200">
            <v>1290</v>
          </cell>
        </row>
        <row r="201">
          <cell r="H201">
            <v>1290</v>
          </cell>
        </row>
        <row r="238">
          <cell r="H238">
            <v>273000</v>
          </cell>
        </row>
        <row r="239">
          <cell r="H239">
            <v>273000</v>
          </cell>
        </row>
        <row r="274">
          <cell r="H274">
            <v>500000</v>
          </cell>
        </row>
        <row r="275">
          <cell r="H275">
            <v>500000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노임단가"/>
      <sheetName val="경비단가"/>
      <sheetName val="중기집계 (2)"/>
      <sheetName val="중기손료 (2)"/>
      <sheetName val="자재단가"/>
      <sheetName val="토   공 "/>
      <sheetName val="교량공"/>
      <sheetName val="배수공"/>
      <sheetName val="포장공"/>
      <sheetName val="부대공"/>
      <sheetName val="단가목록"/>
      <sheetName val="Sheet4"/>
      <sheetName val="Sheet5"/>
      <sheetName val="U-TYPE(1)"/>
    </sheetNames>
    <sheetDataSet>
      <sheetData sheetId="0">
        <row r="19">
          <cell r="C19">
            <v>66531</v>
          </cell>
          <cell r="D19">
            <v>69324</v>
          </cell>
        </row>
        <row r="33">
          <cell r="D33">
            <v>52463</v>
          </cell>
        </row>
        <row r="34">
          <cell r="C34">
            <v>48883</v>
          </cell>
          <cell r="D34">
            <v>52004</v>
          </cell>
        </row>
        <row r="38">
          <cell r="C38">
            <v>52915</v>
          </cell>
          <cell r="D38">
            <v>55640</v>
          </cell>
        </row>
        <row r="91">
          <cell r="D91">
            <v>52855</v>
          </cell>
        </row>
        <row r="123">
          <cell r="C123">
            <v>63951</v>
          </cell>
          <cell r="D123">
            <v>63908</v>
          </cell>
        </row>
      </sheetData>
      <sheetData sheetId="1"/>
      <sheetData sheetId="2"/>
      <sheetData sheetId="3"/>
      <sheetData sheetId="4">
        <row r="6">
          <cell r="H6">
            <v>129000</v>
          </cell>
        </row>
        <row r="7">
          <cell r="H7">
            <v>195000</v>
          </cell>
        </row>
        <row r="10">
          <cell r="H10">
            <v>1800</v>
          </cell>
        </row>
        <row r="11">
          <cell r="H11">
            <v>4268</v>
          </cell>
        </row>
        <row r="12">
          <cell r="H12">
            <v>740</v>
          </cell>
        </row>
        <row r="13">
          <cell r="H13">
            <v>740</v>
          </cell>
        </row>
        <row r="76">
          <cell r="H76">
            <v>100</v>
          </cell>
        </row>
        <row r="77">
          <cell r="H77">
            <v>140</v>
          </cell>
        </row>
        <row r="82">
          <cell r="H82">
            <v>15000</v>
          </cell>
        </row>
        <row r="83">
          <cell r="H83">
            <v>18220</v>
          </cell>
        </row>
        <row r="92">
          <cell r="H92">
            <v>6000</v>
          </cell>
        </row>
        <row r="93">
          <cell r="H93">
            <v>6800</v>
          </cell>
        </row>
        <row r="96">
          <cell r="H96">
            <v>4000</v>
          </cell>
        </row>
        <row r="97">
          <cell r="H97">
            <v>4000</v>
          </cell>
        </row>
        <row r="98">
          <cell r="H98">
            <v>698</v>
          </cell>
        </row>
        <row r="99">
          <cell r="H99">
            <v>1105</v>
          </cell>
        </row>
        <row r="102">
          <cell r="H102">
            <v>3055</v>
          </cell>
        </row>
        <row r="103">
          <cell r="H103">
            <v>5250</v>
          </cell>
        </row>
        <row r="118">
          <cell r="H118">
            <v>4090</v>
          </cell>
        </row>
        <row r="119">
          <cell r="H119">
            <v>6638</v>
          </cell>
        </row>
        <row r="136">
          <cell r="H136">
            <v>1574</v>
          </cell>
        </row>
        <row r="137">
          <cell r="H137">
            <v>2305</v>
          </cell>
        </row>
        <row r="146">
          <cell r="H146">
            <v>200</v>
          </cell>
        </row>
        <row r="147">
          <cell r="H147">
            <v>200</v>
          </cell>
        </row>
        <row r="148">
          <cell r="H148">
            <v>1200</v>
          </cell>
        </row>
        <row r="149">
          <cell r="H149">
            <v>1975</v>
          </cell>
        </row>
        <row r="154">
          <cell r="H154">
            <v>2740</v>
          </cell>
        </row>
        <row r="155">
          <cell r="H155">
            <v>3473</v>
          </cell>
        </row>
        <row r="156">
          <cell r="H156">
            <v>1100</v>
          </cell>
        </row>
        <row r="157">
          <cell r="H157">
            <v>1100</v>
          </cell>
        </row>
        <row r="158">
          <cell r="H158">
            <v>200000</v>
          </cell>
        </row>
        <row r="159">
          <cell r="H159">
            <v>200000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노임단가"/>
      <sheetName val="경비단가"/>
      <sheetName val="중기집계"/>
      <sheetName val="중기손료"/>
      <sheetName val="자재단가"/>
      <sheetName val="토   공 "/>
      <sheetName val="배수공"/>
      <sheetName val="교량공"/>
      <sheetName val="포장공"/>
      <sheetName val="부대공"/>
      <sheetName val="단가목록"/>
      <sheetName val="신규단가"/>
      <sheetName val="Sheet4"/>
      <sheetName val="Sheet5"/>
    </sheetNames>
    <sheetDataSet>
      <sheetData sheetId="0">
        <row r="11">
          <cell r="C11">
            <v>59917</v>
          </cell>
          <cell r="D11">
            <v>72430</v>
          </cell>
        </row>
      </sheetData>
      <sheetData sheetId="1">
        <row r="4">
          <cell r="D4">
            <v>1354</v>
          </cell>
        </row>
        <row r="5">
          <cell r="D5">
            <v>1354</v>
          </cell>
        </row>
        <row r="6">
          <cell r="D6">
            <v>85620</v>
          </cell>
        </row>
        <row r="7">
          <cell r="D7">
            <v>111240</v>
          </cell>
        </row>
      </sheetData>
      <sheetData sheetId="2"/>
      <sheetData sheetId="3" refreshError="1"/>
      <sheetData sheetId="4">
        <row r="122">
          <cell r="H122">
            <v>68000</v>
          </cell>
        </row>
        <row r="123">
          <cell r="H123">
            <v>68000</v>
          </cell>
        </row>
        <row r="124">
          <cell r="H124">
            <v>3900</v>
          </cell>
        </row>
        <row r="125">
          <cell r="H125">
            <v>3900</v>
          </cell>
        </row>
        <row r="126">
          <cell r="H126">
            <v>160</v>
          </cell>
        </row>
        <row r="127">
          <cell r="H127">
            <v>160</v>
          </cell>
        </row>
        <row r="128">
          <cell r="H128">
            <v>1200</v>
          </cell>
        </row>
        <row r="129">
          <cell r="H129">
            <v>3740</v>
          </cell>
        </row>
        <row r="130">
          <cell r="H130">
            <v>308000</v>
          </cell>
        </row>
        <row r="131">
          <cell r="H131">
            <v>308000</v>
          </cell>
        </row>
        <row r="174">
          <cell r="H174">
            <v>32000</v>
          </cell>
        </row>
        <row r="175">
          <cell r="H175">
            <v>45000</v>
          </cell>
        </row>
        <row r="226">
          <cell r="H226">
            <v>47500</v>
          </cell>
        </row>
        <row r="227">
          <cell r="H227">
            <v>47500</v>
          </cell>
        </row>
        <row r="228">
          <cell r="H228">
            <v>20000</v>
          </cell>
        </row>
        <row r="229">
          <cell r="H229">
            <v>28800</v>
          </cell>
        </row>
        <row r="264">
          <cell r="H264">
            <v>760</v>
          </cell>
        </row>
        <row r="265">
          <cell r="H265">
            <v>400</v>
          </cell>
        </row>
        <row r="266">
          <cell r="H266">
            <v>1600</v>
          </cell>
        </row>
        <row r="267">
          <cell r="H267">
            <v>1500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노임단가"/>
      <sheetName val="경비단가"/>
      <sheetName val="중기집계"/>
      <sheetName val="중기손료"/>
      <sheetName val="자재단가"/>
      <sheetName val="토   공 "/>
      <sheetName val="배수공"/>
      <sheetName val="교량공"/>
      <sheetName val="포장공"/>
      <sheetName val="부대공"/>
      <sheetName val="단가목록"/>
      <sheetName val="신규단가"/>
      <sheetName val="Sheet4"/>
      <sheetName val="Sheet5"/>
    </sheetNames>
    <sheetDataSet>
      <sheetData sheetId="0" refreshError="1">
        <row r="8">
          <cell r="C8">
            <v>62603</v>
          </cell>
          <cell r="D8">
            <v>65381</v>
          </cell>
        </row>
        <row r="12">
          <cell r="C12">
            <v>65147</v>
          </cell>
          <cell r="D12">
            <v>66944</v>
          </cell>
        </row>
        <row r="30">
          <cell r="C30">
            <v>60596</v>
          </cell>
          <cell r="D30">
            <v>63605</v>
          </cell>
        </row>
        <row r="86">
          <cell r="C86">
            <v>57364</v>
          </cell>
          <cell r="D86">
            <v>54191</v>
          </cell>
        </row>
      </sheetData>
      <sheetData sheetId="1" refreshError="1"/>
      <sheetData sheetId="2" refreshError="1"/>
      <sheetData sheetId="3" refreshError="1"/>
      <sheetData sheetId="4" refreshError="1">
        <row r="8">
          <cell r="H8">
            <v>656</v>
          </cell>
        </row>
        <row r="9">
          <cell r="H9">
            <v>656</v>
          </cell>
        </row>
        <row r="14">
          <cell r="H14">
            <v>550</v>
          </cell>
        </row>
        <row r="15">
          <cell r="H15">
            <v>540</v>
          </cell>
        </row>
        <row r="18">
          <cell r="H18">
            <v>5464</v>
          </cell>
        </row>
        <row r="19">
          <cell r="H19">
            <v>6317</v>
          </cell>
        </row>
        <row r="20">
          <cell r="H20">
            <v>234000</v>
          </cell>
        </row>
        <row r="21">
          <cell r="H21">
            <v>234000</v>
          </cell>
        </row>
        <row r="32">
          <cell r="H32">
            <v>680</v>
          </cell>
        </row>
        <row r="33">
          <cell r="H33">
            <v>680</v>
          </cell>
        </row>
        <row r="88">
          <cell r="H88">
            <v>190.05</v>
          </cell>
        </row>
        <row r="89">
          <cell r="H89">
            <v>155</v>
          </cell>
        </row>
        <row r="90">
          <cell r="H90">
            <v>8000</v>
          </cell>
        </row>
        <row r="91">
          <cell r="H91">
            <v>8000</v>
          </cell>
        </row>
        <row r="94">
          <cell r="H94">
            <v>6400</v>
          </cell>
        </row>
        <row r="95">
          <cell r="H95">
            <v>6000</v>
          </cell>
        </row>
        <row r="116">
          <cell r="H116">
            <v>1795</v>
          </cell>
        </row>
        <row r="117">
          <cell r="H117">
            <v>1638</v>
          </cell>
        </row>
        <row r="220">
          <cell r="H220">
            <v>100</v>
          </cell>
        </row>
        <row r="221">
          <cell r="H221">
            <v>100</v>
          </cell>
        </row>
        <row r="272">
          <cell r="H272">
            <v>595493</v>
          </cell>
        </row>
        <row r="273">
          <cell r="H273">
            <v>595493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노임단가"/>
      <sheetName val="경비단가"/>
      <sheetName val="중기집계"/>
      <sheetName val="중기손료"/>
      <sheetName val="자재단가"/>
      <sheetName val="토   공 "/>
      <sheetName val="배수공"/>
      <sheetName val="교량공"/>
      <sheetName val="포장공"/>
      <sheetName val="부대공"/>
      <sheetName val="단가목록"/>
      <sheetName val="신규단가"/>
      <sheetName val="Sheet4"/>
      <sheetName val="Sheet5"/>
    </sheetNames>
    <sheetDataSet>
      <sheetData sheetId="0" refreshError="1">
        <row r="89">
          <cell r="C89">
            <v>49569</v>
          </cell>
          <cell r="D89">
            <v>57379</v>
          </cell>
        </row>
        <row r="90">
          <cell r="C90">
            <v>34098</v>
          </cell>
          <cell r="D90">
            <v>37736</v>
          </cell>
        </row>
      </sheetData>
      <sheetData sheetId="1" refreshError="1"/>
      <sheetData sheetId="2" refreshError="1"/>
      <sheetData sheetId="3" refreshError="1"/>
      <sheetData sheetId="4" refreshError="1">
        <row r="62">
          <cell r="H62">
            <v>2690</v>
          </cell>
        </row>
        <row r="63">
          <cell r="H63">
            <v>3000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대치1방조제"/>
      <sheetName val="노임"/>
      <sheetName val="기계경비일람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노임단가"/>
      <sheetName val="경비단가"/>
      <sheetName val="중기집계"/>
      <sheetName val="중기손료"/>
      <sheetName val="자재단가"/>
      <sheetName val="토   공 "/>
      <sheetName val="배수공"/>
      <sheetName val="교량공"/>
      <sheetName val="포장공"/>
      <sheetName val="부대공"/>
      <sheetName val="단가목록"/>
      <sheetName val="신규단가"/>
      <sheetName val="Sheet4"/>
      <sheetName val="Sheet5"/>
    </sheetNames>
    <sheetDataSet>
      <sheetData sheetId="0"/>
      <sheetData sheetId="1"/>
      <sheetData sheetId="2"/>
      <sheetData sheetId="3"/>
      <sheetData sheetId="4">
        <row r="4">
          <cell r="H4">
            <v>270000</v>
          </cell>
        </row>
        <row r="5">
          <cell r="H5">
            <v>270000</v>
          </cell>
        </row>
        <row r="142">
          <cell r="H142">
            <v>68000</v>
          </cell>
        </row>
        <row r="143">
          <cell r="H143">
            <v>68000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집계표"/>
      <sheetName val="토공(원형)"/>
      <sheetName val="기초공"/>
      <sheetName val="기둥(원형)"/>
      <sheetName val="COPING"/>
      <sheetName val="ABUT수량-A1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INPUT"/>
      <sheetName val="단가표"/>
      <sheetName val="단 box"/>
      <sheetName val="지구단위계획"/>
      <sheetName val="총공비"/>
      <sheetName val="재료집계표"/>
    </sheetNames>
    <sheetDataSet>
      <sheetData sheetId="0" refreshError="1">
        <row r="3">
          <cell r="C3" t="str">
            <v>S</v>
          </cell>
          <cell r="E3" t="str">
            <v>S</v>
          </cell>
        </row>
        <row r="18">
          <cell r="C18" t="str">
            <v>S</v>
          </cell>
          <cell r="E18" t="str">
            <v>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1. 설계조건 2.단면가정 3. 하중계산"/>
      <sheetName val="4. 구조해석"/>
      <sheetName val="3) SAP90 DATA"/>
      <sheetName val="4) 구조해석 출력자료"/>
      <sheetName val="(2) 실하중에 의한 부재력도"/>
      <sheetName val="5. 단면설계"/>
      <sheetName val="6. 주철근 조립도"/>
      <sheetName val="7. 1) 우각부 검토"/>
      <sheetName val="2) 균열에 대한 검토"/>
      <sheetName val="DATA 입력란"/>
      <sheetName val="중동공구"/>
    </sheetNames>
    <sheetDataSet>
      <sheetData sheetId="0"/>
      <sheetData sheetId="1">
        <row r="69">
          <cell r="I69">
            <v>3.17</v>
          </cell>
        </row>
        <row r="73">
          <cell r="G73">
            <v>3.9</v>
          </cell>
        </row>
        <row r="89">
          <cell r="I89">
            <v>1.7509999999999999</v>
          </cell>
        </row>
        <row r="97">
          <cell r="I97">
            <v>4.4829999999999997</v>
          </cell>
        </row>
        <row r="99">
          <cell r="G99">
            <v>0.5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C1" t="str">
            <v>북수원권 10호광장 통로 Box</v>
          </cell>
        </row>
        <row r="5">
          <cell r="E5">
            <v>3.5</v>
          </cell>
          <cell r="G5">
            <v>2.5</v>
          </cell>
        </row>
        <row r="6">
          <cell r="D6">
            <v>1.5</v>
          </cell>
        </row>
        <row r="7">
          <cell r="D7">
            <v>0.8</v>
          </cell>
        </row>
        <row r="26">
          <cell r="D26">
            <v>1.54</v>
          </cell>
        </row>
        <row r="27">
          <cell r="D27">
            <v>1.7</v>
          </cell>
        </row>
        <row r="28">
          <cell r="D28">
            <v>1.8</v>
          </cell>
        </row>
        <row r="29">
          <cell r="D29">
            <v>0.9</v>
          </cell>
        </row>
        <row r="31">
          <cell r="D31">
            <v>1.3</v>
          </cell>
        </row>
        <row r="32">
          <cell r="D32">
            <v>2.15</v>
          </cell>
        </row>
        <row r="33">
          <cell r="D33">
            <v>1.7</v>
          </cell>
        </row>
        <row r="34">
          <cell r="D34">
            <v>0.65</v>
          </cell>
        </row>
        <row r="38">
          <cell r="D38">
            <v>0.35</v>
          </cell>
        </row>
        <row r="39">
          <cell r="D39">
            <v>3.5</v>
          </cell>
        </row>
        <row r="40">
          <cell r="D40">
            <v>0.4</v>
          </cell>
        </row>
        <row r="41">
          <cell r="D41">
            <v>2.5</v>
          </cell>
        </row>
        <row r="42">
          <cell r="D42">
            <v>0.35</v>
          </cell>
        </row>
      </sheetData>
      <sheetData sheetId="11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Chart3"/>
      <sheetName val="수로단위수량"/>
      <sheetName val="날개벽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ABUT수량-A1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시행후면적"/>
      <sheetName val="날개벽"/>
    </sheetNames>
    <sheetDataSet>
      <sheetData sheetId="0">
        <row r="59">
          <cell r="O59">
            <v>82</v>
          </cell>
        </row>
      </sheetData>
      <sheetData sheetId="1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대외공문"/>
      <sheetName val="표지"/>
      <sheetName val="변경사유"/>
      <sheetName val="집계표"/>
      <sheetName val="설계서"/>
      <sheetName val="단가1"/>
      <sheetName val="단가2"/>
      <sheetName val="터널BASIC"/>
      <sheetName val="유동표(당초)"/>
      <sheetName val="유동표(변경)"/>
      <sheetName val="당초내역서"/>
      <sheetName val="변경내역서"/>
      <sheetName val="NATM-2(상)"/>
      <sheetName val="NATM-3(상)"/>
      <sheetName val="NATM-4(상)"/>
      <sheetName val="NATM-5(상)"/>
      <sheetName val="NATM-6(상)"/>
      <sheetName val="S-2(상)"/>
      <sheetName val="NATM-2(하)"/>
      <sheetName val="NATM-3(하)"/>
      <sheetName val="NATM-4(하)"/>
      <sheetName val="NATM-5(하)"/>
      <sheetName val="NATM-6(하)"/>
      <sheetName val="S-2(하)"/>
      <sheetName val="총연장"/>
      <sheetName val="NATM집계"/>
      <sheetName val="터널총집계"/>
      <sheetName val="CON'C집계"/>
      <sheetName val="CON'C할증"/>
      <sheetName val="골재량"/>
      <sheetName val="골재집계"/>
      <sheetName val="주요자재"/>
      <sheetName val="부대 시멘트"/>
      <sheetName val="부대 철근"/>
      <sheetName val="포장골재집계"/>
      <sheetName val="암유용량"/>
      <sheetName val="유용량 집계"/>
      <sheetName val="유용량(타공구포함)"/>
      <sheetName val="++{변경}++"/>
      <sheetName val="NATM-2(상) (2)"/>
      <sheetName val="NATM-3(상) (2)"/>
      <sheetName val="NATM-4(상) (2)"/>
      <sheetName val="NATM-5(상) (2)"/>
      <sheetName val="NATM-6(상) (2)"/>
      <sheetName val="S-1(상) (2)"/>
      <sheetName val="NATM-2(하) (2)"/>
      <sheetName val="NATM-3(하) (2)"/>
      <sheetName val="NATM-4(하) (2)"/>
      <sheetName val="NATM-5(하) (2)"/>
      <sheetName val="NATM-6(하) (2)"/>
      <sheetName val="S-2(하) (2)"/>
      <sheetName val="총연장 (2)"/>
      <sheetName val="NATM집계 (2)"/>
      <sheetName val="터널총집계 (2)"/>
      <sheetName val="CON'C집계 (2)"/>
      <sheetName val="CON'C할증 (2)"/>
      <sheetName val="골재량 (2)"/>
      <sheetName val="골재집계 (2)"/>
      <sheetName val="주요자재 (2)"/>
      <sheetName val="부대 시멘트 (2)"/>
      <sheetName val="부대 철근 (2)"/>
      <sheetName val="포장골재집계 (2)"/>
      <sheetName val="암유용량 (2)"/>
      <sheetName val="유용량 집계 (2)"/>
      <sheetName val="유용량(타공구포함) (2)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공비촐괄"/>
      <sheetName val="총공비"/>
      <sheetName val="총재집"/>
      <sheetName val="재료집계표"/>
      <sheetName val="토적계산서"/>
      <sheetName val="재료계산서"/>
      <sheetName val="재료계산서02"/>
      <sheetName val="산출근거"/>
      <sheetName val="Sheet5"/>
      <sheetName val="Sheet4"/>
    </sheetNames>
    <sheetDataSet>
      <sheetData sheetId="0" refreshError="1"/>
      <sheetData sheetId="1" refreshError="1">
        <row r="35">
          <cell r="F35">
            <v>36423653</v>
          </cell>
        </row>
      </sheetData>
      <sheetData sheetId="2" refreshError="1"/>
      <sheetData sheetId="3" refreshError="1">
        <row r="8">
          <cell r="P8">
            <v>312.58</v>
          </cell>
        </row>
        <row r="9">
          <cell r="P9">
            <v>742.36</v>
          </cell>
        </row>
        <row r="10">
          <cell r="P10">
            <v>222.07999999999998</v>
          </cell>
        </row>
        <row r="11">
          <cell r="P11">
            <v>14.66</v>
          </cell>
        </row>
        <row r="17">
          <cell r="P17">
            <v>0</v>
          </cell>
        </row>
        <row r="18">
          <cell r="P18">
            <v>14.809999999999999</v>
          </cell>
        </row>
        <row r="19">
          <cell r="P19">
            <v>684.43000000000006</v>
          </cell>
        </row>
        <row r="20">
          <cell r="P20">
            <v>869.18</v>
          </cell>
        </row>
        <row r="21">
          <cell r="P21">
            <v>122.5</v>
          </cell>
        </row>
        <row r="23">
          <cell r="P23">
            <v>87.84</v>
          </cell>
        </row>
        <row r="25">
          <cell r="P25">
            <v>21.73</v>
          </cell>
        </row>
        <row r="27">
          <cell r="P27">
            <v>886.08999999999992</v>
          </cell>
        </row>
        <row r="33">
          <cell r="P33">
            <v>74.75</v>
          </cell>
        </row>
        <row r="34">
          <cell r="P34">
            <v>54.2</v>
          </cell>
        </row>
        <row r="35">
          <cell r="P35">
            <v>9.52</v>
          </cell>
        </row>
        <row r="36">
          <cell r="P36">
            <v>20.8</v>
          </cell>
        </row>
        <row r="37">
          <cell r="P37">
            <v>2.4669999999999996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4)유동표"/>
      <sheetName val="INPUT"/>
      <sheetName val="기둥(원형)"/>
      <sheetName val="J直材4"/>
    </sheetNames>
    <sheetDataSet>
      <sheetData sheetId="0">
        <row r="23">
          <cell r="A23" t="str">
            <v>공     제     토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배수집계"/>
      <sheetName val="횡배수량집계"/>
      <sheetName val="횡배위치"/>
      <sheetName val="토공"/>
      <sheetName val="날개벽"/>
      <sheetName val="횡배수관"/>
      <sheetName val="TYPE-1"/>
      <sheetName val="TYPE-2"/>
      <sheetName val="TYPE-3"/>
      <sheetName val="집수정 "/>
      <sheetName val="집수정TYPE1"/>
      <sheetName val="집수정TYPE2"/>
      <sheetName val="종배수관위치조서"/>
      <sheetName val="종배수관"/>
      <sheetName val="면벽"/>
      <sheetName val="맨홀수량집계표"/>
      <sheetName val="맨홀위치및연장조서"/>
      <sheetName val="맨훌수량산출근거"/>
      <sheetName val="맨홀터파기"/>
      <sheetName val="빗물받이수량집계"/>
      <sheetName val="빗물받이단위수량"/>
      <sheetName val="집수정(주택용)집계"/>
      <sheetName val="집수정(주택용)단위수량"/>
      <sheetName val="Sheet5"/>
      <sheetName val="계산중"/>
    </sheetNames>
    <sheetDataSet>
      <sheetData sheetId="0" refreshError="1"/>
      <sheetData sheetId="1" refreshError="1"/>
      <sheetData sheetId="2" refreshError="1">
        <row r="2">
          <cell r="D2" t="str">
            <v>관 경</v>
          </cell>
          <cell r="E2" t="str">
            <v>연 장</v>
          </cell>
          <cell r="F2" t="str">
            <v>사 각</v>
          </cell>
          <cell r="G2" t="str">
            <v>터파기</v>
          </cell>
          <cell r="H2" t="str">
            <v>날개벽</v>
          </cell>
        </row>
        <row r="3">
          <cell r="D3">
            <v>600</v>
          </cell>
          <cell r="E3">
            <v>111</v>
          </cell>
          <cell r="F3">
            <v>0</v>
          </cell>
          <cell r="G3">
            <v>1.6</v>
          </cell>
        </row>
        <row r="4">
          <cell r="D4">
            <v>300</v>
          </cell>
          <cell r="E4">
            <v>4</v>
          </cell>
          <cell r="F4">
            <v>0</v>
          </cell>
          <cell r="G4">
            <v>1</v>
          </cell>
        </row>
        <row r="5">
          <cell r="D5">
            <v>300</v>
          </cell>
          <cell r="E5">
            <v>4</v>
          </cell>
          <cell r="F5">
            <v>0</v>
          </cell>
          <cell r="G5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25">
          <cell r="AQ25">
            <v>300</v>
          </cell>
          <cell r="AR25">
            <v>30</v>
          </cell>
          <cell r="AS25">
            <v>180</v>
          </cell>
          <cell r="AT25">
            <v>160</v>
          </cell>
          <cell r="AU25">
            <v>560</v>
          </cell>
          <cell r="AV25">
            <v>30</v>
          </cell>
          <cell r="AW25">
            <v>0.193</v>
          </cell>
          <cell r="AX25">
            <v>0.68</v>
          </cell>
          <cell r="AY25">
            <v>2.3E-3</v>
          </cell>
        </row>
        <row r="26">
          <cell r="AQ26">
            <v>450</v>
          </cell>
          <cell r="AR26">
            <v>38</v>
          </cell>
          <cell r="AS26">
            <v>263</v>
          </cell>
          <cell r="AT26">
            <v>160</v>
          </cell>
          <cell r="AU26">
            <v>726</v>
          </cell>
          <cell r="AV26">
            <v>30</v>
          </cell>
          <cell r="AW26">
            <v>0.19800000000000001</v>
          </cell>
          <cell r="AX26">
            <v>0.84599999999999997</v>
          </cell>
          <cell r="AY26">
            <v>3.5999999999999999E-3</v>
          </cell>
        </row>
        <row r="27">
          <cell r="AQ27">
            <v>500</v>
          </cell>
          <cell r="AR27">
            <v>42</v>
          </cell>
          <cell r="AS27">
            <v>292</v>
          </cell>
          <cell r="AT27">
            <v>190</v>
          </cell>
          <cell r="AU27">
            <v>784</v>
          </cell>
          <cell r="AV27">
            <v>30</v>
          </cell>
          <cell r="AW27">
            <v>0.247</v>
          </cell>
          <cell r="AX27">
            <v>0.96399999999999997</v>
          </cell>
          <cell r="AY27">
            <v>4.0000000000000001E-3</v>
          </cell>
        </row>
        <row r="28">
          <cell r="AQ28">
            <v>600</v>
          </cell>
          <cell r="AR28">
            <v>50</v>
          </cell>
          <cell r="AS28">
            <v>350</v>
          </cell>
          <cell r="AT28">
            <v>250</v>
          </cell>
          <cell r="AU28">
            <v>900</v>
          </cell>
          <cell r="AV28">
            <v>30</v>
          </cell>
          <cell r="AW28">
            <v>0.34699999999999998</v>
          </cell>
          <cell r="AX28">
            <v>1.22</v>
          </cell>
          <cell r="AY28">
            <v>4.7999999999999996E-3</v>
          </cell>
        </row>
        <row r="29">
          <cell r="AQ29">
            <v>700</v>
          </cell>
          <cell r="AR29">
            <v>58</v>
          </cell>
          <cell r="AS29">
            <v>408</v>
          </cell>
          <cell r="AT29">
            <v>250</v>
          </cell>
          <cell r="AU29">
            <v>1016</v>
          </cell>
          <cell r="AV29">
            <v>50</v>
          </cell>
          <cell r="AW29">
            <v>0.40799999999999997</v>
          </cell>
          <cell r="AX29">
            <v>1.3160000000000001</v>
          </cell>
          <cell r="AY29">
            <v>5.5999999999999999E-3</v>
          </cell>
        </row>
        <row r="30">
          <cell r="AQ30">
            <v>800</v>
          </cell>
          <cell r="AR30">
            <v>66</v>
          </cell>
          <cell r="AS30">
            <v>466</v>
          </cell>
          <cell r="AT30">
            <v>250</v>
          </cell>
          <cell r="AU30">
            <v>1132</v>
          </cell>
          <cell r="AV30">
            <v>50</v>
          </cell>
          <cell r="AW30">
            <v>0.46899999999999997</v>
          </cell>
          <cell r="AX30">
            <v>1.4319999999999999</v>
          </cell>
          <cell r="AY30">
            <v>6.4000000000000003E-3</v>
          </cell>
        </row>
        <row r="31">
          <cell r="AQ31">
            <v>1000</v>
          </cell>
          <cell r="AR31">
            <v>82</v>
          </cell>
          <cell r="AS31">
            <v>582</v>
          </cell>
          <cell r="AT31">
            <v>280</v>
          </cell>
          <cell r="AU31">
            <v>1364</v>
          </cell>
          <cell r="AV31">
            <v>50</v>
          </cell>
          <cell r="AW31">
            <v>0.64429999999999998</v>
          </cell>
          <cell r="AX31">
            <v>1.724</v>
          </cell>
          <cell r="AY31">
            <v>1.1900000000000001E-2</v>
          </cell>
        </row>
        <row r="32">
          <cell r="AQ32">
            <v>1200</v>
          </cell>
          <cell r="AR32">
            <v>95</v>
          </cell>
          <cell r="AS32">
            <v>695</v>
          </cell>
          <cell r="AT32">
            <v>360</v>
          </cell>
          <cell r="AU32">
            <v>1590</v>
          </cell>
          <cell r="AV32">
            <v>60</v>
          </cell>
          <cell r="AW32">
            <v>0.91900000000000004</v>
          </cell>
          <cell r="AX32">
            <v>2.11</v>
          </cell>
          <cell r="AY32">
            <v>1.423E-2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통합"/>
      <sheetName val="4)유동표"/>
      <sheetName val="일위"/>
    </sheetNames>
    <sheetDataSet>
      <sheetData sheetId="0"/>
      <sheetData sheetId="1" refreshError="1"/>
      <sheetData sheetId="2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INPUT"/>
      <sheetName val="통합"/>
      <sheetName val="총공비"/>
      <sheetName val="재료집계표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토압계수"/>
      <sheetName val="반중력식옹벽"/>
      <sheetName val="INPUT"/>
      <sheetName val="Sheet1 (2)"/>
      <sheetName val="20관리비율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반중력식옹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도시계획(재정비)"/>
      <sheetName val="도시계획시설(변경)결정"/>
      <sheetName val="도시(지역)교통계획"/>
      <sheetName val="지구단위계획"/>
      <sheetName val="지형도면고시계획"/>
      <sheetName val="노임단가"/>
      <sheetName val="기본DATA"/>
      <sheetName val="I一般比"/>
      <sheetName val="날개벽수량표"/>
      <sheetName val="포장복구집계"/>
      <sheetName val="입찰안"/>
      <sheetName val="입력변수"/>
      <sheetName val="통합"/>
      <sheetName val="직접경비"/>
      <sheetName val="내역서"/>
      <sheetName val="ABUT수량-A1"/>
      <sheetName val="단가"/>
      <sheetName val="1.설계기준"/>
      <sheetName val="증감대비"/>
      <sheetName val="지구단위계획품셈"/>
      <sheetName val="상수도토공집계표"/>
      <sheetName val="설계"/>
      <sheetName val="DATE"/>
      <sheetName val="별표집계"/>
      <sheetName val="5지구단위"/>
      <sheetName val="일위대가(계측기설치)"/>
      <sheetName val="원가계산서"/>
      <sheetName val="개발계획수립"/>
      <sheetName val="데리네이타현황"/>
      <sheetName val="Sheet1"/>
      <sheetName val="#REF"/>
      <sheetName val="날개벽"/>
      <sheetName val="Sheet1 (2)"/>
      <sheetName val="수습"/>
      <sheetName val="차선도색현황"/>
      <sheetName val="N賃率-職"/>
      <sheetName val="전신환매도율"/>
      <sheetName val="9GNG운반"/>
      <sheetName val="경비_원본"/>
      <sheetName val="범용개발순소요비용"/>
      <sheetName val="97년추정손익계산서"/>
      <sheetName val="입출재고현황 (2)"/>
      <sheetName val="을지"/>
      <sheetName val="평가내역"/>
      <sheetName val="집수정"/>
      <sheetName val="INPUT"/>
      <sheetName val="중기사용료"/>
      <sheetName val="적용노임"/>
      <sheetName val="일반자재"/>
      <sheetName val="4공철탑검토"/>
      <sheetName val="횡배수관토공수량"/>
      <sheetName val="(2)"/>
      <sheetName val="피벗테이블데이터분석"/>
      <sheetName val="적용단위길이"/>
      <sheetName val="특수기호강도거푸집"/>
      <sheetName val="종배수관면벽신"/>
      <sheetName val="종배수관(신)"/>
      <sheetName val="자료입력"/>
      <sheetName val="배수공"/>
      <sheetName val="가공2원도"/>
      <sheetName val="기계경비"/>
      <sheetName val="단가산출"/>
      <sheetName val="DB구축"/>
      <sheetName val="상수구조화편집부표"/>
      <sheetName val="설계명세서"/>
      <sheetName val="품셈(기초)"/>
      <sheetName val="1호맨홀토공"/>
      <sheetName val="세부내역(직접인건비)"/>
      <sheetName val="Sheet17"/>
      <sheetName val="교각토공"/>
      <sheetName val="단가조사"/>
      <sheetName val="3지구단위"/>
      <sheetName val="내역서 "/>
      <sheetName val="수량산출"/>
      <sheetName val="공사내역"/>
      <sheetName val="표지"/>
      <sheetName val="각종양식"/>
      <sheetName val="표준계약서"/>
      <sheetName val="갑지"/>
      <sheetName val="일위대가시트"/>
      <sheetName val="취수탑"/>
      <sheetName val="BID"/>
      <sheetName val="11.우각부 보강"/>
      <sheetName val="TOTAL3"/>
      <sheetName val="수량산출서"/>
      <sheetName val="45,46"/>
      <sheetName val="단가입력창"/>
      <sheetName val="산출명세"/>
      <sheetName val="2014년사무실경비관련"/>
      <sheetName val="4.장비손료"/>
      <sheetName val="자재단가비교표"/>
      <sheetName val="첫장"/>
      <sheetName val="환경평가"/>
      <sheetName val="DATA"/>
      <sheetName val="맨홀수량"/>
      <sheetName val="화산경계"/>
      <sheetName val="공량산출서"/>
      <sheetName val="6PILE  (돌출)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Q9">
            <v>176713</v>
          </cell>
        </row>
        <row r="11">
          <cell r="M11">
            <v>155637</v>
          </cell>
          <cell r="Q11">
            <v>159658</v>
          </cell>
        </row>
        <row r="13">
          <cell r="M13">
            <v>124025</v>
          </cell>
          <cell r="Q13">
            <v>124903</v>
          </cell>
          <cell r="Z13">
            <v>93309</v>
          </cell>
        </row>
        <row r="15">
          <cell r="M15">
            <v>103036</v>
          </cell>
          <cell r="Q15">
            <v>101968</v>
          </cell>
          <cell r="Z15">
            <v>77131</v>
          </cell>
        </row>
        <row r="17">
          <cell r="M17">
            <v>83228</v>
          </cell>
          <cell r="Q17">
            <v>78894</v>
          </cell>
          <cell r="Z17">
            <v>59569</v>
          </cell>
        </row>
        <row r="19">
          <cell r="I19">
            <v>79018</v>
          </cell>
          <cell r="M19">
            <v>79018</v>
          </cell>
          <cell r="Q19">
            <v>77109</v>
          </cell>
          <cell r="Z19">
            <v>70840</v>
          </cell>
          <cell r="AD19">
            <v>86679</v>
          </cell>
          <cell r="AH19">
            <v>106782</v>
          </cell>
          <cell r="AL19">
            <v>91404</v>
          </cell>
        </row>
        <row r="21">
          <cell r="M21" t="str">
            <v> </v>
          </cell>
          <cell r="Q21">
            <v>66126</v>
          </cell>
          <cell r="Z21">
            <v>55480</v>
          </cell>
          <cell r="AD21">
            <v>65169</v>
          </cell>
          <cell r="AH21">
            <v>82210</v>
          </cell>
          <cell r="AL21">
            <v>74874</v>
          </cell>
        </row>
        <row r="23">
          <cell r="I23">
            <v>52348</v>
          </cell>
          <cell r="M23">
            <v>52348</v>
          </cell>
          <cell r="Q23">
            <v>48713</v>
          </cell>
          <cell r="Z23">
            <v>44587</v>
          </cell>
          <cell r="AD23">
            <v>52677</v>
          </cell>
          <cell r="AH23">
            <v>62987</v>
          </cell>
        </row>
        <row r="25">
          <cell r="I25">
            <v>33755</v>
          </cell>
        </row>
        <row r="27">
          <cell r="Z27">
            <v>138828</v>
          </cell>
        </row>
        <row r="29">
          <cell r="Z29">
            <v>67437</v>
          </cell>
        </row>
        <row r="31">
          <cell r="Z31">
            <v>122395</v>
          </cell>
        </row>
        <row r="33">
          <cell r="Z33">
            <v>131059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INPUT"/>
      <sheetName val="A1(d)"/>
      <sheetName val="A2(d) "/>
      <sheetName val="수량"/>
      <sheetName val="manual"/>
      <sheetName val="ABUT수량-A1"/>
    </sheetNames>
    <sheetDataSet>
      <sheetData sheetId="0" refreshError="1"/>
      <sheetData sheetId="1" refreshError="1">
        <row r="26">
          <cell r="F26">
            <v>10.881</v>
          </cell>
          <cell r="I26">
            <v>3.5</v>
          </cell>
          <cell r="L26">
            <v>5</v>
          </cell>
        </row>
        <row r="27">
          <cell r="C27">
            <v>1.639</v>
          </cell>
          <cell r="F27">
            <v>10.364000000000001</v>
          </cell>
        </row>
        <row r="28">
          <cell r="C28">
            <v>2.5110000000000001</v>
          </cell>
          <cell r="I28">
            <v>1.8</v>
          </cell>
        </row>
        <row r="30">
          <cell r="C30">
            <v>5.1369999999999996</v>
          </cell>
        </row>
        <row r="33">
          <cell r="C33">
            <v>2.302</v>
          </cell>
        </row>
        <row r="36">
          <cell r="C36">
            <v>3.9369999999999998</v>
          </cell>
          <cell r="I36">
            <v>1.0329999999999999</v>
          </cell>
        </row>
        <row r="37">
          <cell r="I37">
            <v>3.45</v>
          </cell>
        </row>
        <row r="43">
          <cell r="I43">
            <v>0</v>
          </cell>
        </row>
        <row r="44">
          <cell r="F44">
            <v>1.3</v>
          </cell>
          <cell r="I44">
            <v>1.2</v>
          </cell>
        </row>
        <row r="45">
          <cell r="F45">
            <v>1.35</v>
          </cell>
          <cell r="I45">
            <v>0.5</v>
          </cell>
        </row>
        <row r="46">
          <cell r="I46">
            <v>0.15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교각1"/>
      <sheetName val="총괄집계1 (3)"/>
      <sheetName val="총괄집계"/>
      <sheetName val="수량집계(대전)"/>
      <sheetName val="일반수량집계(대전)"/>
      <sheetName val="봉곡교(대전)"/>
      <sheetName val="수량집계(진주)"/>
      <sheetName val="일반수량집계 (진주)"/>
      <sheetName val="봉곡교(진주)"/>
      <sheetName val="접속 슬래브"/>
      <sheetName val="옹벽집계"/>
      <sheetName val="토공집계"/>
      <sheetName val="토공"/>
      <sheetName val="총괄-S"/>
      <sheetName val="총괄-S (2)"/>
      <sheetName val="총괄-S(30)"/>
      <sheetName val="슬래브-S(30)"/>
      <sheetName val="옹벽-S"/>
      <sheetName val="슬래브-S (40)"/>
      <sheetName val="수량집계"/>
      <sheetName val="신흥교"/>
      <sheetName val="시점(우)-날개벽"/>
      <sheetName val="시점(좌)-날개벽"/>
      <sheetName val="종점(우)-날개벽"/>
      <sheetName val="종점(좌)-날개벽"/>
      <sheetName val="옹벽(3-1)"/>
      <sheetName val="옹벽(3-2)"/>
      <sheetName val="총괄"/>
      <sheetName val="총괄 (2)"/>
      <sheetName val="총괄(30)"/>
      <sheetName val="슬래브(30)"/>
      <sheetName val="옹벽"/>
      <sheetName val="슬래브 (40)"/>
      <sheetName val="XXXXXX"/>
      <sheetName val="산청"/>
      <sheetName val="수동"/>
      <sheetName val="30mpc본당수량"/>
      <sheetName val="1m당 (2)"/>
      <sheetName val="총괄토공집계"/>
      <sheetName val="1 line"/>
      <sheetName val="Sheet1"/>
      <sheetName val="토공총괄집계"/>
      <sheetName val="U-TYPE토공"/>
      <sheetName val="교대토공집계"/>
      <sheetName val="교대토공"/>
      <sheetName val="교각토공집계"/>
      <sheetName val="교각토공"/>
      <sheetName val="타공종이월"/>
      <sheetName val="강재수량-총"/>
      <sheetName val="철근량"/>
      <sheetName val="토공수량집"/>
      <sheetName val="어곡-타공종"/>
      <sheetName val="VXXXXX"/>
      <sheetName val="표지"/>
      <sheetName val="목차"/>
      <sheetName val="1.설계조건"/>
      <sheetName val="2.1단면가정"/>
      <sheetName val="Sap2000"/>
      <sheetName val="2.5하중재하도"/>
      <sheetName val="2.7 전산입력"/>
      <sheetName val="2.7.2 단면력집계"/>
      <sheetName val="2.8 부재력도(극한)"/>
      <sheetName val="2.9 단면검토"/>
      <sheetName val="2.9.2 벽설계"/>
      <sheetName val="2.10주철근 조립도"/>
      <sheetName val="2.11정착장검토"/>
      <sheetName val="2.12 부재력도(허용)"/>
      <sheetName val="2.13 우각부 보강검토"/>
      <sheetName val="2.14 거더계산"/>
      <sheetName val="2.14.3 거더철근량산정"/>
      <sheetName val="2.14.4 사각기둥설계"/>
      <sheetName val="2.15 사용성검토"/>
      <sheetName val="2.16 부력검토"/>
      <sheetName val="부대공집계(옛날)"/>
      <sheetName val="부대공집계표"/>
      <sheetName val="오수공"/>
      <sheetName val="우수공"/>
      <sheetName val="구내배관"/>
      <sheetName val="BYPASS날개벽"/>
      <sheetName val="교대수량집계(당진방향)"/>
      <sheetName val="교대철근집계(당진방향)"/>
      <sheetName val="교대(당진방향)상세집계(A1)"/>
      <sheetName val="당진방향-교대(A1)"/>
      <sheetName val="날개벽(당진방향-시점)"/>
      <sheetName val="접속(당진방향,시점)"/>
      <sheetName val="옹벽(당진방향,A1)"/>
      <sheetName val="교대(당진방향)상세집계(A2)"/>
      <sheetName val="당진방향-교대(A2)"/>
      <sheetName val="날개벽(당진방향-종점)"/>
      <sheetName val="접속(당진방향,종점)"/>
      <sheetName val="옹벽(당진방향,A2)"/>
      <sheetName val="북한강교교대토공집계(1)"/>
      <sheetName val="북한강교시점측교대"/>
      <sheetName val="북한강교교대토공집계(2)"/>
      <sheetName val="북한강교종점측교대"/>
      <sheetName val="용늪교교대토공집계 "/>
      <sheetName val="용늪교시점측교대"/>
      <sheetName val="용늪교종점측교대"/>
      <sheetName val="통전1교-A1토공"/>
      <sheetName val="통전1교-A2토공"/>
      <sheetName val="사천2교-A1토공"/>
      <sheetName val="사천2교-A2토공"/>
      <sheetName val="abut집계"/>
      <sheetName val="상-교대"/>
      <sheetName val="단가조사"/>
      <sheetName val="Sheet2"/>
      <sheetName val="Sheet3"/>
      <sheetName val="자재별집계"/>
      <sheetName val="총재료집계"/>
      <sheetName val="개거재료집계"/>
      <sheetName val="개거수량산출"/>
      <sheetName val="개거위치조서"/>
      <sheetName val="덮개재료집계"/>
      <sheetName val="덮개수량산출"/>
      <sheetName val="덮개위치조서"/>
      <sheetName val="토적계산"/>
      <sheetName val="폐기물산출"/>
      <sheetName val="깨기재료집계"/>
      <sheetName val="깨기수량산출"/>
      <sheetName val="깨기위치조서"/>
      <sheetName val="중보용수로취입수문재료표"/>
      <sheetName val="중보용수로취입수문"/>
      <sheetName val="중보용수로취입수깨기수량"/>
      <sheetName val="laroux"/>
      <sheetName val="내역서"/>
      <sheetName val="총집"/>
      <sheetName val="철근집계"/>
      <sheetName val="관집"/>
      <sheetName val="횡설"/>
      <sheetName val="U형플륨집계"/>
      <sheetName val="플륨관마감"/>
      <sheetName val="플륨관"/>
      <sheetName val="횡배수평균터파기H"/>
      <sheetName val="BOX집계"/>
      <sheetName val="BOX수량"/>
      <sheetName val="잡석"/>
      <sheetName val="옹벽토공"/>
      <sheetName val="옹벽수량"/>
      <sheetName val="연장조서"/>
      <sheetName val="전단"/>
      <sheetName val="전집"/>
      <sheetName val="내역서적용수량"/>
      <sheetName val="부대공자재"/>
      <sheetName val="자재집계표"/>
      <sheetName val="타공정이월"/>
      <sheetName val="표지판설치집계"/>
      <sheetName val="표지판 기초수량"/>
      <sheetName val="표지판기초수량산출근거"/>
      <sheetName val="시선유도시설집계"/>
      <sheetName val="시선유도수량산출"/>
      <sheetName val="차선도색수량집계표"/>
      <sheetName val="차선도색수량근거"/>
      <sheetName val="이단가드레일집계"/>
      <sheetName val="교툥안전시설"/>
      <sheetName val="교대집계"/>
      <sheetName val="용수개거 내역수량집계표"/>
      <sheetName val="용수개거연장조서"/>
      <sheetName val="용수개거재료집계표"/>
      <sheetName val="용수개거단위수량"/>
      <sheetName val="집계표"/>
      <sheetName val="화심2교(전주 시)"/>
      <sheetName val="화심2교(전주 종)"/>
      <sheetName val="화심2교(함양 시)"/>
      <sheetName val="화심2교(함양 종)"/>
      <sheetName val="민목2교(전주 시)"/>
      <sheetName val="민목2교(전주 종)"/>
      <sheetName val="민목2교(함양 시)"/>
      <sheetName val="민목2교(함양 종)"/>
      <sheetName val="내역적용(전체)"/>
      <sheetName val="터널공총자재693"/>
      <sheetName val="시멘트및골재수랑지계표694"/>
      <sheetName val="콘크리트695"/>
      <sheetName val="총집계표"/>
      <sheetName val="BM개착"/>
      <sheetName val="(3-1)798"/>
      <sheetName val="(3-2)799"/>
      <sheetName val="800"/>
      <sheetName val="801"/>
      <sheetName val="802"/>
      <sheetName val="803"/>
      <sheetName val="(4-1)822"/>
      <sheetName val="(4-2)823"/>
      <sheetName val="824"/>
      <sheetName val="825"/>
      <sheetName val="826"/>
      <sheetName val="827"/>
      <sheetName val="(6-1)872"/>
      <sheetName val="(6-2)873"/>
      <sheetName val="874"/>
      <sheetName val="875"/>
      <sheetName val="876"/>
      <sheetName val="877"/>
      <sheetName val="본선수량총괄집계표"/>
      <sheetName val="토공수량총괄집계표"/>
      <sheetName val="AB3400"/>
      <sheetName val="AB3401"/>
      <sheetName val="감독차량비"/>
      <sheetName val="AB3402"/>
      <sheetName val="AB3403"/>
      <sheetName val="터널차량비"/>
      <sheetName val="AB3500"/>
      <sheetName val="부지임대료"/>
      <sheetName val="산출근거1"/>
      <sheetName val="간지"/>
      <sheetName val="설계설명서"/>
      <sheetName val="물량증감내역"/>
      <sheetName val="자재"/>
      <sheetName val="공사용중기"/>
      <sheetName val="공정표(당)"/>
      <sheetName val="공정표(변)"/>
      <sheetName val="표지-1"/>
      <sheetName val="집계표(총괄)"/>
      <sheetName val="집계표(토목)"/>
      <sheetName val="제잡비산출근거"/>
      <sheetName val="1공구(내역서)"/>
      <sheetName val="관급(1공구 )"/>
      <sheetName val="2-1공구"/>
      <sheetName val="2-2공구"/>
      <sheetName val="관급(2공구)"/>
      <sheetName val="건축(재경비)"/>
      <sheetName val="건축갑"/>
      <sheetName val="건축"/>
      <sheetName val="기계(재경비)"/>
      <sheetName val="기계갑"/>
      <sheetName val="기계설비"/>
      <sheetName val="집계표(토목,비목별)"/>
      <sheetName val="표지(K1)"/>
      <sheetName val="집계표(K1,토목)"/>
      <sheetName val="1공구(K1)"/>
      <sheetName val="집계표(K1,2공구)"/>
      <sheetName val="집계표(K1,건축)"/>
      <sheetName val="집계표(K1,기계)"/>
      <sheetName val="표지(K2)"/>
      <sheetName val="집계표(K2,토목)"/>
      <sheetName val="1공구(K2)"/>
      <sheetName val="집계표(K2,2공구)"/>
      <sheetName val="집계표(K2,건축)"/>
      <sheetName val="집계표(K2,기계)"/>
      <sheetName val="표지 (2)"/>
      <sheetName val="예정공정표"/>
      <sheetName val="공사일보(4월1일)"/>
      <sheetName val="공사일보(4월2일)"/>
      <sheetName val="공사일보(4월3일)"/>
      <sheetName val="공사일보(4월4일)"/>
      <sheetName val="공사일보(4월5일)"/>
      <sheetName val="공사일보(4월6일)"/>
      <sheetName val="공사일보(4월7일)"/>
      <sheetName val="공사일보(4월8일)"/>
      <sheetName val="공사일보(4월9일)"/>
      <sheetName val="공사일보(4월10일)"/>
      <sheetName val="공사일보(4월11일)"/>
      <sheetName val="공사일보(4월12일)"/>
      <sheetName val="공사일보(4월13일)"/>
      <sheetName val="공사일보(4월14일)"/>
      <sheetName val="공사일보(4월15일)"/>
      <sheetName val="공사일보(4월16일)"/>
      <sheetName val="공사일보(4월17일)"/>
      <sheetName val="공사일보(4월18일)"/>
      <sheetName val="공사일보(4월19일)"/>
      <sheetName val="공사일보(4월20일)"/>
      <sheetName val="공사일보(4월21일)"/>
      <sheetName val="공사일보(4월22일)"/>
      <sheetName val="공사일보(4월23일)"/>
      <sheetName val="공사일보(4월24일)"/>
      <sheetName val="공사일보(4월25일)"/>
      <sheetName val="공사일보(4월26일)"/>
      <sheetName val="공사일보(4월27일)"/>
      <sheetName val="공사일보(4월28일)"/>
      <sheetName val="공사일보(4월29일)"/>
      <sheetName val="공사일보(4월30일)"/>
      <sheetName val="설계변경내용"/>
      <sheetName val="토목공사(수량증감대비표)"/>
      <sheetName val="1공구(수량증감대비표)"/>
      <sheetName val="단가조견표"/>
      <sheetName val="주요물량,자재"/>
      <sheetName val="공사기간,변경조건"/>
      <sheetName val="공정표(변경)"/>
      <sheetName val="표지-1 (2)"/>
      <sheetName val="표지-1 (3)"/>
      <sheetName val="내역갑"/>
      <sheetName val="산출내역"/>
      <sheetName val="내역"/>
      <sheetName val="관급자재대,보상비"/>
      <sheetName val="보상비"/>
      <sheetName val="설계내역서"/>
      <sheetName val="TYPE총괄집계표"/>
      <sheetName val="논리시점우측"/>
      <sheetName val="논리시점좌측"/>
      <sheetName val="논리종점우측"/>
      <sheetName val="논리종점좌측"/>
      <sheetName val="교대수량집계표"/>
      <sheetName val="교대수량"/>
      <sheetName val="기본DATA"/>
      <sheetName val="갑"/>
      <sheetName val="변경개요1"/>
      <sheetName val="갑 (1)"/>
      <sheetName val="원가계산서"/>
      <sheetName val="공종별집계표"/>
      <sheetName val="갑지 (2)"/>
      <sheetName val="공량서(옥외방범)"/>
      <sheetName val="단가조사서"/>
      <sheetName val="단가조사서 (업체)"/>
      <sheetName val="갑지 (3)"/>
      <sheetName val="자재총괄(증감)"/>
      <sheetName val="폐수처리장(변경)"/>
      <sheetName val="폐수처리장 (기존)"/>
      <sheetName val="갑지 (4)"/>
      <sheetName val="도면"/>
      <sheetName val="가시설공(광장부)"/>
      <sheetName val="Anchor수량"/>
      <sheetName val="MSG"/>
      <sheetName val="MSG (2)"/>
      <sheetName val="SQJ"/>
      <sheetName val="가시설공(시점부)"/>
      <sheetName val="MSG(시점부)"/>
      <sheetName val="SQJ(시점부)"/>
      <sheetName val="CABLE SIZE-3"/>
      <sheetName val="토공집계표"/>
      <sheetName val="구조물깨기수량집계"/>
      <sheetName val="교량깨기"/>
      <sheetName val="단면 (2)"/>
      <sheetName val="요율"/>
      <sheetName val="당진1,2호기전선관설치및접지4차공사내역서-을지"/>
      <sheetName val="BOQ(전체)"/>
      <sheetName val="간선계산"/>
      <sheetName val="INPUT"/>
      <sheetName val="남양내역"/>
      <sheetName val="실행내역"/>
      <sheetName val="집 계 표"/>
      <sheetName val="기계내역"/>
      <sheetName val="전체_1설계"/>
      <sheetName val="정렬"/>
      <sheetName val="绑ꣃ˞짛༏濼殃恸䁍◣"/>
      <sheetName val="도급대실행대비표"/>
      <sheetName val="골재산출"/>
      <sheetName val="사  업  비  수  지  예  산  서"/>
      <sheetName val="단면가정"/>
      <sheetName val="가로등내역서"/>
      <sheetName val="BID"/>
      <sheetName val="3.바닥판설계"/>
      <sheetName val="입찰안"/>
      <sheetName val="#REF"/>
      <sheetName val="대전-교대(A1-A2)"/>
      <sheetName val="전체제잡비"/>
      <sheetName val="공주-교대(A1)"/>
      <sheetName val="000000"/>
      <sheetName val="시점부"/>
      <sheetName val="시점부토적표"/>
      <sheetName val="종점부"/>
      <sheetName val="종점부토적표"/>
      <sheetName val="현황산출서"/>
      <sheetName val="품셈"/>
      <sheetName val="배수공"/>
      <sheetName val="기자재비"/>
      <sheetName val="type-F"/>
      <sheetName val="전입"/>
      <sheetName val="apt수량"/>
      <sheetName val="Sheet15"/>
      <sheetName val="위치조서"/>
      <sheetName val="성서방향-교대(A2)"/>
      <sheetName val="날개벽"/>
      <sheetName val="1.취수장"/>
      <sheetName val="조명시설"/>
      <sheetName val="용늪교종점측교대_x0000__x0009_ӐЀ_x0004__x0000__xdfa0_̠ӴЀF_x0000__x0010_[교대토공.XLS]"/>
      <sheetName val="용늪교종점측교대_x0000__x0000__x0000__x0000__x0000__x0000__x0000__x0000__x0000__x0009__x0000_ӐЀ_x0000__x0004__x0000__x0000__x0000__x0000__x0000__x0000__xdfa0_̠"/>
      <sheetName val="맨홀수량산출"/>
      <sheetName val="1호인버트수량"/>
      <sheetName val="앉음벽 (2)"/>
      <sheetName val="전기일위목록"/>
      <sheetName val="산출근거"/>
      <sheetName val="수량집계표"/>
      <sheetName val="산수배수"/>
      <sheetName val="플랜트 설치"/>
      <sheetName val="투찰"/>
      <sheetName val="하수급견적대비"/>
      <sheetName val="편입토지조서"/>
      <sheetName val="주형"/>
      <sheetName val="기초코드"/>
      <sheetName val="A-4"/>
      <sheetName val="B(함)일반수량"/>
      <sheetName val="적용토목"/>
      <sheetName val="ABUT수량-A1"/>
      <sheetName val="진주방향"/>
      <sheetName val="마산방향"/>
      <sheetName val="마산방향철근집계"/>
      <sheetName val="수량명세서"/>
      <sheetName val="소방"/>
      <sheetName val="포장복구집계"/>
      <sheetName val="6공구(당초)"/>
      <sheetName val="["/>
      <sheetName val="공사비예산서(토목분)"/>
      <sheetName val="설계명세서"/>
      <sheetName val="토목"/>
      <sheetName val="B2BERP"/>
      <sheetName val="유동표"/>
      <sheetName val="건축내역"/>
      <sheetName val="수로교총재료집계"/>
      <sheetName val="연결임시"/>
      <sheetName val="전차선로 물량표"/>
      <sheetName val="일위대가(계측기설치)"/>
      <sheetName val="변화치수"/>
      <sheetName val="용늪교종점측교대_x0000_ ӐЀ_x0004__x0000__xdfa0_̠ӴЀF_x0000__x0010_[교대토공.XLS]"/>
      <sheetName val="용늪교종점측교대_x0000__x0000__x0000__x0000__x0000__x0000__x0000__x0000__x0000_ _x0000_ӐЀ_x0000__x0004__x0000__x0000__x0000__x0000__x0000__x0000__xdfa0_̠"/>
      <sheetName val="터파기및재료"/>
      <sheetName val="기초공"/>
      <sheetName val="기둥(원형)"/>
      <sheetName val="공사수행방안"/>
      <sheetName val="시멘트"/>
      <sheetName val="단위단가"/>
      <sheetName val="(C)원내역"/>
      <sheetName val="자재단가비교표"/>
      <sheetName val="기둥"/>
      <sheetName val="저판(버림100)"/>
      <sheetName val="자재단가"/>
      <sheetName val="8설7발"/>
      <sheetName val="교각계산"/>
      <sheetName val="B부대공"/>
      <sheetName val="산출내역서집계표"/>
      <sheetName val="손익분석"/>
      <sheetName val="3CHBDC"/>
      <sheetName val="공작물조직표(용배수)"/>
      <sheetName val="기계경비"/>
      <sheetName val="VXXXXXXX"/>
      <sheetName val="J형측구단위수량"/>
      <sheetName val="우,오수"/>
      <sheetName val="SLIDES"/>
      <sheetName val="도장수량(하1)"/>
      <sheetName val="6.교좌면보강"/>
      <sheetName val="2공구산출내역"/>
      <sheetName val="준검 내역서"/>
      <sheetName val="2.8 부재_xffff_도(_xffff_한)"/>
      <sheetName val="2._xffff_.2 벽설계"/>
      <sheetName val="포장공"/>
      <sheetName val="가정단면"/>
      <sheetName val="SLAB"/>
      <sheetName val="집수정현황"/>
      <sheetName val="실행대비"/>
      <sheetName val="TEL"/>
      <sheetName val="BLOCK-1"/>
      <sheetName val="부대내역"/>
      <sheetName val="남양시작동자105노65기1.3화1.2"/>
      <sheetName val="초곡1교(일반)"/>
      <sheetName val="토량1-1"/>
      <sheetName val="상수도토공집계표"/>
      <sheetName val="지급자재"/>
      <sheetName val="물가시세"/>
      <sheetName val="노임단가"/>
      <sheetName val="전신"/>
      <sheetName val="sub"/>
      <sheetName val="건축집계"/>
      <sheetName val="토목집계"/>
      <sheetName val="조경집계"/>
      <sheetName val="(1)본선수량집계"/>
      <sheetName val="공사비증감"/>
      <sheetName val="단위수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/>
      <sheetData sheetId="103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 refreshError="1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단위수량"/>
      <sheetName val="토공수량"/>
      <sheetName val="수량산출"/>
      <sheetName val="현황"/>
      <sheetName val="수량집계"/>
      <sheetName val="토공단위"/>
      <sheetName val="토공집계"/>
      <sheetName val="수량집계 "/>
      <sheetName val="연장조서"/>
      <sheetName val="옹벽수량"/>
      <sheetName val="개비온수량"/>
      <sheetName val="개비온연장조서 "/>
      <sheetName val="개비온옹벽단위수량 "/>
      <sheetName val="교각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제목 (2)"/>
      <sheetName val="간지(6)"/>
      <sheetName val="수목식재집계표"/>
      <sheetName val="수목보호덮개단위수량"/>
      <sheetName val="지주목단위수량"/>
      <sheetName val="수목식재설치현황"/>
      <sheetName val="타공정이기이월수량집계표"/>
      <sheetName val="블럭공제수량집계표"/>
      <sheetName val="I.L.P블럭공제수량산출"/>
      <sheetName val="제목"/>
      <sheetName val="내역서적용수량"/>
      <sheetName val="간지1"/>
      <sheetName val="주요자재집계"/>
      <sheetName val="타공정이월"/>
      <sheetName val="타공종이기"/>
      <sheetName val="간지(2)"/>
      <sheetName val="표지판기초수량"/>
      <sheetName val="표지판집계"/>
      <sheetName val="표지판설치"/>
      <sheetName val="표지판기초"/>
      <sheetName val="간지(3)"/>
      <sheetName val="차선도색집계"/>
      <sheetName val="노면표시현황"/>
      <sheetName val="차선도색현황"/>
      <sheetName val="수량산출내역"/>
      <sheetName val="간지(4)"/>
      <sheetName val="난간집계"/>
      <sheetName val="난간설치현황"/>
      <sheetName val="미관난간단위수량"/>
      <sheetName val="간지(5)"/>
      <sheetName val="표지병집계"/>
      <sheetName val="표지병설치현황"/>
      <sheetName val="Sheet1"/>
      <sheetName val="표지병단위수량"/>
      <sheetName val="rrr"/>
      <sheetName val="#REF"/>
      <sheetName val="포장재료집계표"/>
      <sheetName val="포장면적산출"/>
      <sheetName val="포장수량집계"/>
      <sheetName val="단위중량"/>
      <sheetName val="우배수"/>
      <sheetName val="통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안정검토"/>
      <sheetName val="단면설계"/>
      <sheetName val="철근량 "/>
      <sheetName val="공칭철근단면적,충격계수"/>
      <sheetName val="단면 (2)"/>
    </sheetNames>
    <sheetDataSet>
      <sheetData sheetId="0">
        <row r="92">
          <cell r="R92">
            <v>0.2</v>
          </cell>
          <cell r="U92">
            <v>1</v>
          </cell>
        </row>
        <row r="95">
          <cell r="U95">
            <v>0.25800000000000001</v>
          </cell>
          <cell r="X95">
            <v>0.5</v>
          </cell>
          <cell r="AA95">
            <v>1.37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Menu"/>
      <sheetName val="YesNoImpact"/>
      <sheetName val="내역서"/>
      <sheetName val="국변도서작성"/>
      <sheetName val="도시기본계획"/>
      <sheetName val="도시계획"/>
      <sheetName val="토지구획정리"/>
      <sheetName val="토지구획조사"/>
      <sheetName val="취락지역개발"/>
      <sheetName val="지구단위계획"/>
      <sheetName val="주택단지"/>
      <sheetName val="산업단지"/>
      <sheetName val="관광지계획"/>
      <sheetName val="유통단지"/>
      <sheetName val="체육시설"/>
      <sheetName val="국립공원"/>
      <sheetName val="도립공원"/>
      <sheetName val="군립공원"/>
      <sheetName val="자전거도로"/>
      <sheetName val="도시공원"/>
      <sheetName val="어린이공원"/>
      <sheetName val="타당성(시가지개발)"/>
      <sheetName val="타당성(도시시설개발)"/>
      <sheetName val="타당성(지역개발)"/>
      <sheetName val="체육시설1"/>
      <sheetName val="교통영향평가"/>
      <sheetName val="교통직접경비"/>
      <sheetName val="인구영향평가"/>
      <sheetName val="환경영향평가"/>
      <sheetName val="측량"/>
      <sheetName val="재해영향평가"/>
      <sheetName val="에너지사용계획"/>
      <sheetName val="문화재지표조사"/>
      <sheetName val="Energy"/>
      <sheetName val="Hamvec"/>
      <sheetName val="건설공사감리"/>
      <sheetName val="설계감리"/>
      <sheetName val="기타"/>
      <sheetName val="Sheet13"/>
      <sheetName val="Sheet14"/>
      <sheetName val="VB_Code"/>
      <sheetName val="노임단가"/>
      <sheetName val="shn"/>
      <sheetName val="용역비산정2001"/>
      <sheetName val="Sheet1"/>
      <sheetName val="SLAB&quot;1&quot;"/>
      <sheetName val="INPUT(덕도방향-시점)"/>
      <sheetName val="COST"/>
      <sheetName val="계화배수"/>
      <sheetName val="Macro(전선)"/>
      <sheetName val="기타경비"/>
      <sheetName val="별표"/>
      <sheetName val="중기사용료"/>
      <sheetName val="적용노임"/>
      <sheetName val="일반자재"/>
      <sheetName val="INPUT"/>
      <sheetName val="단가조사"/>
      <sheetName val="일위대가시트"/>
      <sheetName val="00하노임"/>
      <sheetName val="원형1호맨홀토공수량"/>
      <sheetName val="1.설계조건"/>
      <sheetName val="guard(mac)"/>
      <sheetName val="통합"/>
      <sheetName val="단위수량"/>
      <sheetName val="증감대비"/>
      <sheetName val="CODE"/>
      <sheetName val="COPING"/>
      <sheetName val="일위대가"/>
      <sheetName val="B부대공"/>
      <sheetName val="11.우각부 보강"/>
      <sheetName val="각종양식"/>
      <sheetName val="단가"/>
      <sheetName val="BOX 본체"/>
      <sheetName val="현장조사"/>
      <sheetName val="전기"/>
      <sheetName val="조건표"/>
      <sheetName val="#REF"/>
      <sheetName val="기본일위"/>
      <sheetName val="내역서2안"/>
      <sheetName val="패널"/>
      <sheetName val="직노"/>
      <sheetName val="실행내역"/>
      <sheetName val="Sheet2"/>
      <sheetName val="단면가정"/>
      <sheetName val="내역"/>
      <sheetName val="송라터널총괄"/>
      <sheetName val="품셈"/>
      <sheetName val="직공비"/>
      <sheetName val="공통가설"/>
      <sheetName val="1-1"/>
      <sheetName val="견적서"/>
      <sheetName val="일위대가(가설)"/>
      <sheetName val="1.설계기준"/>
      <sheetName val="setup"/>
      <sheetName val="EQUIP-H"/>
      <sheetName val="LEGEND"/>
      <sheetName val="암거공"/>
      <sheetName val="교각1"/>
      <sheetName val="입찰안"/>
      <sheetName val="개발계획수립"/>
      <sheetName val="2지구단위"/>
      <sheetName val="기계경비"/>
      <sheetName val="인건비(환율)"/>
      <sheetName val="1호맨홀토공"/>
      <sheetName val="공사비예산서(토목분)"/>
      <sheetName val="COMPAQ-LIST"/>
      <sheetName val="Care"/>
      <sheetName val="SV"/>
      <sheetName val="전신환매도율"/>
      <sheetName val="9GNG운반"/>
      <sheetName val="자재단가비교표"/>
      <sheetName val="98수문일위"/>
      <sheetName val="평가내역"/>
      <sheetName val="2.가정단면"/>
      <sheetName val="사급자재"/>
      <sheetName val="공사설명서"/>
      <sheetName val="공사계획서"/>
      <sheetName val="4.장비손료"/>
      <sheetName val="원가입력"/>
      <sheetName val="일위대가(목록)"/>
      <sheetName val="산근(목록)"/>
      <sheetName val="재료비"/>
      <sheetName val="DATA"/>
      <sheetName val="시중노임단가"/>
      <sheetName val="포장복구집계"/>
      <sheetName val="버스운행안내"/>
      <sheetName val="예방접종계획"/>
      <sheetName val="근태계획서"/>
      <sheetName val="관접합및부설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>
        <row r="9">
          <cell r="I9">
            <v>181248</v>
          </cell>
        </row>
        <row r="11">
          <cell r="I11">
            <v>138714</v>
          </cell>
        </row>
        <row r="13">
          <cell r="I13">
            <v>118674</v>
          </cell>
        </row>
        <row r="15">
          <cell r="I15">
            <v>96387</v>
          </cell>
        </row>
        <row r="17">
          <cell r="I17">
            <v>69746</v>
          </cell>
        </row>
        <row r="21">
          <cell r="I21">
            <v>62505</v>
          </cell>
        </row>
      </sheetData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input data"/>
      <sheetName val="통합"/>
      <sheetName val="철근단면적"/>
      <sheetName val="말뚝본체검토"/>
      <sheetName val="Sheet8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TITLE"/>
      <sheetName val="input"/>
      <sheetName val="1.2.제원"/>
      <sheetName val="3.하중계산"/>
      <sheetName val="4.1.안정검토"/>
      <sheetName val="4.2.안정검토"/>
      <sheetName val="5.1.단면력"/>
      <sheetName val="5.4.하중조합"/>
      <sheetName val="5.5.스프링"/>
      <sheetName val="7.부재검토"/>
      <sheetName val="6.단면력도"/>
      <sheetName val="8.1.기초검토용 부재력(1)"/>
      <sheetName val="8.2.기초검토용부재력(2)"/>
      <sheetName val="8.3.기초단면력(파일)입"/>
      <sheetName val="8.4.SD30 (2)"/>
      <sheetName val="9.SHOE"/>
      <sheetName val="10.낙교방지"/>
      <sheetName val="횡방향구속"/>
    </sheetNames>
    <sheetDataSet>
      <sheetData sheetId="0" refreshError="1"/>
      <sheetData sheetId="1">
        <row r="1">
          <cell r="N1">
            <v>240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COL"/>
      <sheetName val="COL-T"/>
      <sheetName val="저판(버림100)"/>
      <sheetName val="기둥"/>
      <sheetName val="COPING"/>
      <sheetName val="토공 (1단)"/>
      <sheetName val="inpu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철근량"/>
      <sheetName val="SLAB&quot;1&quot;"/>
      <sheetName val="SLAB&quot;2&quot;"/>
      <sheetName val="SLAB&quot;3,4,5,6,7,8,9,10&quot;"/>
      <sheetName val="COP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기타경비"/>
      <sheetName val="SLAB&quot;1&quot;"/>
      <sheetName val="안정검토"/>
      <sheetName val="ONG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확폭부포장수량"/>
      <sheetName val="확폭부수량산출"/>
      <sheetName val="확폭부"/>
      <sheetName val="토공"/>
      <sheetName val="-치수표(곡선부)"/>
      <sheetName val="확폭부 (2)"/>
      <sheetName val="계산서(곡선부)"/>
      <sheetName val="-평면선형조서-"/>
      <sheetName val="확폭구간"/>
      <sheetName val="접속도로1"/>
      <sheetName val="조명시설"/>
      <sheetName val="노임단가"/>
      <sheetName val="총괄내역서"/>
      <sheetName val="관접합및부설"/>
      <sheetName val="단가"/>
      <sheetName val="집계표"/>
      <sheetName val="대로근거"/>
      <sheetName val="중로근거"/>
      <sheetName val="2003상반기노임기준"/>
      <sheetName val="DATE"/>
      <sheetName val="포장재료집계표"/>
      <sheetName val="요율"/>
      <sheetName val="토사(PE)"/>
      <sheetName val="상호참고자료"/>
      <sheetName val="발주처자료입력"/>
      <sheetName val="회사기본자료"/>
      <sheetName val="하자보증자료"/>
      <sheetName val="기술자관련자료"/>
      <sheetName val="고시단가"/>
      <sheetName val="이름표지정"/>
      <sheetName val="자재단가비교표"/>
      <sheetName val="data"/>
      <sheetName val="직접경비"/>
      <sheetName val="심사물량"/>
      <sheetName val="심사계산"/>
      <sheetName val="진주방향"/>
      <sheetName val="내력서"/>
      <sheetName val="내역갑지"/>
      <sheetName val="기계경비"/>
      <sheetName val="인건비(환율)"/>
      <sheetName val="데이타"/>
      <sheetName val="식재인부"/>
      <sheetName val="총괄서"/>
      <sheetName val="2000노임기준"/>
      <sheetName val="식재일위대가"/>
      <sheetName val="기초단가"/>
      <sheetName val="2.재료비"/>
      <sheetName val="1.인건비"/>
      <sheetName val="12.보오링"/>
      <sheetName val="18.공내수압탄성자연"/>
      <sheetName val="설계예산서"/>
      <sheetName val="직접인건비"/>
      <sheetName val="견적대비"/>
      <sheetName val="단가조사서"/>
      <sheetName val="목차"/>
      <sheetName val="노임단가(2010"/>
      <sheetName val="단 가"/>
      <sheetName val="지구물리탐사"/>
      <sheetName val="값"/>
      <sheetName val="산근목록"/>
      <sheetName val="구역화물"/>
      <sheetName val="9509"/>
      <sheetName val="구간별"/>
      <sheetName val="일위대가"/>
      <sheetName val="남한강 2단계 전체분"/>
      <sheetName val="각종단가"/>
      <sheetName val="Sheet1"/>
      <sheetName val="공사비"/>
      <sheetName val="확폭부_(2)"/>
      <sheetName val="한강운반비"/>
      <sheetName val="#REF"/>
      <sheetName val="1.설계조건"/>
      <sheetName val="Y-WORK"/>
      <sheetName val="정보매체A동"/>
      <sheetName val="일위산출"/>
      <sheetName val="일위대가 "/>
      <sheetName val="제경비요율"/>
      <sheetName val="BOX"/>
      <sheetName val="금액"/>
      <sheetName val="-몰탈콘크리트"/>
      <sheetName val="-배수구조물공토공"/>
      <sheetName val="횡배수관재료-"/>
      <sheetName val="계산서(직선부)"/>
      <sheetName val="콘크리트측구연장"/>
      <sheetName val="포장공"/>
      <sheetName val="말뚝지지력산정"/>
      <sheetName val="SLAB&quot;1&quot;"/>
      <sheetName val="COPING"/>
      <sheetName val="000000"/>
      <sheetName val="공사요율산출표"/>
      <sheetName val="횡날개수집"/>
      <sheetName val="장비집계"/>
      <sheetName val="96보완계획7.12"/>
      <sheetName val=" 견적서"/>
      <sheetName val="내역서"/>
      <sheetName val="단위수량"/>
      <sheetName val="danga"/>
      <sheetName val="ilch"/>
      <sheetName val="산출목록표"/>
      <sheetName val="각형맨홀"/>
      <sheetName val="전차선로 물량표"/>
      <sheetName val="자재"/>
      <sheetName val="공사"/>
      <sheetName val="노임"/>
      <sheetName val="공통(20-91)"/>
      <sheetName val="횡배수관단위수량"/>
      <sheetName val="배수장공사비명세서"/>
      <sheetName val="ABUT수량-A1"/>
      <sheetName val="정부노임단가"/>
      <sheetName val="횡단위수량"/>
      <sheetName val="총괄"/>
      <sheetName val="수량및단가산출서"/>
      <sheetName val="공내역"/>
      <sheetName val="공사개요"/>
      <sheetName val="고부제"/>
      <sheetName val="원평천상류2차"/>
      <sheetName val="일반하천실시설계용역"/>
      <sheetName val="조촌제"/>
      <sheetName val="crude.SLAB RE-b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표지제목"/>
      <sheetName val="내역"/>
      <sheetName val="일위대가"/>
      <sheetName val="단가"/>
      <sheetName val="200"/>
      <sheetName val="COST"/>
      <sheetName val="김천일위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집계표"/>
      <sheetName val="토공(원형)"/>
      <sheetName val="기초공"/>
      <sheetName val="기둥(원형)"/>
      <sheetName val="COPING"/>
      <sheetName val="기타경비"/>
      <sheetName val="단가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H-pile(298x299)"/>
      <sheetName val="H-pile(250x250)"/>
      <sheetName val="철근단면적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간 지"/>
      <sheetName val="1.설계조건"/>
      <sheetName val="BOX 설계"/>
      <sheetName val="SAP DATA"/>
      <sheetName val="단면력 집계"/>
      <sheetName val="구체철근량"/>
      <sheetName val="사용성 검토"/>
      <sheetName val="주철근조립도"/>
      <sheetName val="말뚝지지력산정"/>
      <sheetName val="부력안정검토"/>
      <sheetName val="H-pile(298x299)"/>
      <sheetName val="H-pile(250x250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9">
          <cell r="J19">
            <v>350</v>
          </cell>
        </row>
        <row r="22">
          <cell r="L22">
            <v>20</v>
          </cell>
        </row>
        <row r="116">
          <cell r="F116">
            <v>2.5</v>
          </cell>
        </row>
      </sheetData>
      <sheetData sheetId="9"/>
      <sheetData sheetId="10" refreshError="1"/>
      <sheetData sheetId="11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직재"/>
      <sheetName val="자료업체"/>
      <sheetName val="결과"/>
      <sheetName val="총괄"/>
      <sheetName val="재료계"/>
      <sheetName val="간재"/>
      <sheetName val="노무"/>
      <sheetName val="일위"/>
      <sheetName val="N賃率-職"/>
      <sheetName val="조명시설"/>
      <sheetName val="I一般比"/>
      <sheetName val="20관리비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옥외보안등"/>
      <sheetName val="전기실"/>
      <sheetName val="전력간선"/>
      <sheetName val="동력설비"/>
      <sheetName val="전등설비"/>
      <sheetName val="전열공사"/>
      <sheetName val="피뢰침설비"/>
      <sheetName val="SNOW"/>
      <sheetName val="주차관제"/>
      <sheetName val="무선통신"/>
      <sheetName val="자탐.유도등"/>
      <sheetName val="통신접지"/>
      <sheetName val="전기내역서"/>
      <sheetName val="전기일위대가"/>
      <sheetName val="일위"/>
      <sheetName val="심사계산"/>
      <sheetName val="심사물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안정검토"/>
      <sheetName val="단면설계"/>
      <sheetName val="공칭철근단면적,충격계수"/>
      <sheetName val="Sheet1"/>
      <sheetName val="전기일위대가"/>
    </sheetNames>
    <sheetDataSet>
      <sheetData sheetId="0" refreshError="1">
        <row r="7">
          <cell r="J7">
            <v>1.8</v>
          </cell>
        </row>
        <row r="9">
          <cell r="J9">
            <v>2</v>
          </cell>
        </row>
        <row r="45">
          <cell r="O45">
            <v>240</v>
          </cell>
        </row>
        <row r="77">
          <cell r="K77">
            <v>143.19999999999999</v>
          </cell>
        </row>
        <row r="83">
          <cell r="U83">
            <v>1.3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일위"/>
      <sheetName val="자료업체"/>
      <sheetName val="비율"/>
      <sheetName val="결과"/>
      <sheetName val="총괄"/>
      <sheetName val="재료계"/>
      <sheetName val="직재"/>
      <sheetName val="간재"/>
      <sheetName val="노무"/>
      <sheetName val="노임단가"/>
      <sheetName val="工간노율"/>
      <sheetName val="경비"/>
      <sheetName val="工경비율"/>
      <sheetName val="工완성공사율"/>
      <sheetName val="工산재율"/>
      <sheetName val="工안전관리율"/>
      <sheetName val="운반"/>
      <sheetName val="수리수선"/>
      <sheetName val="수선비견적"/>
      <sheetName val="工관리비율"/>
      <sheetName val="제총괄"/>
      <sheetName val="제-재료계"/>
      <sheetName val="제직재"/>
      <sheetName val="수량산출"/>
      <sheetName val="N賃率-職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설명서"/>
      <sheetName val="설계조건"/>
      <sheetName val="안정계산"/>
      <sheetName val="말뚝설계"/>
      <sheetName val="단면검토"/>
      <sheetName val="교좌받침부"/>
      <sheetName val="날개벽(TYPE1)"/>
      <sheetName val="날개벽(TYPE2)"/>
      <sheetName val="날개벽(TYPE3)"/>
      <sheetName val="양지교"/>
      <sheetName val="접속슬래브"/>
      <sheetName val="type-F"/>
      <sheetName val="옹벽"/>
      <sheetName val="20관리비율"/>
      <sheetName val="기타경비"/>
      <sheetName val="안정검토"/>
      <sheetName val="INPUT"/>
    </sheetNames>
    <sheetDataSet>
      <sheetData sheetId="0"/>
      <sheetData sheetId="1">
        <row r="23">
          <cell r="D23">
            <v>2.15</v>
          </cell>
          <cell r="J23">
            <v>1</v>
          </cell>
        </row>
        <row r="24">
          <cell r="D24">
            <v>1.7</v>
          </cell>
          <cell r="J24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총괄표"/>
      <sheetName val="설계서"/>
      <sheetName val="일위대가"/>
      <sheetName val="산출내역"/>
      <sheetName val="산출내역_장비"/>
      <sheetName val="참조_이력면적"/>
      <sheetName val="노임단가"/>
      <sheetName val="안내"/>
      <sheetName val="N賃率-職"/>
      <sheetName val="수량산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옹벽"/>
      <sheetName val="안정검토"/>
    </sheetNames>
    <sheetDataSet>
      <sheetData sheetId="0" refreshError="1">
        <row r="284">
          <cell r="B284">
            <v>7</v>
          </cell>
        </row>
        <row r="308">
          <cell r="AA308">
            <v>53.88000000000001</v>
          </cell>
        </row>
        <row r="316">
          <cell r="K316">
            <v>1.4137166941154069</v>
          </cell>
        </row>
        <row r="322">
          <cell r="H322">
            <v>2</v>
          </cell>
        </row>
      </sheetData>
      <sheetData sheetId="1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집계표"/>
      <sheetName val="토공(원형)"/>
      <sheetName val="기초공"/>
      <sheetName val="기둥(원형)"/>
      <sheetName val="COPING"/>
      <sheetName val="옹벽"/>
      <sheetName val="PIER44"/>
      <sheetName val="#REF"/>
      <sheetName val="수량산출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통합"/>
      <sheetName val="기초공"/>
      <sheetName val="기둥(원형)"/>
    </sheetNames>
    <sheetDataSet>
      <sheetData sheetId="0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F집계"/>
      <sheetName val="F철근집계"/>
      <sheetName val="type-F"/>
      <sheetName val="안정검토"/>
      <sheetName val="소비자가"/>
      <sheetName val="통합"/>
    </sheetNames>
    <sheetDataSet>
      <sheetData sheetId="0"/>
      <sheetData sheetId="1"/>
      <sheetData sheetId="2">
        <row r="411">
          <cell r="AS411">
            <v>5.6829999999999989</v>
          </cell>
        </row>
        <row r="415">
          <cell r="AS415">
            <v>46.018999999999998</v>
          </cell>
        </row>
        <row r="419">
          <cell r="AS419">
            <v>202.292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토이월"/>
      <sheetName val="수량산출"/>
      <sheetName val="이기수량"/>
      <sheetName val="토공내역 "/>
      <sheetName val="유동표"/>
      <sheetName val="돌붙임"/>
      <sheetName val="안정검토(온1)"/>
      <sheetName val="토공A"/>
      <sheetName val="type-F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기본간지 (3)"/>
      <sheetName val="기본목차"/>
      <sheetName val="결과"/>
      <sheetName val="업체집계"/>
      <sheetName val="원가집계"/>
      <sheetName val="총괄표"/>
      <sheetName val="재집계"/>
      <sheetName val="부품별집계"/>
      <sheetName val="회로MC"/>
      <sheetName val="기구MC"/>
      <sheetName val="직재비(기타)"/>
      <sheetName val="간재비"/>
      <sheetName val="금형비"/>
      <sheetName val="노무집계"/>
      <sheetName val="노무비"/>
      <sheetName val="소요공수"/>
      <sheetName val="노임단가명세"/>
      <sheetName val="간노율"/>
      <sheetName val="임금"/>
      <sheetName val="경비"/>
      <sheetName val="경비배부액"/>
      <sheetName val="경비조정"/>
      <sheetName val="개발비"/>
      <sheetName val="외주가공비"/>
      <sheetName val="일반관리비율"/>
      <sheetName val="IS"/>
      <sheetName val="MS"/>
      <sheetName val="총괄(차로)"/>
      <sheetName val="총괄(부스)"/>
      <sheetName val="설치재료"/>
      <sheetName val="집계표(차로)"/>
      <sheetName val="성남(차로)"/>
      <sheetName val="청계(차로)"/>
      <sheetName val="판교(차로)"/>
      <sheetName val="성남(부스)"/>
      <sheetName val="청계(부스)"/>
      <sheetName val="판교(부스)"/>
      <sheetName val="설노집계"/>
      <sheetName val="설치노무"/>
      <sheetName val="설치간노비"/>
      <sheetName val="02간노율"/>
      <sheetName val="일위집계"/>
      <sheetName val="일위대가"/>
      <sheetName val="설노임단가 (2)"/>
      <sheetName val="工경비"/>
      <sheetName val="02경비율"/>
      <sheetName val="운반비"/>
      <sheetName val="SW개발비"/>
      <sheetName val="개발인건"/>
      <sheetName val="1차인건"/>
      <sheetName val="step"/>
      <sheetName val="SW제경"/>
      <sheetName val="기술료"/>
      <sheetName val="직접경비"/>
      <sheetName val="SW목록"/>
      <sheetName val="시스템요약data"/>
      <sheetName val="정산서버상세data"/>
      <sheetName val="N賃率-職"/>
      <sheetName val="제-노임"/>
      <sheetName val="제직재"/>
      <sheetName val="갑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설명서"/>
      <sheetName val="설계조건"/>
      <sheetName val="안정계산"/>
      <sheetName val="말뚝설계"/>
      <sheetName val="단면검토"/>
      <sheetName val="교좌받침부"/>
      <sheetName val="날개벽(TYPE1)"/>
      <sheetName val="날개벽(TYPE2)"/>
      <sheetName val="날개벽(TYPE3)"/>
      <sheetName val="접속슬래브"/>
      <sheetName val="현황산출서"/>
    </sheetNames>
    <sheetDataSet>
      <sheetData sheetId="0"/>
      <sheetData sheetId="1" refreshError="1">
        <row r="40">
          <cell r="I40">
            <v>2</v>
          </cell>
          <cell r="Y40">
            <v>1</v>
          </cell>
        </row>
        <row r="64">
          <cell r="I64">
            <v>240</v>
          </cell>
          <cell r="M64">
            <v>4000</v>
          </cell>
        </row>
      </sheetData>
      <sheetData sheetId="2" refreshError="1">
        <row r="82">
          <cell r="Z82">
            <v>0.30967939938948058</v>
          </cell>
        </row>
      </sheetData>
      <sheetData sheetId="3"/>
      <sheetData sheetId="4" refreshError="1">
        <row r="4">
          <cell r="K4">
            <v>0.85</v>
          </cell>
          <cell r="AA4">
            <v>0.7</v>
          </cell>
        </row>
      </sheetData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65.xml><?xml version="1.0" encoding="utf-8"?>
<externalLink xmlns="http://schemas.openxmlformats.org/spreadsheetml/2006/main">
  <externalBook xmlns:r="http://schemas.openxmlformats.org/officeDocument/2006/relationships" r:id="rId1">
    <sheetNames>
      <sheetName val="VXXXXX"/>
      <sheetName val="토적집계표"/>
      <sheetName val="토적표"/>
      <sheetName val="3BL공동구 수량"/>
      <sheetName val="3BL수량집계"/>
      <sheetName val="45BL공동구수량"/>
      <sheetName val="50BL공동구 수량 "/>
      <sheetName val="45,50BL수량집계"/>
      <sheetName val="수량집계표"/>
      <sheetName val="설계조건"/>
      <sheetName val="안정계산"/>
      <sheetName val="단면검토"/>
      <sheetName val="직접인건비"/>
      <sheetName val="직접경비"/>
      <sheetName val="N賃率-職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6.xml><?xml version="1.0" encoding="utf-8"?>
<externalLink xmlns="http://schemas.openxmlformats.org/spreadsheetml/2006/main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노임단가"/>
      <sheetName val="N賃率-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67.xml><?xml version="1.0" encoding="utf-8"?>
<externalLink xmlns="http://schemas.openxmlformats.org/spreadsheetml/2006/main">
  <externalBook xmlns:r="http://schemas.openxmlformats.org/officeDocument/2006/relationships" r:id="rId1">
    <sheetNames>
      <sheetName val="보완자의견"/>
      <sheetName val="사업개요"/>
      <sheetName val="공사내용"/>
      <sheetName val="수지예산"/>
      <sheetName val="수지예산증감"/>
      <sheetName val="계획보완증감"/>
      <sheetName val="년도별공사비"/>
      <sheetName val="이동조서"/>
      <sheetName val="공사원가 (2)"/>
      <sheetName val="공사원가"/>
      <sheetName val="공사비명세서"/>
      <sheetName val="관급자재대"/>
      <sheetName val="사급자재대"/>
      <sheetName val="자재집계표"/>
      <sheetName val="재료집계표"/>
      <sheetName val="토적계산서"/>
      <sheetName val="재료계산서"/>
      <sheetName val="단가일람"/>
      <sheetName val="단가표"/>
      <sheetName val="교각계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8.xml><?xml version="1.0" encoding="utf-8"?>
<externalLink xmlns="http://schemas.openxmlformats.org/spreadsheetml/2006/main">
  <externalBook xmlns:r="http://schemas.openxmlformats.org/officeDocument/2006/relationships" r:id="rId1">
    <sheetNames>
      <sheetName val="총괄"/>
      <sheetName val="설계내역(1) "/>
      <sheetName val="설계총괄"/>
      <sheetName val="설계내역(2)"/>
      <sheetName val="검토의견서"/>
      <sheetName val="2회표지"/>
      <sheetName val="2회증감"/>
      <sheetName val="2회설명서"/>
      <sheetName val="2회공정표"/>
      <sheetName val="2회예산서"/>
      <sheetName val="2회총괄"/>
      <sheetName val="2회내역"/>
      <sheetName val="자재총집계"/>
      <sheetName val="분배표2"/>
      <sheetName val="운반거리"/>
      <sheetName val="분배표1"/>
      <sheetName val="토공분배표(1좌)"/>
      <sheetName val="토공분배(2좌)"/>
      <sheetName val="축제집계(좌)"/>
      <sheetName val="토적(좌)"/>
      <sheetName val="토적(좌-1)"/>
      <sheetName val="토공분배표(1우)"/>
      <sheetName val="토공분배표(2우)"/>
      <sheetName val="축제집계(우)"/>
      <sheetName val="토적(우)"/>
      <sheetName val="헐기집계"/>
      <sheetName val="돌망태석축"/>
      <sheetName val="옹벽헐기"/>
      <sheetName val="돌붙임집계"/>
      <sheetName val="둘붙임단량"/>
      <sheetName val="배수통관총집계"/>
      <sheetName val="배수통관집계"/>
      <sheetName val="배수통관터파기"/>
      <sheetName val="배수통관토공"/>
      <sheetName val="유출구조수량"/>
      <sheetName val="유출공제사석"/>
      <sheetName val="유출공제토"/>
      <sheetName val="유출토공"/>
      <sheetName val="유출단면"/>
      <sheetName val="유입구조수량"/>
      <sheetName val="유입구공제떼"/>
      <sheetName val="유입구공제"/>
      <sheetName val="유입구토공"/>
      <sheetName val="유입구단면"/>
      <sheetName val="보수로수량집계"/>
      <sheetName val="보수위치조서"/>
      <sheetName val="수로관"/>
      <sheetName val="포장집계표"/>
      <sheetName val="포장수량"/>
      <sheetName val="보집계"/>
      <sheetName val="보수량"/>
      <sheetName val="운반거리표"/>
      <sheetName val="단가표"/>
      <sheetName val="산거"/>
      <sheetName val="공사비명세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</sheetDataSet>
  </externalBook>
</externalLink>
</file>

<file path=xl/externalLinks/externalLink69.xml><?xml version="1.0" encoding="utf-8"?>
<externalLink xmlns="http://schemas.openxmlformats.org/spreadsheetml/2006/main">
  <externalBook xmlns:r="http://schemas.openxmlformats.org/officeDocument/2006/relationships" r:id="rId1">
    <sheetNames>
      <sheetName val="간 지"/>
      <sheetName val="상다㎡당 단가"/>
      <sheetName val="토공산출근거"/>
      <sheetName val="블럭물량산출근거"/>
      <sheetName val="토공물량산출근거"/>
      <sheetName val="블럭그리드산출근거"/>
      <sheetName val="총괄수량집계표"/>
      <sheetName val="일위대가표  (2)"/>
      <sheetName val="견적서  (2)"/>
      <sheetName val="시방서"/>
      <sheetName val="구조계산서"/>
      <sheetName val="영문구조계산"/>
      <sheetName val="견적서  (3)"/>
      <sheetName val="견적"/>
      <sheetName val="일위대가"/>
      <sheetName val="단가산출"/>
      <sheetName val="노임단가"/>
      <sheetName val="적용기준"/>
      <sheetName val="장비집계"/>
      <sheetName val="장비단가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0.xml><?xml version="1.0" encoding="utf-8"?>
<externalLink xmlns="http://schemas.openxmlformats.org/spreadsheetml/2006/main">
  <externalBook xmlns:r="http://schemas.openxmlformats.org/officeDocument/2006/relationships" r:id="rId1">
    <sheetNames>
      <sheetName val="레미콘집계"/>
      <sheetName val="자재집계표"/>
      <sheetName val="축제공집계"/>
      <sheetName val="더돋기"/>
      <sheetName val="호안집계"/>
      <sheetName val="스톤조서"/>
      <sheetName val="스톤수량"/>
      <sheetName val="스톤단위"/>
      <sheetName val="앙카조서"/>
      <sheetName val="앙카수량"/>
      <sheetName val="앙카단위"/>
      <sheetName val="돌망태조서"/>
      <sheetName val="돌망태수량"/>
      <sheetName val="돌망태단위"/>
      <sheetName val="배수공총괄표"/>
      <sheetName val="모르터산출"/>
      <sheetName val="횡배수관집계"/>
      <sheetName val="횡배수관조서"/>
      <sheetName val="횡배;구체집"/>
      <sheetName val="횡배;구체단위"/>
      <sheetName val="횡배;토공집"/>
      <sheetName val="횡배토공"/>
      <sheetName val="평균터파기고"/>
      <sheetName val="횡배수;날개"/>
      <sheetName val="횡날단위"/>
      <sheetName val="암거총"/>
      <sheetName val="연장조서"/>
      <sheetName val="구체집계"/>
      <sheetName val="암거단위"/>
      <sheetName val="토공집계"/>
      <sheetName val="토공수량"/>
      <sheetName val="평터파기고"/>
      <sheetName val="날개구체수량;집"/>
      <sheetName val="날개단위"/>
      <sheetName val="구조물공집계"/>
      <sheetName val="모르터산출 (2)"/>
      <sheetName val="교량집계"/>
      <sheetName val="교량6-6-6"/>
      <sheetName val="교량 (2)8-7-8"/>
      <sheetName val="박스집계"/>
      <sheetName val="철근집계"/>
      <sheetName val="3련 BOX"/>
      <sheetName val="1련 BOX"/>
      <sheetName val="공제집계"/>
      <sheetName val="제수변실"/>
      <sheetName val="공기변실"/>
      <sheetName val="포장집계"/>
      <sheetName val="장비집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71.xml><?xml version="1.0" encoding="utf-8"?>
<externalLink xmlns="http://schemas.openxmlformats.org/spreadsheetml/2006/main">
  <externalBook xmlns:r="http://schemas.openxmlformats.org/officeDocument/2006/relationships" r:id="rId1">
    <sheetNames>
      <sheetName val="설명서"/>
      <sheetName val="설계조건"/>
      <sheetName val="안정계산"/>
      <sheetName val="말뚝설계"/>
      <sheetName val="단면검토"/>
      <sheetName val="교좌받침부"/>
      <sheetName val="날개벽(TYPE1)"/>
      <sheetName val="날개벽(TYPE2)"/>
      <sheetName val="날개벽(TYPE3)"/>
      <sheetName val="접속슬래브"/>
      <sheetName val="3련 BOX"/>
    </sheetNames>
    <sheetDataSet>
      <sheetData sheetId="0" refreshError="1"/>
      <sheetData sheetId="1" refreshError="1">
        <row r="41">
          <cell r="I41">
            <v>35</v>
          </cell>
        </row>
        <row r="180">
          <cell r="R180">
            <v>7.0000000000000007E-2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2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본체"/>
      <sheetName val="단면력 집계표"/>
      <sheetName val="기초설계"/>
      <sheetName val="사용성검토"/>
      <sheetName val="우각부보강"/>
      <sheetName val="날개벽"/>
      <sheetName val="PARAPHET"/>
      <sheetName val="Sheet1"/>
      <sheetName val="균열검토"/>
      <sheetName val="우각부"/>
      <sheetName val="ABUT수량-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</sheetDataSet>
  </externalBook>
</externalLink>
</file>

<file path=xl/externalLinks/externalLink73.xml><?xml version="1.0" encoding="utf-8"?>
<externalLink xmlns="http://schemas.openxmlformats.org/spreadsheetml/2006/main">
  <externalBook xmlns:r="http://schemas.openxmlformats.org/officeDocument/2006/relationships" r:id="rId1">
    <sheetNames>
      <sheetName val="안정검토(온1)"/>
      <sheetName val="안정검토(온2)"/>
      <sheetName val="안정검토(행1)"/>
      <sheetName val="안정검토(행2)"/>
      <sheetName val="안정검토(효)"/>
      <sheetName val="안정검토(간1)"/>
      <sheetName val="안정검토(간2)"/>
      <sheetName val="설계조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4.xml><?xml version="1.0" encoding="utf-8"?>
<externalLink xmlns="http://schemas.openxmlformats.org/spreadsheetml/2006/main">
  <externalBook xmlns:r="http://schemas.openxmlformats.org/officeDocument/2006/relationships" r:id="rId1">
    <sheetNames>
      <sheetName val="STORAGE"/>
      <sheetName val="Y-WORK"/>
      <sheetName val="YES"/>
      <sheetName val="전선 및 전선관"/>
      <sheetName val="설계예산서"/>
      <sheetName val="수량집계"/>
      <sheetName val="총괄"/>
      <sheetName val="토목"/>
      <sheetName val="DATA"/>
      <sheetName val="가로등내역서"/>
      <sheetName val="조명율표"/>
      <sheetName val="2000.11월설계내역"/>
      <sheetName val="수량산출서"/>
      <sheetName val="#REF"/>
      <sheetName val="일위대가"/>
      <sheetName val="말뚝지지력산정"/>
      <sheetName val="터파기및재료"/>
      <sheetName val="단가"/>
      <sheetName val="총괄표"/>
      <sheetName val="집계표"/>
      <sheetName val="실행철강하도"/>
      <sheetName val="일위대가표(유단가)"/>
      <sheetName val="기계경비일람"/>
      <sheetName val="노임"/>
    </sheetNames>
    <definedNames>
      <definedName name="Macro10"/>
      <definedName name="Macro12"/>
      <definedName name="Macro13"/>
      <definedName name="Macro14"/>
      <definedName name="Macro2"/>
      <definedName name="Macro5"/>
      <definedName name="Macro6"/>
      <definedName name="Macro8"/>
      <definedName name="Macro9"/>
    </defined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5.xml><?xml version="1.0" encoding="utf-8"?>
<externalLink xmlns="http://schemas.openxmlformats.org/spreadsheetml/2006/main">
  <externalBook xmlns:r="http://schemas.openxmlformats.org/officeDocument/2006/relationships" r:id="rId1">
    <sheetNames>
      <sheetName val="0000"/>
      <sheetName val="000000"/>
      <sheetName val="VXXX"/>
      <sheetName val="DW"/>
      <sheetName val="Sheet1"/>
      <sheetName val="setup"/>
      <sheetName val="범용개발순소요비용"/>
      <sheetName val="704SUN"/>
      <sheetName val="Data Vol"/>
      <sheetName val="토공A"/>
      <sheetName val="data"/>
      <sheetName val="전력구구조물산근"/>
      <sheetName val="수량산출"/>
      <sheetName val="단가"/>
      <sheetName val="Sheet17"/>
      <sheetName val="안정검토(온1)"/>
      <sheetName val="공통(20-91)"/>
      <sheetName val="설계서(설치)"/>
      <sheetName val="노임단가"/>
      <sheetName val="플랜트 설치"/>
      <sheetName val="오산갈곳"/>
      <sheetName val="심사계산"/>
      <sheetName val="심사물량"/>
      <sheetName val="L형측구단위수량"/>
      <sheetName val="L형측구연장조서"/>
      <sheetName val="도로경계블럭단위수량"/>
      <sheetName val="도로경계블럭단위토공"/>
      <sheetName val="FOOTING단면력"/>
      <sheetName val="날개벽수량표"/>
      <sheetName val="바닥판"/>
      <sheetName val="중기일위대가"/>
      <sheetName val="정부노임단가"/>
      <sheetName val="ABUT수량-A1"/>
      <sheetName val="Macro(차단기)"/>
      <sheetName val="데이타"/>
      <sheetName val="식재인부"/>
      <sheetName val="집수정단"/>
      <sheetName val="하천제원"/>
      <sheetName val="지구단위계획"/>
      <sheetName val=""/>
    </sheetNames>
    <sheetDataSet>
      <sheetData sheetId="0"/>
      <sheetData sheetId="1"/>
      <sheetData sheetId="2" refreshError="1"/>
      <sheetData sheetId="3"/>
      <sheetData sheetId="4" refreshError="1">
        <row r="1">
          <cell r="A1" t="str">
            <v xml:space="preserve">1018A </v>
          </cell>
          <cell r="B1" t="str">
            <v xml:space="preserve">OPT SBUS SFE FWSCSI ADAPTER </v>
          </cell>
          <cell r="C1">
            <v>1424</v>
          </cell>
          <cell r="D1" t="str">
            <v xml:space="preserve">A </v>
          </cell>
        </row>
        <row r="2">
          <cell r="A2" t="str">
            <v xml:space="preserve">1032A </v>
          </cell>
          <cell r="B2" t="str">
            <v xml:space="preserve">OPT INT PCI 10/100BASET NIC </v>
          </cell>
          <cell r="C2">
            <v>1294</v>
          </cell>
          <cell r="D2" t="str">
            <v xml:space="preserve">A </v>
          </cell>
        </row>
        <row r="3">
          <cell r="A3" t="str">
            <v xml:space="preserve">1033A </v>
          </cell>
          <cell r="B3" t="str">
            <v xml:space="preserve">OPT INT PCI 10/100BASET NIC </v>
          </cell>
          <cell r="C3">
            <v>904</v>
          </cell>
          <cell r="D3" t="str">
            <v xml:space="preserve">A </v>
          </cell>
        </row>
        <row r="4">
          <cell r="A4" t="str">
            <v xml:space="preserve">1034A </v>
          </cell>
          <cell r="B4" t="str">
            <v xml:space="preserve">OPT QFE PCI CARD W/SW </v>
          </cell>
          <cell r="C4">
            <v>2334</v>
          </cell>
          <cell r="D4" t="str">
            <v xml:space="preserve">A </v>
          </cell>
        </row>
        <row r="5">
          <cell r="A5" t="str">
            <v xml:space="preserve">1040A </v>
          </cell>
          <cell r="B5" t="str">
            <v xml:space="preserve">OPT SBUS GIGABIT ETHERNET 2.0/SW </v>
          </cell>
          <cell r="C5">
            <v>2984</v>
          </cell>
          <cell r="D5" t="str">
            <v xml:space="preserve">A </v>
          </cell>
        </row>
        <row r="6">
          <cell r="A6" t="str">
            <v xml:space="preserve">1049A </v>
          </cell>
          <cell r="B6" t="str">
            <v xml:space="preserve">OPT QUAD FASTETHERNET W/SW </v>
          </cell>
          <cell r="C6">
            <v>2594</v>
          </cell>
          <cell r="D6" t="str">
            <v xml:space="preserve">A </v>
          </cell>
        </row>
        <row r="7">
          <cell r="A7" t="str">
            <v xml:space="preserve">1059A </v>
          </cell>
          <cell r="B7" t="str">
            <v xml:space="preserve">OPT SBUS FASTETHERNET 2.0/SW </v>
          </cell>
          <cell r="C7">
            <v>1034</v>
          </cell>
          <cell r="D7" t="str">
            <v xml:space="preserve">A </v>
          </cell>
        </row>
        <row r="8">
          <cell r="A8" t="str">
            <v xml:space="preserve">1060A </v>
          </cell>
          <cell r="B8" t="str">
            <v xml:space="preserve">OPT SBUS SUNATM155/MFIBER S/SW </v>
          </cell>
          <cell r="C8">
            <v>1684</v>
          </cell>
          <cell r="D8" t="str">
            <v xml:space="preserve">A </v>
          </cell>
        </row>
        <row r="9">
          <cell r="A9" t="str">
            <v xml:space="preserve">1061A </v>
          </cell>
          <cell r="B9" t="str">
            <v xml:space="preserve">OPT SBUS SUNATM155/UTP5 W/SW </v>
          </cell>
          <cell r="C9">
            <v>1294</v>
          </cell>
          <cell r="D9" t="str">
            <v xml:space="preserve">A </v>
          </cell>
        </row>
        <row r="10">
          <cell r="A10" t="str">
            <v xml:space="preserve">1062A </v>
          </cell>
          <cell r="B10" t="str">
            <v xml:space="preserve">OPT SBUS F/W DWIS/S ADAPTER </v>
          </cell>
          <cell r="C10">
            <v>1684</v>
          </cell>
          <cell r="D10" t="str">
            <v xml:space="preserve">A </v>
          </cell>
        </row>
        <row r="11">
          <cell r="A11" t="str">
            <v xml:space="preserve">1063A </v>
          </cell>
          <cell r="B11" t="str">
            <v xml:space="preserve">OPT SBUS F/W SWIS/S ADAPTER </v>
          </cell>
          <cell r="C11">
            <v>1554</v>
          </cell>
          <cell r="D11" t="str">
            <v xml:space="preserve">A </v>
          </cell>
        </row>
        <row r="12">
          <cell r="A12" t="str">
            <v xml:space="preserve">1064A </v>
          </cell>
          <cell r="B12" t="str">
            <v xml:space="preserve">OPT SBUS SUNATM622/MFIBER W/SW </v>
          </cell>
          <cell r="C12">
            <v>6494</v>
          </cell>
          <cell r="D12" t="str">
            <v xml:space="preserve">A </v>
          </cell>
        </row>
        <row r="13">
          <cell r="A13" t="str">
            <v xml:space="preserve">1065A </v>
          </cell>
          <cell r="B13" t="str">
            <v xml:space="preserve">OPT ULTRA DWIS/S HOST ADAPTER </v>
          </cell>
          <cell r="C13">
            <v>1684</v>
          </cell>
          <cell r="D13" t="str">
            <v xml:space="preserve">A </v>
          </cell>
        </row>
        <row r="14">
          <cell r="A14" t="str">
            <v xml:space="preserve">1066A </v>
          </cell>
          <cell r="B14" t="str">
            <v xml:space="preserve">OPT PCI SUNATM/P-155MMF W/SW </v>
          </cell>
          <cell r="C14">
            <v>1424</v>
          </cell>
          <cell r="D14" t="str">
            <v xml:space="preserve">A </v>
          </cell>
        </row>
        <row r="15">
          <cell r="A15" t="str">
            <v xml:space="preserve">1067A </v>
          </cell>
          <cell r="B15" t="str">
            <v xml:space="preserve">OPT PCI SUNATM/P-155UTP W/SW </v>
          </cell>
          <cell r="C15">
            <v>1164</v>
          </cell>
          <cell r="D15" t="str">
            <v xml:space="preserve">A </v>
          </cell>
        </row>
        <row r="16">
          <cell r="A16" t="str">
            <v xml:space="preserve">1068A </v>
          </cell>
          <cell r="B16" t="str">
            <v xml:space="preserve">OPT PCI SUNATM/P-622MMF W/SW </v>
          </cell>
          <cell r="C16">
            <v>5194</v>
          </cell>
          <cell r="D16" t="str">
            <v xml:space="preserve">A </v>
          </cell>
        </row>
        <row r="17">
          <cell r="A17" t="str">
            <v xml:space="preserve">1070A </v>
          </cell>
          <cell r="B17" t="str">
            <v xml:space="preserve">HIPPI/P 1.0 Interface board </v>
          </cell>
          <cell r="C17">
            <v>13000</v>
          </cell>
          <cell r="D17" t="str">
            <v xml:space="preserve">A </v>
          </cell>
        </row>
        <row r="18">
          <cell r="A18" t="str">
            <v xml:space="preserve">1076A </v>
          </cell>
          <cell r="B18" t="str">
            <v xml:space="preserve">A7000 SCSI ADAPT KIT W/RAID A+ </v>
          </cell>
          <cell r="C18">
            <v>0</v>
          </cell>
          <cell r="D18" t="str">
            <v xml:space="preserve">D </v>
          </cell>
        </row>
        <row r="19">
          <cell r="A19" t="str">
            <v xml:space="preserve">1140A </v>
          </cell>
          <cell r="B19" t="str">
            <v xml:space="preserve">OPT SBUS GIGABIT ETHERNET 2.0/SW </v>
          </cell>
          <cell r="C19">
            <v>2984</v>
          </cell>
          <cell r="D19" t="str">
            <v xml:space="preserve">A </v>
          </cell>
        </row>
        <row r="20">
          <cell r="A20" t="str">
            <v xml:space="preserve">1190A </v>
          </cell>
          <cell r="B20" t="str">
            <v xml:space="preserve">OPT PROCESSOR US 250MHZ/1MB </v>
          </cell>
          <cell r="C20">
            <v>3497</v>
          </cell>
          <cell r="D20" t="str">
            <v xml:space="preserve">H </v>
          </cell>
        </row>
        <row r="21">
          <cell r="A21" t="str">
            <v xml:space="preserve">1191A </v>
          </cell>
          <cell r="B21" t="str">
            <v xml:space="preserve">OPT PROCESSOR US 300MHZ/2MB </v>
          </cell>
          <cell r="C21">
            <v>8450</v>
          </cell>
          <cell r="D21" t="str">
            <v xml:space="preserve">H </v>
          </cell>
        </row>
        <row r="22">
          <cell r="A22" t="str">
            <v xml:space="preserve">1194A </v>
          </cell>
          <cell r="B22" t="str">
            <v xml:space="preserve">Opt 400MHz/2MB processor </v>
          </cell>
          <cell r="C22">
            <v>8775</v>
          </cell>
          <cell r="D22" t="str">
            <v xml:space="preserve">H </v>
          </cell>
        </row>
        <row r="23">
          <cell r="A23" t="str">
            <v xml:space="preserve">2077A </v>
          </cell>
          <cell r="B23" t="str">
            <v xml:space="preserve">Metro Remote Dual Copy HW </v>
          </cell>
          <cell r="C23">
            <v>111816</v>
          </cell>
          <cell r="D23" t="str">
            <v xml:space="preserve">A </v>
          </cell>
        </row>
        <row r="24">
          <cell r="A24" t="str">
            <v xml:space="preserve">2230A </v>
          </cell>
          <cell r="B24" t="str">
            <v xml:space="preserve">OPT 250MHZ CPU W/1MB FOR E450 </v>
          </cell>
          <cell r="C24">
            <v>3632</v>
          </cell>
          <cell r="D24" t="str">
            <v xml:space="preserve">H </v>
          </cell>
        </row>
        <row r="25">
          <cell r="A25" t="str">
            <v xml:space="preserve">2240A </v>
          </cell>
          <cell r="B25" t="str">
            <v xml:space="preserve">OPT 300MHZ CPU W/2MB FOR E450 </v>
          </cell>
          <cell r="C25">
            <v>8450</v>
          </cell>
          <cell r="D25" t="str">
            <v xml:space="preserve">H </v>
          </cell>
        </row>
        <row r="26">
          <cell r="A26" t="str">
            <v xml:space="preserve">2244A </v>
          </cell>
          <cell r="B26" t="str">
            <v xml:space="preserve">OPT 400MHZ CPU W/4MB FOR E450 </v>
          </cell>
          <cell r="C26">
            <v>11050</v>
          </cell>
          <cell r="D26" t="str">
            <v xml:space="preserve">H </v>
          </cell>
        </row>
        <row r="27">
          <cell r="A27" t="str">
            <v xml:space="preserve">250M9-100-W999 </v>
          </cell>
          <cell r="B27" t="str">
            <v xml:space="preserve">E250 SUPPLEMENT CD </v>
          </cell>
          <cell r="C27">
            <v>0</v>
          </cell>
          <cell r="D27" t="str">
            <v xml:space="preserve">D </v>
          </cell>
        </row>
        <row r="28">
          <cell r="A28" t="str">
            <v xml:space="preserve">2550A </v>
          </cell>
          <cell r="B28" t="str">
            <v xml:space="preserve">OPT PROCESSOR US 250MHZ/4MB </v>
          </cell>
          <cell r="C28">
            <v>24000</v>
          </cell>
          <cell r="D28" t="str">
            <v xml:space="preserve">A </v>
          </cell>
        </row>
        <row r="29">
          <cell r="A29" t="str">
            <v xml:space="preserve">2560A </v>
          </cell>
          <cell r="B29" t="str">
            <v xml:space="preserve">OPT PROCESSOR US 336/333MHZ/4M </v>
          </cell>
          <cell r="C29">
            <v>28500</v>
          </cell>
          <cell r="D29" t="str">
            <v xml:space="preserve">A </v>
          </cell>
        </row>
        <row r="30">
          <cell r="A30" t="str">
            <v xml:space="preserve">2570A </v>
          </cell>
          <cell r="B30" t="str">
            <v xml:space="preserve">OPT PROCESSOR US 400-MHZ/4MB </v>
          </cell>
          <cell r="C30">
            <v>25500</v>
          </cell>
          <cell r="D30" t="str">
            <v xml:space="preserve">A </v>
          </cell>
        </row>
        <row r="31">
          <cell r="A31" t="str">
            <v xml:space="preserve">2580A </v>
          </cell>
          <cell r="B31" t="str">
            <v xml:space="preserve">OPT PROCESSOR US 400-MHZ/8MB </v>
          </cell>
          <cell r="C31">
            <v>26250</v>
          </cell>
          <cell r="D31" t="str">
            <v xml:space="preserve">A </v>
          </cell>
        </row>
        <row r="32">
          <cell r="A32" t="str">
            <v xml:space="preserve">2602A </v>
          </cell>
          <cell r="B32" t="str">
            <v xml:space="preserve">OPT INT CPU/MEM BD FOR EXX00 </v>
          </cell>
          <cell r="C32">
            <v>13500</v>
          </cell>
          <cell r="D32" t="str">
            <v xml:space="preserve">A </v>
          </cell>
        </row>
        <row r="33">
          <cell r="A33" t="str">
            <v xml:space="preserve">2612A </v>
          </cell>
          <cell r="B33" t="str">
            <v xml:space="preserve">OPT INT I/O BD EXX00 W/FC-AL </v>
          </cell>
          <cell r="C33">
            <v>9750</v>
          </cell>
          <cell r="D33" t="str">
            <v xml:space="preserve">A </v>
          </cell>
        </row>
        <row r="34">
          <cell r="A34" t="str">
            <v xml:space="preserve">2622A </v>
          </cell>
          <cell r="B34" t="str">
            <v xml:space="preserve">OPT INT GRAPHICS I/O BD EXX00 </v>
          </cell>
          <cell r="C34">
            <v>10500</v>
          </cell>
          <cell r="D34" t="str">
            <v xml:space="preserve">A </v>
          </cell>
        </row>
        <row r="35">
          <cell r="A35" t="str">
            <v xml:space="preserve">2632A </v>
          </cell>
          <cell r="B35" t="str">
            <v xml:space="preserve">OPT INT PCI I/O BD FOR EXX00 </v>
          </cell>
          <cell r="C35">
            <v>12000</v>
          </cell>
          <cell r="D35" t="str">
            <v xml:space="preserve">A </v>
          </cell>
        </row>
        <row r="36">
          <cell r="A36" t="str">
            <v xml:space="preserve">2652A </v>
          </cell>
          <cell r="B36" t="str">
            <v xml:space="preserve">OPTIONAL FC-AL INTERFACE BOARD </v>
          </cell>
          <cell r="C36">
            <v>2250</v>
          </cell>
          <cell r="D36" t="str">
            <v xml:space="preserve">A </v>
          </cell>
        </row>
        <row r="37">
          <cell r="A37" t="str">
            <v xml:space="preserve">2721A </v>
          </cell>
          <cell r="B37" t="str">
            <v xml:space="preserve">E10000 CONTROL BOARD, ETH HUB. </v>
          </cell>
          <cell r="C37">
            <v>32000</v>
          </cell>
          <cell r="D37" t="str">
            <v xml:space="preserve">A </v>
          </cell>
        </row>
        <row r="38">
          <cell r="A38" t="str">
            <v xml:space="preserve">2722A </v>
          </cell>
          <cell r="B38" t="str">
            <v xml:space="preserve">E10000 CONTROL BOARD, ETH HUB. </v>
          </cell>
          <cell r="C38">
            <v>32000</v>
          </cell>
          <cell r="D38" t="str">
            <v xml:space="preserve">A </v>
          </cell>
        </row>
        <row r="39">
          <cell r="A39" t="str">
            <v xml:space="preserve">2730A </v>
          </cell>
          <cell r="B39" t="str">
            <v xml:space="preserve">E10000 I/O BOARD </v>
          </cell>
          <cell r="C39">
            <v>12000</v>
          </cell>
          <cell r="D39" t="str">
            <v xml:space="preserve">A </v>
          </cell>
        </row>
        <row r="40">
          <cell r="A40" t="str">
            <v xml:space="preserve">2731A </v>
          </cell>
          <cell r="B40" t="str">
            <v xml:space="preserve">E10000 PCI MODULE </v>
          </cell>
          <cell r="C40">
            <v>16000</v>
          </cell>
          <cell r="D40" t="str">
            <v xml:space="preserve">A </v>
          </cell>
        </row>
        <row r="41">
          <cell r="A41" t="str">
            <v xml:space="preserve">2753A </v>
          </cell>
          <cell r="B41" t="str">
            <v xml:space="preserve">E10000 Sys. Service Processor </v>
          </cell>
          <cell r="C41">
            <v>16800</v>
          </cell>
          <cell r="D41" t="str">
            <v xml:space="preserve">A </v>
          </cell>
        </row>
        <row r="42">
          <cell r="A42" t="str">
            <v xml:space="preserve">2754A </v>
          </cell>
          <cell r="B42" t="str">
            <v xml:space="preserve">E10000 Sys. Service Processor </v>
          </cell>
          <cell r="C42">
            <v>16800</v>
          </cell>
          <cell r="D42" t="str">
            <v xml:space="preserve">A </v>
          </cell>
        </row>
        <row r="43">
          <cell r="A43" t="str">
            <v xml:space="preserve">2755A </v>
          </cell>
          <cell r="B43" t="str">
            <v xml:space="preserve">E10000 Sys. Service Processor </v>
          </cell>
          <cell r="C43">
            <v>21700</v>
          </cell>
          <cell r="D43" t="str">
            <v xml:space="preserve">A </v>
          </cell>
        </row>
        <row r="44">
          <cell r="A44" t="str">
            <v xml:space="preserve">2761A </v>
          </cell>
          <cell r="B44" t="str">
            <v xml:space="preserve">E10000 System Board (empty) </v>
          </cell>
          <cell r="C44">
            <v>96000</v>
          </cell>
          <cell r="D44" t="str">
            <v xml:space="preserve">A </v>
          </cell>
        </row>
        <row r="45">
          <cell r="A45" t="str">
            <v xml:space="preserve">3655A </v>
          </cell>
          <cell r="B45" t="str">
            <v xml:space="preserve">TURBOGXPLUS CARD W/CABLES, DOC </v>
          </cell>
          <cell r="C45">
            <v>1162</v>
          </cell>
          <cell r="D45" t="str">
            <v xml:space="preserve">H </v>
          </cell>
        </row>
        <row r="46">
          <cell r="A46" t="str">
            <v xml:space="preserve">3666A </v>
          </cell>
          <cell r="B46" t="str">
            <v xml:space="preserve">ELITE3D M6 HORIZ. W/CBL </v>
          </cell>
          <cell r="C46">
            <v>6993</v>
          </cell>
          <cell r="D46" t="str">
            <v xml:space="preserve">H </v>
          </cell>
        </row>
        <row r="47">
          <cell r="A47" t="str">
            <v xml:space="preserve">3667A </v>
          </cell>
          <cell r="B47" t="str">
            <v xml:space="preserve">ELITE3D M6 HORIZ. W/CBL </v>
          </cell>
          <cell r="C47">
            <v>3894</v>
          </cell>
          <cell r="D47" t="str">
            <v xml:space="preserve">H </v>
          </cell>
        </row>
        <row r="48">
          <cell r="A48" t="str">
            <v xml:space="preserve">3668A </v>
          </cell>
          <cell r="B48" t="str">
            <v xml:space="preserve">PGX32 CARD W/VIDEO ADAPTOR </v>
          </cell>
          <cell r="C48">
            <v>398</v>
          </cell>
          <cell r="D48" t="str">
            <v xml:space="preserve">H </v>
          </cell>
        </row>
        <row r="49">
          <cell r="A49" t="str">
            <v xml:space="preserve">3669A </v>
          </cell>
          <cell r="B49" t="str">
            <v xml:space="preserve">CREATOR SERIES 1, HORIZONTAL </v>
          </cell>
          <cell r="C49">
            <v>1113</v>
          </cell>
          <cell r="D49" t="str">
            <v xml:space="preserve">H </v>
          </cell>
        </row>
        <row r="50">
          <cell r="A50" t="str">
            <v xml:space="preserve">3671A </v>
          </cell>
          <cell r="B50" t="str">
            <v xml:space="preserve">CREATOR3D SERIES 3, HORIZONTAL </v>
          </cell>
          <cell r="C50">
            <v>1034</v>
          </cell>
          <cell r="D50" t="str">
            <v xml:space="preserve">H </v>
          </cell>
        </row>
        <row r="51">
          <cell r="A51" t="str">
            <v xml:space="preserve">3675A </v>
          </cell>
          <cell r="B51" t="str">
            <v xml:space="preserve">CREATOR3D SERIES 2, HORIZONTAL </v>
          </cell>
          <cell r="C51">
            <v>1673</v>
          </cell>
          <cell r="D51" t="str">
            <v xml:space="preserve">H </v>
          </cell>
        </row>
        <row r="52">
          <cell r="A52" t="str">
            <v xml:space="preserve">3800A </v>
          </cell>
          <cell r="B52" t="str">
            <v xml:space="preserve">OPT PWR CORD FOR ENTERPR. (US) </v>
          </cell>
          <cell r="C52">
            <v>0</v>
          </cell>
          <cell r="D52" t="str">
            <v xml:space="preserve">D </v>
          </cell>
        </row>
        <row r="53">
          <cell r="A53" t="str">
            <v xml:space="preserve">3840A </v>
          </cell>
          <cell r="B53" t="str">
            <v xml:space="preserve">SCSI CABLE,68P-68P,12M </v>
          </cell>
          <cell r="C53">
            <v>270</v>
          </cell>
          <cell r="D53" t="str">
            <v xml:space="preserve">A </v>
          </cell>
        </row>
        <row r="54">
          <cell r="A54" t="str">
            <v xml:space="preserve">3841A </v>
          </cell>
          <cell r="B54" t="str">
            <v xml:space="preserve">SCSI CABLE,IBM RS/6000,68P-68P </v>
          </cell>
          <cell r="C54">
            <v>270</v>
          </cell>
          <cell r="D54" t="str">
            <v xml:space="preserve">A </v>
          </cell>
        </row>
        <row r="55">
          <cell r="A55" t="str">
            <v xml:space="preserve">3842A </v>
          </cell>
          <cell r="B55" t="str">
            <v xml:space="preserve">BMC CABLE PAIR, 0.5M </v>
          </cell>
          <cell r="C55">
            <v>144</v>
          </cell>
          <cell r="D55" t="str">
            <v xml:space="preserve">A </v>
          </cell>
        </row>
        <row r="56">
          <cell r="A56" t="str">
            <v xml:space="preserve">3843A </v>
          </cell>
          <cell r="B56" t="str">
            <v xml:space="preserve">BMC CABLE PAIR, 10M </v>
          </cell>
          <cell r="C56">
            <v>486</v>
          </cell>
          <cell r="D56" t="str">
            <v xml:space="preserve">A </v>
          </cell>
        </row>
        <row r="57">
          <cell r="A57" t="str">
            <v xml:space="preserve">3844A </v>
          </cell>
          <cell r="B57" t="str">
            <v xml:space="preserve">BMC CABLE PAIR, 20M </v>
          </cell>
          <cell r="C57">
            <v>684</v>
          </cell>
          <cell r="D57" t="str">
            <v xml:space="preserve">A </v>
          </cell>
        </row>
        <row r="58">
          <cell r="A58" t="str">
            <v xml:space="preserve">3845A </v>
          </cell>
          <cell r="B58" t="str">
            <v xml:space="preserve">BMC CABLE PAIR, 30M </v>
          </cell>
          <cell r="C58">
            <v>882</v>
          </cell>
          <cell r="D58" t="str">
            <v xml:space="preserve">A </v>
          </cell>
        </row>
        <row r="59">
          <cell r="A59" t="str">
            <v xml:space="preserve">3846A </v>
          </cell>
          <cell r="B59" t="str">
            <v xml:space="preserve">ESCON CABLE, 13M </v>
          </cell>
          <cell r="C59">
            <v>252</v>
          </cell>
          <cell r="D59" t="str">
            <v xml:space="preserve">A </v>
          </cell>
        </row>
        <row r="60">
          <cell r="A60" t="str">
            <v xml:space="preserve">3847A </v>
          </cell>
          <cell r="B60" t="str">
            <v xml:space="preserve">ESCON CABLE, 31M </v>
          </cell>
          <cell r="C60">
            <v>558</v>
          </cell>
          <cell r="D60" t="str">
            <v xml:space="preserve">A </v>
          </cell>
        </row>
        <row r="61">
          <cell r="A61" t="str">
            <v xml:space="preserve">3848A </v>
          </cell>
          <cell r="B61" t="str">
            <v xml:space="preserve">OPT PWR CORD F. ENTERPR. (INT) </v>
          </cell>
          <cell r="C61">
            <v>0</v>
          </cell>
          <cell r="D61" t="str">
            <v xml:space="preserve">D </v>
          </cell>
        </row>
        <row r="62">
          <cell r="A62" t="str">
            <v xml:space="preserve">3851A </v>
          </cell>
          <cell r="B62" t="str">
            <v xml:space="preserve">E10000 POWER CORD, (INT'L) </v>
          </cell>
          <cell r="C62">
            <v>0</v>
          </cell>
          <cell r="D62" t="str">
            <v xml:space="preserve">D </v>
          </cell>
        </row>
        <row r="63">
          <cell r="A63" t="str">
            <v xml:space="preserve">3858A </v>
          </cell>
          <cell r="B63" t="str">
            <v xml:space="preserve">U.S. POWER CORD FOR STOREDGE </v>
          </cell>
          <cell r="C63">
            <v>0</v>
          </cell>
          <cell r="D63" t="str">
            <v xml:space="preserve">D </v>
          </cell>
        </row>
        <row r="64">
          <cell r="A64" t="str">
            <v xml:space="preserve">3859A </v>
          </cell>
          <cell r="B64" t="str">
            <v xml:space="preserve">INTL. POWER CORD FOR STOREDGE </v>
          </cell>
          <cell r="C64">
            <v>0</v>
          </cell>
          <cell r="D64" t="str">
            <v xml:space="preserve">D </v>
          </cell>
        </row>
        <row r="65">
          <cell r="A65" t="str">
            <v xml:space="preserve">3865A </v>
          </cell>
          <cell r="B65" t="str">
            <v xml:space="preserve">E10000 PWR CORD (14FT),FOR N.A </v>
          </cell>
          <cell r="C65">
            <v>0</v>
          </cell>
          <cell r="D65" t="str">
            <v xml:space="preserve">D </v>
          </cell>
        </row>
        <row r="66">
          <cell r="A66" t="str">
            <v xml:space="preserve">3872A </v>
          </cell>
          <cell r="B66" t="str">
            <v xml:space="preserve">VIDEO CONNECTOR ADAPTER HD-15 </v>
          </cell>
          <cell r="C66">
            <v>47</v>
          </cell>
          <cell r="D66" t="str">
            <v xml:space="preserve">H </v>
          </cell>
        </row>
        <row r="67">
          <cell r="A67" t="str">
            <v xml:space="preserve">3875A </v>
          </cell>
          <cell r="B67" t="str">
            <v xml:space="preserve">E10000 AC INPUT MODULE </v>
          </cell>
          <cell r="C67">
            <v>4800</v>
          </cell>
          <cell r="D67" t="str">
            <v xml:space="preserve">A </v>
          </cell>
        </row>
        <row r="68">
          <cell r="A68" t="str">
            <v xml:space="preserve">5162A </v>
          </cell>
          <cell r="B68" t="str">
            <v xml:space="preserve">OPT INT DISKBD 8GB/7200 USCSI </v>
          </cell>
          <cell r="C68">
            <v>5550</v>
          </cell>
          <cell r="D68" t="str">
            <v xml:space="preserve">A </v>
          </cell>
        </row>
        <row r="69">
          <cell r="A69" t="str">
            <v xml:space="preserve">5164A </v>
          </cell>
          <cell r="B69" t="str">
            <v xml:space="preserve">OPT INT DISKBD 36.4GB/10000 USCSI </v>
          </cell>
          <cell r="C69">
            <v>5550</v>
          </cell>
          <cell r="D69" t="str">
            <v xml:space="preserve">A </v>
          </cell>
        </row>
        <row r="70">
          <cell r="A70" t="str">
            <v xml:space="preserve">5214A </v>
          </cell>
          <cell r="B70" t="str">
            <v xml:space="preserve">OPT INT DISK 4.2GB/7200 USCSI </v>
          </cell>
          <cell r="C70">
            <v>1015</v>
          </cell>
          <cell r="D70" t="str">
            <v xml:space="preserve">H </v>
          </cell>
        </row>
        <row r="71">
          <cell r="A71" t="str">
            <v xml:space="preserve">5228A </v>
          </cell>
          <cell r="B71" t="str">
            <v xml:space="preserve">OPT INT DISK 4GB/10000 USCSI </v>
          </cell>
          <cell r="C71">
            <v>1365</v>
          </cell>
          <cell r="D71" t="str">
            <v xml:space="preserve">H </v>
          </cell>
        </row>
        <row r="72">
          <cell r="A72" t="str">
            <v xml:space="preserve">5229A </v>
          </cell>
          <cell r="B72" t="str">
            <v xml:space="preserve">OPT INT DISK 9.1GB/7200 USCSI </v>
          </cell>
          <cell r="C72">
            <v>1484</v>
          </cell>
          <cell r="D72" t="str">
            <v xml:space="preserve">H </v>
          </cell>
        </row>
        <row r="73">
          <cell r="A73" t="str">
            <v xml:space="preserve">5230A </v>
          </cell>
          <cell r="B73" t="str">
            <v xml:space="preserve">9GB, 7200RPM, ULTRASCSI DRIVE </v>
          </cell>
          <cell r="C73">
            <v>2030</v>
          </cell>
          <cell r="D73" t="str">
            <v xml:space="preserve">H </v>
          </cell>
        </row>
        <row r="74">
          <cell r="A74" t="str">
            <v xml:space="preserve">5232A </v>
          </cell>
          <cell r="B74" t="str">
            <v xml:space="preserve">OPT INT DISK 18.2GB/7200 USCSI </v>
          </cell>
          <cell r="C74">
            <v>2660</v>
          </cell>
          <cell r="D74" t="str">
            <v xml:space="preserve">H </v>
          </cell>
        </row>
        <row r="75">
          <cell r="A75" t="str">
            <v xml:space="preserve">5233A </v>
          </cell>
          <cell r="B75" t="str">
            <v xml:space="preserve">OPT INT DISK 18.2GB/7200 USCSI </v>
          </cell>
          <cell r="C75">
            <v>3640</v>
          </cell>
          <cell r="D75" t="str">
            <v xml:space="preserve">H </v>
          </cell>
        </row>
        <row r="76">
          <cell r="A76" t="str">
            <v xml:space="preserve">5234A </v>
          </cell>
          <cell r="B76" t="str">
            <v xml:space="preserve">OPT INT DISK 9.1GB/10K USCSI </v>
          </cell>
          <cell r="C76">
            <v>1715</v>
          </cell>
          <cell r="D76" t="str">
            <v xml:space="preserve">H </v>
          </cell>
        </row>
        <row r="77">
          <cell r="A77" t="str">
            <v xml:space="preserve">5235A </v>
          </cell>
          <cell r="B77" t="str">
            <v xml:space="preserve">OPT INT DISK 9GB/10000 USCSI </v>
          </cell>
          <cell r="C77">
            <v>1785</v>
          </cell>
          <cell r="D77" t="str">
            <v xml:space="preserve">H </v>
          </cell>
        </row>
        <row r="78">
          <cell r="A78" t="str">
            <v xml:space="preserve">6005A </v>
          </cell>
          <cell r="B78" t="str">
            <v xml:space="preserve">OPT FLOPPY INT DR TAZMO &amp; E250 </v>
          </cell>
          <cell r="C78">
            <v>175</v>
          </cell>
          <cell r="D78" t="str">
            <v xml:space="preserve">H </v>
          </cell>
        </row>
        <row r="79">
          <cell r="A79" t="str">
            <v xml:space="preserve">6062A </v>
          </cell>
          <cell r="B79" t="str">
            <v xml:space="preserve">OPT INT TAPE 35GB DLT FOR FRST </v>
          </cell>
          <cell r="C79">
            <v>13860</v>
          </cell>
          <cell r="D79" t="str">
            <v xml:space="preserve">A </v>
          </cell>
        </row>
        <row r="80">
          <cell r="A80" t="str">
            <v xml:space="preserve">6062AR4 </v>
          </cell>
          <cell r="B80" t="str">
            <v xml:space="preserve">OPT INT TAPE 35GB DLT FOR FRST </v>
          </cell>
          <cell r="C80">
            <v>13860</v>
          </cell>
          <cell r="D80" t="str">
            <v xml:space="preserve">A </v>
          </cell>
        </row>
        <row r="81">
          <cell r="A81" t="str">
            <v xml:space="preserve">6062AR5 </v>
          </cell>
          <cell r="B81" t="str">
            <v xml:space="preserve">OPT INT TAPE 35GB DLT FOR FRST </v>
          </cell>
          <cell r="C81">
            <v>13860</v>
          </cell>
          <cell r="D81" t="str">
            <v xml:space="preserve">A </v>
          </cell>
        </row>
        <row r="82">
          <cell r="A82" t="str">
            <v xml:space="preserve">6107A </v>
          </cell>
          <cell r="B82" t="str">
            <v xml:space="preserve">OPT INT 4GB SLR TAPE (SERVER) </v>
          </cell>
          <cell r="C82">
            <v>1235</v>
          </cell>
          <cell r="D82" t="str">
            <v xml:space="preserve">A </v>
          </cell>
        </row>
        <row r="83">
          <cell r="A83" t="str">
            <v xml:space="preserve">6206A </v>
          </cell>
          <cell r="B83" t="str">
            <v xml:space="preserve">OPT INT TAPE 14GB/8MM </v>
          </cell>
          <cell r="C83">
            <v>3510</v>
          </cell>
          <cell r="D83" t="str">
            <v xml:space="preserve">A </v>
          </cell>
        </row>
        <row r="84">
          <cell r="A84" t="str">
            <v xml:space="preserve">6212A </v>
          </cell>
          <cell r="B84" t="str">
            <v xml:space="preserve">OPT INT TAPE 7GB/8MM </v>
          </cell>
          <cell r="C84">
            <v>2030</v>
          </cell>
          <cell r="D84" t="str">
            <v xml:space="preserve">H </v>
          </cell>
        </row>
        <row r="85">
          <cell r="A85" t="str">
            <v xml:space="preserve">6213A </v>
          </cell>
          <cell r="B85" t="str">
            <v xml:space="preserve">OPT INT TAPE 7GB/8MM </v>
          </cell>
          <cell r="C85">
            <v>2695</v>
          </cell>
          <cell r="D85" t="str">
            <v xml:space="preserve">A </v>
          </cell>
        </row>
        <row r="86">
          <cell r="A86" t="str">
            <v xml:space="preserve">6226A </v>
          </cell>
          <cell r="B86" t="str">
            <v xml:space="preserve">TAPE LIB RACK 400GB/8MM W/TAPE </v>
          </cell>
          <cell r="C86">
            <v>22400</v>
          </cell>
          <cell r="D86" t="str">
            <v xml:space="preserve">H </v>
          </cell>
        </row>
        <row r="87">
          <cell r="A87" t="str">
            <v xml:space="preserve">6226AR4 </v>
          </cell>
          <cell r="B87" t="str">
            <v xml:space="preserve">TAPE LIB RACK 400GB/8MM W/TAPE </v>
          </cell>
          <cell r="C87">
            <v>22400</v>
          </cell>
          <cell r="D87" t="str">
            <v xml:space="preserve">H </v>
          </cell>
        </row>
        <row r="88">
          <cell r="A88" t="str">
            <v xml:space="preserve">6226AR5 </v>
          </cell>
          <cell r="B88" t="str">
            <v xml:space="preserve">TAPE LIB RACK 400GB/8MM W/TAPE </v>
          </cell>
          <cell r="C88">
            <v>22400</v>
          </cell>
          <cell r="D88" t="str">
            <v xml:space="preserve">H </v>
          </cell>
        </row>
        <row r="89">
          <cell r="A89" t="str">
            <v xml:space="preserve">6234A </v>
          </cell>
          <cell r="B89" t="str">
            <v xml:space="preserve">OPT INT TAPE 20/40GB 8MM E3000 </v>
          </cell>
          <cell r="C89">
            <v>6300</v>
          </cell>
          <cell r="D89" t="str">
            <v xml:space="preserve">A </v>
          </cell>
        </row>
        <row r="90">
          <cell r="A90" t="str">
            <v xml:space="preserve">6235A </v>
          </cell>
          <cell r="B90" t="str">
            <v xml:space="preserve">OPT INT TAPE 20-40GB 8MM E4000 </v>
          </cell>
          <cell r="C90">
            <v>6300</v>
          </cell>
          <cell r="D90" t="str">
            <v xml:space="preserve">A </v>
          </cell>
        </row>
        <row r="91">
          <cell r="A91" t="str">
            <v xml:space="preserve">6238A </v>
          </cell>
          <cell r="B91" t="str">
            <v xml:space="preserve">OPT INT TAPE 20/40GB 8MM-EX500 </v>
          </cell>
          <cell r="C91">
            <v>6750</v>
          </cell>
          <cell r="D91" t="str">
            <v xml:space="preserve">A </v>
          </cell>
        </row>
        <row r="92">
          <cell r="A92" t="str">
            <v xml:space="preserve">6282A </v>
          </cell>
          <cell r="B92" t="str">
            <v xml:space="preserve">OPT INT TAPE 12GB 4MM DDS-3 </v>
          </cell>
          <cell r="C92">
            <v>1610</v>
          </cell>
          <cell r="D92" t="str">
            <v xml:space="preserve">H </v>
          </cell>
        </row>
        <row r="93">
          <cell r="A93" t="str">
            <v xml:space="preserve">6283A </v>
          </cell>
          <cell r="B93" t="str">
            <v xml:space="preserve">OPT INT TAPE 12GB 4MM EX000 </v>
          </cell>
          <cell r="C93">
            <v>1890</v>
          </cell>
          <cell r="D93" t="str">
            <v xml:space="preserve">A </v>
          </cell>
        </row>
        <row r="94">
          <cell r="A94" t="str">
            <v xml:space="preserve">6286A </v>
          </cell>
          <cell r="B94" t="str">
            <v xml:space="preserve">OPT INT TAPE 12GB 4MM </v>
          </cell>
          <cell r="C94">
            <v>1890</v>
          </cell>
          <cell r="D94" t="str">
            <v xml:space="preserve">A </v>
          </cell>
        </row>
        <row r="95">
          <cell r="A95" t="str">
            <v xml:space="preserve">6287A </v>
          </cell>
          <cell r="B95" t="str">
            <v xml:space="preserve">A7000 54.3GB STORAGE PACKAGE </v>
          </cell>
          <cell r="C95">
            <v>43200</v>
          </cell>
          <cell r="D95" t="str">
            <v xml:space="preserve">A </v>
          </cell>
        </row>
        <row r="96">
          <cell r="A96" t="str">
            <v xml:space="preserve">6288A </v>
          </cell>
          <cell r="B96" t="str">
            <v xml:space="preserve">54.3GB SCA STORAGE MODULE </v>
          </cell>
          <cell r="C96">
            <v>26046</v>
          </cell>
          <cell r="D96" t="str">
            <v xml:space="preserve">A </v>
          </cell>
        </row>
        <row r="97">
          <cell r="A97" t="str">
            <v xml:space="preserve">6289A </v>
          </cell>
          <cell r="B97" t="str">
            <v xml:space="preserve">108.6GB Storage Package, SCA </v>
          </cell>
          <cell r="C97">
            <v>43200</v>
          </cell>
          <cell r="D97" t="str">
            <v xml:space="preserve">A </v>
          </cell>
        </row>
        <row r="98">
          <cell r="A98" t="str">
            <v xml:space="preserve">6516A </v>
          </cell>
          <cell r="B98" t="str">
            <v xml:space="preserve">RSM 9.1GB/7200 FWSCSI </v>
          </cell>
          <cell r="C98">
            <v>3211</v>
          </cell>
          <cell r="D98" t="str">
            <v xml:space="preserve">A </v>
          </cell>
        </row>
        <row r="99">
          <cell r="A99" t="str">
            <v xml:space="preserve">6533A </v>
          </cell>
          <cell r="B99" t="str">
            <v xml:space="preserve">RSM2000 35*4.2GB/7200 FWSCSI </v>
          </cell>
          <cell r="C99">
            <v>162825</v>
          </cell>
          <cell r="D99" t="str">
            <v xml:space="preserve">A </v>
          </cell>
        </row>
        <row r="100">
          <cell r="A100" t="str">
            <v xml:space="preserve">6534A </v>
          </cell>
          <cell r="B100" t="str">
            <v xml:space="preserve">A3000 15*9.1GB/7200 FWSCSI </v>
          </cell>
          <cell r="C100">
            <v>140465</v>
          </cell>
          <cell r="D100" t="str">
            <v xml:space="preserve">A </v>
          </cell>
        </row>
        <row r="101">
          <cell r="A101" t="str">
            <v xml:space="preserve">6535A </v>
          </cell>
          <cell r="B101" t="str">
            <v xml:space="preserve">A3000 35*9.1GB/7200 FWSCSI </v>
          </cell>
          <cell r="C101">
            <v>204685</v>
          </cell>
          <cell r="D101" t="str">
            <v xml:space="preserve">A </v>
          </cell>
        </row>
        <row r="102">
          <cell r="A102" t="str">
            <v xml:space="preserve">6540A </v>
          </cell>
          <cell r="B102" t="str">
            <v xml:space="preserve">OPT INT PCI ULTRASCSI SE CARD </v>
          </cell>
          <cell r="C102">
            <v>975</v>
          </cell>
          <cell r="D102" t="str">
            <v xml:space="preserve">A </v>
          </cell>
        </row>
        <row r="103">
          <cell r="A103" t="str">
            <v xml:space="preserve">6541A </v>
          </cell>
          <cell r="B103" t="str">
            <v xml:space="preserve">OPT INT PCI ULTRASCSI DIFF CRD </v>
          </cell>
          <cell r="C103">
            <v>1872</v>
          </cell>
          <cell r="D103" t="str">
            <v xml:space="preserve">A </v>
          </cell>
        </row>
        <row r="104">
          <cell r="A104" t="str">
            <v xml:space="preserve">6601A </v>
          </cell>
          <cell r="B104" t="str">
            <v xml:space="preserve">E450 8BAY STOR EXP KIT, 10K </v>
          </cell>
          <cell r="C104">
            <v>1476</v>
          </cell>
          <cell r="D104" t="str">
            <v xml:space="preserve">H </v>
          </cell>
        </row>
        <row r="105">
          <cell r="A105" t="str">
            <v xml:space="preserve">6710A </v>
          </cell>
          <cell r="B105" t="str">
            <v xml:space="preserve">FC-AL 9.1GB 10000RPM 1.0" DISK </v>
          </cell>
          <cell r="C105">
            <v>4060</v>
          </cell>
          <cell r="D105" t="str">
            <v xml:space="preserve">A </v>
          </cell>
        </row>
        <row r="106">
          <cell r="A106" t="str">
            <v xml:space="preserve">6720A </v>
          </cell>
          <cell r="B106" t="str">
            <v xml:space="preserve">FC-AL 18.2GB 10000RPM 1.0" DISK </v>
          </cell>
          <cell r="C106">
            <v>2475</v>
          </cell>
          <cell r="D106" t="str">
            <v xml:space="preserve">A </v>
          </cell>
        </row>
        <row r="107">
          <cell r="A107" t="str">
            <v xml:space="preserve">6711A </v>
          </cell>
          <cell r="B107" t="str">
            <v xml:space="preserve">FC-AL 18.2GB 7200RPM 1.6" DISK </v>
          </cell>
          <cell r="C107">
            <v>4340</v>
          </cell>
          <cell r="D107" t="str">
            <v xml:space="preserve">A </v>
          </cell>
        </row>
        <row r="108">
          <cell r="A108" t="str">
            <v xml:space="preserve">6730A </v>
          </cell>
          <cell r="B108" t="str">
            <v xml:space="preserve">FCAL 100MB/S SBUS HOST ADAPTER </v>
          </cell>
          <cell r="C108">
            <v>3510</v>
          </cell>
          <cell r="D108" t="str">
            <v xml:space="preserve">A </v>
          </cell>
        </row>
        <row r="109">
          <cell r="A109" t="str">
            <v xml:space="preserve">6731A </v>
          </cell>
          <cell r="B109" t="str">
            <v xml:space="preserve">FCAL GBIC MODULE 100MB/S </v>
          </cell>
          <cell r="C109">
            <v>780</v>
          </cell>
          <cell r="D109" t="str">
            <v xml:space="preserve">A </v>
          </cell>
        </row>
        <row r="110">
          <cell r="A110" t="str">
            <v xml:space="preserve">6732A </v>
          </cell>
          <cell r="B110" t="str">
            <v xml:space="preserve">FCAL HUB 7 SLOT </v>
          </cell>
          <cell r="C110">
            <v>2800</v>
          </cell>
          <cell r="D110" t="str">
            <v xml:space="preserve">A </v>
          </cell>
        </row>
        <row r="111">
          <cell r="A111" t="str">
            <v xml:space="preserve">6735A </v>
          </cell>
          <cell r="B111" t="str">
            <v xml:space="preserve">DUAL HUB RACKMOUNT KIT </v>
          </cell>
          <cell r="C111">
            <v>350</v>
          </cell>
          <cell r="D111" t="str">
            <v xml:space="preserve">A </v>
          </cell>
        </row>
        <row r="112">
          <cell r="A112" t="str">
            <v xml:space="preserve">6773A </v>
          </cell>
          <cell r="B112" t="str">
            <v xml:space="preserve">A7000 1024MB SAFE CACHE, RMC </v>
          </cell>
          <cell r="C112">
            <v>91386</v>
          </cell>
          <cell r="D112" t="str">
            <v xml:space="preserve">A </v>
          </cell>
        </row>
        <row r="113">
          <cell r="A113" t="str">
            <v xml:space="preserve">6778A </v>
          </cell>
          <cell r="B113" t="str">
            <v xml:space="preserve">A7000 QUAD CH BMC ADAPT KIT </v>
          </cell>
          <cell r="C113">
            <v>94158</v>
          </cell>
          <cell r="D113" t="str">
            <v xml:space="preserve">A </v>
          </cell>
        </row>
        <row r="114">
          <cell r="A114" t="str">
            <v xml:space="preserve">6779A </v>
          </cell>
          <cell r="B114" t="str">
            <v xml:space="preserve">A7000 DUAL ESCON ADP KIT #2 </v>
          </cell>
          <cell r="C114">
            <v>110772</v>
          </cell>
          <cell r="D114" t="str">
            <v xml:space="preserve">A </v>
          </cell>
        </row>
        <row r="115">
          <cell r="A115" t="str">
            <v xml:space="preserve">6780A </v>
          </cell>
          <cell r="B115" t="str">
            <v xml:space="preserve">A7000 DUAL ESCON ADP KIT #1 </v>
          </cell>
          <cell r="C115">
            <v>110772</v>
          </cell>
          <cell r="D115" t="str">
            <v xml:space="preserve">A </v>
          </cell>
        </row>
        <row r="116">
          <cell r="A116" t="str">
            <v xml:space="preserve">6786A </v>
          </cell>
          <cell r="B116" t="str">
            <v xml:space="preserve">A7000 FOUR DRAWER EXP SYSTEM </v>
          </cell>
          <cell r="C116">
            <v>229842</v>
          </cell>
          <cell r="D116" t="str">
            <v xml:space="preserve">A </v>
          </cell>
        </row>
        <row r="117">
          <cell r="A117" t="str">
            <v xml:space="preserve">6796A </v>
          </cell>
          <cell r="B117" t="str">
            <v xml:space="preserve">8 CH. ULTRA STE, 2 CONNECTOR </v>
          </cell>
          <cell r="C117">
            <v>37476</v>
          </cell>
          <cell r="D117" t="str">
            <v xml:space="preserve">A </v>
          </cell>
        </row>
        <row r="118">
          <cell r="A118" t="str">
            <v xml:space="preserve">6797A </v>
          </cell>
          <cell r="B118" t="str">
            <v xml:space="preserve">8 CH. ULTRA STE, 4 CONNECTOR </v>
          </cell>
          <cell r="C118">
            <v>37476</v>
          </cell>
          <cell r="D118" t="str">
            <v xml:space="preserve">A </v>
          </cell>
        </row>
        <row r="119">
          <cell r="A119" t="str">
            <v xml:space="preserve">6798A </v>
          </cell>
          <cell r="B119" t="str">
            <v xml:space="preserve">8 CH. ULTRA STE, 8 CONNECTOR </v>
          </cell>
          <cell r="C119">
            <v>37476</v>
          </cell>
          <cell r="D119" t="str">
            <v xml:space="preserve">A </v>
          </cell>
        </row>
        <row r="120">
          <cell r="A120" t="str">
            <v xml:space="preserve">6931A </v>
          </cell>
          <cell r="B120" t="str">
            <v>HIS CARD/PCI</v>
          </cell>
          <cell r="C120">
            <v>3000</v>
          </cell>
          <cell r="D120" t="str">
            <v xml:space="preserve">A </v>
          </cell>
        </row>
        <row r="121">
          <cell r="A121" t="str">
            <v xml:space="preserve">7002A </v>
          </cell>
          <cell r="B121" t="str">
            <v xml:space="preserve">OPT MEMORY 64MB (2*32MB) </v>
          </cell>
          <cell r="C121">
            <v>664</v>
          </cell>
          <cell r="D121" t="str">
            <v xml:space="preserve">H </v>
          </cell>
        </row>
        <row r="122">
          <cell r="A122" t="str">
            <v xml:space="preserve">7003A </v>
          </cell>
          <cell r="B122" t="str">
            <v xml:space="preserve">OPT MEMORY 128MB (2*64MB) </v>
          </cell>
          <cell r="C122">
            <v>1264</v>
          </cell>
          <cell r="D122" t="str">
            <v xml:space="preserve">H </v>
          </cell>
        </row>
        <row r="123">
          <cell r="A123" t="str">
            <v xml:space="preserve">7004A </v>
          </cell>
          <cell r="B123" t="str">
            <v xml:space="preserve">OPT MEMORY 256MB (2*128MB) </v>
          </cell>
          <cell r="C123">
            <v>2400</v>
          </cell>
          <cell r="D123" t="str">
            <v xml:space="preserve">H </v>
          </cell>
        </row>
        <row r="124">
          <cell r="A124" t="str">
            <v xml:space="preserve">7005A </v>
          </cell>
          <cell r="B124" t="str">
            <v xml:space="preserve">OPT MEMORY 512MB (2*256MB) </v>
          </cell>
          <cell r="C124">
            <v>9600</v>
          </cell>
          <cell r="D124" t="str">
            <v xml:space="preserve">H </v>
          </cell>
        </row>
        <row r="125">
          <cell r="A125" t="str">
            <v xml:space="preserve">7020A </v>
          </cell>
          <cell r="B125" t="str">
            <v xml:space="preserve">OPT A3000 MEMORY 64MB </v>
          </cell>
          <cell r="C125">
            <v>2600</v>
          </cell>
          <cell r="D125" t="str">
            <v xml:space="preserve">A </v>
          </cell>
        </row>
        <row r="126">
          <cell r="A126" t="str">
            <v xml:space="preserve">7022A </v>
          </cell>
          <cell r="B126" t="str">
            <v xml:space="preserve">OPT MEMORY 256MB (8*32MB) </v>
          </cell>
          <cell r="C126">
            <v>5761</v>
          </cell>
          <cell r="D126" t="str">
            <v xml:space="preserve">A </v>
          </cell>
        </row>
        <row r="127">
          <cell r="A127" t="str">
            <v xml:space="preserve">7023A </v>
          </cell>
          <cell r="B127" t="str">
            <v xml:space="preserve">OPT MEMORY 1GB (8*128MB) </v>
          </cell>
          <cell r="C127">
            <v>18000</v>
          </cell>
          <cell r="D127" t="str">
            <v xml:space="preserve">A </v>
          </cell>
        </row>
        <row r="128">
          <cell r="A128" t="str">
            <v xml:space="preserve">7026A </v>
          </cell>
          <cell r="B128" t="str">
            <v xml:space="preserve">OPT MEMORY 2GB (8*256MB) </v>
          </cell>
          <cell r="C128">
            <v>41200</v>
          </cell>
          <cell r="D128" t="str">
            <v xml:space="preserve">A </v>
          </cell>
        </row>
        <row r="129">
          <cell r="A129" t="str">
            <v xml:space="preserve">7025A </v>
          </cell>
          <cell r="B129" t="str">
            <v xml:space="preserve">E10000 MEMORY BOARD (EMPTY) </v>
          </cell>
          <cell r="C129">
            <v>16000</v>
          </cell>
          <cell r="D129" t="str">
            <v xml:space="preserve">A </v>
          </cell>
        </row>
        <row r="130">
          <cell r="A130" t="str">
            <v xml:space="preserve">902A </v>
          </cell>
          <cell r="B130" t="str">
            <v xml:space="preserve">OPT CABLE SCSI 2M 68PIN </v>
          </cell>
          <cell r="C130">
            <v>163</v>
          </cell>
          <cell r="D130" t="str">
            <v xml:space="preserve">D </v>
          </cell>
        </row>
        <row r="131">
          <cell r="A131" t="str">
            <v xml:space="preserve">954A </v>
          </cell>
          <cell r="B131" t="str">
            <v xml:space="preserve">OPT INT PS/300W FOR EX000 </v>
          </cell>
          <cell r="C131">
            <v>2520</v>
          </cell>
          <cell r="D131" t="str">
            <v xml:space="preserve">A </v>
          </cell>
        </row>
        <row r="132">
          <cell r="A132" t="str">
            <v xml:space="preserve">958A </v>
          </cell>
          <cell r="B132" t="str">
            <v xml:space="preserve">OPT 2ND PERIPHERAL PS/184W </v>
          </cell>
          <cell r="C132">
            <v>2100</v>
          </cell>
          <cell r="D132" t="str">
            <v xml:space="preserve">A </v>
          </cell>
        </row>
        <row r="133">
          <cell r="A133" t="str">
            <v xml:space="preserve">959A </v>
          </cell>
          <cell r="B133" t="str">
            <v xml:space="preserve">SSA RACK-MOUNT ACC. KIT W/SW </v>
          </cell>
          <cell r="C133">
            <v>0</v>
          </cell>
          <cell r="D133" t="str">
            <v xml:space="preserve">D </v>
          </cell>
        </row>
        <row r="134">
          <cell r="A134" t="str">
            <v xml:space="preserve">9604A </v>
          </cell>
          <cell r="B134" t="str">
            <v xml:space="preserve">CASTERS </v>
          </cell>
          <cell r="C134">
            <v>128</v>
          </cell>
          <cell r="D134" t="str">
            <v xml:space="preserve">H </v>
          </cell>
        </row>
        <row r="135">
          <cell r="A135" t="str">
            <v xml:space="preserve">9605A </v>
          </cell>
          <cell r="B135" t="str">
            <v xml:space="preserve">E250 FOOT OPTION </v>
          </cell>
          <cell r="C135">
            <v>0</v>
          </cell>
          <cell r="D135" t="str">
            <v xml:space="preserve">D </v>
          </cell>
        </row>
        <row r="136">
          <cell r="A136" t="str">
            <v xml:space="preserve">9622A </v>
          </cell>
          <cell r="B136" t="str">
            <v xml:space="preserve">A5000 AIR BAFFLE </v>
          </cell>
          <cell r="C136">
            <v>75</v>
          </cell>
          <cell r="D136" t="str">
            <v xml:space="preserve">A </v>
          </cell>
        </row>
        <row r="137">
          <cell r="A137" t="str">
            <v xml:space="preserve">9623A </v>
          </cell>
          <cell r="B137" t="str">
            <v xml:space="preserve">A5000 DOOR FOR E5500/E6500 </v>
          </cell>
          <cell r="C137">
            <v>525</v>
          </cell>
          <cell r="D137" t="str">
            <v xml:space="preserve">A </v>
          </cell>
        </row>
        <row r="138">
          <cell r="A138" t="str">
            <v xml:space="preserve">9626A </v>
          </cell>
          <cell r="B138" t="str">
            <v xml:space="preserve">2ND SEQ. MOUNTING FOR E55/6500 </v>
          </cell>
          <cell r="C138">
            <v>195</v>
          </cell>
          <cell r="D138" t="str">
            <v xml:space="preserve">A </v>
          </cell>
        </row>
        <row r="139">
          <cell r="A139" t="str">
            <v xml:space="preserve">9640A </v>
          </cell>
          <cell r="B139" t="str">
            <v xml:space="preserve">OPT FLEXIPAC STORAGE TRAY SYS </v>
          </cell>
          <cell r="C139">
            <v>520</v>
          </cell>
          <cell r="D139" t="str">
            <v xml:space="preserve">A </v>
          </cell>
        </row>
        <row r="140">
          <cell r="A140" t="str">
            <v xml:space="preserve">9641A </v>
          </cell>
          <cell r="B140" t="str">
            <v xml:space="preserve">OPT FLEXIPACK STORAGE TRAY EXP </v>
          </cell>
          <cell r="C140">
            <v>490</v>
          </cell>
          <cell r="D140" t="str">
            <v xml:space="preserve">A </v>
          </cell>
        </row>
        <row r="141">
          <cell r="A141" t="str">
            <v xml:space="preserve">9641AR5 </v>
          </cell>
          <cell r="B141" t="str">
            <v xml:space="preserve">OPT FLEXIPACK STORAGE TRAY EXP </v>
          </cell>
          <cell r="C141">
            <v>490</v>
          </cell>
          <cell r="D141" t="str">
            <v xml:space="preserve">A </v>
          </cell>
        </row>
        <row r="142">
          <cell r="A142" t="str">
            <v xml:space="preserve">9643A </v>
          </cell>
          <cell r="B142" t="str">
            <v xml:space="preserve">RACKMOUNT KIT FOR L280 AL </v>
          </cell>
          <cell r="C142">
            <v>560</v>
          </cell>
          <cell r="D142" t="str">
            <v xml:space="preserve">A </v>
          </cell>
        </row>
        <row r="143">
          <cell r="A143" t="str">
            <v xml:space="preserve">9645A </v>
          </cell>
          <cell r="B143" t="str">
            <v xml:space="preserve">UNIPACK TRAY, WITH POWER CORDS </v>
          </cell>
          <cell r="C143">
            <v>1400</v>
          </cell>
          <cell r="D143" t="str">
            <v xml:space="preserve">A </v>
          </cell>
        </row>
        <row r="144">
          <cell r="A144" t="str">
            <v xml:space="preserve">9652A </v>
          </cell>
          <cell r="B144" t="str">
            <v xml:space="preserve">A7000 6 PACK ENCLOSURE KIT </v>
          </cell>
          <cell r="C144">
            <v>0</v>
          </cell>
          <cell r="D144" t="str">
            <v xml:space="preserve">D </v>
          </cell>
        </row>
        <row r="145">
          <cell r="A145" t="str">
            <v xml:space="preserve">9671A </v>
          </cell>
          <cell r="B145" t="str">
            <v xml:space="preserve">E10000 FAN TRAY </v>
          </cell>
          <cell r="C145">
            <v>3200</v>
          </cell>
          <cell r="D145" t="str">
            <v xml:space="preserve">A </v>
          </cell>
        </row>
        <row r="146">
          <cell r="A146" t="str">
            <v xml:space="preserve">9681A </v>
          </cell>
          <cell r="B146" t="str">
            <v xml:space="preserve">E10000 POWER CONTROL </v>
          </cell>
          <cell r="C146">
            <v>1600</v>
          </cell>
          <cell r="D146" t="str">
            <v xml:space="preserve">A </v>
          </cell>
        </row>
        <row r="147">
          <cell r="A147" t="str">
            <v xml:space="preserve">9682A </v>
          </cell>
          <cell r="B147" t="str">
            <v xml:space="preserve">OPT POWER SUPPLY FOR E450 </v>
          </cell>
          <cell r="C147">
            <v>1532</v>
          </cell>
          <cell r="D147" t="str">
            <v xml:space="preserve">H </v>
          </cell>
        </row>
        <row r="148">
          <cell r="A148" t="str">
            <v xml:space="preserve">9683A </v>
          </cell>
          <cell r="B148" t="str">
            <v xml:space="preserve">REDUNDNT POWER SUPPLY FOR E250 </v>
          </cell>
          <cell r="C148">
            <v>904</v>
          </cell>
          <cell r="D148" t="str">
            <v xml:space="preserve">H </v>
          </cell>
        </row>
        <row r="149">
          <cell r="A149" t="str">
            <v xml:space="preserve">9685A </v>
          </cell>
          <cell r="B149" t="str">
            <v xml:space="preserve">E10000 POWER SUPPLY </v>
          </cell>
          <cell r="C149">
            <v>6400</v>
          </cell>
          <cell r="D149" t="str">
            <v xml:space="preserve">A </v>
          </cell>
        </row>
        <row r="150">
          <cell r="A150" t="str">
            <v xml:space="preserve">9688A </v>
          </cell>
          <cell r="B150" t="str">
            <v xml:space="preserve">A7000 PWR CONDIT UNIT, 8 KVA </v>
          </cell>
          <cell r="C150">
            <v>28377</v>
          </cell>
          <cell r="D150" t="str">
            <v xml:space="preserve">A </v>
          </cell>
        </row>
        <row r="151">
          <cell r="A151" t="str">
            <v xml:space="preserve">9689A </v>
          </cell>
          <cell r="B151" t="str">
            <v xml:space="preserve">OPT 2ND PERIPHERAL PS/195W </v>
          </cell>
          <cell r="C151">
            <v>2250</v>
          </cell>
          <cell r="D151" t="str">
            <v xml:space="preserve">A </v>
          </cell>
        </row>
        <row r="152">
          <cell r="A152" t="str">
            <v xml:space="preserve">9693A </v>
          </cell>
          <cell r="B152" t="str">
            <v xml:space="preserve">E10000 FLAT SIDE PANEL </v>
          </cell>
          <cell r="C152">
            <v>0</v>
          </cell>
          <cell r="D152" t="str">
            <v xml:space="preserve">D </v>
          </cell>
        </row>
        <row r="153">
          <cell r="A153" t="str">
            <v xml:space="preserve">978A </v>
          </cell>
          <cell r="B153" t="str">
            <v xml:space="preserve">15 METER FIBRE CHANNEL CABLE </v>
          </cell>
          <cell r="C153">
            <v>228</v>
          </cell>
          <cell r="D153" t="str">
            <v xml:space="preserve">D </v>
          </cell>
        </row>
        <row r="154">
          <cell r="A154" t="str">
            <v xml:space="preserve">979A </v>
          </cell>
          <cell r="B154" t="str">
            <v xml:space="preserve">OPT CABLE DSCSI 12M </v>
          </cell>
          <cell r="C154">
            <v>345</v>
          </cell>
          <cell r="D154" t="str">
            <v xml:space="preserve">D </v>
          </cell>
        </row>
        <row r="155">
          <cell r="A155" t="str">
            <v xml:space="preserve">A14-UEC1-9L-128AH </v>
          </cell>
          <cell r="B155" t="str">
            <v xml:space="preserve">1X300MHZ, C3D3, 128MB, 9GB </v>
          </cell>
          <cell r="C155">
            <v>13080</v>
          </cell>
          <cell r="D155" t="str">
            <v xml:space="preserve">H </v>
          </cell>
        </row>
        <row r="156">
          <cell r="A156" t="str">
            <v xml:space="preserve">A14-UEC1-9L-512AH </v>
          </cell>
          <cell r="B156" t="str">
            <v xml:space="preserve">1x300MHz, C3D3, 512MB, 9GB </v>
          </cell>
          <cell r="C156">
            <v>15624</v>
          </cell>
          <cell r="D156" t="str">
            <v xml:space="preserve">H </v>
          </cell>
        </row>
        <row r="157">
          <cell r="A157" t="str">
            <v xml:space="preserve">A14-UEC1-9M-128AH </v>
          </cell>
          <cell r="B157" t="str">
            <v xml:space="preserve">1X300MHZ, 128MB, AFB, 9GB </v>
          </cell>
          <cell r="C157">
            <v>15594</v>
          </cell>
          <cell r="D157" t="str">
            <v xml:space="preserve">H </v>
          </cell>
        </row>
        <row r="158">
          <cell r="A158" t="str">
            <v xml:space="preserve">A14-UEC1-9S-128CJ </v>
          </cell>
          <cell r="B158" t="str">
            <v xml:space="preserve">E2/300 128MB/9.1GB/CD </v>
          </cell>
          <cell r="C158">
            <v>19194</v>
          </cell>
          <cell r="D158" t="str">
            <v xml:space="preserve">H </v>
          </cell>
        </row>
        <row r="159">
          <cell r="A159" t="str">
            <v xml:space="preserve">A14-UEC2-9L-256AH </v>
          </cell>
          <cell r="B159" t="str">
            <v xml:space="preserve">2X300MHZ, C3D3, 256MB, 9GB </v>
          </cell>
          <cell r="C159">
            <v>18810</v>
          </cell>
          <cell r="D159" t="str">
            <v xml:space="preserve">H </v>
          </cell>
        </row>
        <row r="160">
          <cell r="A160" t="str">
            <v xml:space="preserve">A14-UEC2-9L-512AH </v>
          </cell>
          <cell r="B160" t="str">
            <v xml:space="preserve">2X300MHZ, C3D3, 512MB, 9GB </v>
          </cell>
          <cell r="C160">
            <v>20424</v>
          </cell>
          <cell r="D160" t="str">
            <v xml:space="preserve">H </v>
          </cell>
        </row>
        <row r="161">
          <cell r="A161" t="str">
            <v xml:space="preserve">A14-UEC2-9M-256AH </v>
          </cell>
          <cell r="B161" t="str">
            <v xml:space="preserve">2X300MHZ, 256MB, AFB, 9GB </v>
          </cell>
          <cell r="C161">
            <v>21594</v>
          </cell>
          <cell r="D161" t="str">
            <v xml:space="preserve">H </v>
          </cell>
        </row>
        <row r="162">
          <cell r="A162" t="str">
            <v xml:space="preserve">A14-UEC2-9S-256CJ </v>
          </cell>
          <cell r="B162" t="str">
            <v xml:space="preserve">E2/2*300 256MB/9.1GB/CD </v>
          </cell>
          <cell r="C162">
            <v>28194</v>
          </cell>
          <cell r="D162" t="str">
            <v xml:space="preserve">H </v>
          </cell>
        </row>
        <row r="163">
          <cell r="A163" t="str">
            <v xml:space="preserve">A14-UEC2-9S-512CJ </v>
          </cell>
          <cell r="B163" t="str">
            <v xml:space="preserve">E2/2*300 512MB/9.1GB/CD </v>
          </cell>
          <cell r="C163">
            <v>31494</v>
          </cell>
          <cell r="D163" t="str">
            <v xml:space="preserve">H </v>
          </cell>
        </row>
        <row r="164">
          <cell r="A164" t="str">
            <v xml:space="preserve">A14-UJC1-9L-256AH </v>
          </cell>
          <cell r="B164" t="str">
            <v xml:space="preserve">1x400MHz, C3D3, 256MB, 9GB </v>
          </cell>
          <cell r="C164">
            <v>15930</v>
          </cell>
          <cell r="D164" t="str">
            <v xml:space="preserve">H </v>
          </cell>
        </row>
        <row r="165">
          <cell r="A165" t="str">
            <v xml:space="preserve">A14-UJC1-9L-512AH </v>
          </cell>
          <cell r="B165" t="str">
            <v xml:space="preserve">1x400MHz, C3D3, 512MB, 9GB </v>
          </cell>
          <cell r="C165">
            <v>17544</v>
          </cell>
          <cell r="D165" t="str">
            <v xml:space="preserve">H </v>
          </cell>
        </row>
        <row r="166">
          <cell r="A166" t="str">
            <v xml:space="preserve">A14-UJC1-9M-256AH </v>
          </cell>
          <cell r="B166" t="str">
            <v xml:space="preserve">1x400MHz, AFB, 256MB, 9GB </v>
          </cell>
          <cell r="C166">
            <v>18924</v>
          </cell>
          <cell r="D166" t="str">
            <v xml:space="preserve">H </v>
          </cell>
        </row>
        <row r="167">
          <cell r="A167" t="str">
            <v xml:space="preserve">A14-UJC1-9S-128CJ </v>
          </cell>
          <cell r="B167" t="str">
            <v xml:space="preserve">E2/400 128MB/9.1GB/CD </v>
          </cell>
          <cell r="C167">
            <v>14886</v>
          </cell>
          <cell r="D167" t="str">
            <v xml:space="preserve">H </v>
          </cell>
        </row>
        <row r="168">
          <cell r="A168" t="str">
            <v xml:space="preserve">A14-UJC2-9L-256AH </v>
          </cell>
          <cell r="B168" t="str">
            <v xml:space="preserve">2x400MHz, C3D3, 256MB, 9GB </v>
          </cell>
          <cell r="C168">
            <v>22650</v>
          </cell>
          <cell r="D168" t="str">
            <v xml:space="preserve">H </v>
          </cell>
        </row>
        <row r="169">
          <cell r="A169" t="str">
            <v xml:space="preserve">A14-UJC2-9L-512AH </v>
          </cell>
          <cell r="B169" t="str">
            <v xml:space="preserve">2x400MHz, C3D3, 512MB, 9GB </v>
          </cell>
          <cell r="C169">
            <v>24264</v>
          </cell>
          <cell r="D169" t="str">
            <v xml:space="preserve">H </v>
          </cell>
        </row>
        <row r="170">
          <cell r="A170" t="str">
            <v xml:space="preserve">A14-UJC2-9M-256AH </v>
          </cell>
          <cell r="B170" t="str">
            <v xml:space="preserve">2x400MHz, AFB, 256MB, 9GB </v>
          </cell>
          <cell r="C170">
            <v>25644</v>
          </cell>
          <cell r="D170" t="str">
            <v xml:space="preserve">H </v>
          </cell>
        </row>
        <row r="171">
          <cell r="A171" t="str">
            <v xml:space="preserve">A14-UJC2-9S-256CJ </v>
          </cell>
          <cell r="B171" t="str">
            <v xml:space="preserve">E2/2*400 256MB/9.1GB/CD32 </v>
          </cell>
          <cell r="C171">
            <v>22506</v>
          </cell>
          <cell r="D171" t="str">
            <v xml:space="preserve">H </v>
          </cell>
        </row>
        <row r="172">
          <cell r="A172" t="str">
            <v xml:space="preserve">A14-UJC2-9S-512CJ </v>
          </cell>
          <cell r="B172" t="str">
            <v xml:space="preserve">E2/400 512MB/9.1GB/CD </v>
          </cell>
          <cell r="C172">
            <v>24210</v>
          </cell>
          <cell r="D172" t="str">
            <v xml:space="preserve">H </v>
          </cell>
        </row>
        <row r="173">
          <cell r="A173" t="str">
            <v xml:space="preserve">A21UFE1Z9P-B128CN </v>
          </cell>
          <cell r="B173" t="str">
            <v xml:space="preserve">WS U5/270 PGX24 128/4GB/CD </v>
          </cell>
          <cell r="C173">
            <v>3738</v>
          </cell>
          <cell r="D173" t="str">
            <v xml:space="preserve">H </v>
          </cell>
        </row>
        <row r="174">
          <cell r="A174" t="str">
            <v xml:space="preserve">A21UFE1Z9P-B64CN </v>
          </cell>
          <cell r="B174" t="str">
            <v xml:space="preserve">WS U5/270 PGX24 64/4GB/CD </v>
          </cell>
          <cell r="C174">
            <v>3493</v>
          </cell>
          <cell r="D174" t="str">
            <v xml:space="preserve">H </v>
          </cell>
        </row>
        <row r="175">
          <cell r="A175" t="str">
            <v xml:space="preserve">A21UFE1Z9S-B128CN </v>
          </cell>
          <cell r="B175" t="str">
            <v xml:space="preserve">SERVER U5/270, 128/4GB </v>
          </cell>
          <cell r="C175">
            <v>4858</v>
          </cell>
          <cell r="D175" t="str">
            <v xml:space="preserve">H </v>
          </cell>
        </row>
        <row r="176">
          <cell r="A176" t="str">
            <v xml:space="preserve">A21UFE1Z9S-B64CN </v>
          </cell>
          <cell r="B176" t="str">
            <v xml:space="preserve">SERVER U5/270, 64/4GB </v>
          </cell>
          <cell r="C176">
            <v>4613</v>
          </cell>
          <cell r="D176" t="str">
            <v xml:space="preserve">H </v>
          </cell>
        </row>
        <row r="177">
          <cell r="A177" t="str">
            <v xml:space="preserve">A21UGE1Z9P-C128CR </v>
          </cell>
          <cell r="B177" t="str">
            <v xml:space="preserve">WS U5/360 PGX24 128/8GB/CD </v>
          </cell>
          <cell r="C177">
            <v>3738</v>
          </cell>
          <cell r="D177" t="str">
            <v xml:space="preserve">H </v>
          </cell>
        </row>
        <row r="178">
          <cell r="A178" t="str">
            <v xml:space="preserve">A21UGE1Z9P-C256CR </v>
          </cell>
          <cell r="B178" t="str">
            <v xml:space="preserve">WS U5/360 PGX24 256/8GB/CD </v>
          </cell>
          <cell r="C178">
            <v>4228</v>
          </cell>
          <cell r="D178" t="str">
            <v xml:space="preserve">H </v>
          </cell>
        </row>
        <row r="179">
          <cell r="A179" t="str">
            <v xml:space="preserve">A21UGE1Z9P-C64AR </v>
          </cell>
          <cell r="B179" t="str">
            <v xml:space="preserve">WS U5/360 PGX24 64/8GB </v>
          </cell>
          <cell r="C179">
            <v>3423</v>
          </cell>
          <cell r="D179" t="str">
            <v xml:space="preserve">H </v>
          </cell>
        </row>
        <row r="180">
          <cell r="A180" t="str">
            <v xml:space="preserve">A21UGE1Z9P-C64CR </v>
          </cell>
          <cell r="B180" t="str">
            <v xml:space="preserve">WS U5/360 PGX24 64/8GB/CD </v>
          </cell>
          <cell r="C180">
            <v>3493</v>
          </cell>
          <cell r="D180" t="str">
            <v xml:space="preserve">H </v>
          </cell>
        </row>
        <row r="181">
          <cell r="A181" t="str">
            <v xml:space="preserve">A21UGE1Z9S-C128CR </v>
          </cell>
          <cell r="B181" t="str">
            <v xml:space="preserve">Server U5/360 PGX24 128/8GB/CD </v>
          </cell>
          <cell r="C181">
            <v>4858</v>
          </cell>
          <cell r="D181" t="str">
            <v xml:space="preserve">H </v>
          </cell>
        </row>
        <row r="182">
          <cell r="A182" t="str">
            <v xml:space="preserve">A21UGE1Z9S-C256CR </v>
          </cell>
          <cell r="B182" t="str">
            <v xml:space="preserve">Server U5/360 PGX24 256/8GB/CD </v>
          </cell>
          <cell r="C182">
            <v>5348</v>
          </cell>
          <cell r="D182" t="str">
            <v xml:space="preserve">H </v>
          </cell>
        </row>
        <row r="183">
          <cell r="A183" t="str">
            <v xml:space="preserve">A21UGE1Z9S-C64CR </v>
          </cell>
          <cell r="B183" t="str">
            <v xml:space="preserve">Server U5/360 PGX24 64/8GB/CD </v>
          </cell>
          <cell r="C183">
            <v>4613</v>
          </cell>
          <cell r="D183" t="str">
            <v xml:space="preserve">H </v>
          </cell>
        </row>
        <row r="184">
          <cell r="A184" t="str">
            <v xml:space="preserve">A21UHC1Z9P-B128CP </v>
          </cell>
          <cell r="B184" t="str">
            <v xml:space="preserve">WS U5/333 PGX24 128/9GB/CD </v>
          </cell>
          <cell r="C184">
            <v>5173</v>
          </cell>
          <cell r="D184" t="str">
            <v xml:space="preserve">H </v>
          </cell>
        </row>
        <row r="185">
          <cell r="A185" t="str">
            <v xml:space="preserve">A21UHC1Z9P-B256CP </v>
          </cell>
          <cell r="B185" t="str">
            <v xml:space="preserve">WS U5/333 PGX24 256/9GB/CD </v>
          </cell>
          <cell r="C185">
            <v>5663</v>
          </cell>
          <cell r="D185" t="str">
            <v xml:space="preserve">H </v>
          </cell>
        </row>
        <row r="186">
          <cell r="A186" t="str">
            <v xml:space="preserve">A21UHC1Z9S-B128CP </v>
          </cell>
          <cell r="B186" t="str">
            <v xml:space="preserve">SERVER U5/333, 128/9GB </v>
          </cell>
          <cell r="C186">
            <v>6293</v>
          </cell>
          <cell r="D186" t="str">
            <v xml:space="preserve">H </v>
          </cell>
        </row>
        <row r="187">
          <cell r="A187" t="str">
            <v xml:space="preserve">A22UGC1Z9Q-B256CP </v>
          </cell>
          <cell r="B187" t="str">
            <v xml:space="preserve">WS U10/360 AFB-L 256/9GB/CD </v>
          </cell>
          <cell r="C187">
            <v>10793</v>
          </cell>
          <cell r="D187" t="str">
            <v xml:space="preserve">H </v>
          </cell>
        </row>
        <row r="188">
          <cell r="A188" t="str">
            <v xml:space="preserve">A22UGC1Z9Q-B512CP </v>
          </cell>
          <cell r="B188" t="str">
            <v xml:space="preserve">WS U10/360 AFB-L 512/9GB/CD </v>
          </cell>
          <cell r="C188">
            <v>11873</v>
          </cell>
          <cell r="D188" t="str">
            <v xml:space="preserve">H </v>
          </cell>
        </row>
        <row r="189">
          <cell r="A189" t="str">
            <v xml:space="preserve">A22UHC1Z9K-B128CP </v>
          </cell>
          <cell r="B189" t="str">
            <v xml:space="preserve">WS U10/333 FSB2+ 128/9GB/CD </v>
          </cell>
          <cell r="C189">
            <v>6743</v>
          </cell>
          <cell r="D189" t="str">
            <v xml:space="preserve">H </v>
          </cell>
        </row>
        <row r="190">
          <cell r="A190" t="str">
            <v xml:space="preserve">A22UHC1Z9K-B256CP </v>
          </cell>
          <cell r="B190" t="str">
            <v xml:space="preserve">WS U10/333 FSB2+ 256/9GB/CD </v>
          </cell>
          <cell r="C190">
            <v>7216</v>
          </cell>
          <cell r="D190" t="str">
            <v xml:space="preserve">H </v>
          </cell>
        </row>
        <row r="191">
          <cell r="A191" t="str">
            <v xml:space="preserve">A22UHC1Z9L-B128CP </v>
          </cell>
          <cell r="B191" t="str">
            <v xml:space="preserve">WS U10/333 FDB2+ 128/9GB/CD </v>
          </cell>
          <cell r="C191">
            <v>7283</v>
          </cell>
          <cell r="D191" t="str">
            <v xml:space="preserve">H </v>
          </cell>
        </row>
        <row r="192">
          <cell r="A192" t="str">
            <v xml:space="preserve">A22UHC1Z9L-B256CP </v>
          </cell>
          <cell r="B192" t="str">
            <v xml:space="preserve">WS U10/333 FDB2+ 256/9GB/CD </v>
          </cell>
          <cell r="C192">
            <v>7756</v>
          </cell>
          <cell r="D192" t="str">
            <v xml:space="preserve">H </v>
          </cell>
        </row>
        <row r="193">
          <cell r="A193" t="str">
            <v xml:space="preserve">A22UHC1Z9L-B512CP </v>
          </cell>
          <cell r="B193" t="str">
            <v xml:space="preserve">WS U10/333 FDB2+ 512/9GB/CD </v>
          </cell>
          <cell r="C193">
            <v>8836</v>
          </cell>
          <cell r="D193" t="str">
            <v xml:space="preserve">H </v>
          </cell>
        </row>
        <row r="194">
          <cell r="A194" t="str">
            <v xml:space="preserve">A22UHC1Z9P-B128CP </v>
          </cell>
          <cell r="B194" t="str">
            <v xml:space="preserve">WS U10/333 PGX24 128/9GB/CD </v>
          </cell>
          <cell r="C194">
            <v>5798</v>
          </cell>
          <cell r="D194" t="str">
            <v xml:space="preserve">H </v>
          </cell>
        </row>
        <row r="195">
          <cell r="A195" t="str">
            <v xml:space="preserve">A22UHC1Z9P-B256CP </v>
          </cell>
          <cell r="B195" t="str">
            <v xml:space="preserve">WS U10/333 PGX24 256/9GB/CD </v>
          </cell>
          <cell r="C195">
            <v>6271</v>
          </cell>
          <cell r="D195" t="str">
            <v xml:space="preserve">H </v>
          </cell>
        </row>
        <row r="196">
          <cell r="A196" t="str">
            <v xml:space="preserve">A22UHC1Z9S-B128CP </v>
          </cell>
          <cell r="B196" t="str">
            <v xml:space="preserve">SERVER UE10/333, 128MB/9GB </v>
          </cell>
          <cell r="C196">
            <v>6878</v>
          </cell>
          <cell r="D196" t="str">
            <v xml:space="preserve">H </v>
          </cell>
        </row>
        <row r="197">
          <cell r="A197" t="str">
            <v xml:space="preserve">A22UHC1Z9S-B256CP </v>
          </cell>
          <cell r="B197" t="str">
            <v xml:space="preserve">SERVER UE10/333, 256MB/9GB </v>
          </cell>
          <cell r="C197">
            <v>7351</v>
          </cell>
          <cell r="D197" t="str">
            <v xml:space="preserve">H </v>
          </cell>
        </row>
        <row r="198">
          <cell r="A198" t="str">
            <v xml:space="preserve">A22UHC1Z9S-B512CP </v>
          </cell>
          <cell r="B198" t="str">
            <v xml:space="preserve">SERVER UE10/333, 512MB/9GB </v>
          </cell>
          <cell r="C198">
            <v>8431</v>
          </cell>
          <cell r="D198" t="str">
            <v xml:space="preserve">H </v>
          </cell>
        </row>
        <row r="199">
          <cell r="A199" t="str">
            <v xml:space="preserve">A22UKC1Z9L-C256CP </v>
          </cell>
          <cell r="B199" t="str">
            <v xml:space="preserve">WS U10/440 FDB2+ 256/9GB/CD </v>
          </cell>
          <cell r="C199">
            <v>7216</v>
          </cell>
          <cell r="D199" t="str">
            <v xml:space="preserve">H </v>
          </cell>
        </row>
        <row r="200">
          <cell r="A200" t="str">
            <v xml:space="preserve">A22UKC1Z9M-C256CP </v>
          </cell>
          <cell r="B200" t="str">
            <v xml:space="preserve">WS U10/440 AFB 256/9GB/CD </v>
          </cell>
          <cell r="C200">
            <v>10118</v>
          </cell>
          <cell r="D200" t="str">
            <v xml:space="preserve">H </v>
          </cell>
        </row>
        <row r="201">
          <cell r="A201" t="str">
            <v xml:space="preserve">A22UKC1Z9M-C512CP </v>
          </cell>
          <cell r="B201" t="str">
            <v xml:space="preserve">WS U10/440 AFB 512/9GB/CD </v>
          </cell>
          <cell r="C201">
            <v>11198</v>
          </cell>
          <cell r="D201" t="str">
            <v xml:space="preserve">H </v>
          </cell>
        </row>
        <row r="202">
          <cell r="A202" t="str">
            <v xml:space="preserve">A22UKC1Z9Q-C128CP </v>
          </cell>
          <cell r="B202" t="str">
            <v xml:space="preserve">WS U10/440 AFB Lite 128/9GB/CD </v>
          </cell>
          <cell r="C202">
            <v>8363</v>
          </cell>
          <cell r="D202" t="str">
            <v xml:space="preserve">H </v>
          </cell>
        </row>
        <row r="203">
          <cell r="A203" t="str">
            <v xml:space="preserve">A22UKC1Z9Q-C256CP </v>
          </cell>
          <cell r="B203" t="str">
            <v xml:space="preserve">WS U10/440 AFB-L 256/9GB/CD </v>
          </cell>
          <cell r="C203">
            <v>8836</v>
          </cell>
          <cell r="D203" t="str">
            <v xml:space="preserve">H </v>
          </cell>
        </row>
        <row r="204">
          <cell r="A204" t="str">
            <v xml:space="preserve">A22UKC1Z9Q-C512CP </v>
          </cell>
          <cell r="B204" t="str">
            <v xml:space="preserve">WS U10/440 AFB-L 512/9GB/CD </v>
          </cell>
          <cell r="C204">
            <v>9916</v>
          </cell>
          <cell r="D204" t="str">
            <v xml:space="preserve">H </v>
          </cell>
        </row>
        <row r="205">
          <cell r="A205" t="str">
            <v xml:space="preserve">A22UKC1Z9S-C256CP </v>
          </cell>
          <cell r="B205" t="str">
            <v xml:space="preserve">SERVER U10/440 PGX24 256MB/9GB </v>
          </cell>
          <cell r="C205">
            <v>7351</v>
          </cell>
          <cell r="D205" t="str">
            <v xml:space="preserve">H </v>
          </cell>
        </row>
        <row r="206">
          <cell r="A206" t="str">
            <v xml:space="preserve">A23-UEC1-9L-128AC </v>
          </cell>
          <cell r="B206" t="str">
            <v xml:space="preserve">WS U60/300, C3D3, 128MB/4GB </v>
          </cell>
          <cell r="C206">
            <v>15653</v>
          </cell>
          <cell r="D206" t="str">
            <v xml:space="preserve">H </v>
          </cell>
        </row>
        <row r="207">
          <cell r="A207" t="str">
            <v xml:space="preserve">A23-UEC1-9L-128ACK </v>
          </cell>
          <cell r="B207" t="str">
            <v xml:space="preserve">1X300MHZ,128MB,FDB2+,4GB HDD </v>
          </cell>
          <cell r="C207">
            <v>15828</v>
          </cell>
          <cell r="D207" t="str">
            <v xml:space="preserve">H </v>
          </cell>
        </row>
        <row r="208">
          <cell r="A208" t="str">
            <v xml:space="preserve">A23-UEC1-9L-512AC </v>
          </cell>
          <cell r="B208" t="str">
            <v xml:space="preserve">WS U60/300, C3D3, 512MB/4GB </v>
          </cell>
          <cell r="C208">
            <v>19447</v>
          </cell>
          <cell r="D208" t="str">
            <v xml:space="preserve">H </v>
          </cell>
        </row>
        <row r="209">
          <cell r="A209" t="str">
            <v xml:space="preserve">A23-UEC1-9L-512ACK </v>
          </cell>
          <cell r="B209" t="str">
            <v xml:space="preserve">1X300MHZ,512MB,FDB2+,4GB HDD </v>
          </cell>
          <cell r="C209">
            <v>19622</v>
          </cell>
          <cell r="D209" t="str">
            <v xml:space="preserve">H </v>
          </cell>
        </row>
        <row r="210">
          <cell r="A210" t="str">
            <v xml:space="preserve">A23-UEC1-9M-128AC </v>
          </cell>
          <cell r="B210" t="str">
            <v xml:space="preserve">WS U60/300, AFB, 128MB/4GB </v>
          </cell>
          <cell r="C210">
            <v>23625</v>
          </cell>
          <cell r="D210" t="str">
            <v xml:space="preserve">H </v>
          </cell>
        </row>
        <row r="211">
          <cell r="A211" t="str">
            <v xml:space="preserve">A23-UEC1-9M-128ACK </v>
          </cell>
          <cell r="B211" t="str">
            <v xml:space="preserve">1X300MHZ, 128MB, AFB, 4GB HDD </v>
          </cell>
          <cell r="C211">
            <v>23800</v>
          </cell>
          <cell r="D211" t="str">
            <v xml:space="preserve">H </v>
          </cell>
        </row>
        <row r="212">
          <cell r="A212" t="str">
            <v xml:space="preserve">A23-UEC1-9Q-128AC </v>
          </cell>
          <cell r="B212" t="str">
            <v xml:space="preserve">WS U60/300, AFB-L, 128MB/4GB </v>
          </cell>
          <cell r="C212">
            <v>19906</v>
          </cell>
          <cell r="D212" t="str">
            <v xml:space="preserve">H </v>
          </cell>
        </row>
        <row r="213">
          <cell r="A213" t="str">
            <v xml:space="preserve">A23-UEC1-9Q-128ACK </v>
          </cell>
          <cell r="B213" t="str">
            <v xml:space="preserve">1X300MHZ,128MB,AFB-L,4GB HDD </v>
          </cell>
          <cell r="C213">
            <v>20081</v>
          </cell>
          <cell r="D213" t="str">
            <v xml:space="preserve">H </v>
          </cell>
        </row>
        <row r="214">
          <cell r="A214" t="str">
            <v xml:space="preserve">A23-UEC2-9L-256AC </v>
          </cell>
          <cell r="B214" t="str">
            <v xml:space="preserve">WS U60/2X300 C3D3 256MB/4GB </v>
          </cell>
          <cell r="C214">
            <v>25475</v>
          </cell>
          <cell r="D214" t="str">
            <v xml:space="preserve">H </v>
          </cell>
        </row>
        <row r="215">
          <cell r="A215" t="str">
            <v xml:space="preserve">A23-UEC2-9L-256ACK </v>
          </cell>
          <cell r="B215" t="str">
            <v xml:space="preserve">2X300MHZ,256MB,FDB2+,4GB HDD </v>
          </cell>
          <cell r="C215">
            <v>25650</v>
          </cell>
          <cell r="D215" t="str">
            <v xml:space="preserve">H </v>
          </cell>
        </row>
        <row r="216">
          <cell r="A216" t="str">
            <v xml:space="preserve">A23-UEC2-9L-512AC </v>
          </cell>
          <cell r="B216" t="str">
            <v xml:space="preserve">WS U60/2X300 C3D3 512MB/4GB </v>
          </cell>
          <cell r="C216">
            <v>28323</v>
          </cell>
          <cell r="D216" t="str">
            <v xml:space="preserve">H </v>
          </cell>
        </row>
        <row r="217">
          <cell r="A217" t="str">
            <v xml:space="preserve">A23-UEC2-9L-512ACK </v>
          </cell>
          <cell r="B217" t="str">
            <v xml:space="preserve">2X300MHZ,512MB,FDB2+,4GB HDD </v>
          </cell>
          <cell r="C217">
            <v>28498</v>
          </cell>
          <cell r="D217" t="str">
            <v xml:space="preserve">H </v>
          </cell>
        </row>
        <row r="218">
          <cell r="A218" t="str">
            <v xml:space="preserve">A23-UEC2-9M-256AC </v>
          </cell>
          <cell r="B218" t="str">
            <v>WS U60/2X3000 AFB 256MB/4GB</v>
          </cell>
          <cell r="C218">
            <v>33446</v>
          </cell>
          <cell r="D218" t="str">
            <v xml:space="preserve">H </v>
          </cell>
        </row>
        <row r="219">
          <cell r="A219" t="str">
            <v xml:space="preserve">A23-UEC2-9M-256ACK </v>
          </cell>
          <cell r="B219" t="str">
            <v xml:space="preserve">2X300MHZ, 256MB, AFB, 4GB HDD </v>
          </cell>
          <cell r="C219">
            <v>33621</v>
          </cell>
          <cell r="D219" t="str">
            <v xml:space="preserve">H </v>
          </cell>
        </row>
        <row r="220">
          <cell r="A220" t="str">
            <v xml:space="preserve">A23-UEC2-9M-512AC </v>
          </cell>
          <cell r="B220" t="str">
            <v xml:space="preserve">WS U60/2X300 AFB 512MB/4GB </v>
          </cell>
          <cell r="C220">
            <v>36295</v>
          </cell>
          <cell r="D220" t="str">
            <v xml:space="preserve">H </v>
          </cell>
        </row>
        <row r="221">
          <cell r="A221" t="str">
            <v xml:space="preserve">A23-UEC2-9M-512ACK </v>
          </cell>
          <cell r="B221" t="str">
            <v xml:space="preserve">WS U60/2X300 AFB 512MB/4GB </v>
          </cell>
          <cell r="C221">
            <v>36470</v>
          </cell>
          <cell r="D221" t="str">
            <v xml:space="preserve">H </v>
          </cell>
        </row>
        <row r="222">
          <cell r="A222" t="str">
            <v xml:space="preserve">A23-UEC2-9Q-256AC </v>
          </cell>
          <cell r="B222" t="str">
            <v xml:space="preserve">WS U60/2X300 AFB-L 256MB/4GB </v>
          </cell>
          <cell r="C222">
            <v>29727</v>
          </cell>
          <cell r="D222" t="str">
            <v xml:space="preserve">H </v>
          </cell>
        </row>
        <row r="223">
          <cell r="A223" t="str">
            <v xml:space="preserve">A23-UEC2-9Q-256ACK </v>
          </cell>
          <cell r="B223" t="str">
            <v xml:space="preserve">2X300MHZ, 256MB, AFB-L 4GB HDD </v>
          </cell>
          <cell r="C223">
            <v>29902</v>
          </cell>
          <cell r="D223" t="str">
            <v xml:space="preserve">H </v>
          </cell>
        </row>
        <row r="224">
          <cell r="A224" t="str">
            <v xml:space="preserve">A23-UGD1-9L-128AH </v>
          </cell>
          <cell r="B224" t="str">
            <v xml:space="preserve">WS U60/1X360 C3D3 128MB/9GB </v>
          </cell>
          <cell r="C224">
            <v>13493</v>
          </cell>
          <cell r="D224" t="str">
            <v xml:space="preserve">H </v>
          </cell>
        </row>
        <row r="225">
          <cell r="A225" t="str">
            <v>A23-UGD1-9L-128AHK</v>
          </cell>
          <cell r="B225" t="str">
            <v xml:space="preserve">WS U60/1X360 C3D3 128MB/9GB </v>
          </cell>
          <cell r="C225">
            <v>13668</v>
          </cell>
          <cell r="D225" t="str">
            <v xml:space="preserve">H </v>
          </cell>
        </row>
        <row r="226">
          <cell r="A226" t="str">
            <v xml:space="preserve">A23-UGD1-9L-512AH </v>
          </cell>
          <cell r="B226" t="str">
            <v xml:space="preserve">WS U60/1X360 C3D3 512MB/9GB </v>
          </cell>
          <cell r="C226">
            <v>16355</v>
          </cell>
          <cell r="D226" t="str">
            <v xml:space="preserve">H </v>
          </cell>
        </row>
        <row r="227">
          <cell r="A227" t="str">
            <v xml:space="preserve">A23-UGD1-9L-512AHK </v>
          </cell>
          <cell r="B227" t="str">
            <v xml:space="preserve">WS U60/1X360 C3D3 512MB/9GB </v>
          </cell>
          <cell r="C227">
            <v>16530</v>
          </cell>
          <cell r="D227" t="str">
            <v xml:space="preserve">H </v>
          </cell>
        </row>
        <row r="228">
          <cell r="A228" t="str">
            <v xml:space="preserve">A23-UGD1-9M-128AH </v>
          </cell>
          <cell r="B228" t="str">
            <v xml:space="preserve">WS U60/1X360 AFB 128MB/9GB </v>
          </cell>
          <cell r="C228">
            <v>18623</v>
          </cell>
          <cell r="D228" t="str">
            <v xml:space="preserve">H </v>
          </cell>
        </row>
        <row r="229">
          <cell r="A229" t="str">
            <v xml:space="preserve">A23-UGD1-9M-128AHK </v>
          </cell>
          <cell r="B229" t="str">
            <v xml:space="preserve">WS U60/1X360 AFB 128MB/9GB </v>
          </cell>
          <cell r="C229">
            <v>18798</v>
          </cell>
          <cell r="D229" t="str">
            <v xml:space="preserve">H </v>
          </cell>
        </row>
        <row r="230">
          <cell r="A230" t="str">
            <v xml:space="preserve">A23-UGD1-9Q-128AH </v>
          </cell>
          <cell r="B230" t="str">
            <v xml:space="preserve">WS U60/1X360 AFB-L 128MB/9GB </v>
          </cell>
          <cell r="C230">
            <v>15923</v>
          </cell>
          <cell r="D230" t="str">
            <v xml:space="preserve">H </v>
          </cell>
        </row>
        <row r="231">
          <cell r="A231" t="str">
            <v xml:space="preserve">A23-UGD1-9Q-128AHK </v>
          </cell>
          <cell r="B231" t="str">
            <v xml:space="preserve">WS U60/1X360 AFB-L 128MB/9GB </v>
          </cell>
          <cell r="C231">
            <v>16098</v>
          </cell>
          <cell r="D231" t="str">
            <v xml:space="preserve">H </v>
          </cell>
        </row>
        <row r="232">
          <cell r="A232" t="str">
            <v xml:space="preserve">A23-UGD1-9Q-512AH </v>
          </cell>
          <cell r="B232" t="str">
            <v xml:space="preserve">WS U60/1X360 AFB-L 512MB/9GB </v>
          </cell>
          <cell r="C232">
            <v>18785</v>
          </cell>
          <cell r="D232" t="str">
            <v xml:space="preserve">H </v>
          </cell>
        </row>
        <row r="233">
          <cell r="A233" t="str">
            <v xml:space="preserve">A23-UGD1-9Q-512AHK </v>
          </cell>
          <cell r="B233" t="str">
            <v xml:space="preserve">WS U60/1X360 AFB-L 512MB/9GB </v>
          </cell>
          <cell r="C233">
            <v>18960</v>
          </cell>
          <cell r="D233" t="str">
            <v xml:space="preserve">H </v>
          </cell>
        </row>
        <row r="234">
          <cell r="A234" t="str">
            <v xml:space="preserve">A23-UGD2-9L-256AH </v>
          </cell>
          <cell r="B234" t="str">
            <v xml:space="preserve">WS U60/2X360 C3D3 256MB/9GB </v>
          </cell>
          <cell r="C234">
            <v>18353</v>
          </cell>
          <cell r="D234" t="str">
            <v xml:space="preserve">H </v>
          </cell>
        </row>
        <row r="235">
          <cell r="A235" t="str">
            <v xml:space="preserve">A23-UGD2-9L-256AHK </v>
          </cell>
          <cell r="B235" t="str">
            <v xml:space="preserve">WS U60/2X360 C3D3 256MB/9GB </v>
          </cell>
          <cell r="C235">
            <v>18528</v>
          </cell>
          <cell r="D235" t="str">
            <v xml:space="preserve">H </v>
          </cell>
        </row>
        <row r="236">
          <cell r="A236" t="str">
            <v xml:space="preserve">A23-UGD2-9L-512AH </v>
          </cell>
          <cell r="B236" t="str">
            <v xml:space="preserve">WS U60/2X360 C3D3 512MB/9GB </v>
          </cell>
          <cell r="C236">
            <v>20169</v>
          </cell>
          <cell r="D236" t="str">
            <v xml:space="preserve">H </v>
          </cell>
        </row>
        <row r="237">
          <cell r="A237" t="str">
            <v xml:space="preserve">A23-UGD2-9L-512AHK </v>
          </cell>
          <cell r="B237" t="str">
            <v xml:space="preserve">WS U60/2X360 C3D3 512MB/9GB </v>
          </cell>
          <cell r="C237">
            <v>20344</v>
          </cell>
          <cell r="D237" t="str">
            <v xml:space="preserve">H </v>
          </cell>
        </row>
        <row r="238">
          <cell r="A238" t="str">
            <v xml:space="preserve">A23-UGD2-9M-256AH </v>
          </cell>
          <cell r="B238" t="str">
            <v xml:space="preserve">WS U60/2X360 AFB 256MB/9GB </v>
          </cell>
          <cell r="C238">
            <v>23483</v>
          </cell>
          <cell r="D238" t="str">
            <v xml:space="preserve">H </v>
          </cell>
        </row>
        <row r="239">
          <cell r="A239" t="str">
            <v xml:space="preserve">A23-UGD2-9M-256AHK </v>
          </cell>
          <cell r="B239" t="str">
            <v xml:space="preserve">WS U60/2X360 AFB 256MB/9GB </v>
          </cell>
          <cell r="C239">
            <v>23658</v>
          </cell>
          <cell r="D239" t="str">
            <v xml:space="preserve">H </v>
          </cell>
        </row>
        <row r="240">
          <cell r="A240" t="str">
            <v xml:space="preserve">A23-UGD2-9M-512AH </v>
          </cell>
          <cell r="B240" t="str">
            <v xml:space="preserve">WS U60/2X360 AFB 512MB/9GB </v>
          </cell>
          <cell r="C240">
            <v>25299</v>
          </cell>
          <cell r="D240" t="str">
            <v xml:space="preserve">H </v>
          </cell>
        </row>
        <row r="241">
          <cell r="A241" t="str">
            <v xml:space="preserve">A23-UGD2-9M-512AHK </v>
          </cell>
          <cell r="B241" t="str">
            <v xml:space="preserve">WS U60/2X360 AFB 512MB/9GB </v>
          </cell>
          <cell r="C241">
            <v>25474</v>
          </cell>
          <cell r="D241" t="str">
            <v xml:space="preserve">H </v>
          </cell>
        </row>
        <row r="242">
          <cell r="A242" t="str">
            <v xml:space="preserve">A23-UGD2-9Q-256AH </v>
          </cell>
          <cell r="B242" t="str">
            <v xml:space="preserve">WS U60/2X360 AFB-L 256MB/9GB </v>
          </cell>
          <cell r="C242">
            <v>20783</v>
          </cell>
          <cell r="D242" t="str">
            <v xml:space="preserve">H </v>
          </cell>
        </row>
        <row r="243">
          <cell r="A243" t="str">
            <v xml:space="preserve">A23-UGD2-9Q-256AHK </v>
          </cell>
          <cell r="B243" t="str">
            <v xml:space="preserve">WS U60/2X360 AFB-L 256MB/9GB </v>
          </cell>
          <cell r="C243">
            <v>20958</v>
          </cell>
          <cell r="D243" t="str">
            <v xml:space="preserve">H </v>
          </cell>
        </row>
        <row r="244">
          <cell r="A244" t="str">
            <v xml:space="preserve">A23-ULD1-9L-256AH </v>
          </cell>
          <cell r="B244" t="str">
            <v xml:space="preserve">WS U60/1X450,C3D3,256MB,9GB </v>
          </cell>
          <cell r="C244">
            <v>17543</v>
          </cell>
          <cell r="D244" t="str">
            <v xml:space="preserve">H </v>
          </cell>
        </row>
        <row r="245">
          <cell r="A245" t="str">
            <v xml:space="preserve">A23-ULD1-9L-512AH </v>
          </cell>
          <cell r="B245" t="str">
            <v xml:space="preserve">WS U60/1X450,C3D3,512MB,9G </v>
          </cell>
          <cell r="C245">
            <v>19359</v>
          </cell>
          <cell r="D245" t="str">
            <v xml:space="preserve">H </v>
          </cell>
        </row>
        <row r="246">
          <cell r="A246" t="str">
            <v xml:space="preserve">A23-ULD1-9M-256AH </v>
          </cell>
          <cell r="B246" t="str">
            <v xml:space="preserve">WS U60/1X450,AFB,256MB,9GB </v>
          </cell>
          <cell r="C246">
            <v>20513</v>
          </cell>
          <cell r="D246" t="str">
            <v xml:space="preserve">H </v>
          </cell>
        </row>
        <row r="247">
          <cell r="A247" t="str">
            <v xml:space="preserve">A23-ULD1-9M-512AH </v>
          </cell>
          <cell r="B247" t="str">
            <v xml:space="preserve">WS U60/1X450,AFB,512MB,9GB </v>
          </cell>
          <cell r="C247">
            <v>22329</v>
          </cell>
          <cell r="D247" t="str">
            <v xml:space="preserve">H </v>
          </cell>
        </row>
        <row r="248">
          <cell r="A248" t="str">
            <v xml:space="preserve">A23-ULD1-9Q-1024AH </v>
          </cell>
          <cell r="B248" t="str">
            <v xml:space="preserve">WS U60/1X450,AFB-L,1024MB,9GB </v>
          </cell>
          <cell r="C248">
            <v>24354</v>
          </cell>
          <cell r="D248" t="str">
            <v xml:space="preserve">H </v>
          </cell>
        </row>
        <row r="249">
          <cell r="A249" t="str">
            <v xml:space="preserve">A23-ULD1-9Q-256AH </v>
          </cell>
          <cell r="B249" t="str">
            <v xml:space="preserve">WS U60/1X450,AFB-L,256MB,9GB </v>
          </cell>
          <cell r="C249">
            <v>19163</v>
          </cell>
          <cell r="D249" t="str">
            <v xml:space="preserve">H </v>
          </cell>
        </row>
        <row r="250">
          <cell r="A250" t="str">
            <v xml:space="preserve">A23-ULD1-9Q-512AH </v>
          </cell>
          <cell r="B250" t="str">
            <v xml:space="preserve">WS U60/1X450,AFB-L,512MB,9GB </v>
          </cell>
          <cell r="C250">
            <v>20979</v>
          </cell>
          <cell r="D250" t="str">
            <v xml:space="preserve">H </v>
          </cell>
        </row>
        <row r="251">
          <cell r="A251" t="str">
            <v xml:space="preserve">A23-ULD2-9L-256AH </v>
          </cell>
          <cell r="B251" t="str">
            <v xml:space="preserve">WS U60/2X450.C3D3,256MB,9GB </v>
          </cell>
          <cell r="C251">
            <v>24293</v>
          </cell>
          <cell r="D251" t="str">
            <v xml:space="preserve">H </v>
          </cell>
        </row>
        <row r="252">
          <cell r="A252" t="str">
            <v xml:space="preserve">A23-ULD2-9L-512AH </v>
          </cell>
          <cell r="B252" t="str">
            <v xml:space="preserve">WS U60/2X450,C3D3,512MB,9GB </v>
          </cell>
          <cell r="C252">
            <v>26109</v>
          </cell>
          <cell r="D252" t="str">
            <v xml:space="preserve">H </v>
          </cell>
        </row>
        <row r="253">
          <cell r="A253" t="str">
            <v xml:space="preserve">A23-ULD2-9M-256AH </v>
          </cell>
          <cell r="B253" t="str">
            <v xml:space="preserve">WS U60/2X450,AFB,256MB,9GB </v>
          </cell>
          <cell r="C253">
            <v>27263</v>
          </cell>
          <cell r="D253" t="str">
            <v xml:space="preserve">H </v>
          </cell>
        </row>
        <row r="254">
          <cell r="A254" t="str">
            <v xml:space="preserve">A23-ULD2-9M-512AH </v>
          </cell>
          <cell r="B254" t="str">
            <v xml:space="preserve">WS U60/2X450,AFB,512MB,9GB </v>
          </cell>
          <cell r="C254">
            <v>29079</v>
          </cell>
          <cell r="D254" t="str">
            <v xml:space="preserve">H </v>
          </cell>
        </row>
        <row r="255">
          <cell r="A255" t="str">
            <v xml:space="preserve">A23-ULD2-9Q-256AH </v>
          </cell>
          <cell r="B255" t="str">
            <v xml:space="preserve">WS U60/2X450,AFB-L,256MB,9GB </v>
          </cell>
          <cell r="C255">
            <v>25913</v>
          </cell>
          <cell r="D255" t="str">
            <v xml:space="preserve">H </v>
          </cell>
        </row>
        <row r="256">
          <cell r="A256" t="str">
            <v xml:space="preserve">A23-ULD2-9Q-512AH </v>
          </cell>
          <cell r="B256" t="str">
            <v xml:space="preserve">WS U60/2X450,AFB-L,512MB,9GB </v>
          </cell>
          <cell r="C256">
            <v>27729</v>
          </cell>
          <cell r="D256" t="str">
            <v xml:space="preserve">H </v>
          </cell>
        </row>
        <row r="257">
          <cell r="A257" t="str">
            <v xml:space="preserve">A25-BA </v>
          </cell>
          <cell r="B257" t="str">
            <v xml:space="preserve">SRVR E450 ZERO BASE </v>
          </cell>
          <cell r="C257">
            <v>14749</v>
          </cell>
          <cell r="D257" t="str">
            <v xml:space="preserve">H </v>
          </cell>
        </row>
        <row r="258">
          <cell r="A258" t="str">
            <v xml:space="preserve">A26-AA </v>
          </cell>
          <cell r="B258" t="str">
            <v xml:space="preserve">E250 SERVER BASE CONFIGURATION </v>
          </cell>
          <cell r="C258">
            <v>6994</v>
          </cell>
          <cell r="D258" t="str">
            <v xml:space="preserve">H </v>
          </cell>
        </row>
        <row r="259">
          <cell r="A259" t="str">
            <v xml:space="preserve">A26-AA-R </v>
          </cell>
          <cell r="B259" t="str">
            <v xml:space="preserve">E250 SERVER BASE CONFIG (RACK) </v>
          </cell>
          <cell r="C259">
            <v>6994</v>
          </cell>
          <cell r="D259" t="str">
            <v xml:space="preserve">H </v>
          </cell>
        </row>
        <row r="260">
          <cell r="A260" t="str">
            <v xml:space="preserve">A3000HP-6140-B </v>
          </cell>
          <cell r="B260" t="str">
            <v xml:space="preserve">HP-UX RAID MGR SW KIT A3000 </v>
          </cell>
          <cell r="C260">
            <v>0</v>
          </cell>
          <cell r="D260" t="str">
            <v xml:space="preserve">D </v>
          </cell>
        </row>
        <row r="261">
          <cell r="A261" t="str">
            <v xml:space="preserve">A5000-NT4-B </v>
          </cell>
          <cell r="B261" t="str">
            <v xml:space="preserve">NT SW KIT FOR A5000 </v>
          </cell>
          <cell r="C261">
            <v>0</v>
          </cell>
          <cell r="D261" t="str">
            <v xml:space="preserve">D </v>
          </cell>
        </row>
        <row r="262">
          <cell r="A262" t="str">
            <v xml:space="preserve">AUT-2.1-D </v>
          </cell>
          <cell r="B262" t="str">
            <v xml:space="preserve">AUTOCLIENT 2.1, DOC </v>
          </cell>
          <cell r="C262">
            <v>195</v>
          </cell>
          <cell r="D262" t="str">
            <v xml:space="preserve">D </v>
          </cell>
        </row>
        <row r="263">
          <cell r="A263" t="str">
            <v xml:space="preserve">AUT-2.1-L10 </v>
          </cell>
          <cell r="B263" t="str">
            <v xml:space="preserve">AUTOCLIENT 2.1, 10LIC </v>
          </cell>
          <cell r="C263">
            <v>3416</v>
          </cell>
          <cell r="D263" t="str">
            <v xml:space="preserve">B </v>
          </cell>
        </row>
        <row r="264">
          <cell r="A264" t="str">
            <v xml:space="preserve">AUT-2.1-L100 </v>
          </cell>
          <cell r="B264" t="str">
            <v xml:space="preserve">AUTOCLIENT 2.1, 100LIC </v>
          </cell>
          <cell r="C264">
            <v>21875</v>
          </cell>
          <cell r="D264" t="str">
            <v xml:space="preserve">B </v>
          </cell>
        </row>
        <row r="265">
          <cell r="A265" t="str">
            <v xml:space="preserve">AUT-2.1-P </v>
          </cell>
          <cell r="B265" t="str">
            <v xml:space="preserve">AUTOCLIENT 2.1, CD DOC LI </v>
          </cell>
          <cell r="C265">
            <v>7840</v>
          </cell>
          <cell r="D265" t="str">
            <v xml:space="preserve">B </v>
          </cell>
        </row>
        <row r="266">
          <cell r="A266" t="str">
            <v xml:space="preserve">AUT-SVR-2.1-L </v>
          </cell>
          <cell r="B266" t="str">
            <v xml:space="preserve">AUTOCLIENT 2.1 SV, LIC </v>
          </cell>
          <cell r="C266">
            <v>4179</v>
          </cell>
          <cell r="D266" t="str">
            <v xml:space="preserve">B </v>
          </cell>
        </row>
        <row r="267">
          <cell r="A267" t="str">
            <v xml:space="preserve">BAK-CL1-5.0.1-CD </v>
          </cell>
          <cell r="B267" t="str">
            <v xml:space="preserve">BACKUP CLIENTPAK 5.0.1,CD DOC </v>
          </cell>
          <cell r="C267">
            <v>2100</v>
          </cell>
          <cell r="D267" t="str">
            <v xml:space="preserve">B </v>
          </cell>
        </row>
        <row r="268">
          <cell r="A268" t="str">
            <v xml:space="preserve">BAK-CL2-5.0.1-CD </v>
          </cell>
          <cell r="B268" t="str">
            <v xml:space="preserve">BACKUP CLIENTPAK2 5.0.1,CD DOC </v>
          </cell>
          <cell r="C268">
            <v>2100</v>
          </cell>
          <cell r="D268" t="str">
            <v xml:space="preserve">B </v>
          </cell>
        </row>
        <row r="269">
          <cell r="A269" t="str">
            <v xml:space="preserve">BAK-CL3-5.0.1-CD </v>
          </cell>
          <cell r="B269" t="str">
            <v xml:space="preserve">BACKUP CLIENTPAK3 5.0.1,CD DOC </v>
          </cell>
          <cell r="C269">
            <v>2100</v>
          </cell>
          <cell r="D269" t="str">
            <v xml:space="preserve">B </v>
          </cell>
        </row>
        <row r="270">
          <cell r="A270" t="str">
            <v xml:space="preserve">BAK-CL5-4.2.6-CD </v>
          </cell>
          <cell r="B270" t="str">
            <v xml:space="preserve">BACKUP CLIENTPAK5 4.2.6, CD </v>
          </cell>
          <cell r="C270">
            <v>2100</v>
          </cell>
          <cell r="D270" t="str">
            <v xml:space="preserve">B </v>
          </cell>
        </row>
        <row r="271">
          <cell r="A271" t="str">
            <v xml:space="preserve">BAK-DMI-1.0-P </v>
          </cell>
          <cell r="B271" t="str">
            <v xml:space="preserve">SOLSTICE DB INFORMIX,CD DOC LI </v>
          </cell>
          <cell r="C271">
            <v>7000</v>
          </cell>
          <cell r="D271" t="str">
            <v xml:space="preserve">B </v>
          </cell>
        </row>
        <row r="272">
          <cell r="A272" t="str">
            <v xml:space="preserve">BAK-DMSAP-1.1.0-P </v>
          </cell>
          <cell r="B272" t="str">
            <v xml:space="preserve">SOLSTICE DB SAP, CD DOC LI </v>
          </cell>
          <cell r="C272">
            <v>14000</v>
          </cell>
          <cell r="D272" t="str">
            <v xml:space="preserve">B </v>
          </cell>
        </row>
        <row r="273">
          <cell r="A273" t="str">
            <v xml:space="preserve">BAK-MME-1.0.0-P </v>
          </cell>
          <cell r="B273" t="str">
            <v xml:space="preserve">SOLS BACKUP MME 1.0, CD DOC LI </v>
          </cell>
          <cell r="C273">
            <v>1400</v>
          </cell>
          <cell r="D273" t="str">
            <v xml:space="preserve">B </v>
          </cell>
        </row>
        <row r="274">
          <cell r="A274" t="str">
            <v xml:space="preserve">BAK-MMS-1.0.0-P </v>
          </cell>
          <cell r="B274" t="str">
            <v xml:space="preserve">SOLS BACKUP MMS 1.0, CD DOC LI </v>
          </cell>
          <cell r="C274">
            <v>1400</v>
          </cell>
          <cell r="D274" t="str">
            <v xml:space="preserve">B </v>
          </cell>
        </row>
        <row r="275">
          <cell r="A275" t="str">
            <v xml:space="preserve">BUA99-510-9999 </v>
          </cell>
          <cell r="B275" t="str">
            <v xml:space="preserve">SW SBU 5.1 ARCHIVE, LIC </v>
          </cell>
          <cell r="C275">
            <v>4900</v>
          </cell>
          <cell r="D275" t="str">
            <v xml:space="preserve">B </v>
          </cell>
        </row>
        <row r="276">
          <cell r="A276" t="str">
            <v xml:space="preserve">BUA99-510-99U9 </v>
          </cell>
          <cell r="B276" t="str">
            <v xml:space="preserve">SW SBU 5.1 ARCHIVE UPGR RTU </v>
          </cell>
          <cell r="C276">
            <v>2450</v>
          </cell>
          <cell r="D276" t="str">
            <v xml:space="preserve">B </v>
          </cell>
        </row>
        <row r="277">
          <cell r="A277" t="str">
            <v xml:space="preserve">BUD99-510-99U9 </v>
          </cell>
          <cell r="B277" t="str">
            <v xml:space="preserve">SW SBU 5.1 UPGR HSD RTU </v>
          </cell>
          <cell r="C277">
            <v>4550</v>
          </cell>
          <cell r="D277" t="str">
            <v xml:space="preserve">B </v>
          </cell>
        </row>
        <row r="278">
          <cell r="A278" t="str">
            <v xml:space="preserve">BUE99-510-99T9 </v>
          </cell>
          <cell r="B278" t="str">
            <v xml:space="preserve">SW SBU 5.1 UPG SE-PE RTU </v>
          </cell>
          <cell r="C278">
            <v>16800</v>
          </cell>
          <cell r="D278" t="str">
            <v xml:space="preserve">B </v>
          </cell>
        </row>
        <row r="279">
          <cell r="A279" t="str">
            <v xml:space="preserve">BUE99-510-99U9 </v>
          </cell>
          <cell r="B279" t="str">
            <v xml:space="preserve">SW SBU 5.1 PE UPG CD, DOC, RTU </v>
          </cell>
          <cell r="C279">
            <v>10500</v>
          </cell>
          <cell r="D279" t="str">
            <v xml:space="preserve">B </v>
          </cell>
        </row>
        <row r="280">
          <cell r="A280" t="str">
            <v xml:space="preserve">BUE99-510-E999 </v>
          </cell>
          <cell r="B280" t="str">
            <v xml:space="preserve">SW SBU 5.1 PE, CD DOC LI </v>
          </cell>
          <cell r="C280">
            <v>21000</v>
          </cell>
          <cell r="D280" t="str">
            <v xml:space="preserve">B </v>
          </cell>
        </row>
        <row r="281">
          <cell r="A281" t="str">
            <v xml:space="preserve">BUE99-510-W9T9 </v>
          </cell>
          <cell r="B281" t="str">
            <v xml:space="preserve">SW SBU 5.1 UPG NE-PE RTU </v>
          </cell>
          <cell r="C281">
            <v>12600</v>
          </cell>
          <cell r="D281" t="str">
            <v xml:space="preserve">B </v>
          </cell>
        </row>
        <row r="282">
          <cell r="A282" t="str">
            <v xml:space="preserve">BUH99-510-9999 </v>
          </cell>
          <cell r="B282" t="str">
            <v xml:space="preserve">SW SBU 5.1 HSM, LIC </v>
          </cell>
          <cell r="C282">
            <v>21000</v>
          </cell>
          <cell r="D282" t="str">
            <v xml:space="preserve">B </v>
          </cell>
        </row>
        <row r="283">
          <cell r="A283" t="str">
            <v xml:space="preserve">BUH99-510-99U9 </v>
          </cell>
          <cell r="B283" t="str">
            <v xml:space="preserve">SW SBU 5.1 UPGR HSM RTU </v>
          </cell>
          <cell r="C283">
            <v>10500</v>
          </cell>
          <cell r="D283" t="str">
            <v xml:space="preserve">B </v>
          </cell>
        </row>
        <row r="284">
          <cell r="A284" t="str">
            <v xml:space="preserve">BUJC9-510-9999 </v>
          </cell>
          <cell r="B284" t="str">
            <v xml:space="preserve">SW SBU 5.1 1-128 SLOT JB, LIC </v>
          </cell>
          <cell r="C284">
            <v>11200</v>
          </cell>
          <cell r="D284" t="str">
            <v xml:space="preserve">B </v>
          </cell>
        </row>
        <row r="285">
          <cell r="A285" t="str">
            <v xml:space="preserve">BUJC9-510-99T9 </v>
          </cell>
          <cell r="B285" t="str">
            <v xml:space="preserve">SW SBU 5.1 UPG 16 - 128 JB RTU </v>
          </cell>
          <cell r="C285">
            <v>7700</v>
          </cell>
          <cell r="D285" t="str">
            <v xml:space="preserve">B </v>
          </cell>
        </row>
        <row r="286">
          <cell r="A286" t="str">
            <v xml:space="preserve">BUJC9-510-99U9 </v>
          </cell>
          <cell r="B286" t="str">
            <v xml:space="preserve">SW SBU 5.1 UP 128 SLOT JB RTU </v>
          </cell>
          <cell r="C286">
            <v>5600</v>
          </cell>
          <cell r="D286" t="str">
            <v xml:space="preserve">B </v>
          </cell>
        </row>
        <row r="287">
          <cell r="A287" t="str">
            <v xml:space="preserve">BUJC9-510-D9T9 </v>
          </cell>
          <cell r="B287" t="str">
            <v xml:space="preserve">SW SBU 5.1 UPG 32 - 128 JB RTU </v>
          </cell>
          <cell r="C287">
            <v>5600</v>
          </cell>
          <cell r="D287" t="str">
            <v xml:space="preserve">B </v>
          </cell>
        </row>
        <row r="288">
          <cell r="A288" t="str">
            <v xml:space="preserve">BUJC9-510-W9T9 </v>
          </cell>
          <cell r="B288" t="str">
            <v xml:space="preserve">SW SBU 5.1 UPG 64 - 128 JB RTU </v>
          </cell>
          <cell r="C288">
            <v>3500</v>
          </cell>
          <cell r="D288" t="str">
            <v xml:space="preserve">B </v>
          </cell>
        </row>
        <row r="289">
          <cell r="A289" t="str">
            <v xml:space="preserve">BUJE9-510-9999 </v>
          </cell>
          <cell r="B289" t="str">
            <v xml:space="preserve">SW SBU 5.1 1-256 SLOT JB, LIC </v>
          </cell>
          <cell r="C289">
            <v>13300</v>
          </cell>
          <cell r="D289" t="str">
            <v xml:space="preserve">B </v>
          </cell>
        </row>
        <row r="290">
          <cell r="A290" t="str">
            <v xml:space="preserve">BUJE9-510-99T9 </v>
          </cell>
          <cell r="B290" t="str">
            <v xml:space="preserve">SW SBU 5.1 UPG 64 - 256 JB RTU </v>
          </cell>
          <cell r="C290">
            <v>5600</v>
          </cell>
          <cell r="D290" t="str">
            <v xml:space="preserve">B </v>
          </cell>
        </row>
        <row r="291">
          <cell r="A291" t="str">
            <v xml:space="preserve">BUJE9-510-99U9 </v>
          </cell>
          <cell r="B291" t="str">
            <v xml:space="preserve">SW SBU 5.1 UP 256 SLOT JB RTU </v>
          </cell>
          <cell r="C291">
            <v>6650</v>
          </cell>
          <cell r="D291" t="str">
            <v xml:space="preserve">B </v>
          </cell>
        </row>
        <row r="292">
          <cell r="A292" t="str">
            <v xml:space="preserve">BUJE9-510-D9T9 </v>
          </cell>
          <cell r="B292" t="str">
            <v xml:space="preserve">SW SBU 5.1 UP 128 - 256 JB RTU </v>
          </cell>
          <cell r="C292">
            <v>3500</v>
          </cell>
          <cell r="D292" t="str">
            <v xml:space="preserve">B </v>
          </cell>
        </row>
        <row r="293">
          <cell r="A293" t="str">
            <v xml:space="preserve">BUJL9-510-9999 </v>
          </cell>
          <cell r="B293" t="str">
            <v xml:space="preserve">SW SBU 5.1 1-64 SLOT JB, LIC </v>
          </cell>
          <cell r="C293">
            <v>9100</v>
          </cell>
          <cell r="D293" t="str">
            <v xml:space="preserve">B </v>
          </cell>
        </row>
        <row r="294">
          <cell r="A294" t="str">
            <v xml:space="preserve">BUJL9-510-99T9 </v>
          </cell>
          <cell r="B294" t="str">
            <v xml:space="preserve">SW SBU 5.1 UPGR 16 - 64 JB RTU </v>
          </cell>
          <cell r="C294">
            <v>5600</v>
          </cell>
          <cell r="D294" t="str">
            <v xml:space="preserve">B </v>
          </cell>
        </row>
        <row r="295">
          <cell r="A295" t="str">
            <v xml:space="preserve">BUJL9-510-99U9 </v>
          </cell>
          <cell r="B295" t="str">
            <v xml:space="preserve">SW SBU 5.1 UP 1-64 SLOT JB RTU </v>
          </cell>
          <cell r="C295">
            <v>4550</v>
          </cell>
          <cell r="D295" t="str">
            <v xml:space="preserve">B </v>
          </cell>
        </row>
        <row r="296">
          <cell r="A296" t="str">
            <v xml:space="preserve">BUJL9-510-D9T9 </v>
          </cell>
          <cell r="B296" t="str">
            <v xml:space="preserve">SW SBU 5.1 UPG 32 - 64 JB RTU </v>
          </cell>
          <cell r="C296">
            <v>3500</v>
          </cell>
          <cell r="D296" t="str">
            <v xml:space="preserve">B </v>
          </cell>
        </row>
        <row r="297">
          <cell r="A297" t="str">
            <v xml:space="preserve">BUJV9-510-9999 </v>
          </cell>
          <cell r="B297" t="str">
            <v xml:space="preserve">SW SBU 5.1 1-8 SLOT JB, LIC </v>
          </cell>
          <cell r="C297">
            <v>2100</v>
          </cell>
          <cell r="D297" t="str">
            <v xml:space="preserve">B </v>
          </cell>
        </row>
        <row r="298">
          <cell r="A298" t="str">
            <v xml:space="preserve">BUJV9-510-99U9 </v>
          </cell>
          <cell r="B298" t="str">
            <v xml:space="preserve">SW SBU 5.1 UP 1-8 SLOT JB RTU </v>
          </cell>
          <cell r="C298">
            <v>1050</v>
          </cell>
          <cell r="D298" t="str">
            <v xml:space="preserve">B </v>
          </cell>
        </row>
        <row r="299">
          <cell r="A299" t="str">
            <v xml:space="preserve">BUJW9-510-9999 </v>
          </cell>
          <cell r="B299" t="str">
            <v xml:space="preserve">SW SBU 5.1 UNLIMITED JB, LIC </v>
          </cell>
          <cell r="C299">
            <v>17500</v>
          </cell>
          <cell r="D299" t="str">
            <v xml:space="preserve">B </v>
          </cell>
        </row>
        <row r="300">
          <cell r="A300" t="str">
            <v xml:space="preserve">BUJW9-510-99T9 </v>
          </cell>
          <cell r="B300" t="str">
            <v xml:space="preserve">SW SBU 5.1 UP 128 - UNL JB RTU </v>
          </cell>
          <cell r="C300">
            <v>7700</v>
          </cell>
          <cell r="D300" t="str">
            <v xml:space="preserve">B </v>
          </cell>
        </row>
        <row r="301">
          <cell r="A301" t="str">
            <v xml:space="preserve">BUJW9-510-99U9 </v>
          </cell>
          <cell r="B301" t="str">
            <v xml:space="preserve">SW SBU 5.1 UP UNLIMITED JB RTU </v>
          </cell>
          <cell r="C301">
            <v>8750</v>
          </cell>
          <cell r="D301" t="str">
            <v xml:space="preserve">B </v>
          </cell>
        </row>
        <row r="302">
          <cell r="A302" t="str">
            <v xml:space="preserve">BUJW9-510-D9T9 </v>
          </cell>
          <cell r="B302" t="str">
            <v xml:space="preserve">SW SBU 5.1 UP 256 - UNL JB RTU </v>
          </cell>
          <cell r="C302">
            <v>5600</v>
          </cell>
          <cell r="D302" t="str">
            <v xml:space="preserve">B </v>
          </cell>
        </row>
        <row r="303">
          <cell r="A303" t="str">
            <v xml:space="preserve">BUJX9-510-9999 </v>
          </cell>
          <cell r="B303" t="str">
            <v xml:space="preserve">SW SBU 5.1 1-16 SLOT JB, LIC </v>
          </cell>
          <cell r="C303">
            <v>4900</v>
          </cell>
          <cell r="D303" t="str">
            <v xml:space="preserve">B </v>
          </cell>
        </row>
        <row r="304">
          <cell r="A304" t="str">
            <v xml:space="preserve">BUJX9-510-99T9 </v>
          </cell>
          <cell r="B304" t="str">
            <v xml:space="preserve">SW SBU 5.1 UP 8 - 16 JB RTU </v>
          </cell>
          <cell r="C304">
            <v>4200</v>
          </cell>
          <cell r="D304" t="str">
            <v xml:space="preserve">B </v>
          </cell>
        </row>
        <row r="305">
          <cell r="A305" t="str">
            <v xml:space="preserve">BUJX9-510-99U9 </v>
          </cell>
          <cell r="B305" t="str">
            <v xml:space="preserve">SW SBU 5.1 UP 1-16 SLOT JB RTU </v>
          </cell>
          <cell r="C305">
            <v>2450</v>
          </cell>
          <cell r="D305" t="str">
            <v xml:space="preserve">B </v>
          </cell>
        </row>
        <row r="306">
          <cell r="A306" t="str">
            <v xml:space="preserve">BUJY9-510-9999 </v>
          </cell>
          <cell r="B306" t="str">
            <v xml:space="preserve">SW SBU 5.1 1-32 SLOT JB, LIC </v>
          </cell>
          <cell r="C306">
            <v>7000</v>
          </cell>
          <cell r="D306" t="str">
            <v xml:space="preserve">B </v>
          </cell>
        </row>
        <row r="307">
          <cell r="A307" t="str">
            <v xml:space="preserve">BUJY9-510-99T9 </v>
          </cell>
          <cell r="B307" t="str">
            <v xml:space="preserve">SW SBU 5.1 UPGR 8 - 32 JB RTU </v>
          </cell>
          <cell r="C307">
            <v>6300</v>
          </cell>
          <cell r="D307" t="str">
            <v xml:space="preserve">B </v>
          </cell>
        </row>
        <row r="308">
          <cell r="A308" t="str">
            <v xml:space="preserve">BUJY9-510-99U9 </v>
          </cell>
          <cell r="B308" t="str">
            <v xml:space="preserve">SW SBU 5.1 UP 1-32 SLOT JB RTU </v>
          </cell>
          <cell r="C308">
            <v>3500</v>
          </cell>
          <cell r="D308" t="str">
            <v xml:space="preserve">B </v>
          </cell>
        </row>
        <row r="309">
          <cell r="A309" t="str">
            <v xml:space="preserve">BUJY9-510-D9T9 </v>
          </cell>
          <cell r="B309" t="str">
            <v xml:space="preserve">SW SBU 5.1 UPGR 16 - 32 JB RTU </v>
          </cell>
          <cell r="C309">
            <v>3500</v>
          </cell>
          <cell r="D309" t="str">
            <v xml:space="preserve">B </v>
          </cell>
        </row>
        <row r="310">
          <cell r="A310" t="str">
            <v xml:space="preserve">BUKC9-510-9999 </v>
          </cell>
          <cell r="B310" t="str">
            <v xml:space="preserve">SW SBU 5.1 1-128 SLOT SILO,LIC </v>
          </cell>
          <cell r="C310">
            <v>13300</v>
          </cell>
          <cell r="D310" t="str">
            <v xml:space="preserve">B </v>
          </cell>
        </row>
        <row r="311">
          <cell r="A311" t="str">
            <v xml:space="preserve">BUKC9-510-99U9 </v>
          </cell>
          <cell r="B311" t="str">
            <v xml:space="preserve">SW SBU 5.1 UP 128 SILO RTU </v>
          </cell>
          <cell r="C311">
            <v>6650</v>
          </cell>
          <cell r="D311" t="str">
            <v xml:space="preserve">B </v>
          </cell>
        </row>
        <row r="312">
          <cell r="A312" t="str">
            <v xml:space="preserve">BUKW9-510-9999 </v>
          </cell>
          <cell r="B312" t="str">
            <v xml:space="preserve">SW SBU 5.1 UNLIMITED SILO, LIC </v>
          </cell>
          <cell r="C312">
            <v>42000</v>
          </cell>
          <cell r="D312" t="str">
            <v xml:space="preserve">B </v>
          </cell>
        </row>
        <row r="313">
          <cell r="A313" t="str">
            <v xml:space="preserve">BUKW9-510-99T9 </v>
          </cell>
          <cell r="B313" t="str">
            <v xml:space="preserve">SW SBU 5.1 UP 128-UNL SILO RTU </v>
          </cell>
          <cell r="C313">
            <v>31500</v>
          </cell>
          <cell r="D313" t="str">
            <v xml:space="preserve">B </v>
          </cell>
        </row>
        <row r="314">
          <cell r="A314" t="str">
            <v xml:space="preserve">BUKW9-510-99U9 </v>
          </cell>
          <cell r="B314" t="str">
            <v xml:space="preserve">SW SBU 5.1 UP UNLIMIT SILO RTU </v>
          </cell>
          <cell r="C314">
            <v>21000</v>
          </cell>
          <cell r="D314" t="str">
            <v xml:space="preserve">B </v>
          </cell>
        </row>
        <row r="315">
          <cell r="A315" t="str">
            <v xml:space="preserve">BUL9N-100-9999 </v>
          </cell>
          <cell r="B315" t="str">
            <v xml:space="preserve">SW SBU DML 1.0 NT, CD DOC LI </v>
          </cell>
          <cell r="C315">
            <v>1400</v>
          </cell>
          <cell r="D315" t="str">
            <v xml:space="preserve">B </v>
          </cell>
        </row>
        <row r="316">
          <cell r="A316" t="str">
            <v xml:space="preserve">BUL9S-100-9999 </v>
          </cell>
          <cell r="B316" t="str">
            <v xml:space="preserve">SW SBU DML 1.0 SOL, CD DOC LI </v>
          </cell>
          <cell r="C316">
            <v>7000</v>
          </cell>
          <cell r="D316" t="str">
            <v xml:space="preserve">B </v>
          </cell>
        </row>
        <row r="317">
          <cell r="A317" t="str">
            <v xml:space="preserve">BUM99-510-9999 </v>
          </cell>
          <cell r="B317" t="str">
            <v xml:space="preserve">SW SBU 5.1 SNMP, LIC </v>
          </cell>
          <cell r="C317">
            <v>2100</v>
          </cell>
          <cell r="D317" t="str">
            <v xml:space="preserve">B </v>
          </cell>
        </row>
        <row r="318">
          <cell r="A318" t="str">
            <v xml:space="preserve">BUM99-510-99U9 </v>
          </cell>
          <cell r="B318" t="str">
            <v xml:space="preserve">SW SBU 5.1 SNMP UPGR RTU </v>
          </cell>
          <cell r="C318">
            <v>1050</v>
          </cell>
          <cell r="D318" t="str">
            <v xml:space="preserve">B </v>
          </cell>
        </row>
        <row r="319">
          <cell r="A319" t="str">
            <v xml:space="preserve">BUN99-510-E999 </v>
          </cell>
          <cell r="B319" t="str">
            <v xml:space="preserve">SW SBU 5.1 PE STG NODE, LIC </v>
          </cell>
          <cell r="C319">
            <v>21000</v>
          </cell>
          <cell r="D319" t="str">
            <v xml:space="preserve">B </v>
          </cell>
        </row>
        <row r="320">
          <cell r="A320" t="str">
            <v xml:space="preserve">BUN99-510-E9T9 </v>
          </cell>
          <cell r="B320" t="str">
            <v xml:space="preserve">SW SBU 5.1 UPG NE-PE SN RTU </v>
          </cell>
          <cell r="C320">
            <v>12600</v>
          </cell>
          <cell r="D320" t="str">
            <v xml:space="preserve">B </v>
          </cell>
        </row>
        <row r="321">
          <cell r="A321" t="str">
            <v xml:space="preserve">BUN99-510-E9U9 </v>
          </cell>
          <cell r="B321" t="str">
            <v xml:space="preserve">SW SBU 5.1 PE SN UP CD,DOC,RTU </v>
          </cell>
          <cell r="C321">
            <v>10500</v>
          </cell>
          <cell r="D321" t="str">
            <v xml:space="preserve">B </v>
          </cell>
        </row>
        <row r="322">
          <cell r="A322" t="str">
            <v xml:space="preserve">BUN99-510-W999 </v>
          </cell>
          <cell r="B322" t="str">
            <v xml:space="preserve">SW SBU 5.1 NE STG NODE, LIC </v>
          </cell>
          <cell r="C322">
            <v>8400</v>
          </cell>
          <cell r="D322" t="str">
            <v xml:space="preserve">B </v>
          </cell>
        </row>
        <row r="323">
          <cell r="A323" t="str">
            <v xml:space="preserve">BUN99-510-W9U9 </v>
          </cell>
          <cell r="B323" t="str">
            <v xml:space="preserve">SW SBU 5.1 NE SN UP CD,DOC,RTU </v>
          </cell>
          <cell r="C323">
            <v>4200</v>
          </cell>
          <cell r="D323" t="str">
            <v xml:space="preserve">B </v>
          </cell>
        </row>
        <row r="324">
          <cell r="A324" t="str">
            <v xml:space="preserve">BUO9N-210-9999 </v>
          </cell>
          <cell r="B324" t="str">
            <v xml:space="preserve">SW SBU DMO 2.1 NT, CD DOC LI </v>
          </cell>
          <cell r="C324">
            <v>1400</v>
          </cell>
          <cell r="D324" t="str">
            <v xml:space="preserve">B </v>
          </cell>
        </row>
        <row r="325">
          <cell r="A325" t="str">
            <v xml:space="preserve">BUO9S-210-9999 </v>
          </cell>
          <cell r="B325" t="str">
            <v xml:space="preserve">SW SBU DMO 2.1 SOL, CD DOC LI </v>
          </cell>
          <cell r="C325">
            <v>7000</v>
          </cell>
          <cell r="D325" t="str">
            <v xml:space="preserve">B </v>
          </cell>
        </row>
        <row r="326">
          <cell r="A326" t="str">
            <v xml:space="preserve">BUO9S-210-99U9 </v>
          </cell>
          <cell r="B326" t="str">
            <v xml:space="preserve">SW SBU DMO 2.1 UPG, CD,DOC,RTU </v>
          </cell>
          <cell r="C326">
            <v>3500</v>
          </cell>
          <cell r="D326" t="str">
            <v xml:space="preserve">B </v>
          </cell>
        </row>
        <row r="327">
          <cell r="A327" t="str">
            <v xml:space="preserve">BUS99-510-9999 </v>
          </cell>
          <cell r="B327" t="str">
            <v xml:space="preserve">SW SBU 5.1 SS, CD DOC LI </v>
          </cell>
          <cell r="C327">
            <v>33600</v>
          </cell>
          <cell r="D327" t="str">
            <v xml:space="preserve">B </v>
          </cell>
        </row>
        <row r="328">
          <cell r="A328" t="str">
            <v xml:space="preserve">BUS99-510-99U9 </v>
          </cell>
          <cell r="B328" t="str">
            <v xml:space="preserve">SW SBU 5.1 SS UPGR CD,DOC,RTU </v>
          </cell>
          <cell r="C328">
            <v>16800</v>
          </cell>
          <cell r="D328" t="str">
            <v xml:space="preserve">B </v>
          </cell>
        </row>
        <row r="329">
          <cell r="A329" t="str">
            <v xml:space="preserve">BUS99-510-W9T9 </v>
          </cell>
          <cell r="B329" t="str">
            <v xml:space="preserve">SW SBU 5.1 UPG NE-SS RTU </v>
          </cell>
          <cell r="C329">
            <v>23100</v>
          </cell>
          <cell r="D329" t="str">
            <v xml:space="preserve">B </v>
          </cell>
        </row>
        <row r="330">
          <cell r="A330" t="str">
            <v xml:space="preserve">BUT99-510-99T9 </v>
          </cell>
          <cell r="B330" t="str">
            <v xml:space="preserve">SW SBU 5.1 UPG NE-TURBO RTU </v>
          </cell>
          <cell r="C330">
            <v>4900</v>
          </cell>
          <cell r="D330" t="str">
            <v xml:space="preserve">B </v>
          </cell>
        </row>
        <row r="331">
          <cell r="A331" t="str">
            <v xml:space="preserve">BUU99-510-9999 </v>
          </cell>
          <cell r="B331" t="str">
            <v xml:space="preserve">SW SBU 5.1 SE, CD DOC LI </v>
          </cell>
          <cell r="C331">
            <v>4200</v>
          </cell>
          <cell r="D331" t="str">
            <v xml:space="preserve">B </v>
          </cell>
        </row>
        <row r="332">
          <cell r="A332" t="str">
            <v xml:space="preserve">BUU99-510-99U9 </v>
          </cell>
          <cell r="B332" t="str">
            <v xml:space="preserve">SW SBU 5.1 SE UPG CD, DOC, RTU </v>
          </cell>
          <cell r="C332">
            <v>2100</v>
          </cell>
          <cell r="D332" t="str">
            <v xml:space="preserve">B </v>
          </cell>
        </row>
        <row r="333">
          <cell r="A333" t="str">
            <v xml:space="preserve">BUU9S-999-9999 </v>
          </cell>
          <cell r="B333" t="str">
            <v xml:space="preserve">SW SBU DB MODULE EVAL CD </v>
          </cell>
          <cell r="C333">
            <v>35</v>
          </cell>
          <cell r="D333" t="str">
            <v xml:space="preserve">D </v>
          </cell>
        </row>
        <row r="334">
          <cell r="A334" t="str">
            <v xml:space="preserve">BUUC9-510-99U9 </v>
          </cell>
          <cell r="B334" t="str">
            <v xml:space="preserve">SW SBU 5.1 UPGR 100-CLIENT RTU </v>
          </cell>
          <cell r="C334">
            <v>10500</v>
          </cell>
          <cell r="D334" t="str">
            <v xml:space="preserve">B </v>
          </cell>
        </row>
        <row r="335">
          <cell r="A335" t="str">
            <v xml:space="preserve">BUUC9-510-R999 </v>
          </cell>
          <cell r="B335" t="str">
            <v xml:space="preserve">SW SBU 5.1 100-CLIENT, LIC </v>
          </cell>
          <cell r="C335">
            <v>21000</v>
          </cell>
          <cell r="D335" t="str">
            <v xml:space="preserve">B </v>
          </cell>
        </row>
        <row r="336">
          <cell r="A336" t="str">
            <v xml:space="preserve">BUUD9-510-9999 </v>
          </cell>
          <cell r="B336" t="str">
            <v xml:space="preserve">SW SBU 5.1 DOCUMENTATION KIT </v>
          </cell>
          <cell r="C336">
            <v>210</v>
          </cell>
          <cell r="D336" t="str">
            <v xml:space="preserve">D </v>
          </cell>
        </row>
        <row r="337">
          <cell r="A337" t="str">
            <v xml:space="preserve">BUUM9-510-9999 </v>
          </cell>
          <cell r="B337" t="str">
            <v xml:space="preserve">SW SBU 5.1 EVAL CD </v>
          </cell>
          <cell r="C337">
            <v>70</v>
          </cell>
          <cell r="D337" t="str">
            <v xml:space="preserve">D </v>
          </cell>
        </row>
        <row r="338">
          <cell r="A338" t="str">
            <v xml:space="preserve">BUUMN-510-R999 </v>
          </cell>
          <cell r="B338" t="str">
            <v xml:space="preserve">SW SBU 5.1 CLIENTPAK IV, CD </v>
          </cell>
          <cell r="C338">
            <v>2100</v>
          </cell>
          <cell r="D338" t="str">
            <v xml:space="preserve">B </v>
          </cell>
        </row>
        <row r="339">
          <cell r="A339" t="str">
            <v xml:space="preserve">BUUV9-510-99U9 </v>
          </cell>
          <cell r="B339" t="str">
            <v xml:space="preserve">SW SBU 5.1 UPGR 5-CLIENT RTU </v>
          </cell>
          <cell r="C339">
            <v>875</v>
          </cell>
          <cell r="D339" t="str">
            <v xml:space="preserve">B </v>
          </cell>
        </row>
        <row r="340">
          <cell r="A340" t="str">
            <v xml:space="preserve">BUUV9-510-R999 </v>
          </cell>
          <cell r="B340" t="str">
            <v xml:space="preserve">SW SBU 5.1 5-CLIENT, LIC </v>
          </cell>
          <cell r="C340">
            <v>1750</v>
          </cell>
          <cell r="D340" t="str">
            <v xml:space="preserve">B </v>
          </cell>
        </row>
        <row r="341">
          <cell r="A341" t="str">
            <v xml:space="preserve">BUUY9-510-99U9 </v>
          </cell>
          <cell r="B341" t="str">
            <v xml:space="preserve">SW SBU 5.1 UPGR 25-CLIENT RTU </v>
          </cell>
          <cell r="C341">
            <v>3500</v>
          </cell>
          <cell r="D341" t="str">
            <v xml:space="preserve">B </v>
          </cell>
        </row>
        <row r="342">
          <cell r="A342" t="str">
            <v xml:space="preserve">BUUY9-510-R999 </v>
          </cell>
          <cell r="B342" t="str">
            <v xml:space="preserve">SW SBU 5.1 25-CLIENT, LIC </v>
          </cell>
          <cell r="C342">
            <v>7000</v>
          </cell>
          <cell r="D342" t="str">
            <v xml:space="preserve">B </v>
          </cell>
        </row>
        <row r="343">
          <cell r="A343" t="str">
            <v xml:space="preserve">BUW99-510-99T9 </v>
          </cell>
          <cell r="B343" t="str">
            <v xml:space="preserve">SW SBU 5.1 UPG SE-NE RTU </v>
          </cell>
          <cell r="C343">
            <v>4200</v>
          </cell>
          <cell r="D343" t="str">
            <v xml:space="preserve">B </v>
          </cell>
        </row>
        <row r="344">
          <cell r="A344" t="str">
            <v xml:space="preserve">BUW99-510-99U9 </v>
          </cell>
          <cell r="B344" t="str">
            <v xml:space="preserve">SW SBU 5.1 NE UPG CD, DOC, RTU </v>
          </cell>
          <cell r="C344">
            <v>4200</v>
          </cell>
          <cell r="D344" t="str">
            <v xml:space="preserve">B </v>
          </cell>
        </row>
        <row r="345">
          <cell r="A345" t="str">
            <v xml:space="preserve">BUW99-510-W999 </v>
          </cell>
          <cell r="B345" t="str">
            <v xml:space="preserve">SW SBU 5.1 NE, CD DOC LI </v>
          </cell>
          <cell r="C345">
            <v>8400</v>
          </cell>
          <cell r="D345" t="str">
            <v xml:space="preserve">B </v>
          </cell>
        </row>
        <row r="346">
          <cell r="A346" t="str">
            <v xml:space="preserve">BUW99-510-W9U9 </v>
          </cell>
          <cell r="B346" t="str">
            <v xml:space="preserve">SW SBU 5.1 NE UPG CD, DOC, RTU </v>
          </cell>
          <cell r="C346">
            <v>1750</v>
          </cell>
          <cell r="D346" t="str">
            <v xml:space="preserve">B </v>
          </cell>
        </row>
        <row r="347">
          <cell r="A347" t="str">
            <v xml:space="preserve">BUY9S-100-9999 </v>
          </cell>
          <cell r="B347" t="str">
            <v xml:space="preserve">SW SBU DMS 1.0, CD DOC LI </v>
          </cell>
          <cell r="C347">
            <v>7000</v>
          </cell>
          <cell r="D347" t="str">
            <v xml:space="preserve">B </v>
          </cell>
        </row>
        <row r="348">
          <cell r="A348" t="str">
            <v xml:space="preserve">C1012A </v>
          </cell>
          <cell r="B348" t="str">
            <v xml:space="preserve">CTO-SBUS SUNISDN EXP KIT </v>
          </cell>
          <cell r="C348">
            <v>774</v>
          </cell>
          <cell r="D348" t="str">
            <v xml:space="preserve">A </v>
          </cell>
        </row>
        <row r="349">
          <cell r="A349" t="str">
            <v xml:space="preserve">C1018A </v>
          </cell>
          <cell r="B349" t="str">
            <v xml:space="preserve">CTO-SBUS SFE FWSCSI ADAPTER </v>
          </cell>
          <cell r="C349">
            <v>1424</v>
          </cell>
          <cell r="D349" t="str">
            <v xml:space="preserve">A </v>
          </cell>
        </row>
        <row r="350">
          <cell r="A350" t="str">
            <v xml:space="preserve">C1021A </v>
          </cell>
          <cell r="B350" t="str">
            <v xml:space="preserve">CTO-SBUS PRESTOSERVE NFS ACCEL </v>
          </cell>
          <cell r="C350">
            <v>3894</v>
          </cell>
          <cell r="D350" t="str">
            <v xml:space="preserve">A </v>
          </cell>
        </row>
        <row r="351">
          <cell r="A351" t="str">
            <v xml:space="preserve">C1030A </v>
          </cell>
          <cell r="B351" t="str">
            <v xml:space="preserve">CTO-SBUS PCMCIA INTERFACE </v>
          </cell>
          <cell r="C351">
            <v>384</v>
          </cell>
          <cell r="D351" t="str">
            <v xml:space="preserve">A </v>
          </cell>
        </row>
        <row r="352">
          <cell r="A352" t="str">
            <v xml:space="preserve">C1032A </v>
          </cell>
          <cell r="B352" t="str">
            <v xml:space="preserve">CTO-INT PCI 10/100BASET NIC </v>
          </cell>
          <cell r="C352">
            <v>1294</v>
          </cell>
          <cell r="D352" t="str">
            <v xml:space="preserve">A </v>
          </cell>
        </row>
        <row r="353">
          <cell r="A353" t="str">
            <v xml:space="preserve">C1033A </v>
          </cell>
          <cell r="B353" t="str">
            <v xml:space="preserve">CTO-PCI FAST ETHERNET ADAPT </v>
          </cell>
          <cell r="C353">
            <v>904</v>
          </cell>
          <cell r="D353" t="str">
            <v xml:space="preserve">A </v>
          </cell>
        </row>
        <row r="354">
          <cell r="A354" t="str">
            <v xml:space="preserve">C1049A </v>
          </cell>
          <cell r="B354" t="str">
            <v xml:space="preserve">CTO-QUAD FASTETHERNET W/SW </v>
          </cell>
          <cell r="C354">
            <v>2594</v>
          </cell>
          <cell r="D354" t="str">
            <v xml:space="preserve">A </v>
          </cell>
        </row>
        <row r="355">
          <cell r="A355" t="str">
            <v xml:space="preserve">C1053A </v>
          </cell>
          <cell r="B355" t="str">
            <v xml:space="preserve">CTO-SBUS FSBE/FAST SCSI BUFFER </v>
          </cell>
          <cell r="C355">
            <v>1424</v>
          </cell>
          <cell r="D355" t="str">
            <v xml:space="preserve">A </v>
          </cell>
        </row>
        <row r="356">
          <cell r="A356" t="str">
            <v xml:space="preserve">C1055A </v>
          </cell>
          <cell r="B356" t="str">
            <v xml:space="preserve">CTO SBUS SCSI HOST ADAPTER </v>
          </cell>
          <cell r="C356">
            <v>644</v>
          </cell>
          <cell r="D356" t="str">
            <v xml:space="preserve">A </v>
          </cell>
        </row>
        <row r="357">
          <cell r="A357" t="str">
            <v xml:space="preserve">C1059A </v>
          </cell>
          <cell r="B357" t="str">
            <v xml:space="preserve">CTO-SBUS FAST ETHERNET W/SW </v>
          </cell>
          <cell r="C357">
            <v>1034</v>
          </cell>
          <cell r="D357" t="str">
            <v xml:space="preserve">A </v>
          </cell>
        </row>
        <row r="358">
          <cell r="A358" t="str">
            <v xml:space="preserve">C1060A </v>
          </cell>
          <cell r="B358" t="str">
            <v xml:space="preserve">CTO-SBUS SUNATM155/MFIBER W/SW </v>
          </cell>
          <cell r="C358">
            <v>1684</v>
          </cell>
          <cell r="D358" t="str">
            <v xml:space="preserve">A </v>
          </cell>
        </row>
        <row r="359">
          <cell r="A359" t="str">
            <v xml:space="preserve">C1061A </v>
          </cell>
          <cell r="B359" t="str">
            <v xml:space="preserve">CTO-SBUS SUNATM155/UTP5 W/SW </v>
          </cell>
          <cell r="C359">
            <v>1294</v>
          </cell>
          <cell r="D359" t="str">
            <v xml:space="preserve">A </v>
          </cell>
        </row>
        <row r="360">
          <cell r="A360" t="str">
            <v xml:space="preserve">C1062A </v>
          </cell>
          <cell r="B360" t="str">
            <v xml:space="preserve">CTO SBUS F/W DWIS/S ADAPTER </v>
          </cell>
          <cell r="C360">
            <v>1684</v>
          </cell>
          <cell r="D360" t="str">
            <v xml:space="preserve">A </v>
          </cell>
        </row>
        <row r="361">
          <cell r="A361" t="str">
            <v xml:space="preserve">C1063A </v>
          </cell>
          <cell r="B361" t="str">
            <v xml:space="preserve">CTO SBUS F/W SWIS/S ADAPTER </v>
          </cell>
          <cell r="C361">
            <v>1554</v>
          </cell>
          <cell r="D361" t="str">
            <v xml:space="preserve">A </v>
          </cell>
        </row>
        <row r="362">
          <cell r="A362" t="str">
            <v xml:space="preserve">C1064A </v>
          </cell>
          <cell r="B362" t="str">
            <v xml:space="preserve">CTO-SBUS SUNATM622/MFIBER W/SW </v>
          </cell>
          <cell r="C362">
            <v>6494</v>
          </cell>
          <cell r="D362" t="str">
            <v xml:space="preserve">A </v>
          </cell>
        </row>
        <row r="363">
          <cell r="A363" t="str">
            <v xml:space="preserve">C1065A </v>
          </cell>
          <cell r="B363" t="str">
            <v xml:space="preserve">CTO ULTRA DWIS/S HOST ADAPTER </v>
          </cell>
          <cell r="C363">
            <v>1684</v>
          </cell>
          <cell r="D363" t="str">
            <v xml:space="preserve">A </v>
          </cell>
        </row>
        <row r="364">
          <cell r="A364" t="str">
            <v xml:space="preserve">C1066A </v>
          </cell>
          <cell r="B364" t="str">
            <v xml:space="preserve">CTO-PCI SUNATM/P-155MMF W/SW </v>
          </cell>
          <cell r="C364">
            <v>1424</v>
          </cell>
          <cell r="D364" t="str">
            <v xml:space="preserve">A </v>
          </cell>
        </row>
        <row r="365">
          <cell r="A365" t="str">
            <v xml:space="preserve">C1067A </v>
          </cell>
          <cell r="B365" t="str">
            <v xml:space="preserve">CTO-PCI SUNATM/P-155UTP W/SW </v>
          </cell>
          <cell r="C365">
            <v>1164</v>
          </cell>
          <cell r="D365" t="str">
            <v xml:space="preserve">A </v>
          </cell>
        </row>
        <row r="366">
          <cell r="A366" t="str">
            <v xml:space="preserve">C1068A </v>
          </cell>
          <cell r="B366" t="str">
            <v xml:space="preserve">CTP-PCI SUNATM/P-622MMF W/SW </v>
          </cell>
          <cell r="C366">
            <v>5194</v>
          </cell>
          <cell r="D366" t="str">
            <v xml:space="preserve">A </v>
          </cell>
        </row>
        <row r="367">
          <cell r="A367" t="str">
            <v xml:space="preserve">C1129A-4.2-P </v>
          </cell>
          <cell r="B367" t="str">
            <v xml:space="preserve">CTO-SBUS SUNPC 133/586 W/SW </v>
          </cell>
          <cell r="C367">
            <v>553</v>
          </cell>
          <cell r="D367" t="str">
            <v xml:space="preserve">A </v>
          </cell>
        </row>
        <row r="368">
          <cell r="A368" t="str">
            <v xml:space="preserve">C1140A </v>
          </cell>
          <cell r="B368" t="str">
            <v xml:space="preserve">SUN GIGABITETHERNET/S 2.0 </v>
          </cell>
          <cell r="C368">
            <v>2984</v>
          </cell>
          <cell r="D368" t="str">
            <v xml:space="preserve">A </v>
          </cell>
        </row>
        <row r="369">
          <cell r="A369" t="str">
            <v xml:space="preserve">C1141A </v>
          </cell>
          <cell r="B369" t="str">
            <v xml:space="preserve">SUN GIGABITETHERNET/P 2.0 </v>
          </cell>
          <cell r="C369">
            <v>2724</v>
          </cell>
          <cell r="D369" t="str">
            <v xml:space="preserve">A </v>
          </cell>
        </row>
        <row r="370">
          <cell r="A370" t="str">
            <v xml:space="preserve">C2761A </v>
          </cell>
          <cell r="B370" t="str">
            <v xml:space="preserve">E10000 SYSTEM BOARD (EMPTY) </v>
          </cell>
          <cell r="C370">
            <v>96000</v>
          </cell>
          <cell r="D370" t="str">
            <v xml:space="preserve">A </v>
          </cell>
        </row>
        <row r="371">
          <cell r="A371" t="str">
            <v xml:space="preserve">C32-9.1-L1 </v>
          </cell>
          <cell r="B371" t="str">
            <v xml:space="preserve">SUNLINK CG3270 9.1, LIC </v>
          </cell>
          <cell r="C371">
            <v>813</v>
          </cell>
          <cell r="D371" t="str">
            <v xml:space="preserve">B </v>
          </cell>
        </row>
        <row r="372">
          <cell r="A372" t="str">
            <v xml:space="preserve">C32-9.1-L8 </v>
          </cell>
          <cell r="B372" t="str">
            <v xml:space="preserve">SUNLINK CG3270 9.1, 8LIC </v>
          </cell>
          <cell r="C372">
            <v>5129</v>
          </cell>
          <cell r="D372" t="str">
            <v xml:space="preserve">B </v>
          </cell>
        </row>
        <row r="373">
          <cell r="A373" t="str">
            <v xml:space="preserve">C3655A </v>
          </cell>
          <cell r="B373" t="str">
            <v xml:space="preserve">CTO-TURBOGXPLUS CARD W/CABLES </v>
          </cell>
          <cell r="C373">
            <v>1162</v>
          </cell>
          <cell r="D373" t="str">
            <v xml:space="preserve">H </v>
          </cell>
        </row>
        <row r="374">
          <cell r="A374" t="str">
            <v xml:space="preserve">C3664A </v>
          </cell>
          <cell r="B374" t="str">
            <v xml:space="preserve">CTO-ELITE3D M3 W/CBL </v>
          </cell>
          <cell r="C374">
            <v>2594</v>
          </cell>
          <cell r="D374" t="str">
            <v xml:space="preserve">H </v>
          </cell>
        </row>
        <row r="375">
          <cell r="A375" t="str">
            <v xml:space="preserve">C3665A </v>
          </cell>
          <cell r="B375" t="str">
            <v xml:space="preserve">CTO-ELITE3D M6 VERTICAL W/CBL </v>
          </cell>
          <cell r="C375">
            <v>3894</v>
          </cell>
          <cell r="D375" t="str">
            <v xml:space="preserve">H </v>
          </cell>
        </row>
        <row r="376">
          <cell r="A376" t="str">
            <v xml:space="preserve">C3667A </v>
          </cell>
          <cell r="B376" t="str">
            <v xml:space="preserve">ELITE3D M6 HORIZ. W/CBL </v>
          </cell>
          <cell r="C376">
            <v>3894</v>
          </cell>
          <cell r="D376" t="str">
            <v xml:space="preserve">H </v>
          </cell>
        </row>
        <row r="377">
          <cell r="A377" t="str">
            <v xml:space="preserve">C3668A </v>
          </cell>
          <cell r="B377" t="str">
            <v xml:space="preserve">PGX32 CARD W/VIDEO ADAPTOR </v>
          </cell>
          <cell r="C377">
            <v>398</v>
          </cell>
          <cell r="D377" t="str">
            <v xml:space="preserve">H </v>
          </cell>
        </row>
        <row r="378">
          <cell r="A378" t="str">
            <v xml:space="preserve">C3670A </v>
          </cell>
          <cell r="B378" t="str">
            <v xml:space="preserve">CTO-CREATR3D SERIES 3,VERTICAL </v>
          </cell>
          <cell r="C378">
            <v>1034</v>
          </cell>
          <cell r="D378" t="str">
            <v xml:space="preserve">H </v>
          </cell>
        </row>
        <row r="379">
          <cell r="A379" t="str">
            <v xml:space="preserve">C3671A </v>
          </cell>
          <cell r="B379" t="str">
            <v xml:space="preserve">CTO-CREATOR3D SERIES 3 HORIZ </v>
          </cell>
          <cell r="C379">
            <v>1034</v>
          </cell>
          <cell r="D379" t="str">
            <v xml:space="preserve">H </v>
          </cell>
        </row>
        <row r="380">
          <cell r="A380" t="str">
            <v xml:space="preserve">C3672A </v>
          </cell>
          <cell r="B380" t="str">
            <v xml:space="preserve">CTO-CREATOR SERIES 3 VERTICAL </v>
          </cell>
          <cell r="C380">
            <v>1113</v>
          </cell>
          <cell r="D380" t="str">
            <v xml:space="preserve">H </v>
          </cell>
        </row>
        <row r="381">
          <cell r="A381" t="str">
            <v xml:space="preserve">C3851A </v>
          </cell>
          <cell r="B381" t="str">
            <v xml:space="preserve">E10000 CTO POWER CORD, (INT'L) </v>
          </cell>
          <cell r="C381">
            <v>0</v>
          </cell>
          <cell r="D381" t="str">
            <v xml:space="preserve">D </v>
          </cell>
        </row>
        <row r="382">
          <cell r="A382" t="str">
            <v xml:space="preserve">C3865A </v>
          </cell>
          <cell r="B382" t="str">
            <v xml:space="preserve">E10000 CTO P-CORD 14FT FOR N.A </v>
          </cell>
          <cell r="C382">
            <v>0</v>
          </cell>
          <cell r="D382" t="str">
            <v xml:space="preserve">D </v>
          </cell>
        </row>
        <row r="383">
          <cell r="A383" t="str">
            <v xml:space="preserve">C3875A </v>
          </cell>
          <cell r="B383" t="str">
            <v xml:space="preserve">E10000 CTO AC INPUT MODULE </v>
          </cell>
          <cell r="C383">
            <v>3900</v>
          </cell>
          <cell r="D383" t="str">
            <v xml:space="preserve">A </v>
          </cell>
        </row>
        <row r="384">
          <cell r="A384" t="str">
            <v xml:space="preserve">C5214A </v>
          </cell>
          <cell r="B384" t="str">
            <v xml:space="preserve">CTO-4GB,7200RPM,ULTRA SCSI DRI </v>
          </cell>
          <cell r="C384">
            <v>1015</v>
          </cell>
          <cell r="D384" t="str">
            <v xml:space="preserve">H </v>
          </cell>
        </row>
        <row r="385">
          <cell r="A385" t="str">
            <v xml:space="preserve">C5229A </v>
          </cell>
          <cell r="B385" t="str">
            <v xml:space="preserve">CTO-9GB,7200RPM,ULTRA SCSI DRI </v>
          </cell>
          <cell r="C385">
            <v>1484</v>
          </cell>
          <cell r="D385" t="str">
            <v xml:space="preserve">H </v>
          </cell>
        </row>
        <row r="386">
          <cell r="A386" t="str">
            <v xml:space="preserve">C5232A </v>
          </cell>
          <cell r="B386" t="str">
            <v xml:space="preserve">CTO-18GB,7200RPM,ULTRA SCSI DR </v>
          </cell>
          <cell r="C386">
            <v>2660</v>
          </cell>
          <cell r="D386" t="str">
            <v xml:space="preserve">H </v>
          </cell>
        </row>
        <row r="387">
          <cell r="A387" t="str">
            <v xml:space="preserve">C5234A </v>
          </cell>
          <cell r="B387" t="str">
            <v xml:space="preserve">OPT INT DISK 9.1GB/10K USCSI </v>
          </cell>
          <cell r="C387">
            <v>1715</v>
          </cell>
          <cell r="D387" t="str">
            <v xml:space="preserve">H </v>
          </cell>
        </row>
        <row r="388">
          <cell r="A388" t="str">
            <v xml:space="preserve">C6003A </v>
          </cell>
          <cell r="B388" t="str">
            <v xml:space="preserve">CTO-INT FLOPPY 1.44GB FOR U2 </v>
          </cell>
          <cell r="C388">
            <v>175</v>
          </cell>
          <cell r="D388" t="str">
            <v xml:space="preserve">H </v>
          </cell>
        </row>
        <row r="389">
          <cell r="A389" t="str">
            <v xml:space="preserve">C6004A </v>
          </cell>
          <cell r="B389" t="str">
            <v xml:space="preserve">CTO-INT FLOPPY DRIVE U30 </v>
          </cell>
          <cell r="C389">
            <v>175</v>
          </cell>
          <cell r="D389" t="str">
            <v xml:space="preserve">H </v>
          </cell>
        </row>
        <row r="390">
          <cell r="A390" t="str">
            <v xml:space="preserve">C6166A </v>
          </cell>
          <cell r="B390" t="str">
            <v xml:space="preserve">CTO-OPT INT CD 32X FOR U30/U60 </v>
          </cell>
          <cell r="C390">
            <v>350</v>
          </cell>
          <cell r="D390" t="str">
            <v xml:space="preserve">H </v>
          </cell>
        </row>
        <row r="391">
          <cell r="A391" t="str">
            <v xml:space="preserve">C6167A </v>
          </cell>
          <cell r="B391" t="str">
            <v xml:space="preserve">CTO-OPT INT CD 32X FOR U2/E2 </v>
          </cell>
          <cell r="C391">
            <v>350</v>
          </cell>
          <cell r="D391" t="str">
            <v xml:space="preserve">H </v>
          </cell>
        </row>
        <row r="392">
          <cell r="A392" t="str">
            <v xml:space="preserve">C6212A </v>
          </cell>
          <cell r="B392" t="str">
            <v xml:space="preserve">CTO - INT TAPE 7GB/8MM </v>
          </cell>
          <cell r="C392">
            <v>2030</v>
          </cell>
          <cell r="D392" t="str">
            <v xml:space="preserve">H </v>
          </cell>
        </row>
        <row r="393">
          <cell r="A393" t="str">
            <v xml:space="preserve">C6282A </v>
          </cell>
          <cell r="B393" t="str">
            <v xml:space="preserve">CTO - INT TAPE 12GB 4MM DDS-3 </v>
          </cell>
          <cell r="C393">
            <v>1785</v>
          </cell>
          <cell r="D393" t="str">
            <v xml:space="preserve">H </v>
          </cell>
        </row>
        <row r="394">
          <cell r="A394" t="str">
            <v xml:space="preserve">C6541A </v>
          </cell>
          <cell r="B394" t="str">
            <v xml:space="preserve">CTO INT PCI ULTRASCSI DIFF CRD </v>
          </cell>
          <cell r="C394">
            <v>1872</v>
          </cell>
          <cell r="D394" t="str">
            <v xml:space="preserve">A </v>
          </cell>
        </row>
        <row r="395">
          <cell r="A395" t="str">
            <v xml:space="preserve">C7002A </v>
          </cell>
          <cell r="B395" t="str">
            <v xml:space="preserve">CTO-OPT MEMORY 64MB (2*32MB) </v>
          </cell>
          <cell r="C395">
            <v>664</v>
          </cell>
          <cell r="D395" t="str">
            <v xml:space="preserve">H </v>
          </cell>
        </row>
        <row r="396">
          <cell r="A396" t="str">
            <v xml:space="preserve">C7003A </v>
          </cell>
          <cell r="B396" t="str">
            <v xml:space="preserve">CTO-OPT MEMORY 128MB (2*64MB) </v>
          </cell>
          <cell r="C396">
            <v>1264</v>
          </cell>
          <cell r="D396" t="str">
            <v xml:space="preserve">H </v>
          </cell>
        </row>
        <row r="397">
          <cell r="A397" t="str">
            <v xml:space="preserve">C7004A </v>
          </cell>
          <cell r="B397" t="str">
            <v xml:space="preserve">CTO-OPT MEMORY 256MB (2*128MB) </v>
          </cell>
          <cell r="C397">
            <v>2400</v>
          </cell>
          <cell r="D397" t="str">
            <v xml:space="preserve">H </v>
          </cell>
        </row>
        <row r="398">
          <cell r="A398" t="str">
            <v xml:space="preserve">C7110A </v>
          </cell>
          <cell r="B398" t="str">
            <v xml:space="preserve">CTO-TURBOGX CARD W/CABLES </v>
          </cell>
          <cell r="C398">
            <v>1079</v>
          </cell>
          <cell r="D398" t="str">
            <v xml:space="preserve">H </v>
          </cell>
        </row>
        <row r="399">
          <cell r="A399" t="str">
            <v xml:space="preserve">C9671A </v>
          </cell>
          <cell r="B399" t="str">
            <v xml:space="preserve">E10000 CTO FAN TRAY </v>
          </cell>
          <cell r="C399">
            <v>3200</v>
          </cell>
          <cell r="D399" t="str">
            <v xml:space="preserve">A </v>
          </cell>
        </row>
        <row r="400">
          <cell r="A400" t="str">
            <v xml:space="preserve">C9685A </v>
          </cell>
          <cell r="B400" t="str">
            <v xml:space="preserve">E10000 CTO POWER SUPPLY </v>
          </cell>
          <cell r="C400">
            <v>6400</v>
          </cell>
          <cell r="D400" t="str">
            <v xml:space="preserve">A </v>
          </cell>
        </row>
        <row r="401">
          <cell r="A401" t="str">
            <v xml:space="preserve">CL0VS-22A-9999 </v>
          </cell>
          <cell r="B401" t="str">
            <v xml:space="preserve">Sun Cluster 2.2 for E10000 </v>
          </cell>
          <cell r="C401">
            <v>70000</v>
          </cell>
          <cell r="D401" t="str">
            <v xml:space="preserve">B </v>
          </cell>
        </row>
        <row r="402">
          <cell r="A402" t="str">
            <v xml:space="preserve">CL2IS-229-9999 </v>
          </cell>
          <cell r="B402" t="str">
            <v xml:space="preserve">SC 2.2 for E2 </v>
          </cell>
          <cell r="C402">
            <v>2800</v>
          </cell>
          <cell r="D402" t="str">
            <v xml:space="preserve">B </v>
          </cell>
        </row>
        <row r="403">
          <cell r="A403" t="str">
            <v xml:space="preserve">CL3IS-229-9999 </v>
          </cell>
          <cell r="B403" t="str">
            <v xml:space="preserve">SC 2.2 for E250 </v>
          </cell>
          <cell r="C403">
            <v>2800</v>
          </cell>
          <cell r="D403" t="str">
            <v xml:space="preserve">B </v>
          </cell>
        </row>
        <row r="404">
          <cell r="A404" t="str">
            <v xml:space="preserve">CL4IS-229-9999 </v>
          </cell>
          <cell r="B404" t="str">
            <v xml:space="preserve">SC 2.2 for E450 </v>
          </cell>
          <cell r="C404">
            <v>7000</v>
          </cell>
          <cell r="D404" t="str">
            <v xml:space="preserve">B </v>
          </cell>
        </row>
        <row r="405">
          <cell r="A405" t="str">
            <v xml:space="preserve">CL5IS-22A-9999 </v>
          </cell>
          <cell r="B405" t="str">
            <v xml:space="preserve">SC 2.2 for E3000 &amp; SS1000 </v>
          </cell>
          <cell r="C405">
            <v>9800</v>
          </cell>
          <cell r="D405" t="str">
            <v xml:space="preserve">B </v>
          </cell>
        </row>
        <row r="406">
          <cell r="A406" t="str">
            <v xml:space="preserve">CL6IS-22A-9999 </v>
          </cell>
          <cell r="B406" t="str">
            <v xml:space="preserve">SC 2.2 for E4/5X00 &amp; SC2000 </v>
          </cell>
          <cell r="C406">
            <v>16800</v>
          </cell>
          <cell r="D406" t="str">
            <v xml:space="preserve">B </v>
          </cell>
        </row>
        <row r="407">
          <cell r="A407" t="str">
            <v xml:space="preserve">CL7IS-22A-9999 </v>
          </cell>
          <cell r="B407" t="str">
            <v xml:space="preserve">Sun Cluster 2.2 for E6000 </v>
          </cell>
          <cell r="C407">
            <v>33600</v>
          </cell>
          <cell r="D407" t="str">
            <v xml:space="preserve">B </v>
          </cell>
        </row>
        <row r="408">
          <cell r="A408" t="str">
            <v xml:space="preserve">CL9DS-229-999H </v>
          </cell>
          <cell r="B408" t="str">
            <v xml:space="preserve">SUN CLUSTER 2.2 DOCS - Korean </v>
          </cell>
          <cell r="C408">
            <v>700</v>
          </cell>
          <cell r="D408" t="str">
            <v xml:space="preserve">B </v>
          </cell>
        </row>
        <row r="409">
          <cell r="A409" t="str">
            <v xml:space="preserve">CL1DS-229-9999 </v>
          </cell>
          <cell r="B409" t="str">
            <v>SUN CLUSTER 2.2 DOCS - English</v>
          </cell>
          <cell r="C409">
            <v>700</v>
          </cell>
          <cell r="D409" t="str">
            <v xml:space="preserve">B </v>
          </cell>
        </row>
        <row r="410">
          <cell r="A410" t="str">
            <v xml:space="preserve">CL1MS-229-999H </v>
          </cell>
          <cell r="B410" t="str">
            <v xml:space="preserve">SC 2.2 s/w English, Docs Engl </v>
          </cell>
          <cell r="C410">
            <v>0</v>
          </cell>
          <cell r="D410" t="str">
            <v xml:space="preserve">B </v>
          </cell>
        </row>
        <row r="411">
          <cell r="A411" t="str">
            <v xml:space="preserve">CLAIS-22I-9999 </v>
          </cell>
          <cell r="B411" t="str">
            <v xml:space="preserve">SC 2.2 INFORMIX HA AGENT </v>
          </cell>
          <cell r="C411">
            <v>2800</v>
          </cell>
          <cell r="D411" t="str">
            <v xml:space="preserve">B </v>
          </cell>
        </row>
        <row r="412">
          <cell r="A412" t="str">
            <v xml:space="preserve">CLAIS-22L-9999 </v>
          </cell>
          <cell r="B412" t="str">
            <v xml:space="preserve">SC 2.2 LOTUS NOTES HA AGENT </v>
          </cell>
          <cell r="C412">
            <v>2800</v>
          </cell>
          <cell r="D412" t="str">
            <v xml:space="preserve">B </v>
          </cell>
        </row>
        <row r="413">
          <cell r="A413" t="str">
            <v xml:space="preserve">CLAIS-22N-9999 </v>
          </cell>
          <cell r="B413" t="str">
            <v xml:space="preserve">SC 2.2 NETSCAPE AGENT </v>
          </cell>
          <cell r="C413">
            <v>2800</v>
          </cell>
          <cell r="D413" t="str">
            <v xml:space="preserve">B </v>
          </cell>
        </row>
        <row r="414">
          <cell r="A414" t="str">
            <v xml:space="preserve">CLAIS-22O-9999 </v>
          </cell>
          <cell r="B414" t="str">
            <v xml:space="preserve">SC 2.2 ORACLE HA AGENT </v>
          </cell>
          <cell r="C414">
            <v>2800</v>
          </cell>
          <cell r="D414" t="str">
            <v xml:space="preserve">B </v>
          </cell>
        </row>
        <row r="415">
          <cell r="A415" t="str">
            <v xml:space="preserve">CLAIS-22T-9999 </v>
          </cell>
          <cell r="B415" t="str">
            <v xml:space="preserve">SC 2.2 TIVOLI HA AGENT </v>
          </cell>
          <cell r="C415">
            <v>2800</v>
          </cell>
          <cell r="D415" t="str">
            <v xml:space="preserve">B </v>
          </cell>
        </row>
        <row r="416">
          <cell r="A416" t="str">
            <v xml:space="preserve">CLAIS-22Y-9999 </v>
          </cell>
          <cell r="B416" t="str">
            <v xml:space="preserve">SC 2.2 SYBASE HA AGENT </v>
          </cell>
          <cell r="C416">
            <v>2800</v>
          </cell>
          <cell r="D416" t="str">
            <v xml:space="preserve">B </v>
          </cell>
        </row>
        <row r="417">
          <cell r="A417" t="str">
            <v xml:space="preserve">CLBIS-2AP-9999 </v>
          </cell>
          <cell r="B417" t="str">
            <v xml:space="preserve">SC 2.2 OPS FOR E1-E3x00 </v>
          </cell>
          <cell r="C417">
            <v>2800</v>
          </cell>
          <cell r="D417" t="str">
            <v xml:space="preserve">B </v>
          </cell>
        </row>
        <row r="418">
          <cell r="A418" t="str">
            <v xml:space="preserve">CLBIS-22S-9999 </v>
          </cell>
          <cell r="B418" t="str">
            <v xml:space="preserve">SC 2.2 SAP AGENT E1-E3000 </v>
          </cell>
          <cell r="C418">
            <v>2800</v>
          </cell>
          <cell r="D418" t="str">
            <v xml:space="preserve">B </v>
          </cell>
        </row>
        <row r="419">
          <cell r="A419" t="str">
            <v xml:space="preserve">CLBIS-22X-9999 </v>
          </cell>
          <cell r="B419" t="str">
            <v xml:space="preserve">SC 2.2 XPS FOR E1-E3x00 </v>
          </cell>
          <cell r="C419">
            <v>2800</v>
          </cell>
          <cell r="D419" t="str">
            <v xml:space="preserve">B </v>
          </cell>
        </row>
        <row r="420">
          <cell r="A420" t="str">
            <v xml:space="preserve">CLCIS-2AP-9999 </v>
          </cell>
          <cell r="B420" t="str">
            <v xml:space="preserve">SC 2.2 OPS FOR E4/5/6x00 </v>
          </cell>
          <cell r="C420">
            <v>5600</v>
          </cell>
          <cell r="D420" t="str">
            <v xml:space="preserve">B </v>
          </cell>
        </row>
        <row r="421">
          <cell r="A421" t="str">
            <v xml:space="preserve">CLCIS-22S-9999 </v>
          </cell>
          <cell r="B421" t="str">
            <v xml:space="preserve">SC 2.2 SAP AGENT E4/5/6x00 </v>
          </cell>
          <cell r="C421">
            <v>5600</v>
          </cell>
          <cell r="D421" t="str">
            <v xml:space="preserve">B </v>
          </cell>
        </row>
        <row r="422">
          <cell r="A422" t="str">
            <v xml:space="preserve">CLCIS-22X-9999 </v>
          </cell>
          <cell r="B422" t="str">
            <v xml:space="preserve">SC 2.2 INFX XPS FOR E4/5/6x00 </v>
          </cell>
          <cell r="C422">
            <v>5600</v>
          </cell>
          <cell r="D422" t="str">
            <v xml:space="preserve">B </v>
          </cell>
        </row>
        <row r="423">
          <cell r="A423" t="str">
            <v xml:space="preserve">CLDVS-22I-9999 </v>
          </cell>
          <cell r="B423" t="str">
            <v xml:space="preserve">SC 2.2 INFORMIX AGENT E10000 </v>
          </cell>
          <cell r="C423">
            <v>2800</v>
          </cell>
          <cell r="D423" t="str">
            <v xml:space="preserve">B </v>
          </cell>
        </row>
        <row r="424">
          <cell r="A424" t="str">
            <v xml:space="preserve">CLDVS-22L-9999 </v>
          </cell>
          <cell r="B424" t="str">
            <v xml:space="preserve">SC2.2 LOTUS NOTES AGENT E10000 </v>
          </cell>
          <cell r="C424">
            <v>2800</v>
          </cell>
          <cell r="D424" t="str">
            <v xml:space="preserve">B </v>
          </cell>
        </row>
        <row r="425">
          <cell r="A425" t="str">
            <v xml:space="preserve">CLDVS-22N-9999 </v>
          </cell>
          <cell r="B425" t="str">
            <v xml:space="preserve">SC 2.2 NETSCAPE AGENT E10000 </v>
          </cell>
          <cell r="C425">
            <v>2800</v>
          </cell>
          <cell r="D425" t="str">
            <v xml:space="preserve">B </v>
          </cell>
        </row>
        <row r="426">
          <cell r="A426" t="str">
            <v xml:space="preserve">CLDVS-22O-9999 </v>
          </cell>
          <cell r="B426" t="str">
            <v xml:space="preserve">SC 2.2 ORACLE AGENT E10000 </v>
          </cell>
          <cell r="C426">
            <v>2800</v>
          </cell>
          <cell r="D426" t="str">
            <v xml:space="preserve">B </v>
          </cell>
        </row>
        <row r="427">
          <cell r="A427" t="str">
            <v xml:space="preserve">CLDVS-2AP-9999 </v>
          </cell>
          <cell r="B427" t="str">
            <v xml:space="preserve">SC 2.2 OPS FOR E10000 </v>
          </cell>
          <cell r="C427">
            <v>22400</v>
          </cell>
          <cell r="D427" t="str">
            <v xml:space="preserve">B </v>
          </cell>
        </row>
        <row r="428">
          <cell r="A428" t="str">
            <v xml:space="preserve">CLDVS-22S-9999 </v>
          </cell>
          <cell r="B428" t="str">
            <v xml:space="preserve">SC 2.2 SAP AGENT E10000 </v>
          </cell>
          <cell r="C428">
            <v>22400</v>
          </cell>
          <cell r="D428" t="str">
            <v xml:space="preserve">B </v>
          </cell>
        </row>
        <row r="429">
          <cell r="A429" t="str">
            <v xml:space="preserve">CLDVS-22T-9999 </v>
          </cell>
          <cell r="B429" t="str">
            <v xml:space="preserve">SC 2.2 TIVOLI AGENT E10000 </v>
          </cell>
          <cell r="C429">
            <v>2800</v>
          </cell>
          <cell r="D429" t="str">
            <v xml:space="preserve">B </v>
          </cell>
        </row>
        <row r="430">
          <cell r="A430" t="str">
            <v xml:space="preserve">CLDVS-22X-9999 </v>
          </cell>
          <cell r="B430" t="str">
            <v xml:space="preserve">SC 2.2 INFX XPS FOR E10000 </v>
          </cell>
          <cell r="C430">
            <v>22400</v>
          </cell>
          <cell r="D430" t="str">
            <v xml:space="preserve">B </v>
          </cell>
        </row>
        <row r="431">
          <cell r="A431" t="str">
            <v xml:space="preserve">CLDVS-22Y-9999 </v>
          </cell>
          <cell r="B431" t="str">
            <v xml:space="preserve">SC 2.2 SYBASE AGENT E10000 </v>
          </cell>
          <cell r="C431">
            <v>2800</v>
          </cell>
          <cell r="D431" t="str">
            <v xml:space="preserve">B </v>
          </cell>
        </row>
        <row r="432">
          <cell r="A432" t="str">
            <v xml:space="preserve">CLI-9.1-L32 </v>
          </cell>
          <cell r="B432" t="str">
            <v xml:space="preserve">SUNLINK CLIENT3270 9.1, 32LIC </v>
          </cell>
          <cell r="C432">
            <v>9354</v>
          </cell>
          <cell r="D432" t="str">
            <v xml:space="preserve">B </v>
          </cell>
        </row>
        <row r="433">
          <cell r="A433" t="str">
            <v xml:space="preserve">CLI-9.1-L64 </v>
          </cell>
          <cell r="B433" t="str">
            <v xml:space="preserve">SUNLINK CLIENT3270 9.1, 64LIC </v>
          </cell>
          <cell r="C433">
            <v>16114</v>
          </cell>
          <cell r="D433" t="str">
            <v xml:space="preserve">B </v>
          </cell>
        </row>
        <row r="434">
          <cell r="A434" t="str">
            <v xml:space="preserve">CLI-9.1-L8 </v>
          </cell>
          <cell r="B434" t="str">
            <v xml:space="preserve">SUNLINK CLIENT3270 9.1, 8LIC </v>
          </cell>
          <cell r="C434">
            <v>2984</v>
          </cell>
          <cell r="D434" t="str">
            <v xml:space="preserve">B </v>
          </cell>
        </row>
        <row r="435">
          <cell r="A435" t="str">
            <v xml:space="preserve">CLTIS-229-9999 </v>
          </cell>
          <cell r="B435" t="str">
            <v xml:space="preserve">SC 2.2 for Netra t 1120/1125 </v>
          </cell>
          <cell r="C435">
            <v>2800</v>
          </cell>
          <cell r="D435" t="str">
            <v xml:space="preserve">B </v>
          </cell>
        </row>
        <row r="436">
          <cell r="A436" t="str">
            <v xml:space="preserve">CLUS-2.0-DOC </v>
          </cell>
          <cell r="B436" t="str">
            <v xml:space="preserve">SUN CLUSTER 2.0 DOCS </v>
          </cell>
          <cell r="C436">
            <v>700</v>
          </cell>
          <cell r="D436" t="str">
            <v xml:space="preserve">B </v>
          </cell>
        </row>
        <row r="437">
          <cell r="A437" t="str">
            <v xml:space="preserve">CLUS-2.1-DOC </v>
          </cell>
          <cell r="B437" t="str">
            <v xml:space="preserve">SUN CLUSTER 2.1 DOCS </v>
          </cell>
          <cell r="C437">
            <v>700</v>
          </cell>
          <cell r="D437" t="str">
            <v xml:space="preserve">B </v>
          </cell>
        </row>
        <row r="438">
          <cell r="A438" t="str">
            <v xml:space="preserve">CLUS-2.1-E1 </v>
          </cell>
          <cell r="B438" t="str">
            <v xml:space="preserve">SC 2.1 FOR E1 </v>
          </cell>
          <cell r="C438">
            <v>2800</v>
          </cell>
          <cell r="D438" t="str">
            <v xml:space="preserve">B </v>
          </cell>
        </row>
        <row r="439">
          <cell r="A439" t="str">
            <v xml:space="preserve">CLUS-2.1-E10000 </v>
          </cell>
          <cell r="B439" t="str">
            <v xml:space="preserve">SC 2.1 FOR E10000 </v>
          </cell>
          <cell r="C439">
            <v>70000</v>
          </cell>
          <cell r="D439" t="str">
            <v xml:space="preserve">B </v>
          </cell>
        </row>
        <row r="440">
          <cell r="A440" t="str">
            <v xml:space="preserve">CLUS-2.1-E2 </v>
          </cell>
          <cell r="B440" t="str">
            <v xml:space="preserve">SC 2.1 FOR E2 </v>
          </cell>
          <cell r="C440">
            <v>2800</v>
          </cell>
          <cell r="D440" t="str">
            <v xml:space="preserve">B </v>
          </cell>
        </row>
        <row r="441">
          <cell r="A441" t="str">
            <v xml:space="preserve">CLUS-2.1-E250 </v>
          </cell>
          <cell r="B441" t="str">
            <v xml:space="preserve">SC 2.1 FOR E250 </v>
          </cell>
          <cell r="C441">
            <v>2800</v>
          </cell>
          <cell r="D441" t="str">
            <v xml:space="preserve">B </v>
          </cell>
        </row>
        <row r="442">
          <cell r="A442" t="str">
            <v xml:space="preserve">CLUS-2.1-E3000 </v>
          </cell>
          <cell r="B442" t="str">
            <v xml:space="preserve">SC 2.1 FOR E3000 &amp; SS1000 </v>
          </cell>
          <cell r="C442">
            <v>9800</v>
          </cell>
          <cell r="D442" t="str">
            <v xml:space="preserve">B </v>
          </cell>
        </row>
        <row r="443">
          <cell r="A443" t="str">
            <v xml:space="preserve">CLUS-2.1-E4000 </v>
          </cell>
          <cell r="B443" t="str">
            <v xml:space="preserve">SC 2.1 FOR E4/5X00 &amp; SC2000 </v>
          </cell>
          <cell r="C443">
            <v>16800</v>
          </cell>
          <cell r="D443" t="str">
            <v xml:space="preserve">B </v>
          </cell>
        </row>
        <row r="444">
          <cell r="A444" t="str">
            <v xml:space="preserve">CLUS-2.1-E450 </v>
          </cell>
          <cell r="B444" t="str">
            <v xml:space="preserve">SC 2.1 FOR E450 </v>
          </cell>
          <cell r="C444">
            <v>7000</v>
          </cell>
          <cell r="D444" t="str">
            <v xml:space="preserve">B </v>
          </cell>
        </row>
        <row r="445">
          <cell r="A445" t="str">
            <v xml:space="preserve">CLUS-2.1-E6000 </v>
          </cell>
          <cell r="B445" t="str">
            <v xml:space="preserve">SC 2.1 FOR E6000 </v>
          </cell>
          <cell r="C445">
            <v>33600</v>
          </cell>
          <cell r="D445" t="str">
            <v xml:space="preserve">B </v>
          </cell>
        </row>
        <row r="446">
          <cell r="A446" t="str">
            <v xml:space="preserve">CLUS-2.1-INFX-L </v>
          </cell>
          <cell r="B446" t="str">
            <v xml:space="preserve">SC 2.1 INFORMIX HA AGENT </v>
          </cell>
          <cell r="C446">
            <v>2800</v>
          </cell>
          <cell r="D446" t="str">
            <v xml:space="preserve">B </v>
          </cell>
        </row>
        <row r="447">
          <cell r="A447" t="str">
            <v xml:space="preserve">CLUS-2.1-INFX3-L </v>
          </cell>
          <cell r="B447" t="str">
            <v xml:space="preserve">SC 2.1 INFORMIX AGENT E10000 </v>
          </cell>
          <cell r="C447">
            <v>2800</v>
          </cell>
          <cell r="D447" t="str">
            <v xml:space="preserve">B </v>
          </cell>
        </row>
        <row r="448">
          <cell r="A448" t="str">
            <v xml:space="preserve">CLUS-2.1-NS-L </v>
          </cell>
          <cell r="B448" t="str">
            <v xml:space="preserve">SC 2.1 NETSCAPE HA AGENT </v>
          </cell>
          <cell r="C448">
            <v>2800</v>
          </cell>
          <cell r="D448" t="str">
            <v xml:space="preserve">B </v>
          </cell>
        </row>
        <row r="449">
          <cell r="A449" t="str">
            <v xml:space="preserve">CLUS-2.1-NS3-L </v>
          </cell>
          <cell r="B449" t="str">
            <v xml:space="preserve">SC 2.1 NETSCAPE AGENT E10000 </v>
          </cell>
          <cell r="C449">
            <v>2800</v>
          </cell>
          <cell r="D449" t="str">
            <v xml:space="preserve">B </v>
          </cell>
        </row>
        <row r="450">
          <cell r="A450" t="str">
            <v xml:space="preserve">CLUS-2.1-OPS1-L </v>
          </cell>
          <cell r="B450" t="str">
            <v xml:space="preserve">SC 2.1 OPS FOR E1-E3000 </v>
          </cell>
          <cell r="C450">
            <v>2800</v>
          </cell>
          <cell r="D450" t="str">
            <v xml:space="preserve">B </v>
          </cell>
        </row>
        <row r="451">
          <cell r="A451" t="str">
            <v xml:space="preserve">CLUS-2.1-OPS2-L </v>
          </cell>
          <cell r="B451" t="str">
            <v xml:space="preserve">SC 2.1 OPS FOR E4/5/6000 </v>
          </cell>
          <cell r="C451">
            <v>5600</v>
          </cell>
          <cell r="D451" t="str">
            <v xml:space="preserve">B </v>
          </cell>
        </row>
        <row r="452">
          <cell r="A452" t="str">
            <v xml:space="preserve">CLUS-2.1-OPS3-L </v>
          </cell>
          <cell r="B452" t="str">
            <v xml:space="preserve">SC 2.1 OPS FOR E10000 </v>
          </cell>
          <cell r="C452">
            <v>22400</v>
          </cell>
          <cell r="D452" t="str">
            <v xml:space="preserve">B </v>
          </cell>
        </row>
        <row r="453">
          <cell r="A453" t="str">
            <v xml:space="preserve">CLUS-2.1-ORCL-L </v>
          </cell>
          <cell r="B453" t="str">
            <v xml:space="preserve">SC 2.1 ORACLE HA AGENT </v>
          </cell>
          <cell r="C453">
            <v>2800</v>
          </cell>
          <cell r="D453" t="str">
            <v xml:space="preserve">B </v>
          </cell>
        </row>
        <row r="454">
          <cell r="A454" t="str">
            <v xml:space="preserve">CLUS-2.1-ORCL3-L </v>
          </cell>
          <cell r="B454" t="str">
            <v xml:space="preserve">SC 2.1 ORACLE AGENT E10000 </v>
          </cell>
          <cell r="C454">
            <v>2800</v>
          </cell>
          <cell r="D454" t="str">
            <v xml:space="preserve">B </v>
          </cell>
        </row>
        <row r="455">
          <cell r="A455" t="str">
            <v xml:space="preserve">CLUS-2.1-SAP1-L </v>
          </cell>
          <cell r="B455" t="str">
            <v xml:space="preserve">SC 2.1 SAP AGENT E1-E3000 </v>
          </cell>
          <cell r="C455">
            <v>2800</v>
          </cell>
          <cell r="D455" t="str">
            <v xml:space="preserve">B </v>
          </cell>
        </row>
        <row r="456">
          <cell r="A456" t="str">
            <v xml:space="preserve">CLUS-2.1-SAP2-L </v>
          </cell>
          <cell r="B456" t="str">
            <v xml:space="preserve">SC 2.1 SAP AGENT E4/5/6000 </v>
          </cell>
          <cell r="C456">
            <v>5600</v>
          </cell>
          <cell r="D456" t="str">
            <v xml:space="preserve">B </v>
          </cell>
        </row>
        <row r="457">
          <cell r="A457" t="str">
            <v xml:space="preserve">CLUS-2.1-SAP3-L </v>
          </cell>
          <cell r="B457" t="str">
            <v xml:space="preserve">SC 2.1 SAP AGENT E10000 </v>
          </cell>
          <cell r="C457">
            <v>22400</v>
          </cell>
          <cell r="D457" t="str">
            <v xml:space="preserve">B </v>
          </cell>
        </row>
        <row r="458">
          <cell r="A458" t="str">
            <v xml:space="preserve">CLUS-2.1-SYBS-L </v>
          </cell>
          <cell r="B458" t="str">
            <v xml:space="preserve">SC 2.1 SYBASE HA AGENT </v>
          </cell>
          <cell r="C458">
            <v>2800</v>
          </cell>
          <cell r="D458" t="str">
            <v xml:space="preserve">B </v>
          </cell>
        </row>
        <row r="459">
          <cell r="A459" t="str">
            <v xml:space="preserve">CLUS-2.1-SYBS3-L </v>
          </cell>
          <cell r="B459" t="str">
            <v xml:space="preserve">SC 2.1 SYBASE AGENT E10000 </v>
          </cell>
          <cell r="C459">
            <v>2800</v>
          </cell>
          <cell r="D459" t="str">
            <v xml:space="preserve">B </v>
          </cell>
        </row>
        <row r="460">
          <cell r="A460" t="str">
            <v xml:space="preserve">CLUS-2.1-XPS1-L </v>
          </cell>
          <cell r="B460" t="str">
            <v xml:space="preserve">SC 2.1 XPS FOR E1-E3000 </v>
          </cell>
          <cell r="C460">
            <v>2800</v>
          </cell>
          <cell r="D460" t="str">
            <v xml:space="preserve">B </v>
          </cell>
        </row>
        <row r="461">
          <cell r="A461" t="str">
            <v xml:space="preserve">CLUS-2.1-XPS2-L </v>
          </cell>
          <cell r="B461" t="str">
            <v xml:space="preserve">SC 2.1 XPS FOR E4/5/6000 </v>
          </cell>
          <cell r="C461">
            <v>5600</v>
          </cell>
          <cell r="D461" t="str">
            <v xml:space="preserve">B </v>
          </cell>
        </row>
        <row r="462">
          <cell r="A462" t="str">
            <v xml:space="preserve">CLUS-2.1-XPS3-L </v>
          </cell>
          <cell r="B462" t="str">
            <v xml:space="preserve">SC 2.1 XPS FOR E10000 </v>
          </cell>
          <cell r="C462">
            <v>22400</v>
          </cell>
          <cell r="D462" t="str">
            <v xml:space="preserve">B </v>
          </cell>
        </row>
        <row r="463">
          <cell r="A463" t="str">
            <v xml:space="preserve">CMPD9-821-9999 </v>
          </cell>
          <cell r="B463" t="str">
            <v xml:space="preserve">CMIP 8.2.1 DOCS ONLY </v>
          </cell>
          <cell r="C463">
            <v>195</v>
          </cell>
          <cell r="D463" t="str">
            <v xml:space="preserve">D </v>
          </cell>
        </row>
        <row r="464">
          <cell r="A464" t="str">
            <v xml:space="preserve">CMPII-821-R999 </v>
          </cell>
          <cell r="B464" t="str">
            <v xml:space="preserve">CMIP 8.2.1 INTEL RT, LIC </v>
          </cell>
          <cell r="C464">
            <v>2793</v>
          </cell>
          <cell r="D464" t="str">
            <v xml:space="preserve">B </v>
          </cell>
        </row>
        <row r="465">
          <cell r="A465" t="str">
            <v xml:space="preserve">CMPII-821-T999 </v>
          </cell>
          <cell r="B465" t="str">
            <v xml:space="preserve">CMIP 8.2.1 SDE INTEL, LIC </v>
          </cell>
          <cell r="C465">
            <v>6993</v>
          </cell>
          <cell r="D465" t="str">
            <v xml:space="preserve">B </v>
          </cell>
        </row>
        <row r="466">
          <cell r="A466" t="str">
            <v xml:space="preserve">CMPIN-821-9999 </v>
          </cell>
          <cell r="B466" t="str">
            <v xml:space="preserve">CMIP 8.2.1 SDE NT, LIC </v>
          </cell>
          <cell r="C466">
            <v>6993</v>
          </cell>
          <cell r="D466" t="str">
            <v xml:space="preserve">B </v>
          </cell>
        </row>
        <row r="467">
          <cell r="A467" t="str">
            <v xml:space="preserve">CMPIN-821-R999 </v>
          </cell>
          <cell r="B467" t="str">
            <v xml:space="preserve">CMIP 8.2.1 NT RT, LIC </v>
          </cell>
          <cell r="C467">
            <v>2793</v>
          </cell>
          <cell r="D467" t="str">
            <v xml:space="preserve">B </v>
          </cell>
        </row>
        <row r="468">
          <cell r="A468" t="str">
            <v xml:space="preserve">CMPIS-821-R999 </v>
          </cell>
          <cell r="B468" t="str">
            <v xml:space="preserve">CMIP 8.2.1 SPARC RT, LIC </v>
          </cell>
          <cell r="C468">
            <v>2793</v>
          </cell>
          <cell r="D468" t="str">
            <v xml:space="preserve">B </v>
          </cell>
        </row>
        <row r="469">
          <cell r="A469" t="str">
            <v xml:space="preserve">CMPIS-821-R9U9 </v>
          </cell>
          <cell r="B469" t="str">
            <v xml:space="preserve">UG CMIP 8.2.1 RT SPARC, LIC </v>
          </cell>
          <cell r="C469">
            <v>1034</v>
          </cell>
          <cell r="D469" t="str">
            <v xml:space="preserve">D </v>
          </cell>
        </row>
        <row r="470">
          <cell r="A470" t="str">
            <v xml:space="preserve">CMPIS-821-T999 </v>
          </cell>
          <cell r="B470" t="str">
            <v xml:space="preserve">CMIP 8.2.1 SDE SPARC 1 RTU </v>
          </cell>
          <cell r="C470">
            <v>6993</v>
          </cell>
          <cell r="D470" t="str">
            <v xml:space="preserve">B </v>
          </cell>
        </row>
        <row r="471">
          <cell r="A471" t="str">
            <v xml:space="preserve">CMPIS-821-T9U9 </v>
          </cell>
          <cell r="B471" t="str">
            <v xml:space="preserve">UG CMIP 8.2.1 SDE SPARC, LIC </v>
          </cell>
          <cell r="C471">
            <v>2405</v>
          </cell>
          <cell r="D471" t="str">
            <v xml:space="preserve">D </v>
          </cell>
        </row>
        <row r="472">
          <cell r="A472" t="str">
            <v xml:space="preserve">CTO-INSTALL </v>
          </cell>
          <cell r="B472" t="str">
            <v xml:space="preserve">FAC INSTALL SERVICE OF INT OPT </v>
          </cell>
          <cell r="C472">
            <v>0</v>
          </cell>
          <cell r="D472" t="str">
            <v xml:space="preserve">D </v>
          </cell>
        </row>
        <row r="473">
          <cell r="A473" t="str">
            <v xml:space="preserve">DDK-2.5.1-P </v>
          </cell>
          <cell r="B473" t="str">
            <v xml:space="preserve">SOL 2.5.1 DVR DEV KT,CD DOC LI </v>
          </cell>
          <cell r="C473">
            <v>254</v>
          </cell>
          <cell r="D473" t="str">
            <v xml:space="preserve">B </v>
          </cell>
        </row>
        <row r="474">
          <cell r="A474" t="str">
            <v xml:space="preserve">DIR-1.0-CD </v>
          </cell>
          <cell r="B474" t="str">
            <v xml:space="preserve">DIRECTORY SERVICE 1.0 CD </v>
          </cell>
          <cell r="C474">
            <v>140</v>
          </cell>
          <cell r="D474" t="str">
            <v xml:space="preserve">B </v>
          </cell>
        </row>
        <row r="475">
          <cell r="A475" t="str">
            <v xml:space="preserve">DIR-1.0-S-100K </v>
          </cell>
          <cell r="B475" t="str">
            <v xml:space="preserve">DIR SERVICE 1.0 10K, CD LIC </v>
          </cell>
          <cell r="C475">
            <v>13930</v>
          </cell>
          <cell r="D475" t="str">
            <v xml:space="preserve">B </v>
          </cell>
        </row>
        <row r="476">
          <cell r="A476" t="str">
            <v xml:space="preserve">DIR-1.0-S-10K </v>
          </cell>
          <cell r="B476" t="str">
            <v xml:space="preserve">DIR SERVICE 1.0 10K, CD LIC </v>
          </cell>
          <cell r="C476">
            <v>1393</v>
          </cell>
          <cell r="D476" t="str">
            <v xml:space="preserve">B </v>
          </cell>
        </row>
        <row r="477">
          <cell r="A477" t="str">
            <v xml:space="preserve">DIR-1.0-S-UNL </v>
          </cell>
          <cell r="B477" t="str">
            <v xml:space="preserve">DIR SERVICE 1.0 UNLTD, CD LIC </v>
          </cell>
          <cell r="C477">
            <v>27930</v>
          </cell>
          <cell r="D477" t="str">
            <v xml:space="preserve">B </v>
          </cell>
        </row>
        <row r="478">
          <cell r="A478" t="str">
            <v xml:space="preserve">DIR-1.0-S100U </v>
          </cell>
          <cell r="B478" t="str">
            <v xml:space="preserve">UG DIR SVC 1.0 100-UNL, CD DOC </v>
          </cell>
          <cell r="C478">
            <v>14000</v>
          </cell>
          <cell r="D478" t="str">
            <v xml:space="preserve">B </v>
          </cell>
        </row>
        <row r="479">
          <cell r="A479" t="str">
            <v xml:space="preserve">DIR-1.0-S10U </v>
          </cell>
          <cell r="B479" t="str">
            <v xml:space="preserve">DIRECTORY SERVICE 1.0 CD </v>
          </cell>
          <cell r="C479">
            <v>12600</v>
          </cell>
          <cell r="D479" t="str">
            <v xml:space="preserve">B </v>
          </cell>
        </row>
        <row r="480">
          <cell r="A480" t="str">
            <v xml:space="preserve">DNI-7.0-4.1-4-21 </v>
          </cell>
          <cell r="B480" t="str">
            <v xml:space="preserve">CD ASSY,SUNLINK DNI 7.0,S4 </v>
          </cell>
          <cell r="C480">
            <v>3894</v>
          </cell>
          <cell r="D480" t="str">
            <v xml:space="preserve">B </v>
          </cell>
        </row>
        <row r="481">
          <cell r="A481" t="str">
            <v xml:space="preserve">DNI-P </v>
          </cell>
          <cell r="B481" t="str">
            <v xml:space="preserve">SUNLINK DNI 8.0 </v>
          </cell>
          <cell r="C481">
            <v>1931</v>
          </cell>
          <cell r="D481" t="str">
            <v xml:space="preserve">B </v>
          </cell>
        </row>
        <row r="482">
          <cell r="A482" t="str">
            <v xml:space="preserve">DOB99-100-9999 </v>
          </cell>
          <cell r="B482" t="str">
            <v xml:space="preserve">DATASHARE OPEN BACKUP SW LIC </v>
          </cell>
          <cell r="C482">
            <v>49000</v>
          </cell>
          <cell r="D482" t="str">
            <v xml:space="preserve">B </v>
          </cell>
        </row>
        <row r="483">
          <cell r="A483" t="str">
            <v xml:space="preserve">DSH99-310-9999 </v>
          </cell>
          <cell r="B483" t="str">
            <v xml:space="preserve">DATASHARE CORE SW LICENSE </v>
          </cell>
          <cell r="C483">
            <v>119000</v>
          </cell>
          <cell r="D483" t="str">
            <v xml:space="preserve">B </v>
          </cell>
        </row>
        <row r="484">
          <cell r="A484" t="str">
            <v xml:space="preserve">E1-SC2.X-GOLD </v>
          </cell>
          <cell r="B484" t="str">
            <v xml:space="preserve">Spectrum Gold Package (per Nod </v>
          </cell>
          <cell r="C484">
            <v>4000</v>
          </cell>
          <cell r="D484" t="str">
            <v xml:space="preserve">D </v>
          </cell>
        </row>
        <row r="485">
          <cell r="A485" t="str">
            <v xml:space="preserve">E10000-4 </v>
          </cell>
          <cell r="B485" t="str">
            <v xml:space="preserve">Enterprise E10000 BASE CABINET </v>
          </cell>
          <cell r="C485">
            <v>524000</v>
          </cell>
          <cell r="D485" t="str">
            <v xml:space="preserve">A </v>
          </cell>
        </row>
        <row r="486">
          <cell r="A486" t="str">
            <v xml:space="preserve">E10000-5 </v>
          </cell>
          <cell r="B486" t="str">
            <v xml:space="preserve">Enterprise E10000 Custom BASE CABINET </v>
          </cell>
          <cell r="C486">
            <v>699400</v>
          </cell>
          <cell r="D486" t="str">
            <v xml:space="preserve">A </v>
          </cell>
        </row>
        <row r="487">
          <cell r="A487" t="str">
            <v xml:space="preserve">E10000-CTO </v>
          </cell>
          <cell r="B487" t="str">
            <v xml:space="preserve">E10000 CONFIGURE-TO-ORDER OPTS </v>
          </cell>
          <cell r="C487">
            <v>0</v>
          </cell>
          <cell r="D487" t="str">
            <v xml:space="preserve">D </v>
          </cell>
        </row>
        <row r="488">
          <cell r="A488" t="str">
            <v xml:space="preserve">E10000-SC2.X-GOLD </v>
          </cell>
          <cell r="B488" t="str">
            <v xml:space="preserve">Spectrum Gold Package (per Nod </v>
          </cell>
          <cell r="C488">
            <v>0</v>
          </cell>
          <cell r="D488" t="str">
            <v xml:space="preserve">D </v>
          </cell>
        </row>
        <row r="489">
          <cell r="A489" t="str">
            <v xml:space="preserve">E10000-SC2.X-PLAT </v>
          </cell>
          <cell r="B489" t="str">
            <v xml:space="preserve">Platinum Spectrum Gold Package (per Nod </v>
          </cell>
          <cell r="C489">
            <v>0</v>
          </cell>
          <cell r="D489" t="str">
            <v xml:space="preserve">D </v>
          </cell>
        </row>
        <row r="490">
          <cell r="A490" t="str">
            <v xml:space="preserve">E10000-SW-SSP-3.1 </v>
          </cell>
          <cell r="B490" t="str">
            <v xml:space="preserve">SSP SW 3.1, CD DOC LI </v>
          </cell>
          <cell r="C490">
            <v>0</v>
          </cell>
          <cell r="D490" t="str">
            <v xml:space="preserve">D </v>
          </cell>
        </row>
        <row r="491">
          <cell r="A491" t="str">
            <v xml:space="preserve">E10000-SW-SSP-3.1.1 </v>
          </cell>
          <cell r="B491" t="str">
            <v xml:space="preserve">SSP SW 3.1.1, CD DOC LI </v>
          </cell>
          <cell r="C491">
            <v>0</v>
          </cell>
          <cell r="D491" t="str">
            <v xml:space="preserve">D </v>
          </cell>
        </row>
        <row r="492">
          <cell r="A492" t="str">
            <v xml:space="preserve">E3000-SC2.X-GOLD </v>
          </cell>
          <cell r="B492" t="str">
            <v xml:space="preserve">Spectrum Gold Package (per Nod </v>
          </cell>
          <cell r="C492">
            <v>10000</v>
          </cell>
          <cell r="D492" t="str">
            <v>S</v>
          </cell>
        </row>
        <row r="493">
          <cell r="A493" t="str">
            <v>E3000-SC2.X-PLAT</v>
          </cell>
          <cell r="B493" t="str">
            <v xml:space="preserve">Platinum Spectrum Gold Package (per Nod </v>
          </cell>
          <cell r="C493">
            <v>17500</v>
          </cell>
          <cell r="D493" t="str">
            <v>S</v>
          </cell>
        </row>
        <row r="494">
          <cell r="A494" t="str">
            <v xml:space="preserve">E3500-C52 </v>
          </cell>
          <cell r="B494" t="str">
            <v xml:space="preserve">SERVER UE3500 BASE, 250MHZ/4MB </v>
          </cell>
          <cell r="C494">
            <v>54000</v>
          </cell>
          <cell r="D494" t="str">
            <v xml:space="preserve">A </v>
          </cell>
        </row>
        <row r="495">
          <cell r="A495" t="str">
            <v xml:space="preserve">E3500-C62 </v>
          </cell>
          <cell r="B495" t="str">
            <v xml:space="preserve">SERVER UE3500 BASE, 336MHZ/4MB </v>
          </cell>
          <cell r="C495">
            <v>63000</v>
          </cell>
          <cell r="D495" t="str">
            <v xml:space="preserve">A </v>
          </cell>
        </row>
        <row r="496">
          <cell r="A496" t="str">
            <v xml:space="preserve">E3500-C72 </v>
          </cell>
          <cell r="B496" t="str">
            <v xml:space="preserve">SERVER UE3500 BASE, 400MHZ/4MB </v>
          </cell>
          <cell r="C496">
            <v>60200</v>
          </cell>
          <cell r="D496" t="str">
            <v xml:space="preserve">A </v>
          </cell>
        </row>
        <row r="497">
          <cell r="A497" t="str">
            <v xml:space="preserve">E3501 </v>
          </cell>
          <cell r="B497" t="str">
            <v xml:space="preserve">E3501 SERVER BASE 1*PS </v>
          </cell>
          <cell r="C497">
            <v>16500</v>
          </cell>
          <cell r="D497" t="str">
            <v xml:space="preserve">A </v>
          </cell>
        </row>
        <row r="498">
          <cell r="A498" t="str">
            <v xml:space="preserve">E3501-C62 </v>
          </cell>
          <cell r="B498" t="str">
            <v xml:space="preserve">Server UE3501 BASE, 336MHZ/4MB </v>
          </cell>
          <cell r="C498">
            <v>55500</v>
          </cell>
          <cell r="D498" t="str">
            <v xml:space="preserve">A </v>
          </cell>
        </row>
        <row r="499">
          <cell r="A499" t="str">
            <v xml:space="preserve">E3501-C72 </v>
          </cell>
          <cell r="B499" t="str">
            <v xml:space="preserve">Server UE3501 BASE, 400MHZ/4MB </v>
          </cell>
          <cell r="C499">
            <v>64500</v>
          </cell>
          <cell r="D499" t="str">
            <v xml:space="preserve">A </v>
          </cell>
        </row>
        <row r="500">
          <cell r="A500" t="str">
            <v xml:space="preserve">E3501-C82 </v>
          </cell>
          <cell r="B500" t="str">
            <v xml:space="preserve">Server UE3501 BASE, 400MHZ/8MB </v>
          </cell>
          <cell r="C500">
            <v>66000</v>
          </cell>
          <cell r="D500" t="str">
            <v xml:space="preserve">A </v>
          </cell>
        </row>
        <row r="501">
          <cell r="A501" t="str">
            <v xml:space="preserve">E4000-SC2.X-GOLD </v>
          </cell>
          <cell r="B501" t="str">
            <v xml:space="preserve">Spectrum Gold Package (per Nod </v>
          </cell>
          <cell r="C501">
            <v>10600</v>
          </cell>
          <cell r="D501" t="str">
            <v>S</v>
          </cell>
        </row>
        <row r="502">
          <cell r="A502" t="str">
            <v>E4000-SC2.X-PLAT</v>
          </cell>
          <cell r="B502" t="str">
            <v xml:space="preserve">Platinum Gold Package (per Nod </v>
          </cell>
          <cell r="C502">
            <v>18550</v>
          </cell>
          <cell r="D502" t="str">
            <v>S</v>
          </cell>
        </row>
        <row r="503">
          <cell r="A503" t="str">
            <v>E450-SC2.X-GOLD(SC2.1)</v>
          </cell>
          <cell r="B503" t="str">
            <v xml:space="preserve">Spectrum Gold Package (per Nod </v>
          </cell>
          <cell r="C503">
            <v>6600</v>
          </cell>
          <cell r="D503" t="str">
            <v xml:space="preserve">D </v>
          </cell>
        </row>
        <row r="504">
          <cell r="A504" t="str">
            <v xml:space="preserve">E4500 </v>
          </cell>
          <cell r="B504" t="str">
            <v xml:space="preserve">E4500 SERVER BASE 2*PS </v>
          </cell>
          <cell r="C504">
            <v>55500</v>
          </cell>
          <cell r="D504" t="str">
            <v xml:space="preserve">A </v>
          </cell>
        </row>
        <row r="505">
          <cell r="A505" t="str">
            <v>E4501</v>
          </cell>
          <cell r="B505" t="str">
            <v xml:space="preserve">E4501 SERVER BASE 2*PS </v>
          </cell>
          <cell r="C505">
            <v>59200</v>
          </cell>
          <cell r="D505" t="str">
            <v xml:space="preserve">A </v>
          </cell>
        </row>
        <row r="506">
          <cell r="A506" t="str">
            <v>E4503</v>
          </cell>
          <cell r="B506" t="str">
            <v xml:space="preserve">E4503 SERVER BASE 1*PS </v>
          </cell>
          <cell r="C506">
            <v>48320</v>
          </cell>
          <cell r="D506" t="str">
            <v xml:space="preserve">A </v>
          </cell>
        </row>
        <row r="507">
          <cell r="A507" t="str">
            <v xml:space="preserve">E5000-SC2.X-GOLD </v>
          </cell>
          <cell r="B507" t="str">
            <v xml:space="preserve">Spectrum Gold Package (per Nod </v>
          </cell>
          <cell r="C507">
            <v>15300</v>
          </cell>
          <cell r="D507" t="str">
            <v xml:space="preserve">D </v>
          </cell>
        </row>
        <row r="508">
          <cell r="A508" t="str">
            <v xml:space="preserve">E5500 </v>
          </cell>
          <cell r="B508" t="str">
            <v xml:space="preserve">E5500 SERVER BASE 2*PS </v>
          </cell>
          <cell r="C508">
            <v>72000</v>
          </cell>
          <cell r="D508" t="str">
            <v xml:space="preserve">A </v>
          </cell>
        </row>
        <row r="509">
          <cell r="A509" t="str">
            <v xml:space="preserve">E5501 </v>
          </cell>
          <cell r="B509" t="str">
            <v xml:space="preserve">E5501 SERVER BASE 2*PS </v>
          </cell>
          <cell r="C509">
            <v>76800</v>
          </cell>
          <cell r="D509" t="str">
            <v xml:space="preserve">A </v>
          </cell>
        </row>
        <row r="510">
          <cell r="A510" t="str">
            <v xml:space="preserve">E6000-SC2.X-GOLD </v>
          </cell>
          <cell r="B510" t="str">
            <v xml:space="preserve">Spectrum Gold Package (per Nod </v>
          </cell>
          <cell r="C510">
            <v>33300</v>
          </cell>
          <cell r="D510" t="str">
            <v xml:space="preserve">D </v>
          </cell>
        </row>
        <row r="511">
          <cell r="A511" t="str">
            <v xml:space="preserve">E6000-SC2.X-PLAT </v>
          </cell>
          <cell r="B511" t="str">
            <v xml:space="preserve">Platinum  Gold Package (per Nod </v>
          </cell>
          <cell r="C511">
            <v>33300</v>
          </cell>
          <cell r="D511" t="str">
            <v xml:space="preserve">D </v>
          </cell>
        </row>
        <row r="512">
          <cell r="A512" t="str">
            <v xml:space="preserve">E6500 </v>
          </cell>
          <cell r="B512" t="str">
            <v xml:space="preserve">E6500 SERVER BASE 2*PS </v>
          </cell>
          <cell r="C512">
            <v>225000</v>
          </cell>
          <cell r="D512" t="str">
            <v xml:space="preserve">A </v>
          </cell>
        </row>
        <row r="513">
          <cell r="A513" t="str">
            <v xml:space="preserve">E6501 </v>
          </cell>
          <cell r="B513" t="str">
            <v xml:space="preserve">E6501 SERVER BASE 2*PS </v>
          </cell>
          <cell r="C513">
            <v>192000</v>
          </cell>
          <cell r="D513" t="str">
            <v xml:space="preserve">A </v>
          </cell>
        </row>
        <row r="514">
          <cell r="A514" t="str">
            <v xml:space="preserve">E6503 </v>
          </cell>
          <cell r="B514" t="str">
            <v xml:space="preserve">E6503 SERVER BASE 1*PS </v>
          </cell>
          <cell r="C514">
            <v>157120</v>
          </cell>
          <cell r="D514" t="str">
            <v xml:space="preserve">A </v>
          </cell>
        </row>
        <row r="515">
          <cell r="A515" t="str">
            <v xml:space="preserve">EFSMS-200W9999 </v>
          </cell>
          <cell r="B515" t="str">
            <v xml:space="preserve">SUNSCREEN EFS CD, DOCS, LIC </v>
          </cell>
          <cell r="C515">
            <v>13993</v>
          </cell>
          <cell r="D515" t="str">
            <v xml:space="preserve">B </v>
          </cell>
        </row>
        <row r="516">
          <cell r="A516" t="str">
            <v xml:space="preserve">EHRIS-311-9999 </v>
          </cell>
          <cell r="B516" t="str">
            <v xml:space="preserve">SW HSM 3.1.1 REMOTE STG EXT RT </v>
          </cell>
          <cell r="C516">
            <v>21000</v>
          </cell>
          <cell r="D516" t="str">
            <v xml:space="preserve">B </v>
          </cell>
        </row>
        <row r="517">
          <cell r="A517" t="str">
            <v xml:space="preserve">EHRIS-311-99U9 </v>
          </cell>
          <cell r="B517" t="str">
            <v xml:space="preserve">SW HSM 3.1.1 RMT STG EXT RTU U </v>
          </cell>
          <cell r="C517">
            <v>10500</v>
          </cell>
          <cell r="D517" t="str">
            <v xml:space="preserve">B </v>
          </cell>
        </row>
        <row r="518">
          <cell r="A518" t="str">
            <v xml:space="preserve">EHRIS-311-E999 </v>
          </cell>
          <cell r="B518" t="str">
            <v xml:space="preserve">SW HSM 3.1.1 REMOTE TIER 3 RTU </v>
          </cell>
          <cell r="C518">
            <v>42000</v>
          </cell>
          <cell r="D518" t="str">
            <v xml:space="preserve">B </v>
          </cell>
        </row>
        <row r="519">
          <cell r="A519" t="str">
            <v xml:space="preserve">EHS9S-311-9999 </v>
          </cell>
          <cell r="B519" t="str">
            <v xml:space="preserve">SW EHSM 3.1.1 BASE PACK CD,DOC </v>
          </cell>
          <cell r="C519">
            <v>140</v>
          </cell>
          <cell r="D519" t="str">
            <v xml:space="preserve">D </v>
          </cell>
        </row>
        <row r="520">
          <cell r="A520" t="str">
            <v xml:space="preserve">EHSIS-311-9999 </v>
          </cell>
          <cell r="B520" t="str">
            <v xml:space="preserve">SW HSM 3.1.1 MGMT INTERFACE RT </v>
          </cell>
          <cell r="C520">
            <v>28000</v>
          </cell>
          <cell r="D520" t="str">
            <v xml:space="preserve">B </v>
          </cell>
        </row>
        <row r="521">
          <cell r="A521" t="str">
            <v xml:space="preserve">EHSIS-311-99U9 </v>
          </cell>
          <cell r="B521" t="str">
            <v xml:space="preserve">SW HSM 3.1.1 MGMT IF RTU UPGRA </v>
          </cell>
          <cell r="C521">
            <v>14000</v>
          </cell>
          <cell r="D521" t="str">
            <v xml:space="preserve">B </v>
          </cell>
        </row>
        <row r="522">
          <cell r="A522" t="str">
            <v xml:space="preserve">EHSIS-311-E999 </v>
          </cell>
          <cell r="B522" t="str">
            <v xml:space="preserve">SW HSM 3.1.1 SERVER TIER 3 RTU </v>
          </cell>
          <cell r="C522">
            <v>56000</v>
          </cell>
          <cell r="D522" t="str">
            <v xml:space="preserve">B </v>
          </cell>
        </row>
        <row r="523">
          <cell r="A523" t="str">
            <v xml:space="preserve">EM1IS-210-9999 </v>
          </cell>
          <cell r="B523" t="str">
            <v xml:space="preserve">EM 2.1 SINGLE MIS LIC MC-1 </v>
          </cell>
          <cell r="C523">
            <v>21700</v>
          </cell>
          <cell r="D523" t="str">
            <v xml:space="preserve">B </v>
          </cell>
        </row>
        <row r="524">
          <cell r="A524" t="str">
            <v xml:space="preserve">EM1IS-210-99U9 </v>
          </cell>
          <cell r="B524" t="str">
            <v xml:space="preserve">EM 2.1 MIS LIC. UPGRADE MC-1 </v>
          </cell>
          <cell r="C524">
            <v>10850</v>
          </cell>
          <cell r="D524" t="str">
            <v xml:space="preserve">B </v>
          </cell>
        </row>
        <row r="525">
          <cell r="A525" t="str">
            <v xml:space="preserve">EM2IS-210-9999 </v>
          </cell>
          <cell r="B525" t="str">
            <v xml:space="preserve">EM 2.1 SINGLE MIS LIC MC-2 </v>
          </cell>
          <cell r="C525">
            <v>35700</v>
          </cell>
          <cell r="D525" t="str">
            <v xml:space="preserve">B </v>
          </cell>
        </row>
        <row r="526">
          <cell r="A526" t="str">
            <v xml:space="preserve">EM2IS-210-99T9 </v>
          </cell>
          <cell r="B526" t="str">
            <v xml:space="preserve">EM 2.1 MIS LIC MC-1 TO MC-2 </v>
          </cell>
          <cell r="C526">
            <v>14000</v>
          </cell>
          <cell r="D526" t="str">
            <v xml:space="preserve">B </v>
          </cell>
        </row>
        <row r="527">
          <cell r="A527" t="str">
            <v xml:space="preserve">EM2IS-210-99U9 </v>
          </cell>
          <cell r="B527" t="str">
            <v xml:space="preserve">EM 2.1 MIS LIC. UPGRADE MC-2 </v>
          </cell>
          <cell r="C527">
            <v>17850</v>
          </cell>
          <cell r="D527" t="str">
            <v xml:space="preserve">B </v>
          </cell>
        </row>
        <row r="528">
          <cell r="A528" t="str">
            <v xml:space="preserve">EMAIS-210-9999 </v>
          </cell>
          <cell r="B528" t="str">
            <v xml:space="preserve">EM 2.1 APPLICATION CLIENT, LIC </v>
          </cell>
          <cell r="C528">
            <v>7000</v>
          </cell>
          <cell r="D528" t="str">
            <v xml:space="preserve">B </v>
          </cell>
        </row>
        <row r="529">
          <cell r="A529" t="str">
            <v xml:space="preserve">EMAIS-210-99U9 </v>
          </cell>
          <cell r="B529" t="str">
            <v xml:space="preserve">UG EM 2.1 APPLICATION CLNT LIC </v>
          </cell>
          <cell r="C529">
            <v>3500</v>
          </cell>
          <cell r="D529" t="str">
            <v xml:space="preserve">B </v>
          </cell>
        </row>
        <row r="530">
          <cell r="A530" t="str">
            <v xml:space="preserve">EMAIS-300IR999 </v>
          </cell>
          <cell r="B530" t="str">
            <v xml:space="preserve">EM 3.0 Fault Mgmt App Cl. Lic. </v>
          </cell>
          <cell r="C530">
            <v>7000</v>
          </cell>
          <cell r="D530" t="str">
            <v xml:space="preserve">B </v>
          </cell>
        </row>
        <row r="531">
          <cell r="A531" t="str">
            <v xml:space="preserve">EMAIS-300IR9U9 </v>
          </cell>
          <cell r="B531" t="str">
            <v xml:space="preserve">EM 3.0 Fault Mgmt App Lic Upgr </v>
          </cell>
          <cell r="C531">
            <v>2800</v>
          </cell>
          <cell r="D531" t="str">
            <v xml:space="preserve">B </v>
          </cell>
        </row>
        <row r="532">
          <cell r="A532" t="str">
            <v xml:space="preserve">EMCMS-300I9999 </v>
          </cell>
          <cell r="B532" t="str">
            <v xml:space="preserve">EM 3.0 Media </v>
          </cell>
          <cell r="C532">
            <v>140</v>
          </cell>
          <cell r="D532" t="str">
            <v xml:space="preserve">B </v>
          </cell>
        </row>
        <row r="533">
          <cell r="A533" t="str">
            <v xml:space="preserve">EMEDS-210-9999 </v>
          </cell>
          <cell r="B533" t="str">
            <v xml:space="preserve">EM 2.1 ENDUSER HARDCOPY DOCS </v>
          </cell>
          <cell r="C533">
            <v>210</v>
          </cell>
          <cell r="D533" t="str">
            <v xml:space="preserve">B </v>
          </cell>
        </row>
        <row r="534">
          <cell r="A534" t="str">
            <v xml:space="preserve">EMEDS-300IR999 </v>
          </cell>
          <cell r="B534" t="str">
            <v xml:space="preserve">EM 3.0 End User Documentation </v>
          </cell>
          <cell r="C534">
            <v>210</v>
          </cell>
          <cell r="D534" t="str">
            <v xml:space="preserve">B </v>
          </cell>
        </row>
        <row r="535">
          <cell r="A535" t="str">
            <v xml:space="preserve">EMEMS-210-9999 </v>
          </cell>
          <cell r="B535" t="str">
            <v xml:space="preserve">EM 2.1 MEDIA AND RELNOTES </v>
          </cell>
          <cell r="C535">
            <v>140</v>
          </cell>
          <cell r="D535" t="str">
            <v xml:space="preserve">B </v>
          </cell>
        </row>
        <row r="536">
          <cell r="A536" t="str">
            <v xml:space="preserve">EMJDS-300I9999 </v>
          </cell>
          <cell r="B536" t="str">
            <v xml:space="preserve">EM 3.0 Java Toolkit Doc. </v>
          </cell>
          <cell r="C536">
            <v>490</v>
          </cell>
          <cell r="D536" t="str">
            <v xml:space="preserve">B </v>
          </cell>
        </row>
        <row r="537">
          <cell r="A537" t="str">
            <v xml:space="preserve">EMJIS-300IR999 </v>
          </cell>
          <cell r="B537" t="str">
            <v xml:space="preserve">EM 3.0 Java DMK Interface Lic. </v>
          </cell>
          <cell r="C537">
            <v>12600</v>
          </cell>
          <cell r="D537" t="str">
            <v xml:space="preserve">B </v>
          </cell>
        </row>
        <row r="538">
          <cell r="A538" t="str">
            <v xml:space="preserve">EMJIS-300IT999 </v>
          </cell>
          <cell r="B538" t="str">
            <v xml:space="preserve">EM 3.0 Java Toolkit License </v>
          </cell>
          <cell r="C538">
            <v>7000</v>
          </cell>
          <cell r="D538" t="str">
            <v xml:space="preserve">B </v>
          </cell>
        </row>
        <row r="539">
          <cell r="A539" t="str">
            <v xml:space="preserve">EMKDS-210-9999 </v>
          </cell>
          <cell r="B539" t="str">
            <v xml:space="preserve">EM 2.1 TOOLKIT DOC SET </v>
          </cell>
          <cell r="C539">
            <v>490</v>
          </cell>
          <cell r="D539" t="str">
            <v xml:space="preserve">B </v>
          </cell>
        </row>
        <row r="540">
          <cell r="A540" t="str">
            <v xml:space="preserve">EMKDS-300I9999 </v>
          </cell>
          <cell r="B540" t="str">
            <v xml:space="preserve">EM 3.0 Toolkit Documentation </v>
          </cell>
          <cell r="C540">
            <v>490</v>
          </cell>
          <cell r="D540" t="str">
            <v xml:space="preserve">B </v>
          </cell>
        </row>
        <row r="541">
          <cell r="A541" t="str">
            <v xml:space="preserve">EMKIS-210-T999 </v>
          </cell>
          <cell r="B541" t="str">
            <v xml:space="preserve">EM 2.1 TOOLKIT LICENSE </v>
          </cell>
          <cell r="C541">
            <v>70000</v>
          </cell>
          <cell r="D541" t="str">
            <v xml:space="preserve">B </v>
          </cell>
        </row>
        <row r="542">
          <cell r="A542" t="str">
            <v xml:space="preserve">EMKIS-210-T9U9 </v>
          </cell>
          <cell r="B542" t="str">
            <v xml:space="preserve">EM 2.1 TOOLKIT LIC. UPGRADE </v>
          </cell>
          <cell r="C542">
            <v>35000</v>
          </cell>
          <cell r="D542" t="str">
            <v xml:space="preserve">B </v>
          </cell>
        </row>
        <row r="543">
          <cell r="A543" t="str">
            <v xml:space="preserve">EMKIS-300IT999 </v>
          </cell>
          <cell r="B543" t="str">
            <v xml:space="preserve">EM 3.0 Toolkit License </v>
          </cell>
          <cell r="C543">
            <v>70000</v>
          </cell>
          <cell r="D543" t="str">
            <v xml:space="preserve">B </v>
          </cell>
        </row>
        <row r="544">
          <cell r="A544" t="str">
            <v xml:space="preserve">EMKIS-300IT9U9 </v>
          </cell>
          <cell r="B544" t="str">
            <v xml:space="preserve">EM 3.0 Toolkit License Upgrade </v>
          </cell>
          <cell r="C544">
            <v>31500</v>
          </cell>
          <cell r="D544" t="str">
            <v xml:space="preserve">B </v>
          </cell>
        </row>
        <row r="545">
          <cell r="A545" t="str">
            <v xml:space="preserve">EMMIS-300ID999 </v>
          </cell>
          <cell r="B545" t="str">
            <v xml:space="preserve">EM 3.0 MIS Bronze License </v>
          </cell>
          <cell r="C545">
            <v>21700</v>
          </cell>
          <cell r="D545" t="str">
            <v xml:space="preserve">B </v>
          </cell>
        </row>
        <row r="546">
          <cell r="A546" t="str">
            <v xml:space="preserve">EMMIS-300ID9U9 </v>
          </cell>
          <cell r="B546" t="str">
            <v xml:space="preserve">EM 3.0 MIS Bronze Lic. Upgrade </v>
          </cell>
          <cell r="C546">
            <v>9765</v>
          </cell>
          <cell r="D546" t="str">
            <v xml:space="preserve">B </v>
          </cell>
        </row>
        <row r="547">
          <cell r="A547" t="str">
            <v xml:space="preserve">EMMIS-300IE999 </v>
          </cell>
          <cell r="B547" t="str">
            <v xml:space="preserve">EM 3.0 MIS Gold License </v>
          </cell>
          <cell r="C547">
            <v>35700</v>
          </cell>
          <cell r="D547" t="str">
            <v xml:space="preserve">B </v>
          </cell>
        </row>
        <row r="548">
          <cell r="A548" t="str">
            <v xml:space="preserve">EMMIS-300IE9T9 </v>
          </cell>
          <cell r="B548" t="str">
            <v xml:space="preserve">EM 3.0 Silver-Gold Trade Up </v>
          </cell>
          <cell r="C548">
            <v>7000</v>
          </cell>
          <cell r="D548" t="str">
            <v xml:space="preserve">B </v>
          </cell>
        </row>
        <row r="549">
          <cell r="A549" t="str">
            <v xml:space="preserve">EMMIS-300IE9U9 </v>
          </cell>
          <cell r="B549" t="str">
            <v xml:space="preserve">EM 3.0 MIS Gold Lic. Upgrade </v>
          </cell>
          <cell r="C549">
            <v>16065</v>
          </cell>
          <cell r="D549" t="str">
            <v xml:space="preserve">B </v>
          </cell>
        </row>
        <row r="550">
          <cell r="A550" t="str">
            <v xml:space="preserve">EMMIS-300IW999 </v>
          </cell>
          <cell r="B550" t="str">
            <v xml:space="preserve">EM 3.0 MIS Silver License </v>
          </cell>
          <cell r="C550">
            <v>28700</v>
          </cell>
          <cell r="D550" t="str">
            <v xml:space="preserve">B </v>
          </cell>
        </row>
        <row r="551">
          <cell r="A551" t="str">
            <v xml:space="preserve">EMMIS-300IW9T9 </v>
          </cell>
          <cell r="B551" t="str">
            <v xml:space="preserve">EM 3.0 Bronze-Silver Trade Up </v>
          </cell>
          <cell r="C551">
            <v>7000</v>
          </cell>
          <cell r="D551" t="str">
            <v xml:space="preserve">B </v>
          </cell>
        </row>
        <row r="552">
          <cell r="A552" t="str">
            <v xml:space="preserve">EMMIS-300IW9U9 </v>
          </cell>
          <cell r="B552" t="str">
            <v xml:space="preserve">EM 3.0 MIS Silver Lic. Upgrade </v>
          </cell>
          <cell r="C552">
            <v>12915</v>
          </cell>
          <cell r="D552" t="str">
            <v xml:space="preserve">B </v>
          </cell>
        </row>
        <row r="553">
          <cell r="A553" t="str">
            <v xml:space="preserve">EMQIS-300IR999 </v>
          </cell>
          <cell r="B553" t="str">
            <v xml:space="preserve">EM 3.0 TMN Q3 Interface Lic. </v>
          </cell>
          <cell r="C553">
            <v>9800</v>
          </cell>
          <cell r="D553" t="str">
            <v xml:space="preserve">B </v>
          </cell>
        </row>
        <row r="554">
          <cell r="A554" t="str">
            <v xml:space="preserve">EMQIS-300IR9U9 </v>
          </cell>
          <cell r="B554" t="str">
            <v xml:space="preserve">EM 3.0 TMN Q3 Interface Upgrad </v>
          </cell>
          <cell r="C554">
            <v>4200</v>
          </cell>
          <cell r="D554" t="str">
            <v xml:space="preserve">B </v>
          </cell>
        </row>
        <row r="555">
          <cell r="A555" t="str">
            <v xml:space="preserve">EMTIS-210-9999 </v>
          </cell>
          <cell r="B555" t="str">
            <v xml:space="preserve">EM 2.1 TMNQ3 INTERFACE LIC </v>
          </cell>
          <cell r="C555">
            <v>9800</v>
          </cell>
          <cell r="D555" t="str">
            <v xml:space="preserve">B </v>
          </cell>
        </row>
        <row r="556">
          <cell r="A556" t="str">
            <v xml:space="preserve">EMTIS-210-99U9 </v>
          </cell>
          <cell r="B556" t="str">
            <v xml:space="preserve">EM 2.1 TMNQ3 INTERFACE UPGR. </v>
          </cell>
          <cell r="C556">
            <v>4900</v>
          </cell>
          <cell r="D556" t="str">
            <v xml:space="preserve">B </v>
          </cell>
        </row>
        <row r="557">
          <cell r="A557" t="str">
            <v xml:space="preserve">EN1VS-210-9999 </v>
          </cell>
          <cell r="B557" t="str">
            <v xml:space="preserve">EM 2.1 NETWORK MGMT PKG MC-1 </v>
          </cell>
          <cell r="C557">
            <v>121800</v>
          </cell>
          <cell r="D557" t="str">
            <v xml:space="preserve">B </v>
          </cell>
        </row>
        <row r="558">
          <cell r="A558" t="str">
            <v xml:space="preserve">EN2VS-210-9999 </v>
          </cell>
          <cell r="B558" t="str">
            <v xml:space="preserve">EM 2.1 NETWORK MGMT PKG MC-2 </v>
          </cell>
          <cell r="C558">
            <v>182000</v>
          </cell>
          <cell r="D558" t="str">
            <v xml:space="preserve">B </v>
          </cell>
        </row>
        <row r="559">
          <cell r="A559" t="str">
            <v xml:space="preserve">EN2VS-210-99T9 </v>
          </cell>
          <cell r="B559" t="str">
            <v xml:space="preserve">EM 2.1 NW MGT PKG MC-1 TO MC-2 </v>
          </cell>
          <cell r="C559">
            <v>60200</v>
          </cell>
          <cell r="D559" t="str">
            <v xml:space="preserve">B </v>
          </cell>
        </row>
        <row r="560">
          <cell r="A560" t="str">
            <v xml:space="preserve">ENB99-311-9999 </v>
          </cell>
          <cell r="B560" t="str">
            <v xml:space="preserve">SW NBU 3.1.1 DB EXT CD,DOC </v>
          </cell>
          <cell r="C560">
            <v>140</v>
          </cell>
          <cell r="D560" t="str">
            <v xml:space="preserve">D </v>
          </cell>
        </row>
        <row r="561">
          <cell r="A561" t="str">
            <v xml:space="preserve">ENB99-311-R999 </v>
          </cell>
          <cell r="B561" t="str">
            <v xml:space="preserve">SW NBU 3.1.1 PC CLIENTS CD,DOC </v>
          </cell>
          <cell r="C561">
            <v>140</v>
          </cell>
          <cell r="D561" t="str">
            <v xml:space="preserve">D </v>
          </cell>
        </row>
        <row r="562">
          <cell r="A562" t="str">
            <v xml:space="preserve">ENB9S-311-9999 </v>
          </cell>
          <cell r="B562" t="str">
            <v xml:space="preserve">SW ENBU 3.1.1 BASE PACK CD,DOC </v>
          </cell>
          <cell r="C562">
            <v>140</v>
          </cell>
          <cell r="D562" t="str">
            <v xml:space="preserve">D </v>
          </cell>
        </row>
        <row r="563">
          <cell r="A563" t="str">
            <v xml:space="preserve">ENB9S-311-S999 </v>
          </cell>
          <cell r="B563" t="str">
            <v xml:space="preserve">SW NBU 3.1.1 (E10000 ONLY) </v>
          </cell>
          <cell r="C563">
            <v>0</v>
          </cell>
          <cell r="D563" t="str">
            <v xml:space="preserve">D </v>
          </cell>
        </row>
        <row r="564">
          <cell r="A564" t="str">
            <v xml:space="preserve">ENBC9-311-9999 </v>
          </cell>
          <cell r="B564" t="str">
            <v xml:space="preserve">SW NBU 3.1.1 100-CLIENT RTU </v>
          </cell>
          <cell r="C564">
            <v>45500</v>
          </cell>
          <cell r="D564" t="str">
            <v xml:space="preserve">B </v>
          </cell>
        </row>
        <row r="565">
          <cell r="A565" t="str">
            <v xml:space="preserve">ENBC9-311-99U9 </v>
          </cell>
          <cell r="B565" t="str">
            <v xml:space="preserve">SW NBU 3.1.1 100-CLIENT RTU UP </v>
          </cell>
          <cell r="C565">
            <v>22750</v>
          </cell>
          <cell r="D565" t="str">
            <v xml:space="preserve">B </v>
          </cell>
        </row>
        <row r="566">
          <cell r="A566" t="str">
            <v xml:space="preserve">ENBI9-311-D999 </v>
          </cell>
          <cell r="B566" t="str">
            <v xml:space="preserve">SW NBU 3.1.1 WS CLIENT RTU </v>
          </cell>
          <cell r="C566">
            <v>280</v>
          </cell>
          <cell r="D566" t="str">
            <v xml:space="preserve">B </v>
          </cell>
        </row>
        <row r="567">
          <cell r="A567" t="str">
            <v xml:space="preserve">ENBI9-311-D9U9 </v>
          </cell>
          <cell r="B567" t="str">
            <v xml:space="preserve">SW NBU 3.1.1 WS CLIENT RTU UPG </v>
          </cell>
          <cell r="C567">
            <v>140</v>
          </cell>
          <cell r="D567" t="str">
            <v xml:space="preserve">B </v>
          </cell>
        </row>
        <row r="568">
          <cell r="A568" t="str">
            <v xml:space="preserve">ENBI9-311-E999 </v>
          </cell>
          <cell r="B568" t="str">
            <v xml:space="preserve">SW NBU 3.1.1 MULTI-USER CLIENT </v>
          </cell>
          <cell r="C568">
            <v>980</v>
          </cell>
          <cell r="D568" t="str">
            <v xml:space="preserve">B </v>
          </cell>
        </row>
        <row r="569">
          <cell r="A569" t="str">
            <v xml:space="preserve">ENBI9-311-E9U9 </v>
          </cell>
          <cell r="B569" t="str">
            <v xml:space="preserve">SW NBU 3.1.1 MULTI-USER CLNT U </v>
          </cell>
          <cell r="C569">
            <v>490</v>
          </cell>
          <cell r="D569" t="str">
            <v xml:space="preserve">B </v>
          </cell>
        </row>
        <row r="570">
          <cell r="A570" t="str">
            <v xml:space="preserve">ENBIS-311-9999 </v>
          </cell>
          <cell r="B570" t="str">
            <v xml:space="preserve">SW NBU 3.1.1 MGMT INTERFACE RT </v>
          </cell>
          <cell r="C570">
            <v>11900</v>
          </cell>
          <cell r="D570" t="str">
            <v xml:space="preserve">B </v>
          </cell>
        </row>
        <row r="571">
          <cell r="A571" t="str">
            <v xml:space="preserve">ENBIS-311-99U9 </v>
          </cell>
          <cell r="B571" t="str">
            <v xml:space="preserve">SW NBU 3.1.1 MGMT IF RTU UPGR </v>
          </cell>
          <cell r="C571">
            <v>5950</v>
          </cell>
          <cell r="D571" t="str">
            <v xml:space="preserve">B </v>
          </cell>
        </row>
        <row r="572">
          <cell r="A572" t="str">
            <v xml:space="preserve">ENBX9-311-R999 </v>
          </cell>
          <cell r="B572" t="str">
            <v xml:space="preserve">SW NBU 3.1.1 PC 10-CLIENT RTU </v>
          </cell>
          <cell r="C572">
            <v>700</v>
          </cell>
          <cell r="D572" t="str">
            <v xml:space="preserve">B </v>
          </cell>
        </row>
        <row r="573">
          <cell r="A573" t="str">
            <v xml:space="preserve">ENBX9-311-R9U9 </v>
          </cell>
          <cell r="B573" t="str">
            <v xml:space="preserve">SW NBU 3.1.1 PC 10-CLIENT RTU </v>
          </cell>
          <cell r="C573">
            <v>350</v>
          </cell>
          <cell r="D573" t="str">
            <v xml:space="preserve">B </v>
          </cell>
        </row>
        <row r="574">
          <cell r="A574" t="str">
            <v xml:space="preserve">ENDIS-311-9999 </v>
          </cell>
          <cell r="B574" t="str">
            <v xml:space="preserve">SW NBU 3.1.1 DATABASE EXT RTU </v>
          </cell>
          <cell r="C574">
            <v>7000</v>
          </cell>
          <cell r="D574" t="str">
            <v xml:space="preserve">B </v>
          </cell>
        </row>
        <row r="575">
          <cell r="A575" t="str">
            <v xml:space="preserve">ENDIS-311-99U9 </v>
          </cell>
          <cell r="B575" t="str">
            <v xml:space="preserve">SW NBU 3.1.1 DB EXT RTU UPGRAD </v>
          </cell>
          <cell r="C575">
            <v>3500</v>
          </cell>
          <cell r="D575" t="str">
            <v xml:space="preserve">B </v>
          </cell>
        </row>
        <row r="576">
          <cell r="A576" t="str">
            <v xml:space="preserve">ENDIS-311-E999 </v>
          </cell>
          <cell r="B576" t="str">
            <v xml:space="preserve">SW NBU 3.1.1 DB TIER 3 RTU </v>
          </cell>
          <cell r="C576">
            <v>14000</v>
          </cell>
          <cell r="D576" t="str">
            <v xml:space="preserve">B </v>
          </cell>
        </row>
        <row r="577">
          <cell r="A577" t="str">
            <v xml:space="preserve">ENEI9-311-9999 </v>
          </cell>
          <cell r="B577" t="str">
            <v xml:space="preserve">SW NBU 3.1.1 client engr </v>
          </cell>
          <cell r="C577">
            <v>2800</v>
          </cell>
          <cell r="D577" t="str">
            <v xml:space="preserve">B </v>
          </cell>
        </row>
        <row r="578">
          <cell r="A578" t="str">
            <v xml:space="preserve">ENEI9-311-D999 </v>
          </cell>
          <cell r="B578" t="str">
            <v xml:space="preserve">SW NBU 3.1.1 WS ENCRY RTU </v>
          </cell>
          <cell r="C578">
            <v>280</v>
          </cell>
          <cell r="D578" t="str">
            <v xml:space="preserve">B </v>
          </cell>
        </row>
        <row r="579">
          <cell r="A579" t="str">
            <v xml:space="preserve">ENEI9-311-E999 </v>
          </cell>
          <cell r="B579" t="str">
            <v xml:space="preserve">SW NBU 3.1.1 M-U CLIENT ENCR R </v>
          </cell>
          <cell r="C579">
            <v>980</v>
          </cell>
          <cell r="D579" t="str">
            <v xml:space="preserve">B </v>
          </cell>
        </row>
        <row r="580">
          <cell r="A580" t="str">
            <v xml:space="preserve">ENEI9-311-R999 </v>
          </cell>
          <cell r="B580" t="str">
            <v xml:space="preserve">SW NBU 3.1.1 PC ENCRY RTU </v>
          </cell>
          <cell r="C580">
            <v>70</v>
          </cell>
          <cell r="D580" t="str">
            <v xml:space="preserve">B </v>
          </cell>
        </row>
        <row r="581">
          <cell r="A581" t="str">
            <v xml:space="preserve">ENFIS-311-9999 </v>
          </cell>
          <cell r="B581" t="str">
            <v xml:space="preserve">SW NBU 3.1.1 FLASHBACKUP RTU </v>
          </cell>
          <cell r="C581">
            <v>7000</v>
          </cell>
          <cell r="D581" t="str">
            <v xml:space="preserve">B </v>
          </cell>
        </row>
        <row r="582">
          <cell r="A582" t="str">
            <v xml:space="preserve">ENM9N-311-9999 </v>
          </cell>
          <cell r="B582" t="str">
            <v xml:space="preserve">SW NBU 3.1.1 SQL-EXCH EXT RTU </v>
          </cell>
          <cell r="C582">
            <v>1400</v>
          </cell>
          <cell r="D582" t="str">
            <v xml:space="preserve">B </v>
          </cell>
        </row>
        <row r="583">
          <cell r="A583" t="str">
            <v xml:space="preserve">ENNIS-311-9999 </v>
          </cell>
          <cell r="B583" t="str">
            <v xml:space="preserve">SW NBU 3.1.1 NDMP RTU, DOC </v>
          </cell>
          <cell r="C583">
            <v>11900</v>
          </cell>
          <cell r="D583" t="str">
            <v xml:space="preserve">B </v>
          </cell>
        </row>
        <row r="584">
          <cell r="A584" t="str">
            <v xml:space="preserve">ENRI9-311-D999 </v>
          </cell>
          <cell r="B584" t="str">
            <v xml:space="preserve">SW NBU 3.1.1 ROBOTICS TIER1 RT </v>
          </cell>
          <cell r="C584">
            <v>5600</v>
          </cell>
          <cell r="D584" t="str">
            <v xml:space="preserve">B </v>
          </cell>
        </row>
        <row r="585">
          <cell r="A585" t="str">
            <v xml:space="preserve">ENRI9-311-D9U9 </v>
          </cell>
          <cell r="B585" t="str">
            <v xml:space="preserve">SW NBU 3.1.1 ROBTC TIER1 RTU U </v>
          </cell>
          <cell r="C585">
            <v>2800</v>
          </cell>
          <cell r="D585" t="str">
            <v xml:space="preserve">B </v>
          </cell>
        </row>
        <row r="586">
          <cell r="A586" t="str">
            <v xml:space="preserve">ENRI9-311-E999 </v>
          </cell>
          <cell r="B586" t="str">
            <v xml:space="preserve">SW NBU 3.1.1 ROBOTICS TIER3 RT </v>
          </cell>
          <cell r="C586">
            <v>23800</v>
          </cell>
          <cell r="D586" t="str">
            <v xml:space="preserve">B </v>
          </cell>
        </row>
        <row r="587">
          <cell r="A587" t="str">
            <v xml:space="preserve">ENRI9-311-E9U9 </v>
          </cell>
          <cell r="B587" t="str">
            <v xml:space="preserve">SW NBU 3.1.1 ROBTC TIER3 RTU U </v>
          </cell>
          <cell r="C587">
            <v>11900</v>
          </cell>
          <cell r="D587" t="str">
            <v xml:space="preserve">B </v>
          </cell>
        </row>
        <row r="588">
          <cell r="A588" t="str">
            <v xml:space="preserve">ENRI9-311-T999 </v>
          </cell>
          <cell r="B588" t="str">
            <v xml:space="preserve">SW NBU 3.1.1 ROBOTICS TIER4 RT </v>
          </cell>
          <cell r="C588">
            <v>35000</v>
          </cell>
          <cell r="D588" t="str">
            <v xml:space="preserve">B </v>
          </cell>
        </row>
        <row r="589">
          <cell r="A589" t="str">
            <v xml:space="preserve">ENRI9-311-T9U9 </v>
          </cell>
          <cell r="B589" t="str">
            <v xml:space="preserve">SW NBU 3.1.1 ROBTC TIER4 RTU U </v>
          </cell>
          <cell r="C589">
            <v>17500</v>
          </cell>
          <cell r="D589" t="str">
            <v xml:space="preserve">B </v>
          </cell>
        </row>
        <row r="590">
          <cell r="A590" t="str">
            <v xml:space="preserve">ENRI9-311-W999 </v>
          </cell>
          <cell r="B590" t="str">
            <v xml:space="preserve">SW NBU 3.1.1 ROBOTICS TIER2 RT </v>
          </cell>
          <cell r="C590">
            <v>13300</v>
          </cell>
          <cell r="D590" t="str">
            <v xml:space="preserve">B </v>
          </cell>
        </row>
        <row r="591">
          <cell r="A591" t="str">
            <v xml:space="preserve">ENRI9-311-W9U9 </v>
          </cell>
          <cell r="B591" t="str">
            <v xml:space="preserve">SW NBU 3.1.1 ROBTC TIER2 RTU U </v>
          </cell>
          <cell r="C591">
            <v>6650</v>
          </cell>
          <cell r="D591" t="str">
            <v xml:space="preserve">B </v>
          </cell>
        </row>
        <row r="592">
          <cell r="A592" t="str">
            <v xml:space="preserve">ENSIS-311-9999 </v>
          </cell>
          <cell r="B592" t="str">
            <v xml:space="preserve">SW NBU 3.1.1 SAP EXT RTU </v>
          </cell>
          <cell r="C592">
            <v>14000</v>
          </cell>
          <cell r="D592" t="str">
            <v xml:space="preserve">B </v>
          </cell>
        </row>
        <row r="593">
          <cell r="A593" t="str">
            <v xml:space="preserve">ENSIS-311-99U9 </v>
          </cell>
          <cell r="B593" t="str">
            <v xml:space="preserve">SW NBU 3.1.1 SAP EXT RTU UPGRA </v>
          </cell>
          <cell r="C593">
            <v>7000</v>
          </cell>
          <cell r="D593" t="str">
            <v xml:space="preserve">B </v>
          </cell>
        </row>
        <row r="594">
          <cell r="A594" t="str">
            <v xml:space="preserve">ENSIS-311-E999 </v>
          </cell>
          <cell r="B594" t="str">
            <v xml:space="preserve">SW NBU 3.1.1 SAP TIER 3 RTU </v>
          </cell>
          <cell r="C594">
            <v>28000</v>
          </cell>
          <cell r="D594" t="str">
            <v xml:space="preserve">B </v>
          </cell>
        </row>
        <row r="595">
          <cell r="A595" t="str">
            <v xml:space="preserve">ENTIS-311-9999 </v>
          </cell>
          <cell r="B595" t="str">
            <v xml:space="preserve">SW NBU 3.1.1 TIVOLI INTEGR RTU </v>
          </cell>
          <cell r="C595">
            <v>13993</v>
          </cell>
          <cell r="D595" t="str">
            <v xml:space="preserve">B </v>
          </cell>
        </row>
        <row r="596">
          <cell r="A596" t="str">
            <v xml:space="preserve">ET1VS-210-9999 </v>
          </cell>
          <cell r="B596" t="str">
            <v xml:space="preserve">EM 2.1 TELCO MGMT PKG MC-1 </v>
          </cell>
          <cell r="C596">
            <v>163800</v>
          </cell>
          <cell r="D596" t="str">
            <v xml:space="preserve">B </v>
          </cell>
        </row>
        <row r="597">
          <cell r="A597" t="str">
            <v xml:space="preserve">ET2VS-210-9999 </v>
          </cell>
          <cell r="B597" t="str">
            <v xml:space="preserve">EM 2.1 TELCO MGMT PKG MC-2 </v>
          </cell>
          <cell r="C597">
            <v>224000</v>
          </cell>
          <cell r="D597" t="str">
            <v xml:space="preserve">B </v>
          </cell>
        </row>
        <row r="598">
          <cell r="A598" t="str">
            <v xml:space="preserve">ET2VS-210-99T9 </v>
          </cell>
          <cell r="B598" t="str">
            <v xml:space="preserve">EM 2.1 TELCO MPKG MC-1 TO MC-2 </v>
          </cell>
          <cell r="C598">
            <v>60200</v>
          </cell>
          <cell r="D598" t="str">
            <v xml:space="preserve">B </v>
          </cell>
        </row>
        <row r="599">
          <cell r="A599" t="str">
            <v xml:space="preserve">FCED9-600-T999 </v>
          </cell>
          <cell r="B599" t="str">
            <v>C++ Enterprise 6 Doc Set</v>
          </cell>
          <cell r="C599">
            <v>560</v>
          </cell>
          <cell r="D599" t="str">
            <v xml:space="preserve">B </v>
          </cell>
        </row>
        <row r="600">
          <cell r="A600" t="str">
            <v xml:space="preserve">FCEIS-600-T999 </v>
          </cell>
          <cell r="B600" t="str">
            <v>C++ Enterprise Ed 6 1 user Slim Kit</v>
          </cell>
          <cell r="C600">
            <v>4893</v>
          </cell>
          <cell r="D600" t="str">
            <v xml:space="preserve">B </v>
          </cell>
        </row>
        <row r="601">
          <cell r="A601" t="str">
            <v xml:space="preserve">FCEIS-600-T9U9 </v>
          </cell>
          <cell r="B601" t="str">
            <v>C++ Enterprise Ed 6 1 user UP Kit</v>
          </cell>
          <cell r="C601">
            <v>1470</v>
          </cell>
          <cell r="D601" t="str">
            <v xml:space="preserve">B </v>
          </cell>
        </row>
        <row r="602">
          <cell r="A602" t="str">
            <v xml:space="preserve">FIG-ECR-3.0G1-PU </v>
          </cell>
          <cell r="B602" t="str">
            <v xml:space="preserve">UG FW-1 3.0 IGER/RC </v>
          </cell>
          <cell r="C602">
            <v>21000</v>
          </cell>
          <cell r="D602" t="str">
            <v xml:space="preserve">B </v>
          </cell>
        </row>
        <row r="603">
          <cell r="A603" t="str">
            <v xml:space="preserve">FIR-100-250-3.0-PU </v>
          </cell>
          <cell r="B603" t="str">
            <v xml:space="preserve">UG FW-1 3.0 100-250, CD DOC LI </v>
          </cell>
          <cell r="C603">
            <v>5040</v>
          </cell>
          <cell r="D603" t="str">
            <v xml:space="preserve">B </v>
          </cell>
        </row>
        <row r="604">
          <cell r="A604" t="str">
            <v xml:space="preserve">FIR-25-50-3.0-PU </v>
          </cell>
          <cell r="B604" t="str">
            <v xml:space="preserve">UG FW-1 3.0 25-50, CD DOC LI </v>
          </cell>
          <cell r="C604">
            <v>3640</v>
          </cell>
          <cell r="D604" t="str">
            <v xml:space="preserve">B </v>
          </cell>
        </row>
        <row r="605">
          <cell r="A605" t="str">
            <v xml:space="preserve">FIR-250-ISC-3.0-PU </v>
          </cell>
          <cell r="B605" t="str">
            <v xml:space="preserve">UG FW-1 3.0 50-ISC, CD DOC LI </v>
          </cell>
          <cell r="C605">
            <v>15400</v>
          </cell>
          <cell r="D605" t="str">
            <v xml:space="preserve">B </v>
          </cell>
        </row>
        <row r="606">
          <cell r="A606" t="str">
            <v xml:space="preserve">FIR-50-100-3.0-PU </v>
          </cell>
          <cell r="B606" t="str">
            <v xml:space="preserve">UG FW-1 3.0 50-100, CD DOC LI </v>
          </cell>
          <cell r="C606">
            <v>5600</v>
          </cell>
          <cell r="D606" t="str">
            <v xml:space="preserve">B </v>
          </cell>
        </row>
        <row r="607">
          <cell r="A607" t="str">
            <v xml:space="preserve">FIR-FRST-50-3.0-PU </v>
          </cell>
          <cell r="B607" t="str">
            <v xml:space="preserve">UG FW-FRST TO FW-1 50,CD DOCLI </v>
          </cell>
          <cell r="C607">
            <v>5593</v>
          </cell>
          <cell r="D607" t="str">
            <v xml:space="preserve">B </v>
          </cell>
        </row>
        <row r="608">
          <cell r="A608" t="str">
            <v xml:space="preserve">FR-2.0.1-D </v>
          </cell>
          <cell r="B608" t="str">
            <v xml:space="preserve">FRAME RELAY 2.0.1, DOCS </v>
          </cell>
          <cell r="C608">
            <v>195</v>
          </cell>
          <cell r="D608" t="str">
            <v xml:space="preserve">D </v>
          </cell>
        </row>
        <row r="609">
          <cell r="A609" t="str">
            <v xml:space="preserve">FR-2.0.1-DT-S </v>
          </cell>
          <cell r="B609" t="str">
            <v xml:space="preserve">FRAME RELAY 2.0.1, CD LIC </v>
          </cell>
          <cell r="C609">
            <v>2093</v>
          </cell>
          <cell r="D609" t="str">
            <v xml:space="preserve">B </v>
          </cell>
        </row>
        <row r="610">
          <cell r="A610" t="str">
            <v xml:space="preserve">FR-2.0.1-ES-S </v>
          </cell>
          <cell r="B610" t="str">
            <v xml:space="preserve">FRAME RELAY 2.0.1, CD LIC </v>
          </cell>
          <cell r="C610">
            <v>3493</v>
          </cell>
          <cell r="D610" t="str">
            <v xml:space="preserve">B </v>
          </cell>
        </row>
        <row r="611">
          <cell r="A611" t="str">
            <v xml:space="preserve">FTAM-8.0.3-CD </v>
          </cell>
          <cell r="B611" t="str">
            <v xml:space="preserve">SUNLINK FTAM 8.0.3, CD </v>
          </cell>
          <cell r="C611">
            <v>130</v>
          </cell>
          <cell r="D611" t="str">
            <v xml:space="preserve">D </v>
          </cell>
        </row>
        <row r="612">
          <cell r="A612" t="str">
            <v xml:space="preserve">FTAM-8.0.3-D </v>
          </cell>
          <cell r="B612" t="str">
            <v xml:space="preserve">SUNLINK FTAM 8.0.3, DOC </v>
          </cell>
          <cell r="C612">
            <v>195</v>
          </cell>
          <cell r="D612" t="str">
            <v xml:space="preserve">D </v>
          </cell>
        </row>
        <row r="613">
          <cell r="A613" t="str">
            <v xml:space="preserve">FTAM-8.0.3-S </v>
          </cell>
          <cell r="B613" t="str">
            <v xml:space="preserve">SUNLINK FTAM 8.0.3, CD LIC </v>
          </cell>
          <cell r="C613">
            <v>2405</v>
          </cell>
          <cell r="D613" t="str">
            <v xml:space="preserve">B </v>
          </cell>
        </row>
        <row r="614">
          <cell r="A614" t="str">
            <v xml:space="preserve">FTAM-8.0.3-SU </v>
          </cell>
          <cell r="B614" t="str">
            <v xml:space="preserve">UG SUNLINK FTAM 8.0.3, CD LIC </v>
          </cell>
          <cell r="C614">
            <v>1037</v>
          </cell>
          <cell r="D614" t="str">
            <v xml:space="preserve">B </v>
          </cell>
        </row>
        <row r="615">
          <cell r="A615" t="str">
            <v xml:space="preserve">GDKM9-100-T999 </v>
          </cell>
          <cell r="B615" t="str">
            <v xml:space="preserve">Global App Developer Kit 1.0 </v>
          </cell>
          <cell r="C615">
            <v>413</v>
          </cell>
          <cell r="D615" t="str">
            <v xml:space="preserve">B </v>
          </cell>
        </row>
        <row r="616">
          <cell r="A616" t="str">
            <v xml:space="preserve">GDMD9-100-9999 </v>
          </cell>
          <cell r="B616" t="str">
            <v xml:space="preserve">GDMO BUILDER 1.0, DOC </v>
          </cell>
          <cell r="C616">
            <v>195</v>
          </cell>
          <cell r="D616" t="str">
            <v xml:space="preserve">D </v>
          </cell>
        </row>
        <row r="617">
          <cell r="A617" t="str">
            <v xml:space="preserve">GDMIS-100-9999 </v>
          </cell>
          <cell r="B617" t="str">
            <v xml:space="preserve">GDMO BUILDER 1.0, LIC </v>
          </cell>
          <cell r="C617">
            <v>12586</v>
          </cell>
          <cell r="D617" t="str">
            <v xml:space="preserve">B </v>
          </cell>
        </row>
        <row r="618">
          <cell r="A618" t="str">
            <v xml:space="preserve">GDMO-1.0-D </v>
          </cell>
          <cell r="B618" t="str">
            <v xml:space="preserve">GDMO BUILDER 1.0, DOC </v>
          </cell>
          <cell r="C618">
            <v>195</v>
          </cell>
          <cell r="D618" t="str">
            <v xml:space="preserve">D </v>
          </cell>
        </row>
        <row r="619">
          <cell r="A619" t="str">
            <v xml:space="preserve">GDMO-1.0-S </v>
          </cell>
          <cell r="B619" t="str">
            <v xml:space="preserve">GDMO BUILDER 1.0, CD LIC </v>
          </cell>
          <cell r="C619">
            <v>11687</v>
          </cell>
          <cell r="D619" t="str">
            <v xml:space="preserve">B </v>
          </cell>
        </row>
        <row r="620">
          <cell r="A620" t="str">
            <v xml:space="preserve">HA-1.3-DOC </v>
          </cell>
          <cell r="B620" t="str">
            <v xml:space="preserve">SOLSTICE HA 1.3 DOCS </v>
          </cell>
          <cell r="C620">
            <v>700</v>
          </cell>
          <cell r="D620" t="str">
            <v xml:space="preserve">B </v>
          </cell>
        </row>
        <row r="621">
          <cell r="A621" t="str">
            <v xml:space="preserve">HA-MULT </v>
          </cell>
          <cell r="B621" t="str">
            <v xml:space="preserve">HA Support Bundle </v>
          </cell>
          <cell r="C621">
            <v>12500</v>
          </cell>
          <cell r="D621" t="str">
            <v xml:space="preserve">D </v>
          </cell>
        </row>
        <row r="622">
          <cell r="A622" t="str">
            <v xml:space="preserve">HA-SAP1-1.3-L </v>
          </cell>
          <cell r="B622" t="str">
            <v xml:space="preserve">HA 1.3 SAP AGENT E2-E3000 </v>
          </cell>
          <cell r="C622">
            <v>2800</v>
          </cell>
          <cell r="D622" t="str">
            <v xml:space="preserve">B </v>
          </cell>
        </row>
        <row r="623">
          <cell r="A623" t="str">
            <v xml:space="preserve">HA-SAP2-1.3-L </v>
          </cell>
          <cell r="B623" t="str">
            <v xml:space="preserve">HA 1.3 SAP AGENT E4/5/6000 </v>
          </cell>
          <cell r="C623">
            <v>5600</v>
          </cell>
          <cell r="D623" t="str">
            <v xml:space="preserve">B </v>
          </cell>
        </row>
        <row r="624">
          <cell r="A624" t="str">
            <v xml:space="preserve">HA-SUPP </v>
          </cell>
          <cell r="B624" t="str">
            <v xml:space="preserve">HA SUPPORT BUNDLE </v>
          </cell>
          <cell r="C624">
            <v>24500</v>
          </cell>
          <cell r="D624" t="str">
            <v xml:space="preserve">D </v>
          </cell>
        </row>
        <row r="625">
          <cell r="A625" t="str">
            <v xml:space="preserve">HA2-1.3-S </v>
          </cell>
          <cell r="B625" t="str">
            <v xml:space="preserve">SOLSTICE HA 1.3 E2, CD DOC LI </v>
          </cell>
          <cell r="C625">
            <v>2800</v>
          </cell>
          <cell r="D625" t="str">
            <v xml:space="preserve">B </v>
          </cell>
        </row>
        <row r="626">
          <cell r="A626" t="str">
            <v xml:space="preserve">HA3-1.3-S </v>
          </cell>
          <cell r="B626" t="str">
            <v xml:space="preserve">SOLST HA 1.3 E3000, CD DOC LI </v>
          </cell>
          <cell r="C626">
            <v>10500</v>
          </cell>
          <cell r="D626" t="str">
            <v xml:space="preserve">B </v>
          </cell>
        </row>
        <row r="627">
          <cell r="A627" t="str">
            <v xml:space="preserve">HA4-1.3-S </v>
          </cell>
          <cell r="B627" t="str">
            <v xml:space="preserve">SOLS HA 1.3 E4000, CD DOC LI </v>
          </cell>
          <cell r="C627">
            <v>16800</v>
          </cell>
          <cell r="D627" t="str">
            <v xml:space="preserve">B </v>
          </cell>
        </row>
        <row r="628">
          <cell r="A628" t="str">
            <v xml:space="preserve">HA5-1.3-S </v>
          </cell>
          <cell r="B628" t="str">
            <v xml:space="preserve">SOLST HA 1.3 E5000, CD DOC LI </v>
          </cell>
          <cell r="C628">
            <v>16800</v>
          </cell>
          <cell r="D628" t="str">
            <v xml:space="preserve">B </v>
          </cell>
        </row>
        <row r="629">
          <cell r="A629" t="str">
            <v xml:space="preserve">HA6-1.3-S </v>
          </cell>
          <cell r="B629" t="str">
            <v xml:space="preserve">SOLST HA 1.3 E6000, CD DOC LI </v>
          </cell>
          <cell r="C629">
            <v>33600</v>
          </cell>
          <cell r="D629" t="str">
            <v xml:space="preserve">B </v>
          </cell>
        </row>
        <row r="630">
          <cell r="A630" t="str">
            <v xml:space="preserve">HAI-1.3-L </v>
          </cell>
          <cell r="B630" t="str">
            <v xml:space="preserve">HA 1.3 INFORMIX DS MODULE </v>
          </cell>
          <cell r="C630">
            <v>2800</v>
          </cell>
          <cell r="D630" t="str">
            <v xml:space="preserve">B </v>
          </cell>
        </row>
        <row r="631">
          <cell r="A631" t="str">
            <v xml:space="preserve">HAN-1.3-L </v>
          </cell>
          <cell r="B631" t="str">
            <v xml:space="preserve">HA 1.3 INTERNET DS MODULE </v>
          </cell>
          <cell r="C631">
            <v>2800</v>
          </cell>
          <cell r="D631" t="str">
            <v xml:space="preserve">B </v>
          </cell>
        </row>
        <row r="632">
          <cell r="A632" t="str">
            <v xml:space="preserve">HAO-1.3-L </v>
          </cell>
          <cell r="B632" t="str">
            <v xml:space="preserve">HA 1.3 ORACLE DS MODULE </v>
          </cell>
          <cell r="C632">
            <v>2800</v>
          </cell>
          <cell r="D632" t="str">
            <v xml:space="preserve">B </v>
          </cell>
        </row>
        <row r="633">
          <cell r="A633" t="str">
            <v xml:space="preserve">HAS-1.3-L </v>
          </cell>
          <cell r="B633" t="str">
            <v xml:space="preserve">HA 1.3 SYBASE DS MODULE </v>
          </cell>
          <cell r="C633">
            <v>2800</v>
          </cell>
          <cell r="D633" t="str">
            <v xml:space="preserve">B </v>
          </cell>
        </row>
        <row r="634">
          <cell r="A634" t="str">
            <v xml:space="preserve">HPC-2.0-B </v>
          </cell>
          <cell r="B634" t="str">
            <v xml:space="preserve">HPC 2.0 MEDIA AND DOC </v>
          </cell>
          <cell r="C634">
            <v>560</v>
          </cell>
          <cell r="D634" t="str">
            <v xml:space="preserve">B </v>
          </cell>
        </row>
        <row r="635">
          <cell r="A635" t="str">
            <v xml:space="preserve">HPC-L3.0R3.0-L1 </v>
          </cell>
          <cell r="B635" t="str">
            <v xml:space="preserve">HPC 2.0 LSF &amp; RTE LIC 1 PROC </v>
          </cell>
          <cell r="C635">
            <v>2800</v>
          </cell>
          <cell r="D635" t="str">
            <v xml:space="preserve">B </v>
          </cell>
        </row>
        <row r="636">
          <cell r="A636" t="str">
            <v xml:space="preserve">HPC-L3.0R3.0-L16 </v>
          </cell>
          <cell r="B636" t="str">
            <v xml:space="preserve">HPC 2.0 LSF &amp; RTE LIC 32 PROC </v>
          </cell>
          <cell r="C636">
            <v>44800</v>
          </cell>
          <cell r="D636" t="str">
            <v xml:space="preserve">B </v>
          </cell>
        </row>
        <row r="637">
          <cell r="A637" t="str">
            <v xml:space="preserve">HPC-L3.0R3.0-L4 </v>
          </cell>
          <cell r="B637" t="str">
            <v xml:space="preserve">HPC 2.0 LSF &amp; RTE LIC 8 PROC </v>
          </cell>
          <cell r="C637">
            <v>11200</v>
          </cell>
          <cell r="D637" t="str">
            <v xml:space="preserve">B </v>
          </cell>
        </row>
        <row r="638">
          <cell r="A638" t="str">
            <v xml:space="preserve">HPC-PDE1.0FC-L1 </v>
          </cell>
          <cell r="B638" t="str">
            <v xml:space="preserve">HPC 2.0 PDE/PERF FORT, BP </v>
          </cell>
          <cell r="C638">
            <v>4893</v>
          </cell>
          <cell r="D638" t="str">
            <v xml:space="preserve">B </v>
          </cell>
        </row>
        <row r="639">
          <cell r="A639" t="str">
            <v xml:space="preserve">HPC-PDE1.0WF-L1 </v>
          </cell>
          <cell r="B639" t="str">
            <v xml:space="preserve">HPC 2.0 PDE/PERF FORT, LIC </v>
          </cell>
          <cell r="C639">
            <v>7973</v>
          </cell>
          <cell r="D639" t="str">
            <v xml:space="preserve">B </v>
          </cell>
        </row>
        <row r="640">
          <cell r="A640" t="str">
            <v xml:space="preserve">HPC3500-C72-2 </v>
          </cell>
          <cell r="B640" t="str">
            <v xml:space="preserve">HPC3500-C72 Server Base Pkg </v>
          </cell>
          <cell r="C640">
            <v>68040</v>
          </cell>
          <cell r="D640" t="str">
            <v xml:space="preserve">A </v>
          </cell>
        </row>
        <row r="641">
          <cell r="A641" t="str">
            <v xml:space="preserve">HPC450-BA-2 </v>
          </cell>
          <cell r="B641" t="str">
            <v xml:space="preserve">SUN HPC 450 SERVER BASE PCKG </v>
          </cell>
          <cell r="C641">
            <v>18389</v>
          </cell>
          <cell r="D641" t="str">
            <v xml:space="preserve">H </v>
          </cell>
        </row>
        <row r="642">
          <cell r="A642" t="str">
            <v xml:space="preserve">HPC4500-2 </v>
          </cell>
          <cell r="B642" t="str">
            <v xml:space="preserve">HPC4500 SERVER BASE PKG </v>
          </cell>
          <cell r="C642">
            <v>70200</v>
          </cell>
          <cell r="D642" t="str">
            <v xml:space="preserve">A </v>
          </cell>
        </row>
        <row r="643">
          <cell r="A643" t="str">
            <v xml:space="preserve">HPC5500-2 </v>
          </cell>
          <cell r="B643" t="str">
            <v xml:space="preserve">HPC5500 SERVER BASE PKG </v>
          </cell>
          <cell r="C643">
            <v>86700</v>
          </cell>
          <cell r="D643" t="str">
            <v xml:space="preserve">A </v>
          </cell>
        </row>
        <row r="644">
          <cell r="A644" t="str">
            <v xml:space="preserve">HPC6500-2 </v>
          </cell>
          <cell r="B644" t="str">
            <v xml:space="preserve">HPC6500 SERVER BASE </v>
          </cell>
          <cell r="C644">
            <v>256500</v>
          </cell>
          <cell r="D644" t="str">
            <v xml:space="preserve">A </v>
          </cell>
        </row>
        <row r="645">
          <cell r="A645" t="str">
            <v xml:space="preserve">HSI-PF </v>
          </cell>
          <cell r="B645" t="str">
            <v xml:space="preserve">SUNLINK HSI/S 2.0 UPGRADE </v>
          </cell>
          <cell r="C645">
            <v>540</v>
          </cell>
          <cell r="D645" t="str">
            <v xml:space="preserve">B </v>
          </cell>
        </row>
        <row r="646">
          <cell r="A646" t="str">
            <v xml:space="preserve">IMCI9-320-9999 </v>
          </cell>
          <cell r="B646" t="str">
            <v xml:space="preserve">SIMS 3.2 CC:MAIL </v>
          </cell>
          <cell r="C646">
            <v>7000</v>
          </cell>
          <cell r="D646" t="str">
            <v xml:space="preserve">B </v>
          </cell>
        </row>
        <row r="647">
          <cell r="A647" t="str">
            <v xml:space="preserve">IMCI9-350-9999 </v>
          </cell>
          <cell r="B647" t="str">
            <v xml:space="preserve">SIMS 3.5 CC:MAIL CONNECTIVITY </v>
          </cell>
          <cell r="C647">
            <v>7000</v>
          </cell>
          <cell r="D647" t="str">
            <v xml:space="preserve">B </v>
          </cell>
        </row>
        <row r="648">
          <cell r="A648" t="str">
            <v xml:space="preserve">IMMI9-320-9999 </v>
          </cell>
          <cell r="B648" t="str">
            <v xml:space="preserve">SIMS 3.2 MS MAIL </v>
          </cell>
          <cell r="C648">
            <v>7000</v>
          </cell>
          <cell r="D648" t="str">
            <v xml:space="preserve">B </v>
          </cell>
        </row>
        <row r="649">
          <cell r="A649" t="str">
            <v xml:space="preserve">IMMI9-350-9999 </v>
          </cell>
          <cell r="B649" t="str">
            <v xml:space="preserve">SIMS 3.5 MS MAIL CONNECTIVITY </v>
          </cell>
          <cell r="C649">
            <v>7000</v>
          </cell>
          <cell r="D649" t="str">
            <v xml:space="preserve">B </v>
          </cell>
        </row>
        <row r="650">
          <cell r="A650" t="str">
            <v xml:space="preserve">IMP99-350-E999 </v>
          </cell>
          <cell r="B650" t="str">
            <v xml:space="preserve">SIMS 3.5 IMAP/POP PROXY SERVER </v>
          </cell>
          <cell r="C650">
            <v>2800</v>
          </cell>
          <cell r="D650" t="str">
            <v xml:space="preserve">B </v>
          </cell>
        </row>
        <row r="651">
          <cell r="A651" t="str">
            <v xml:space="preserve">IMPI9-320-9999 </v>
          </cell>
          <cell r="B651" t="str">
            <v xml:space="preserve">SIMS 3.2 IBM PROFS </v>
          </cell>
          <cell r="C651">
            <v>14000</v>
          </cell>
          <cell r="D651" t="str">
            <v xml:space="preserve">B </v>
          </cell>
        </row>
        <row r="652">
          <cell r="A652" t="str">
            <v xml:space="preserve">IMS99-320-E9T9 </v>
          </cell>
          <cell r="B652" t="str">
            <v xml:space="preserve">UG SIMS 3.2 DEP - ENT SERVER </v>
          </cell>
          <cell r="C652">
            <v>2800</v>
          </cell>
          <cell r="D652" t="str">
            <v xml:space="preserve">B </v>
          </cell>
        </row>
        <row r="653">
          <cell r="A653" t="str">
            <v xml:space="preserve">IMS99-350-HA10 </v>
          </cell>
          <cell r="B653" t="str">
            <v xml:space="preserve">SUNCLUSTER 2.1 SIMS STARFIRE </v>
          </cell>
          <cell r="C653">
            <v>2800</v>
          </cell>
          <cell r="D653" t="str">
            <v xml:space="preserve">B </v>
          </cell>
        </row>
        <row r="654">
          <cell r="A654" t="str">
            <v xml:space="preserve">IMSC9-320-9999 </v>
          </cell>
          <cell r="B654" t="str">
            <v xml:space="preserve">SIMS 3.2 100 ADD. MAILBOXES </v>
          </cell>
          <cell r="C654">
            <v>1680</v>
          </cell>
          <cell r="D654" t="str">
            <v xml:space="preserve">B </v>
          </cell>
        </row>
        <row r="655">
          <cell r="A655" t="str">
            <v xml:space="preserve">IMSC9-320WE999 </v>
          </cell>
          <cell r="B655" t="str">
            <v xml:space="preserve">SIMS 3.2 ENT. SERVER, CD LIC </v>
          </cell>
          <cell r="C655">
            <v>4893</v>
          </cell>
          <cell r="D655" t="str">
            <v xml:space="preserve">B </v>
          </cell>
        </row>
        <row r="656">
          <cell r="A656" t="str">
            <v xml:space="preserve">IMSC9-320WE99C </v>
          </cell>
          <cell r="B656" t="str">
            <v xml:space="preserve">JAP SIMS 3.2 ENT. SVR, CD LIC </v>
          </cell>
          <cell r="C656">
            <v>4893</v>
          </cell>
          <cell r="D656" t="str">
            <v xml:space="preserve">B </v>
          </cell>
        </row>
        <row r="657">
          <cell r="A657" t="str">
            <v xml:space="preserve">IMSC9-320WW999 </v>
          </cell>
          <cell r="B657" t="str">
            <v xml:space="preserve">SIMS 3.2 DEP. SERVER, CD LIC </v>
          </cell>
          <cell r="C657">
            <v>2093</v>
          </cell>
          <cell r="D657" t="str">
            <v xml:space="preserve">B </v>
          </cell>
        </row>
        <row r="658">
          <cell r="A658" t="str">
            <v xml:space="preserve">IMSC9-320WW99C </v>
          </cell>
          <cell r="B658" t="str">
            <v xml:space="preserve">JAP SIMS 3.2 DEP. SVR, CD LIC </v>
          </cell>
          <cell r="C658">
            <v>2093</v>
          </cell>
          <cell r="D658" t="str">
            <v xml:space="preserve">B </v>
          </cell>
        </row>
        <row r="659">
          <cell r="A659" t="str">
            <v xml:space="preserve">IMSC9-350-9999 </v>
          </cell>
          <cell r="B659" t="str">
            <v xml:space="preserve">SIMS 3.5 10,000 ADD'L LICENSES </v>
          </cell>
          <cell r="C659">
            <v>115500</v>
          </cell>
          <cell r="D659" t="str">
            <v xml:space="preserve">B </v>
          </cell>
        </row>
        <row r="660">
          <cell r="A660" t="str">
            <v xml:space="preserve">IMSD9-320-9999 </v>
          </cell>
          <cell r="B660" t="str">
            <v xml:space="preserve">SIMS 3.2 DOCUMENTATION </v>
          </cell>
          <cell r="C660">
            <v>210</v>
          </cell>
          <cell r="D660" t="str">
            <v xml:space="preserve">B </v>
          </cell>
        </row>
        <row r="661">
          <cell r="A661" t="str">
            <v xml:space="preserve">IMSD9-350-9999 </v>
          </cell>
          <cell r="B661" t="str">
            <v xml:space="preserve">SIMS 3.5 DOCUMENTATION </v>
          </cell>
          <cell r="C661">
            <v>210</v>
          </cell>
          <cell r="D661" t="str">
            <v xml:space="preserve">B </v>
          </cell>
        </row>
        <row r="662">
          <cell r="A662" t="str">
            <v xml:space="preserve">IMSE9-350-9999 </v>
          </cell>
          <cell r="B662" t="str">
            <v xml:space="preserve">SIMS 3.5 25,000 ADD'L LICENSES </v>
          </cell>
          <cell r="C662">
            <v>236250</v>
          </cell>
          <cell r="D662" t="str">
            <v xml:space="preserve">B </v>
          </cell>
        </row>
        <row r="663">
          <cell r="A663" t="str">
            <v xml:space="preserve">IMSF9-350-9999 </v>
          </cell>
          <cell r="B663" t="str">
            <v xml:space="preserve">SIMS 3.5 50,000 ADD'L LICENSES </v>
          </cell>
          <cell r="C663">
            <v>420000</v>
          </cell>
          <cell r="D663" t="str">
            <v xml:space="preserve">B </v>
          </cell>
        </row>
        <row r="664">
          <cell r="A664" t="str">
            <v xml:space="preserve">IMSG9-320-9999 </v>
          </cell>
          <cell r="B664" t="str">
            <v xml:space="preserve">SIMS 3.2 1000 ADD. MAILBOXES </v>
          </cell>
          <cell r="C664">
            <v>14000</v>
          </cell>
          <cell r="D664" t="str">
            <v xml:space="preserve">B </v>
          </cell>
        </row>
        <row r="665">
          <cell r="A665" t="str">
            <v xml:space="preserve">IMSG9-350-9999 </v>
          </cell>
          <cell r="B665" t="str">
            <v xml:space="preserve">SIMS 3.5 ADD'L MAILBOX LICENCE </v>
          </cell>
          <cell r="C665">
            <v>630000</v>
          </cell>
          <cell r="D665" t="str">
            <v xml:space="preserve">B </v>
          </cell>
        </row>
        <row r="666">
          <cell r="A666" t="str">
            <v xml:space="preserve">IMSH9-350-9999 </v>
          </cell>
          <cell r="B666" t="str">
            <v xml:space="preserve">SIMS 3.5 250,000 ADD'L LICENSE </v>
          </cell>
          <cell r="C666">
            <v>1312500</v>
          </cell>
          <cell r="D666" t="str">
            <v xml:space="preserve">B </v>
          </cell>
        </row>
        <row r="667">
          <cell r="A667" t="str">
            <v xml:space="preserve">IMSI9-350-9999 </v>
          </cell>
          <cell r="B667" t="str">
            <v xml:space="preserve">SIMS 3.5 100 ADD'L MAILBOXES </v>
          </cell>
          <cell r="C667">
            <v>1680</v>
          </cell>
          <cell r="D667" t="str">
            <v xml:space="preserve">B </v>
          </cell>
        </row>
        <row r="668">
          <cell r="A668" t="str">
            <v xml:space="preserve">IMSI9-350WE999 </v>
          </cell>
          <cell r="B668" t="str">
            <v xml:space="preserve">SIMS 3.5 ENTERPRISE SERVER </v>
          </cell>
          <cell r="C668">
            <v>4893</v>
          </cell>
          <cell r="D668" t="str">
            <v xml:space="preserve">B </v>
          </cell>
        </row>
        <row r="669">
          <cell r="A669" t="str">
            <v xml:space="preserve">IMSI9-350WW999 </v>
          </cell>
          <cell r="B669" t="str">
            <v xml:space="preserve">SIMS 3.5 DEPARTMENTAL SERVER </v>
          </cell>
          <cell r="C669">
            <v>2093</v>
          </cell>
          <cell r="D669" t="str">
            <v xml:space="preserve">B </v>
          </cell>
        </row>
        <row r="670">
          <cell r="A670" t="str">
            <v xml:space="preserve">IMSJ9-350-9999 </v>
          </cell>
          <cell r="B670" t="str">
            <v xml:space="preserve">SIMS 3.5 500,000 ADD'L LICENSE </v>
          </cell>
          <cell r="C670">
            <v>2100000</v>
          </cell>
          <cell r="D670" t="str">
            <v xml:space="preserve">B </v>
          </cell>
        </row>
        <row r="671">
          <cell r="A671" t="str">
            <v xml:space="preserve">IMSK9-320-9999 </v>
          </cell>
          <cell r="B671" t="str">
            <v xml:space="preserve">SIMS 3.2 10,000 ADD. MAILBOXES </v>
          </cell>
          <cell r="C671">
            <v>126000</v>
          </cell>
          <cell r="D671" t="str">
            <v xml:space="preserve">B </v>
          </cell>
        </row>
        <row r="672">
          <cell r="A672" t="str">
            <v xml:space="preserve">IMSK9-350-9999 </v>
          </cell>
          <cell r="B672" t="str">
            <v xml:space="preserve">SIMS 3.5 1 MILLION ADD'L LICS </v>
          </cell>
          <cell r="C672">
            <v>2800000</v>
          </cell>
          <cell r="D672" t="str">
            <v xml:space="preserve">B </v>
          </cell>
        </row>
        <row r="673">
          <cell r="A673" t="str">
            <v xml:space="preserve">IMSM9-350W9999 </v>
          </cell>
          <cell r="B673" t="str">
            <v xml:space="preserve">SIMS 3.5 REPLACEMENT CD </v>
          </cell>
          <cell r="C673">
            <v>105</v>
          </cell>
          <cell r="D673" t="str">
            <v xml:space="preserve">B </v>
          </cell>
        </row>
        <row r="674">
          <cell r="A674" t="str">
            <v xml:space="preserve">IMSN9-320-9999 </v>
          </cell>
          <cell r="B674" t="str">
            <v xml:space="preserve">SIMS 3.2 25,000 ADD. MAILBOXES </v>
          </cell>
          <cell r="C674">
            <v>280000</v>
          </cell>
          <cell r="D674" t="str">
            <v xml:space="preserve">B </v>
          </cell>
        </row>
        <row r="675">
          <cell r="A675" t="str">
            <v xml:space="preserve">IMSN9-350-9999 </v>
          </cell>
          <cell r="B675" t="str">
            <v xml:space="preserve">SIMS 3.5 2.5 MILLION ADD'L LIC </v>
          </cell>
          <cell r="C675">
            <v>4550000</v>
          </cell>
          <cell r="D675" t="str">
            <v xml:space="preserve">B </v>
          </cell>
        </row>
        <row r="676">
          <cell r="A676" t="str">
            <v xml:space="preserve">IMSP9-350-9999 </v>
          </cell>
          <cell r="B676" t="str">
            <v xml:space="preserve">SIMS 3.5 5 MILLION ADD'L LICS </v>
          </cell>
          <cell r="C676">
            <v>5250000</v>
          </cell>
          <cell r="D676" t="str">
            <v xml:space="preserve">B </v>
          </cell>
        </row>
        <row r="677">
          <cell r="A677" t="str">
            <v xml:space="preserve">IMSR9-320-9999 </v>
          </cell>
          <cell r="B677" t="str">
            <v xml:space="preserve">SIMS 3.2 100,000 ADD. MAILBOXE </v>
          </cell>
          <cell r="C677">
            <v>840000</v>
          </cell>
          <cell r="D677" t="str">
            <v xml:space="preserve">B </v>
          </cell>
        </row>
        <row r="678">
          <cell r="A678" t="str">
            <v xml:space="preserve">IMST9-350-9999 </v>
          </cell>
          <cell r="B678" t="str">
            <v xml:space="preserve">SIMS 3.5 75,000 ADD'L LICENSE </v>
          </cell>
          <cell r="C678">
            <v>551250</v>
          </cell>
          <cell r="D678" t="str">
            <v xml:space="preserve">B </v>
          </cell>
        </row>
        <row r="679">
          <cell r="A679" t="str">
            <v xml:space="preserve">IMSU9-350-9999 </v>
          </cell>
          <cell r="B679" t="str">
            <v xml:space="preserve">SIMS 3.5 750,000 ADD'L LICENSE </v>
          </cell>
          <cell r="C679">
            <v>2625000</v>
          </cell>
          <cell r="D679" t="str">
            <v xml:space="preserve">B </v>
          </cell>
        </row>
        <row r="680">
          <cell r="A680" t="str">
            <v xml:space="preserve">IMSX9-350-9999 </v>
          </cell>
          <cell r="B680" t="str">
            <v xml:space="preserve">SIMS 3.5 1000 Add'l Licenses </v>
          </cell>
          <cell r="C680">
            <v>14000</v>
          </cell>
          <cell r="D680" t="str">
            <v xml:space="preserve">B </v>
          </cell>
        </row>
        <row r="681">
          <cell r="A681" t="str">
            <v xml:space="preserve">IPCCS-200-E999 </v>
          </cell>
          <cell r="B681" t="str">
            <v xml:space="preserve">i-Planet 100 User Lic </v>
          </cell>
          <cell r="C681">
            <v>13993</v>
          </cell>
          <cell r="D681" t="str">
            <v xml:space="preserve">B </v>
          </cell>
        </row>
        <row r="682">
          <cell r="A682" t="str">
            <v xml:space="preserve">IPCGS-200-E999 </v>
          </cell>
          <cell r="B682" t="str">
            <v xml:space="preserve">i-Planet 1000 User Lic </v>
          </cell>
          <cell r="C682">
            <v>69993</v>
          </cell>
          <cell r="D682" t="str">
            <v xml:space="preserve">B </v>
          </cell>
        </row>
        <row r="683">
          <cell r="A683" t="str">
            <v xml:space="preserve">IPCJS-200-E999 </v>
          </cell>
          <cell r="B683" t="str">
            <v xml:space="preserve">i-Planet 5000 User Lic </v>
          </cell>
          <cell r="C683">
            <v>244993</v>
          </cell>
          <cell r="D683" t="str">
            <v xml:space="preserve">B </v>
          </cell>
        </row>
        <row r="684">
          <cell r="A684" t="str">
            <v xml:space="preserve">IPCMS-200NE999 </v>
          </cell>
          <cell r="B684" t="str">
            <v xml:space="preserve">i-Planet Media, doc, US &amp; Can </v>
          </cell>
          <cell r="C684">
            <v>413</v>
          </cell>
          <cell r="D684" t="str">
            <v xml:space="preserve">B </v>
          </cell>
        </row>
        <row r="685">
          <cell r="A685" t="str">
            <v xml:space="preserve">IPCMS-200WE999 </v>
          </cell>
          <cell r="B685" t="str">
            <v xml:space="preserve">i-Planet Media, doc, Global </v>
          </cell>
          <cell r="C685">
            <v>413</v>
          </cell>
          <cell r="D685" t="str">
            <v xml:space="preserve">B </v>
          </cell>
        </row>
        <row r="686">
          <cell r="A686" t="str">
            <v xml:space="preserve">IPCNS-200-E999 </v>
          </cell>
          <cell r="B686" t="str">
            <v xml:space="preserve">i-Planet 25000 User Lic </v>
          </cell>
          <cell r="C686">
            <v>699993</v>
          </cell>
          <cell r="D686" t="str">
            <v xml:space="preserve">B </v>
          </cell>
        </row>
        <row r="687">
          <cell r="A687" t="str">
            <v xml:space="preserve">IPCSS-200-E999 </v>
          </cell>
          <cell r="B687" t="str">
            <v xml:space="preserve">i-Planet Site License </v>
          </cell>
          <cell r="C687">
            <v>28</v>
          </cell>
          <cell r="D687" t="str">
            <v xml:space="preserve">B </v>
          </cell>
        </row>
        <row r="688">
          <cell r="A688" t="str">
            <v xml:space="preserve">IPMCS-200-E999 </v>
          </cell>
          <cell r="B688" t="str">
            <v xml:space="preserve">i-Planet Mail Users Lic Mail </v>
          </cell>
          <cell r="C688">
            <v>2093</v>
          </cell>
          <cell r="D688" t="str">
            <v xml:space="preserve">B </v>
          </cell>
        </row>
        <row r="689">
          <cell r="A689" t="str">
            <v xml:space="preserve">IPMGS-200-E999 </v>
          </cell>
          <cell r="B689" t="str">
            <v xml:space="preserve">i-Planet Mail Users Lic 1000 u </v>
          </cell>
          <cell r="C689">
            <v>16793</v>
          </cell>
          <cell r="D689" t="str">
            <v xml:space="preserve">B </v>
          </cell>
        </row>
        <row r="690">
          <cell r="A690" t="str">
            <v xml:space="preserve">IPMJS-200-E999 </v>
          </cell>
          <cell r="B690" t="str">
            <v xml:space="preserve">i-Planet Mail Users Lic 5000 u </v>
          </cell>
          <cell r="C690">
            <v>69993</v>
          </cell>
          <cell r="D690" t="str">
            <v xml:space="preserve">B </v>
          </cell>
        </row>
        <row r="691">
          <cell r="A691" t="str">
            <v xml:space="preserve">IPMNS-200-E999 </v>
          </cell>
          <cell r="B691" t="str">
            <v xml:space="preserve">i-Planet Mail Users Lic 25000 </v>
          </cell>
          <cell r="C691">
            <v>209993</v>
          </cell>
          <cell r="D691" t="str">
            <v xml:space="preserve">B </v>
          </cell>
        </row>
        <row r="692">
          <cell r="A692" t="str">
            <v xml:space="preserve">IPMSS-200-E999 </v>
          </cell>
          <cell r="B692" t="str">
            <v xml:space="preserve">i-Planet Mail Users Lic Site L </v>
          </cell>
          <cell r="C692">
            <v>8</v>
          </cell>
          <cell r="D692" t="str">
            <v xml:space="preserve">B </v>
          </cell>
        </row>
        <row r="693">
          <cell r="A693" t="str">
            <v xml:space="preserve">IPTCS-200-E9T9 </v>
          </cell>
          <cell r="B693" t="str">
            <v xml:space="preserve">i-Planet Tradeup User Lic 100 </v>
          </cell>
          <cell r="C693">
            <v>12593</v>
          </cell>
          <cell r="D693" t="str">
            <v xml:space="preserve">B </v>
          </cell>
        </row>
        <row r="694">
          <cell r="A694" t="str">
            <v xml:space="preserve">IPTGS-200-E9T9 </v>
          </cell>
          <cell r="B694" t="str">
            <v xml:space="preserve">i-Planet Tradeup User Lic1000 </v>
          </cell>
          <cell r="C694">
            <v>55993</v>
          </cell>
          <cell r="D694" t="str">
            <v xml:space="preserve">B </v>
          </cell>
        </row>
        <row r="695">
          <cell r="A695" t="str">
            <v xml:space="preserve">IPTJS-200-E9T9 </v>
          </cell>
          <cell r="B695" t="str">
            <v xml:space="preserve">i-Planet Tradeup User Lic 5000 </v>
          </cell>
          <cell r="C695">
            <v>195993</v>
          </cell>
          <cell r="D695" t="str">
            <v xml:space="preserve">B </v>
          </cell>
        </row>
        <row r="696">
          <cell r="A696" t="str">
            <v xml:space="preserve">IPTNS-200-E9T9 </v>
          </cell>
          <cell r="B696" t="str">
            <v xml:space="preserve">i-Planet Tradeup User Li 25000 </v>
          </cell>
          <cell r="C696">
            <v>559993</v>
          </cell>
          <cell r="D696" t="str">
            <v xml:space="preserve">B </v>
          </cell>
        </row>
        <row r="697">
          <cell r="A697" t="str">
            <v xml:space="preserve">IPTSS-200-E9T9 </v>
          </cell>
          <cell r="B697" t="str">
            <v xml:space="preserve">i-Planet T-up Site Lic per use </v>
          </cell>
          <cell r="C697">
            <v>22</v>
          </cell>
          <cell r="D697" t="str">
            <v xml:space="preserve">B </v>
          </cell>
        </row>
        <row r="698">
          <cell r="A698" t="str">
            <v xml:space="preserve">ISOL-2.5.1APR97-P </v>
          </cell>
          <cell r="B698" t="str">
            <v xml:space="preserve">SOL X86 2.5.1HW4/97,CD DOC LI </v>
          </cell>
          <cell r="C698">
            <v>2984</v>
          </cell>
          <cell r="D698" t="str">
            <v xml:space="preserve">D </v>
          </cell>
        </row>
        <row r="699">
          <cell r="A699" t="str">
            <v xml:space="preserve">ISOL-2.6-D-P </v>
          </cell>
          <cell r="B699" t="str">
            <v xml:space="preserve">SOLARIS 2.6 DT X86 US </v>
          </cell>
          <cell r="C699">
            <v>585</v>
          </cell>
          <cell r="D699" t="str">
            <v xml:space="preserve">D </v>
          </cell>
        </row>
        <row r="700">
          <cell r="A700" t="str">
            <v xml:space="preserve">ISOL-2.6-USL-P </v>
          </cell>
          <cell r="B700" t="str">
            <v xml:space="preserve">SOLARIS 2.6 WG SV X86 US </v>
          </cell>
          <cell r="C700">
            <v>904</v>
          </cell>
          <cell r="D700" t="str">
            <v xml:space="preserve">D </v>
          </cell>
        </row>
        <row r="701">
          <cell r="A701" t="str">
            <v xml:space="preserve">JAVAST-RTU </v>
          </cell>
          <cell r="B701" t="str">
            <v xml:space="preserve">JAVASTATION CLIENT SW RTU </v>
          </cell>
          <cell r="C701">
            <v>93</v>
          </cell>
          <cell r="D701" t="str">
            <v>G</v>
          </cell>
        </row>
        <row r="702">
          <cell r="A702" t="str">
            <v xml:space="preserve">JDAG9-200-R999 </v>
          </cell>
          <cell r="B702" t="str">
            <v xml:space="preserve">JDMK 2.0 1000RTU RUNTIME AGENT </v>
          </cell>
          <cell r="C702">
            <v>6993</v>
          </cell>
          <cell r="D702" t="str">
            <v xml:space="preserve">B </v>
          </cell>
        </row>
        <row r="703">
          <cell r="A703" t="str">
            <v xml:space="preserve">JDBX9-200-R999 </v>
          </cell>
          <cell r="B703" t="str">
            <v xml:space="preserve">JDMK 2.0 10RTU MASTER AGENT RT </v>
          </cell>
          <cell r="C703">
            <v>6993</v>
          </cell>
          <cell r="D703" t="str">
            <v xml:space="preserve">B </v>
          </cell>
        </row>
        <row r="704">
          <cell r="A704" t="str">
            <v xml:space="preserve">JDM99-300-RO99 </v>
          </cell>
          <cell r="B704" t="str">
            <v xml:space="preserve">Java DMK 3.0 Runtime Royalties </v>
          </cell>
          <cell r="C704">
            <v>700</v>
          </cell>
          <cell r="D704" t="str">
            <v xml:space="preserve">D </v>
          </cell>
        </row>
        <row r="705">
          <cell r="A705" t="str">
            <v xml:space="preserve">JDM99-320-RO99 </v>
          </cell>
          <cell r="B705" t="str">
            <v xml:space="preserve">Java DMK 3.2 Runtime Royalties </v>
          </cell>
          <cell r="C705">
            <v>210</v>
          </cell>
          <cell r="D705" t="str">
            <v xml:space="preserve">D </v>
          </cell>
        </row>
        <row r="706">
          <cell r="A706" t="str">
            <v xml:space="preserve">JDMB9-320-TO99 </v>
          </cell>
          <cell r="B706" t="str">
            <v xml:space="preserve">JDMK 3.2 Dev. Mngt (ED) </v>
          </cell>
          <cell r="C706">
            <v>8400</v>
          </cell>
          <cell r="D706" t="str">
            <v xml:space="preserve">B </v>
          </cell>
        </row>
        <row r="707">
          <cell r="A707" t="str">
            <v xml:space="preserve">JDMD9-200-R999 </v>
          </cell>
          <cell r="B707" t="str">
            <v xml:space="preserve">JDMK 2.0 DOCUMENTATION SET </v>
          </cell>
          <cell r="C707">
            <v>210</v>
          </cell>
          <cell r="D707" t="str">
            <v xml:space="preserve">D </v>
          </cell>
        </row>
        <row r="708">
          <cell r="A708" t="str">
            <v xml:space="preserve">JDMD9-300-M999 </v>
          </cell>
          <cell r="B708" t="str">
            <v xml:space="preserve">Java DMK 3.0 Doc. only </v>
          </cell>
          <cell r="C708">
            <v>210</v>
          </cell>
          <cell r="D708" t="str">
            <v xml:space="preserve">D </v>
          </cell>
        </row>
        <row r="709">
          <cell r="A709" t="str">
            <v xml:space="preserve">JDMD9-320-M999 </v>
          </cell>
          <cell r="B709" t="str">
            <v xml:space="preserve">JDMK 3.2 Documentation </v>
          </cell>
          <cell r="C709">
            <v>210</v>
          </cell>
          <cell r="D709" t="str">
            <v xml:space="preserve">D </v>
          </cell>
        </row>
        <row r="710">
          <cell r="A710" t="str">
            <v xml:space="preserve">JDMI9-320-TO99 </v>
          </cell>
          <cell r="B710" t="str">
            <v xml:space="preserve">JDMK 3.2 Dev. Environment </v>
          </cell>
          <cell r="C710">
            <v>8400</v>
          </cell>
          <cell r="D710" t="str">
            <v xml:space="preserve">B </v>
          </cell>
        </row>
        <row r="711">
          <cell r="A711" t="str">
            <v xml:space="preserve">JDMV9-300-TO99 </v>
          </cell>
          <cell r="B711" t="str">
            <v xml:space="preserve">Java DMK Devlt Environmt Pack </v>
          </cell>
          <cell r="C711">
            <v>8400</v>
          </cell>
          <cell r="D711" t="str">
            <v xml:space="preserve">B </v>
          </cell>
        </row>
        <row r="712">
          <cell r="A712" t="str">
            <v xml:space="preserve">JDMV9-320-TO99 </v>
          </cell>
          <cell r="B712" t="str">
            <v xml:space="preserve">JDMK 3.2 5 Developer Packs </v>
          </cell>
          <cell r="C712">
            <v>25200</v>
          </cell>
          <cell r="D712" t="str">
            <v xml:space="preserve">B </v>
          </cell>
        </row>
        <row r="713">
          <cell r="A713" t="str">
            <v xml:space="preserve">JK-00-32-45 </v>
          </cell>
          <cell r="B713" t="str">
            <v xml:space="preserve">JAVASTATION TOWER, 32MB KOREA </v>
          </cell>
          <cell r="C713">
            <v>599</v>
          </cell>
          <cell r="D713" t="str">
            <v>G</v>
          </cell>
        </row>
        <row r="714">
          <cell r="A714" t="str">
            <v xml:space="preserve">JK-00-64-45 </v>
          </cell>
          <cell r="B714" t="str">
            <v xml:space="preserve">JAVASTATION TOWER, 64MB KOREA </v>
          </cell>
          <cell r="C714">
            <v>719</v>
          </cell>
          <cell r="D714" t="str">
            <v>G</v>
          </cell>
        </row>
        <row r="715">
          <cell r="A715" t="str">
            <v xml:space="preserve">JK-08-32-45 </v>
          </cell>
          <cell r="B715" t="str">
            <v xml:space="preserve">JAVASTN TWR, FLASH/32MB KOREA </v>
          </cell>
          <cell r="C715">
            <v>719</v>
          </cell>
          <cell r="D715" t="str">
            <v>G</v>
          </cell>
        </row>
        <row r="716">
          <cell r="A716" t="str">
            <v xml:space="preserve">JK-08-64-45 </v>
          </cell>
          <cell r="B716" t="str">
            <v xml:space="preserve">JAVASTN TWR, FLASH/64MB KOREA </v>
          </cell>
          <cell r="C716">
            <v>839</v>
          </cell>
          <cell r="D716" t="str">
            <v>G</v>
          </cell>
        </row>
        <row r="717">
          <cell r="A717" t="str">
            <v xml:space="preserve">JPCCI-110ND999 </v>
          </cell>
          <cell r="B717" t="str">
            <v xml:space="preserve">JavaPC1.1, 100 RTU, 128bit </v>
          </cell>
          <cell r="C717">
            <v>12460</v>
          </cell>
          <cell r="D717" t="str">
            <v xml:space="preserve">B </v>
          </cell>
        </row>
        <row r="718">
          <cell r="A718" t="str">
            <v xml:space="preserve">JPCCI-110WD999 </v>
          </cell>
          <cell r="B718" t="str">
            <v xml:space="preserve">JavaPC1.1, 100 RTU, 40bit </v>
          </cell>
          <cell r="C718">
            <v>12460</v>
          </cell>
          <cell r="D718" t="str">
            <v xml:space="preserve">B </v>
          </cell>
        </row>
        <row r="719">
          <cell r="A719" t="str">
            <v xml:space="preserve">JPCEI-110ND999 </v>
          </cell>
          <cell r="B719" t="str">
            <v xml:space="preserve">JavaPC1.1, 250 RTU, 128bit </v>
          </cell>
          <cell r="C719">
            <v>28700</v>
          </cell>
          <cell r="D719" t="str">
            <v xml:space="preserve">B </v>
          </cell>
        </row>
        <row r="720">
          <cell r="A720" t="str">
            <v xml:space="preserve">JPCEI-110WD999 </v>
          </cell>
          <cell r="B720" t="str">
            <v xml:space="preserve">JavaPC1.1, 250 RTU, 40bit </v>
          </cell>
          <cell r="C720">
            <v>28700</v>
          </cell>
          <cell r="D720" t="str">
            <v xml:space="preserve">B </v>
          </cell>
        </row>
        <row r="721">
          <cell r="A721" t="str">
            <v xml:space="preserve">JPCFI-110ND999 </v>
          </cell>
          <cell r="B721" t="str">
            <v xml:space="preserve">JavaPC1.1, 500 RTU, 128bit </v>
          </cell>
          <cell r="C721">
            <v>53340</v>
          </cell>
          <cell r="D721" t="str">
            <v xml:space="preserve">B </v>
          </cell>
        </row>
        <row r="722">
          <cell r="A722" t="str">
            <v xml:space="preserve">JPCFI-110WD999 </v>
          </cell>
          <cell r="B722" t="str">
            <v xml:space="preserve">JavaPC1.1, 500 RTU, 40bit </v>
          </cell>
          <cell r="C722">
            <v>53340</v>
          </cell>
          <cell r="D722" t="str">
            <v xml:space="preserve">B </v>
          </cell>
        </row>
        <row r="723">
          <cell r="A723" t="str">
            <v xml:space="preserve">JPCGI-110ND999 </v>
          </cell>
          <cell r="B723" t="str">
            <v xml:space="preserve">JavaPC1.1, 1000 RTU, 128bit </v>
          </cell>
          <cell r="C723">
            <v>90300</v>
          </cell>
          <cell r="D723" t="str">
            <v xml:space="preserve">B </v>
          </cell>
        </row>
        <row r="724">
          <cell r="A724" t="str">
            <v xml:space="preserve">JPCGI-110WD999 </v>
          </cell>
          <cell r="B724" t="str">
            <v xml:space="preserve">JavaPC1.1, 1000 RTU, 40bit </v>
          </cell>
          <cell r="C724">
            <v>90300</v>
          </cell>
          <cell r="D724" t="str">
            <v xml:space="preserve">B </v>
          </cell>
        </row>
        <row r="725">
          <cell r="A725" t="str">
            <v xml:space="preserve">JPCII-110ND999 </v>
          </cell>
          <cell r="B725" t="str">
            <v xml:space="preserve">JavaPC1.1 single client,128bit </v>
          </cell>
          <cell r="C725">
            <v>139</v>
          </cell>
          <cell r="D725" t="str">
            <v xml:space="preserve">B </v>
          </cell>
        </row>
        <row r="726">
          <cell r="A726" t="str">
            <v xml:space="preserve">JPCII-110WD999 </v>
          </cell>
          <cell r="B726" t="str">
            <v xml:space="preserve">JavaPC 1.1, 1 RTU, 40bit </v>
          </cell>
          <cell r="C726">
            <v>139</v>
          </cell>
          <cell r="D726" t="str">
            <v xml:space="preserve">B </v>
          </cell>
        </row>
        <row r="727">
          <cell r="A727" t="str">
            <v xml:space="preserve">JPCJI-110ND999 </v>
          </cell>
          <cell r="B727" t="str">
            <v xml:space="preserve">JavaPC1.1, 5000 RTU, 128bit </v>
          </cell>
          <cell r="C727">
            <v>420000</v>
          </cell>
          <cell r="D727" t="str">
            <v xml:space="preserve">B </v>
          </cell>
        </row>
        <row r="728">
          <cell r="A728" t="str">
            <v xml:space="preserve">JPCJI-110WD999 </v>
          </cell>
          <cell r="B728" t="str">
            <v xml:space="preserve">JavaPC1.1, 5000 RTU, 40bit </v>
          </cell>
          <cell r="C728">
            <v>420000</v>
          </cell>
          <cell r="D728" t="str">
            <v xml:space="preserve">B </v>
          </cell>
        </row>
        <row r="729">
          <cell r="A729" t="str">
            <v xml:space="preserve">JPCXI-110ND999 </v>
          </cell>
          <cell r="B729" t="str">
            <v xml:space="preserve">JavaPC1.1, 10 RTU, 128bit </v>
          </cell>
          <cell r="C729">
            <v>1330</v>
          </cell>
          <cell r="D729" t="str">
            <v xml:space="preserve">B </v>
          </cell>
        </row>
        <row r="730">
          <cell r="A730" t="str">
            <v xml:space="preserve">JPCXI-110WD999 </v>
          </cell>
          <cell r="B730" t="str">
            <v xml:space="preserve">JavaPC1.1, 10 RTU, 40bit </v>
          </cell>
          <cell r="C730">
            <v>1330</v>
          </cell>
          <cell r="D730" t="str">
            <v xml:space="preserve">B </v>
          </cell>
        </row>
        <row r="731">
          <cell r="A731" t="str">
            <v xml:space="preserve">JSCI9-100-T999 </v>
          </cell>
          <cell r="B731" t="str">
            <v xml:space="preserve">JAVASCOPE 1.0, 1LIC CERT KIT </v>
          </cell>
          <cell r="C731">
            <v>1113</v>
          </cell>
          <cell r="D731" t="str">
            <v xml:space="preserve">B </v>
          </cell>
        </row>
        <row r="732">
          <cell r="A732" t="str">
            <v xml:space="preserve">JSCX9-100-T999 </v>
          </cell>
          <cell r="B732" t="str">
            <v xml:space="preserve">JAVASCOPE 1.0, 10 LIC CERT KIT </v>
          </cell>
          <cell r="C732">
            <v>10017</v>
          </cell>
          <cell r="D732" t="str">
            <v xml:space="preserve">B </v>
          </cell>
        </row>
        <row r="733">
          <cell r="A733" t="str">
            <v xml:space="preserve">JSPI9-101-T999 </v>
          </cell>
          <cell r="B733" t="str">
            <v xml:space="preserve">JAVASPEC 1.0.2, 1 LIC CERT KIT </v>
          </cell>
          <cell r="C733">
            <v>2233</v>
          </cell>
          <cell r="D733" t="str">
            <v xml:space="preserve">B </v>
          </cell>
        </row>
        <row r="734">
          <cell r="A734" t="str">
            <v xml:space="preserve">JSPX9-101-T999 </v>
          </cell>
          <cell r="B734" t="str">
            <v xml:space="preserve">JAVASPEC 1.0.2, 10LIC CERT KIT </v>
          </cell>
          <cell r="C734">
            <v>20097</v>
          </cell>
          <cell r="D734" t="str">
            <v xml:space="preserve">B </v>
          </cell>
        </row>
        <row r="735">
          <cell r="A735" t="str">
            <v xml:space="preserve">JSRI9-113-T999 </v>
          </cell>
          <cell r="B735" t="str">
            <v xml:space="preserve">JAVASTAR 1.1.3, 1 LIC CERT KIT </v>
          </cell>
          <cell r="C735">
            <v>2793</v>
          </cell>
          <cell r="D735" t="str">
            <v xml:space="preserve">B </v>
          </cell>
        </row>
        <row r="736">
          <cell r="A736" t="str">
            <v xml:space="preserve">JSRX9-113-T999 </v>
          </cell>
          <cell r="B736" t="str">
            <v xml:space="preserve">JAVASTAR 1.1.3, 10LIC CERT KIT </v>
          </cell>
          <cell r="C736">
            <v>25193</v>
          </cell>
          <cell r="D736" t="str">
            <v xml:space="preserve">B </v>
          </cell>
        </row>
        <row r="737">
          <cell r="A737" t="str">
            <v xml:space="preserve">JST-ENT </v>
          </cell>
          <cell r="B737" t="str">
            <v xml:space="preserve">JUMPSTART EX000 SERVERS </v>
          </cell>
          <cell r="C737">
            <v>0</v>
          </cell>
          <cell r="D737" t="str">
            <v xml:space="preserve">D </v>
          </cell>
        </row>
        <row r="738">
          <cell r="A738" t="str">
            <v xml:space="preserve">JWPI9-113NW999 </v>
          </cell>
          <cell r="B738" t="str">
            <v xml:space="preserve">Java WebSvr 1.1.3 Dom License </v>
          </cell>
          <cell r="C738">
            <v>413</v>
          </cell>
          <cell r="D738" t="str">
            <v xml:space="preserve">B </v>
          </cell>
        </row>
        <row r="739">
          <cell r="A739" t="str">
            <v xml:space="preserve">JWPI9-113WW999 </v>
          </cell>
          <cell r="B739" t="str">
            <v xml:space="preserve">Java WebSvr 1.1.3 glob License </v>
          </cell>
          <cell r="C739">
            <v>413</v>
          </cell>
          <cell r="D739" t="str">
            <v xml:space="preserve">B </v>
          </cell>
        </row>
        <row r="740">
          <cell r="A740" t="str">
            <v xml:space="preserve">LMA9S-200-E999 </v>
          </cell>
          <cell r="B740" t="str">
            <v xml:space="preserve">SW LIBMON 2.0 BP, RTU ATL ENG </v>
          </cell>
          <cell r="C740">
            <v>0</v>
          </cell>
          <cell r="D740" t="str">
            <v xml:space="preserve">D </v>
          </cell>
        </row>
        <row r="741">
          <cell r="A741" t="str">
            <v xml:space="preserve">LMA9S-200-E9U9 </v>
          </cell>
          <cell r="B741" t="str">
            <v xml:space="preserve">SW LIBMON 2.0 BP, RTU UPGRADE </v>
          </cell>
          <cell r="C741">
            <v>489</v>
          </cell>
          <cell r="D741" t="str">
            <v xml:space="preserve">B </v>
          </cell>
        </row>
        <row r="742">
          <cell r="A742" t="str">
            <v xml:space="preserve">LMD9S-200-E999 </v>
          </cell>
          <cell r="B742" t="str">
            <v xml:space="preserve">SW LIBMON 2.0 DOCS (ENG) </v>
          </cell>
          <cell r="C742">
            <v>140</v>
          </cell>
          <cell r="D742" t="str">
            <v xml:space="preserve">D </v>
          </cell>
        </row>
        <row r="743">
          <cell r="A743" t="str">
            <v xml:space="preserve">LMN9S-200-E999 </v>
          </cell>
          <cell r="B743" t="str">
            <v xml:space="preserve">SW LIBMON 2.0 NON-ATL LIB ENG </v>
          </cell>
          <cell r="C743">
            <v>699</v>
          </cell>
          <cell r="D743" t="str">
            <v xml:space="preserve">B </v>
          </cell>
        </row>
        <row r="744">
          <cell r="A744" t="str">
            <v xml:space="preserve">LU0-9.1-P </v>
          </cell>
          <cell r="B744" t="str">
            <v xml:space="preserve">SUNLINK LU0 9.1, CD DOC LI </v>
          </cell>
          <cell r="C744">
            <v>3894</v>
          </cell>
          <cell r="D744" t="str">
            <v xml:space="preserve">B </v>
          </cell>
        </row>
        <row r="745">
          <cell r="A745" t="str">
            <v xml:space="preserve">MDT-4.1-P </v>
          </cell>
          <cell r="B745" t="str">
            <v xml:space="preserve">COBOL DEV KIT 4.1, CD DOC LI </v>
          </cell>
          <cell r="C745">
            <v>3290</v>
          </cell>
          <cell r="D745" t="str">
            <v xml:space="preserve">B </v>
          </cell>
        </row>
        <row r="746">
          <cell r="A746" t="str">
            <v xml:space="preserve">MDT-4.1-PU </v>
          </cell>
          <cell r="B746" t="str">
            <v xml:space="preserve">MFCOBOL 4.1 DEVLPR TOOLKIT UPG </v>
          </cell>
          <cell r="C746">
            <v>2118</v>
          </cell>
          <cell r="D746" t="str">
            <v xml:space="preserve">B </v>
          </cell>
        </row>
        <row r="747">
          <cell r="A747" t="str">
            <v xml:space="preserve">MM-286 </v>
          </cell>
          <cell r="B747" t="str">
            <v xml:space="preserve">SUNTUTOR:NIS+ ADMINISTRATION </v>
          </cell>
          <cell r="C747">
            <v>904</v>
          </cell>
          <cell r="D747" t="str">
            <v xml:space="preserve">D </v>
          </cell>
        </row>
        <row r="748">
          <cell r="A748" t="str">
            <v xml:space="preserve">MM-286-10 </v>
          </cell>
          <cell r="B748" t="str">
            <v xml:space="preserve">SUNTUTOR:NIS+ ADMINISTRATION </v>
          </cell>
          <cell r="C748">
            <v>1717</v>
          </cell>
          <cell r="D748" t="str">
            <v xml:space="preserve">D </v>
          </cell>
        </row>
        <row r="749">
          <cell r="A749" t="str">
            <v xml:space="preserve">MM-286-20 </v>
          </cell>
          <cell r="B749" t="str">
            <v xml:space="preserve">SUNTUTOR:NIS+ ADMINISTRATION </v>
          </cell>
          <cell r="C749">
            <v>3275</v>
          </cell>
          <cell r="D749" t="str">
            <v xml:space="preserve">D </v>
          </cell>
        </row>
        <row r="750">
          <cell r="A750" t="str">
            <v xml:space="preserve">MOSX-ADD-4.1-L10 </v>
          </cell>
          <cell r="B750" t="str">
            <v xml:space="preserve">COBOL OSX ADD 4.1, 10LI </v>
          </cell>
          <cell r="C750">
            <v>700</v>
          </cell>
          <cell r="D750" t="str">
            <v xml:space="preserve">B </v>
          </cell>
        </row>
        <row r="751">
          <cell r="A751" t="str">
            <v xml:space="preserve">MOSX-INI-4.1-S10 </v>
          </cell>
          <cell r="B751" t="str">
            <v xml:space="preserve">COBOL OSX INIT 4.1, CD 10LI </v>
          </cell>
          <cell r="C751">
            <v>980</v>
          </cell>
          <cell r="D751" t="str">
            <v xml:space="preserve">B </v>
          </cell>
        </row>
        <row r="752">
          <cell r="A752" t="str">
            <v xml:space="preserve">N03-UEC1-9N-128AE </v>
          </cell>
          <cell r="B752" t="str">
            <v xml:space="preserve">NETRA T AC, 1P 300MHZ,128MB,9G </v>
          </cell>
          <cell r="C752">
            <v>23093</v>
          </cell>
          <cell r="D752" t="str">
            <v xml:space="preserve">A </v>
          </cell>
        </row>
        <row r="753">
          <cell r="A753" t="str">
            <v xml:space="preserve">N03-UEC2-9N-512AE </v>
          </cell>
          <cell r="B753" t="str">
            <v xml:space="preserve">NETRA T AC, 2P 300MHZ,512MB,9G </v>
          </cell>
          <cell r="C753">
            <v>37093</v>
          </cell>
          <cell r="D753" t="str">
            <v xml:space="preserve">A </v>
          </cell>
        </row>
        <row r="754">
          <cell r="A754" t="str">
            <v xml:space="preserve">N04-UEC1-9S-128AH </v>
          </cell>
          <cell r="B754" t="str">
            <v xml:space="preserve">NETRA T 1120, 1X300, 128MB/9GB </v>
          </cell>
          <cell r="C754">
            <v>23093</v>
          </cell>
          <cell r="D754" t="str">
            <v xml:space="preserve">A </v>
          </cell>
        </row>
        <row r="755">
          <cell r="A755" t="str">
            <v xml:space="preserve">N04-UEC2-9S-512AH </v>
          </cell>
          <cell r="B755" t="str">
            <v xml:space="preserve">NETRA T 1120, 2X300, 512MB/9GB </v>
          </cell>
          <cell r="C755">
            <v>37093</v>
          </cell>
          <cell r="D755" t="str">
            <v xml:space="preserve">A </v>
          </cell>
        </row>
        <row r="756">
          <cell r="A756" t="str">
            <v xml:space="preserve">NDAC9-SUS-9999 </v>
          </cell>
          <cell r="B756" t="str">
            <v xml:space="preserve">NETDYNAMICS TECH SUPP PROD 100 </v>
          </cell>
          <cell r="C756">
            <v>7800</v>
          </cell>
          <cell r="D756" t="str">
            <v xml:space="preserve">D </v>
          </cell>
        </row>
        <row r="757">
          <cell r="A757" t="str">
            <v xml:space="preserve">NDACS-410-9999 </v>
          </cell>
          <cell r="B757" t="str">
            <v xml:space="preserve">NETDYNAMICS PROD APP SVR 100AC </v>
          </cell>
          <cell r="C757">
            <v>42000</v>
          </cell>
          <cell r="D757" t="str">
            <v xml:space="preserve">B </v>
          </cell>
        </row>
        <row r="758">
          <cell r="A758" t="str">
            <v xml:space="preserve">NDACS-410-R999 </v>
          </cell>
          <cell r="B758" t="str">
            <v xml:space="preserve">NETDYNAMICS APP SVR 100 AC LIC </v>
          </cell>
          <cell r="C758">
            <v>42000</v>
          </cell>
          <cell r="D758" t="str">
            <v xml:space="preserve">B </v>
          </cell>
        </row>
        <row r="759">
          <cell r="A759" t="str">
            <v xml:space="preserve">NDAD9-410-9999 </v>
          </cell>
          <cell r="B759" t="str">
            <v xml:space="preserve">NETDYNAMICS DOCUMENT SET </v>
          </cell>
          <cell r="C759">
            <v>350</v>
          </cell>
          <cell r="D759" t="str">
            <v xml:space="preserve">B </v>
          </cell>
        </row>
        <row r="760">
          <cell r="A760" t="str">
            <v xml:space="preserve">NDAD9-500-9999 </v>
          </cell>
          <cell r="B760" t="str">
            <v xml:space="preserve">Doc set,netd 5.0 </v>
          </cell>
          <cell r="C760">
            <v>350</v>
          </cell>
          <cell r="D760" t="str">
            <v xml:space="preserve">B </v>
          </cell>
        </row>
        <row r="761">
          <cell r="A761" t="str">
            <v xml:space="preserve">NDALS-500-I999 </v>
          </cell>
          <cell r="B761" t="str">
            <v xml:space="preserve">NetD 5.0 App dev svr,SLRS,25ac </v>
          </cell>
          <cell r="C761">
            <v>21000</v>
          </cell>
          <cell r="D761" t="str">
            <v xml:space="preserve">B </v>
          </cell>
        </row>
        <row r="762">
          <cell r="A762" t="str">
            <v xml:space="preserve">NDARB-500-I999 </v>
          </cell>
          <cell r="B762" t="str">
            <v xml:space="preserve">NetD5.0 app svr dplmt adtl RTU </v>
          </cell>
          <cell r="C762">
            <v>35000</v>
          </cell>
          <cell r="D762" t="str">
            <v xml:space="preserve">B </v>
          </cell>
        </row>
        <row r="763">
          <cell r="A763" t="str">
            <v xml:space="preserve">NDARB-500NI999 </v>
          </cell>
          <cell r="B763" t="str">
            <v xml:space="preserve">NetD5.0 SEC APP SVR DEP AD/RTU </v>
          </cell>
          <cell r="C763">
            <v>7000</v>
          </cell>
          <cell r="D763" t="str">
            <v xml:space="preserve">B </v>
          </cell>
        </row>
        <row r="764">
          <cell r="A764" t="str">
            <v xml:space="preserve">NDAWS-500-I999 </v>
          </cell>
          <cell r="B764" t="str">
            <v xml:space="preserve">NetD5.0 App depl svr,SLRS,1CPU </v>
          </cell>
          <cell r="C764">
            <v>35000</v>
          </cell>
          <cell r="D764" t="str">
            <v xml:space="preserve">B </v>
          </cell>
        </row>
        <row r="765">
          <cell r="A765" t="str">
            <v xml:space="preserve">NDAWS-500NI999 </v>
          </cell>
          <cell r="B765" t="str">
            <v xml:space="preserve">NetD5.0 sec app svr,slrs,1CPU </v>
          </cell>
          <cell r="C765">
            <v>7000</v>
          </cell>
          <cell r="D765" t="str">
            <v xml:space="preserve">B </v>
          </cell>
        </row>
        <row r="766">
          <cell r="A766" t="str">
            <v xml:space="preserve">NDAX9-SUS-9999 </v>
          </cell>
          <cell r="B766" t="str">
            <v xml:space="preserve">NETDYNAMICS TECH SUPP DEV APP </v>
          </cell>
          <cell r="C766">
            <v>1300</v>
          </cell>
          <cell r="D766" t="str">
            <v xml:space="preserve">D </v>
          </cell>
        </row>
        <row r="767">
          <cell r="A767" t="str">
            <v xml:space="preserve">NDAXS-410-9999 </v>
          </cell>
          <cell r="B767" t="str">
            <v xml:space="preserve">NETDYNAMICS DEV APP SVR 10 A/C </v>
          </cell>
          <cell r="C767">
            <v>7000</v>
          </cell>
          <cell r="D767" t="str">
            <v xml:space="preserve">B </v>
          </cell>
        </row>
        <row r="768">
          <cell r="A768" t="str">
            <v xml:space="preserve">NDEC9-SUS-9999 </v>
          </cell>
          <cell r="B768" t="str">
            <v xml:space="preserve">NetDynamics Supp. Secure Svr </v>
          </cell>
          <cell r="C768">
            <v>1400</v>
          </cell>
          <cell r="D768" t="str">
            <v xml:space="preserve">D </v>
          </cell>
        </row>
        <row r="769">
          <cell r="A769" t="str">
            <v xml:space="preserve">NDECS-410N9999 </v>
          </cell>
          <cell r="B769" t="str">
            <v xml:space="preserve">NetDynamics secure srvr addon </v>
          </cell>
          <cell r="C769">
            <v>7000</v>
          </cell>
          <cell r="D769" t="str">
            <v xml:space="preserve">B </v>
          </cell>
        </row>
        <row r="770">
          <cell r="A770" t="str">
            <v xml:space="preserve">NDECS-410NR999 </v>
          </cell>
          <cell r="B770" t="str">
            <v xml:space="preserve">NetDynamics secure srvr addon </v>
          </cell>
          <cell r="C770">
            <v>7000</v>
          </cell>
          <cell r="D770" t="str">
            <v xml:space="preserve">B </v>
          </cell>
        </row>
        <row r="771">
          <cell r="A771" t="str">
            <v xml:space="preserve">NDPI9-410-R999 </v>
          </cell>
          <cell r="B771" t="str">
            <v xml:space="preserve">NETDYNAMICS PAC SDK ADD'L LIC </v>
          </cell>
          <cell r="C771">
            <v>10500</v>
          </cell>
          <cell r="D771" t="str">
            <v xml:space="preserve">B </v>
          </cell>
        </row>
        <row r="772">
          <cell r="A772" t="str">
            <v xml:space="preserve">NDPI9-410-T999 </v>
          </cell>
          <cell r="B772" t="str">
            <v xml:space="preserve">NETDYNAMICS PAC SDK </v>
          </cell>
          <cell r="C772">
            <v>35000</v>
          </cell>
          <cell r="D772" t="str">
            <v xml:space="preserve">B </v>
          </cell>
        </row>
        <row r="773">
          <cell r="A773" t="str">
            <v xml:space="preserve">NDPI9-SUS-T999 </v>
          </cell>
          <cell r="B773" t="str">
            <v xml:space="preserve">NETDYNAMICS TECH SUPP PAC SDK </v>
          </cell>
          <cell r="C773">
            <v>6500</v>
          </cell>
          <cell r="D773" t="str">
            <v xml:space="preserve">D </v>
          </cell>
        </row>
        <row r="774">
          <cell r="A774" t="str">
            <v xml:space="preserve">NDPR9-500-I999 </v>
          </cell>
          <cell r="B774" t="str">
            <v xml:space="preserve">NetD5.0 addtl rtu PAC SDK 1cpu </v>
          </cell>
          <cell r="C774">
            <v>21000</v>
          </cell>
          <cell r="D774" t="str">
            <v xml:space="preserve">B </v>
          </cell>
        </row>
        <row r="775">
          <cell r="A775" t="str">
            <v xml:space="preserve">NDPRS-500-I999 </v>
          </cell>
          <cell r="B775" t="str">
            <v xml:space="preserve">NetD5.0 PAC SDK Deploy SLRS </v>
          </cell>
          <cell r="C775">
            <v>21000</v>
          </cell>
          <cell r="D775" t="str">
            <v xml:space="preserve">B </v>
          </cell>
        </row>
        <row r="776">
          <cell r="A776" t="str">
            <v xml:space="preserve">NDPWS-500-I999 </v>
          </cell>
          <cell r="B776" t="str">
            <v xml:space="preserve">NetD5.0 PAC SDK DVLPMT SLRS </v>
          </cell>
          <cell r="C776">
            <v>2793</v>
          </cell>
          <cell r="D776" t="str">
            <v xml:space="preserve">B </v>
          </cell>
        </row>
        <row r="777">
          <cell r="A777" t="str">
            <v xml:space="preserve">NDRL9-500-I999 </v>
          </cell>
          <cell r="B777" t="str">
            <v xml:space="preserve">NetD5.0 pac sap,SLRS,1cpu </v>
          </cell>
          <cell r="C777">
            <v>14000</v>
          </cell>
          <cell r="D777" t="str">
            <v xml:space="preserve">B </v>
          </cell>
        </row>
        <row r="778">
          <cell r="A778" t="str">
            <v xml:space="preserve">NDRL9-500NI999 </v>
          </cell>
          <cell r="B778" t="str">
            <v xml:space="preserve">NetD5.0SECpac sap,SLRS,add1cpu </v>
          </cell>
          <cell r="C778">
            <v>2800</v>
          </cell>
          <cell r="D778" t="str">
            <v xml:space="preserve">B </v>
          </cell>
        </row>
        <row r="779">
          <cell r="A779" t="str">
            <v xml:space="preserve">NDRL9-SUS-9999 </v>
          </cell>
          <cell r="B779" t="str">
            <v xml:space="preserve">NETDYNAMICS TECH SUPP PAC 50 </v>
          </cell>
          <cell r="C779">
            <v>2600</v>
          </cell>
          <cell r="D779" t="str">
            <v xml:space="preserve">D </v>
          </cell>
        </row>
        <row r="780">
          <cell r="A780" t="str">
            <v xml:space="preserve">NDRLS-410-9999 </v>
          </cell>
          <cell r="B780" t="str">
            <v xml:space="preserve">NETDYNAMICS PAC FOR SAP R/3 </v>
          </cell>
          <cell r="C780">
            <v>14000</v>
          </cell>
          <cell r="D780" t="str">
            <v xml:space="preserve">B </v>
          </cell>
        </row>
        <row r="781">
          <cell r="A781" t="str">
            <v xml:space="preserve">NDRLS-410-R999 </v>
          </cell>
          <cell r="B781" t="str">
            <v xml:space="preserve">NETDYNAMICS PAC SAP R/3 50 A/C </v>
          </cell>
          <cell r="C781">
            <v>14000</v>
          </cell>
          <cell r="D781" t="str">
            <v xml:space="preserve">B </v>
          </cell>
        </row>
        <row r="782">
          <cell r="A782" t="str">
            <v xml:space="preserve">NDRLS-500-I999 </v>
          </cell>
          <cell r="B782" t="str">
            <v xml:space="preserve">NetD5.0 PAC SAP SLRS 1cpu </v>
          </cell>
          <cell r="C782">
            <v>14000</v>
          </cell>
          <cell r="D782" t="str">
            <v xml:space="preserve">B </v>
          </cell>
        </row>
        <row r="783">
          <cell r="A783" t="str">
            <v xml:space="preserve">NDRLS-500NI999 </v>
          </cell>
          <cell r="B783" t="str">
            <v xml:space="preserve">NetD5.0SEC PAC SAP SLRS 1CPU </v>
          </cell>
          <cell r="C783">
            <v>2800</v>
          </cell>
          <cell r="D783" t="str">
            <v xml:space="preserve">B </v>
          </cell>
        </row>
        <row r="784">
          <cell r="A784" t="str">
            <v xml:space="preserve">NDSI9-410-T999 </v>
          </cell>
          <cell r="B784" t="str">
            <v xml:space="preserve">NETDYNAMICS STUDIO FOR NT </v>
          </cell>
          <cell r="C784">
            <v>1253</v>
          </cell>
          <cell r="D784" t="str">
            <v xml:space="preserve">B </v>
          </cell>
        </row>
        <row r="785">
          <cell r="A785" t="str">
            <v xml:space="preserve">NDSI9-500-I999 </v>
          </cell>
          <cell r="B785" t="str">
            <v xml:space="preserve">NetD App Svr Dev Stu Sgl nt/98 </v>
          </cell>
          <cell r="C785">
            <v>1253</v>
          </cell>
          <cell r="D785" t="str">
            <v xml:space="preserve">B </v>
          </cell>
        </row>
        <row r="786">
          <cell r="A786" t="str">
            <v xml:space="preserve">NDSI9-SUS-T999 </v>
          </cell>
          <cell r="B786" t="str">
            <v xml:space="preserve">NETDYNAMICS TECH SUPP STUDIO 1 </v>
          </cell>
          <cell r="C786">
            <v>650</v>
          </cell>
          <cell r="D786" t="str">
            <v xml:space="preserve">D </v>
          </cell>
        </row>
        <row r="787">
          <cell r="A787" t="str">
            <v xml:space="preserve">NDSIN-500-T9D9 </v>
          </cell>
          <cell r="B787" t="str">
            <v xml:space="preserve">EVAL CD,NETD5.0 WIN NT/98 </v>
          </cell>
          <cell r="C787">
            <v>0</v>
          </cell>
          <cell r="D787" t="str">
            <v xml:space="preserve">D </v>
          </cell>
        </row>
        <row r="788">
          <cell r="A788" t="str">
            <v xml:space="preserve">NDSIS-500-T9D9 </v>
          </cell>
          <cell r="B788" t="str">
            <v xml:space="preserve">EVAL CD,NETD5.0 SLRS/SPARC </v>
          </cell>
          <cell r="C788">
            <v>0</v>
          </cell>
          <cell r="D788" t="str">
            <v xml:space="preserve">D </v>
          </cell>
        </row>
        <row r="789">
          <cell r="A789" t="str">
            <v xml:space="preserve">NDSV9-410-T999 </v>
          </cell>
          <cell r="B789" t="str">
            <v xml:space="preserve">NETDYNAMICS STUDIO 5 PACK </v>
          </cell>
          <cell r="C789">
            <v>5593</v>
          </cell>
          <cell r="D789" t="str">
            <v xml:space="preserve">B </v>
          </cell>
        </row>
        <row r="790">
          <cell r="A790" t="str">
            <v xml:space="preserve">NDSV9-500-I999 </v>
          </cell>
          <cell r="B790" t="str">
            <v xml:space="preserve">NetD5.0 App dev svr 5pk nt/98 </v>
          </cell>
          <cell r="C790">
            <v>5593</v>
          </cell>
          <cell r="D790" t="str">
            <v xml:space="preserve">B </v>
          </cell>
        </row>
        <row r="791">
          <cell r="A791" t="str">
            <v xml:space="preserve">NDSV9-SUS-T999 </v>
          </cell>
          <cell r="B791" t="str">
            <v xml:space="preserve">NETDYNAMICS TECH SUPP STUDIO 5 </v>
          </cell>
          <cell r="C791">
            <v>1040</v>
          </cell>
          <cell r="D791" t="str">
            <v xml:space="preserve">D </v>
          </cell>
        </row>
        <row r="792">
          <cell r="A792" t="str">
            <v xml:space="preserve">NFCC9-311-9999 </v>
          </cell>
          <cell r="B792" t="str">
            <v xml:space="preserve">NFSC 3.1.1, 100LIC </v>
          </cell>
          <cell r="C792">
            <v>6300</v>
          </cell>
          <cell r="D792" t="str">
            <v xml:space="preserve">B </v>
          </cell>
        </row>
        <row r="793">
          <cell r="A793" t="str">
            <v xml:space="preserve">NFCF9-311-9999 </v>
          </cell>
          <cell r="B793" t="str">
            <v xml:space="preserve">NFSC 3.1.1, 500LIC </v>
          </cell>
          <cell r="C793">
            <v>28700</v>
          </cell>
          <cell r="D793" t="str">
            <v xml:space="preserve">B </v>
          </cell>
        </row>
        <row r="794">
          <cell r="A794" t="str">
            <v xml:space="preserve">NFCI9-311E9999 </v>
          </cell>
          <cell r="B794" t="str">
            <v xml:space="preserve">NFSC 3.1.1 CONTR., CD DOC LI </v>
          </cell>
          <cell r="C794">
            <v>112</v>
          </cell>
          <cell r="D794" t="str">
            <v xml:space="preserve">B </v>
          </cell>
        </row>
        <row r="795">
          <cell r="A795" t="str">
            <v xml:space="preserve">NFCI9-311I9999 </v>
          </cell>
          <cell r="B795" t="str">
            <v xml:space="preserve">NFSC 3.1.1 GLOBAL-1, CD DOC LI </v>
          </cell>
          <cell r="C795">
            <v>112</v>
          </cell>
          <cell r="D795" t="str">
            <v xml:space="preserve">B </v>
          </cell>
        </row>
        <row r="796">
          <cell r="A796" t="str">
            <v xml:space="preserve">NFCI9-311W9999 </v>
          </cell>
          <cell r="B796" t="str">
            <v xml:space="preserve">NFSC 3.1.1 GLOBAL, CD DOC LI </v>
          </cell>
          <cell r="C796">
            <v>112</v>
          </cell>
          <cell r="D796" t="str">
            <v xml:space="preserve">B </v>
          </cell>
        </row>
        <row r="797">
          <cell r="A797" t="str">
            <v xml:space="preserve">NFCX9-311-9999 </v>
          </cell>
          <cell r="B797" t="str">
            <v xml:space="preserve">NFSC 3.1.1, 10LIC </v>
          </cell>
          <cell r="C797">
            <v>700</v>
          </cell>
          <cell r="D797" t="str">
            <v xml:space="preserve">B </v>
          </cell>
        </row>
        <row r="798">
          <cell r="A798" t="str">
            <v xml:space="preserve">NFSC9-320-9999 </v>
          </cell>
          <cell r="B798" t="str">
            <v xml:space="preserve">NFSC 3.2, 100 RTU LICENSE </v>
          </cell>
          <cell r="C798">
            <v>6300</v>
          </cell>
          <cell r="D798" t="str">
            <v xml:space="preserve">B </v>
          </cell>
        </row>
        <row r="799">
          <cell r="A799" t="str">
            <v xml:space="preserve">NFSF9-320-9999 </v>
          </cell>
          <cell r="B799" t="str">
            <v xml:space="preserve">NFSC 3.2, 500 RTU LICENSE </v>
          </cell>
          <cell r="C799">
            <v>28700</v>
          </cell>
          <cell r="D799" t="str">
            <v xml:space="preserve">B </v>
          </cell>
        </row>
        <row r="800">
          <cell r="A800" t="str">
            <v xml:space="preserve">NFSI9-320E9999 </v>
          </cell>
          <cell r="B800" t="str">
            <v xml:space="preserve">NFSC 3.2 CTRLD, CD DOC LI </v>
          </cell>
          <cell r="C800">
            <v>112</v>
          </cell>
          <cell r="D800" t="str">
            <v xml:space="preserve">B </v>
          </cell>
        </row>
        <row r="801">
          <cell r="A801" t="str">
            <v xml:space="preserve">NFSI9-320I999A </v>
          </cell>
          <cell r="B801" t="str">
            <v xml:space="preserve">NFSC 3.2 GLOBAL-1, CD DOC LI </v>
          </cell>
          <cell r="C801">
            <v>112</v>
          </cell>
          <cell r="D801" t="str">
            <v xml:space="preserve">B </v>
          </cell>
        </row>
        <row r="802">
          <cell r="A802" t="str">
            <v xml:space="preserve">NFSI9-320W999B </v>
          </cell>
          <cell r="B802" t="str">
            <v xml:space="preserve">NFSC 3.2 GLOBAL, CD DOC LI </v>
          </cell>
          <cell r="C802">
            <v>112</v>
          </cell>
          <cell r="D802" t="str">
            <v xml:space="preserve">B </v>
          </cell>
        </row>
        <row r="803">
          <cell r="A803" t="str">
            <v xml:space="preserve">NFSV9-320-9999 </v>
          </cell>
          <cell r="B803" t="str">
            <v xml:space="preserve">NFSC 3.2, 5 RTU LICENSE </v>
          </cell>
          <cell r="C803">
            <v>413</v>
          </cell>
          <cell r="D803" t="str">
            <v xml:space="preserve">B </v>
          </cell>
        </row>
        <row r="804">
          <cell r="A804" t="str">
            <v xml:space="preserve">NFSX9-320-9999 </v>
          </cell>
          <cell r="B804" t="str">
            <v xml:space="preserve">NFSC 3.2, 10 RTU LICENSE </v>
          </cell>
          <cell r="C804">
            <v>700</v>
          </cell>
          <cell r="D804" t="str">
            <v xml:space="preserve">B </v>
          </cell>
        </row>
        <row r="805">
          <cell r="A805" t="str">
            <v xml:space="preserve">NFSY9-320-9999 </v>
          </cell>
          <cell r="B805" t="str">
            <v xml:space="preserve">NFSC 3.2, 25 RTU LICENSE </v>
          </cell>
          <cell r="C805">
            <v>1680</v>
          </cell>
          <cell r="D805" t="str">
            <v xml:space="preserve">B </v>
          </cell>
        </row>
        <row r="806">
          <cell r="A806" t="str">
            <v xml:space="preserve">NS-ARY144A-36GAC </v>
          </cell>
          <cell r="B806" t="str">
            <v xml:space="preserve">Netra st A1000, 4x9GB, AC </v>
          </cell>
          <cell r="C806">
            <v>24073</v>
          </cell>
          <cell r="D806" t="str">
            <v xml:space="preserve">A </v>
          </cell>
        </row>
        <row r="807">
          <cell r="A807" t="str">
            <v xml:space="preserve">NS-ARY144A-36GDC </v>
          </cell>
          <cell r="B807" t="str">
            <v xml:space="preserve">Netra st A1000, 4x9GB, DC </v>
          </cell>
          <cell r="C807">
            <v>24073</v>
          </cell>
          <cell r="D807" t="str">
            <v xml:space="preserve">A </v>
          </cell>
        </row>
        <row r="808">
          <cell r="A808" t="str">
            <v xml:space="preserve">NS-ARY145A-36GAC </v>
          </cell>
          <cell r="B808" t="str">
            <v xml:space="preserve">Netra st D1000, 4x9GB, AC </v>
          </cell>
          <cell r="C808">
            <v>19593</v>
          </cell>
          <cell r="D808" t="str">
            <v xml:space="preserve">A </v>
          </cell>
        </row>
        <row r="809">
          <cell r="A809" t="str">
            <v xml:space="preserve">NS-ARY145A-36GDC </v>
          </cell>
          <cell r="B809" t="str">
            <v xml:space="preserve">Netra st D1000, 4x9GB, DC </v>
          </cell>
          <cell r="C809">
            <v>19593</v>
          </cell>
          <cell r="D809" t="str">
            <v xml:space="preserve">A </v>
          </cell>
        </row>
        <row r="810">
          <cell r="A810" t="str">
            <v xml:space="preserve">NTJMS-300EE999 </v>
          </cell>
          <cell r="B810" t="str">
            <v xml:space="preserve">NETRA J 3.0 128-BIT CD-ENGLISH </v>
          </cell>
          <cell r="C810">
            <v>2093</v>
          </cell>
          <cell r="D810" t="str">
            <v xml:space="preserve">B </v>
          </cell>
        </row>
        <row r="811">
          <cell r="A811" t="str">
            <v xml:space="preserve">NTJMS-300EE9U9 </v>
          </cell>
          <cell r="B811" t="str">
            <v xml:space="preserve">NETRA J 3.0 128-BIT UPGRADE CD </v>
          </cell>
          <cell r="C811">
            <v>273</v>
          </cell>
          <cell r="D811" t="str">
            <v xml:space="preserve">B </v>
          </cell>
        </row>
        <row r="812">
          <cell r="A812" t="str">
            <v xml:space="preserve">NTJMS-300WE999 </v>
          </cell>
          <cell r="B812" t="str">
            <v xml:space="preserve">NETRA j 3.0 40-bit CD-English </v>
          </cell>
          <cell r="C812">
            <v>2093</v>
          </cell>
          <cell r="D812" t="str">
            <v xml:space="preserve">B </v>
          </cell>
        </row>
        <row r="813">
          <cell r="A813" t="str">
            <v xml:space="preserve">NTJMS-300WE9U9 </v>
          </cell>
          <cell r="B813" t="str">
            <v xml:space="preserve">NETRA J 3.0 40-BIT UPGRADE CD </v>
          </cell>
          <cell r="C813">
            <v>273</v>
          </cell>
          <cell r="D813" t="str">
            <v xml:space="preserve">B </v>
          </cell>
        </row>
        <row r="814">
          <cell r="A814" t="str">
            <v xml:space="preserve">NWS-2.0-L25RU </v>
          </cell>
          <cell r="B814" t="str">
            <v xml:space="preserve">UG NW SERVER 2.0, 25LIC </v>
          </cell>
          <cell r="C814">
            <v>490</v>
          </cell>
          <cell r="D814" t="str">
            <v xml:space="preserve">B </v>
          </cell>
        </row>
        <row r="815">
          <cell r="A815" t="str">
            <v xml:space="preserve">OCSMS-999WE9U9 </v>
          </cell>
          <cell r="B815" t="str">
            <v xml:space="preserve">OCS 10 USER UPG. FOR NETRA J </v>
          </cell>
          <cell r="C815">
            <v>1386</v>
          </cell>
          <cell r="D815" t="str">
            <v xml:space="preserve">B </v>
          </cell>
        </row>
        <row r="816">
          <cell r="A816" t="str">
            <v xml:space="preserve">ODS-1.0-4-4-21D </v>
          </cell>
          <cell r="B816" t="str">
            <v xml:space="preserve">DISKSUITE 1.0 DT, CD DOC LI </v>
          </cell>
          <cell r="C816">
            <v>1300</v>
          </cell>
          <cell r="D816" t="str">
            <v xml:space="preserve">A </v>
          </cell>
        </row>
        <row r="817">
          <cell r="A817" t="str">
            <v xml:space="preserve">OSI-7.0-4-4-21 </v>
          </cell>
          <cell r="B817" t="str">
            <v xml:space="preserve">SUNLINK OSI 7.0, CD DOC LI </v>
          </cell>
          <cell r="C817">
            <v>5194</v>
          </cell>
          <cell r="D817" t="str">
            <v xml:space="preserve">B </v>
          </cell>
        </row>
        <row r="818">
          <cell r="A818" t="str">
            <v xml:space="preserve">OSI-8.0.1-P </v>
          </cell>
          <cell r="B818" t="str">
            <v xml:space="preserve">SUNLINK OSI 8.0.1, CD DOC LI </v>
          </cell>
          <cell r="C818">
            <v>2594</v>
          </cell>
          <cell r="D818" t="str">
            <v xml:space="preserve">B </v>
          </cell>
        </row>
        <row r="819">
          <cell r="A819" t="str">
            <v xml:space="preserve">OSI-8.1-PF </v>
          </cell>
          <cell r="B819" t="str">
            <v xml:space="preserve">UG SUNLINK OSI 8.1, CD DOC LI </v>
          </cell>
          <cell r="C819">
            <v>1037</v>
          </cell>
          <cell r="D819" t="str">
            <v xml:space="preserve">B </v>
          </cell>
        </row>
        <row r="820">
          <cell r="A820" t="str">
            <v xml:space="preserve">OSI-8.1.1-CD </v>
          </cell>
          <cell r="B820" t="str">
            <v xml:space="preserve">SUNLINK OSI 8.1.1, CD </v>
          </cell>
          <cell r="C820">
            <v>130</v>
          </cell>
          <cell r="D820" t="str">
            <v xml:space="preserve">D </v>
          </cell>
        </row>
        <row r="821">
          <cell r="A821" t="str">
            <v xml:space="preserve">OSI-8.1.1-D </v>
          </cell>
          <cell r="B821" t="str">
            <v xml:space="preserve">SUNLINK OSI 8.1.1, DOC </v>
          </cell>
          <cell r="C821">
            <v>195</v>
          </cell>
          <cell r="D821" t="str">
            <v xml:space="preserve">D </v>
          </cell>
        </row>
        <row r="822">
          <cell r="A822" t="str">
            <v xml:space="preserve">OSI-8.1.1-S </v>
          </cell>
          <cell r="B822" t="str">
            <v xml:space="preserve">SUNLINK OSI 8.1.1, CD LIC </v>
          </cell>
          <cell r="C822">
            <v>2405</v>
          </cell>
          <cell r="D822" t="str">
            <v xml:space="preserve">B </v>
          </cell>
        </row>
        <row r="823">
          <cell r="A823" t="str">
            <v xml:space="preserve">OSI-8.1.1-SU </v>
          </cell>
          <cell r="B823" t="str">
            <v xml:space="preserve">UG SUNLIND OSI 8.1.1, CD LIC </v>
          </cell>
          <cell r="C823">
            <v>1037</v>
          </cell>
          <cell r="D823" t="str">
            <v xml:space="preserve">B </v>
          </cell>
        </row>
        <row r="824">
          <cell r="A824" t="str">
            <v xml:space="preserve">PDB-INFORMIX-MULTI </v>
          </cell>
          <cell r="B824" t="str">
            <v xml:space="preserve">INFOMRIX PDB SUPP BUNDLE MULTI </v>
          </cell>
          <cell r="C824">
            <v>11090</v>
          </cell>
          <cell r="D824" t="str">
            <v xml:space="preserve">D </v>
          </cell>
        </row>
        <row r="825">
          <cell r="A825" t="str">
            <v xml:space="preserve">PDB-INFORMIX-SUPP </v>
          </cell>
          <cell r="B825" t="str">
            <v xml:space="preserve">INFOMRIX PDB SUPP BUNDLE 1ST </v>
          </cell>
          <cell r="C825">
            <v>37300</v>
          </cell>
          <cell r="D825" t="str">
            <v xml:space="preserve">D </v>
          </cell>
        </row>
        <row r="826">
          <cell r="A826" t="str">
            <v xml:space="preserve">PDB-ORACLE-MULTI </v>
          </cell>
          <cell r="B826" t="str">
            <v xml:space="preserve">ORACLE PDB SUPP BUNDLE MULTI </v>
          </cell>
          <cell r="C826">
            <v>14720</v>
          </cell>
          <cell r="D826" t="str">
            <v xml:space="preserve">D </v>
          </cell>
        </row>
        <row r="827">
          <cell r="A827" t="str">
            <v xml:space="preserve">PDB-ORACLE-SUPP </v>
          </cell>
          <cell r="B827" t="str">
            <v xml:space="preserve">ORACLE PDB SUPP BUNDLE 1ST CLS </v>
          </cell>
          <cell r="C827">
            <v>25300</v>
          </cell>
          <cell r="D827" t="str">
            <v xml:space="preserve">D </v>
          </cell>
        </row>
        <row r="828">
          <cell r="A828" t="str">
            <v xml:space="preserve">PPP-3.0.1-ES-P </v>
          </cell>
          <cell r="B828" t="str">
            <v xml:space="preserve">SOLS PPP 3.0.1 T2, CD DOC LI </v>
          </cell>
          <cell r="C828">
            <v>2594</v>
          </cell>
          <cell r="D828" t="str">
            <v xml:space="preserve">B </v>
          </cell>
        </row>
        <row r="829">
          <cell r="A829" t="str">
            <v xml:space="preserve">PPP-3.0.1-SS-P </v>
          </cell>
          <cell r="B829" t="str">
            <v xml:space="preserve">SOLS PPP 3.0.1 T1, CD DOC LI </v>
          </cell>
          <cell r="C829">
            <v>1294</v>
          </cell>
          <cell r="D829" t="str">
            <v xml:space="preserve">B </v>
          </cell>
        </row>
        <row r="830">
          <cell r="A830" t="str">
            <v xml:space="preserve">PSD-1.0-S </v>
          </cell>
          <cell r="B830" t="str">
            <v xml:space="preserve">VWC++/JWS/JS 1RTU XOPTION </v>
          </cell>
          <cell r="C830">
            <v>1559</v>
          </cell>
          <cell r="D830" t="str">
            <v xml:space="preserve">H </v>
          </cell>
        </row>
        <row r="831">
          <cell r="A831" t="str">
            <v xml:space="preserve">PTP-9.1-P </v>
          </cell>
          <cell r="B831" t="str">
            <v xml:space="preserve">SUNLINK PTP 9.1, CD DOC LI </v>
          </cell>
          <cell r="C831">
            <v>9490</v>
          </cell>
          <cell r="D831" t="str">
            <v xml:space="preserve">B </v>
          </cell>
        </row>
        <row r="832">
          <cell r="A832" t="str">
            <v xml:space="preserve">PTR-9.1-S </v>
          </cell>
          <cell r="B832" t="str">
            <v xml:space="preserve">SUNLINK PTP 9.1 RT, CD LIC </v>
          </cell>
          <cell r="C832">
            <v>3634</v>
          </cell>
          <cell r="D832" t="str">
            <v xml:space="preserve">B </v>
          </cell>
        </row>
        <row r="833">
          <cell r="A833" t="str">
            <v xml:space="preserve">PW1II-500-T9T9 </v>
          </cell>
          <cell r="B833" t="str">
            <v xml:space="preserve">Tradeup to PerfWS Fortran 5 In </v>
          </cell>
          <cell r="C833">
            <v>3920</v>
          </cell>
          <cell r="D833" t="str">
            <v xml:space="preserve">B </v>
          </cell>
        </row>
        <row r="834">
          <cell r="A834" t="str">
            <v xml:space="preserve">PW1IS-500-T9T9 </v>
          </cell>
          <cell r="B834" t="str">
            <v xml:space="preserve">Tradeup to PerfWS Fortran 5.0 </v>
          </cell>
          <cell r="C834">
            <v>3920</v>
          </cell>
          <cell r="D834" t="str">
            <v xml:space="preserve">B </v>
          </cell>
        </row>
        <row r="835">
          <cell r="A835" t="str">
            <v xml:space="preserve">PW2II-500-T9T9 </v>
          </cell>
          <cell r="B835" t="str">
            <v xml:space="preserve">Tradeup to PerfWS Fortran 5 In </v>
          </cell>
          <cell r="C835">
            <v>2940</v>
          </cell>
          <cell r="D835" t="str">
            <v xml:space="preserve">B </v>
          </cell>
        </row>
        <row r="836">
          <cell r="A836" t="str">
            <v xml:space="preserve">PW2IS-500-T9T9 </v>
          </cell>
          <cell r="B836" t="str">
            <v xml:space="preserve">Tradeup to PerfWS Fortran 5 </v>
          </cell>
          <cell r="C836">
            <v>2940</v>
          </cell>
          <cell r="D836" t="str">
            <v xml:space="preserve">B </v>
          </cell>
        </row>
        <row r="837">
          <cell r="A837" t="str">
            <v xml:space="preserve">PWF-3.0-D </v>
          </cell>
          <cell r="B837" t="str">
            <v xml:space="preserve">PERF. WS FORTRAN 3.0, DOC </v>
          </cell>
          <cell r="C837">
            <v>560</v>
          </cell>
          <cell r="D837" t="str">
            <v xml:space="preserve">B </v>
          </cell>
        </row>
        <row r="838">
          <cell r="A838" t="str">
            <v xml:space="preserve">PWF-3.0-S </v>
          </cell>
          <cell r="B838" t="str">
            <v xml:space="preserve">PERF. WS FORTRAN 3.0,CD DOC LI </v>
          </cell>
          <cell r="C838">
            <v>4893</v>
          </cell>
          <cell r="D838" t="str">
            <v xml:space="preserve">B </v>
          </cell>
        </row>
        <row r="839">
          <cell r="A839" t="str">
            <v xml:space="preserve">PWF-3.0-SU </v>
          </cell>
          <cell r="B839" t="str">
            <v xml:space="preserve">UG PERWS FORTRAN 3.0,CD DOC LI </v>
          </cell>
          <cell r="C839">
            <v>1470</v>
          </cell>
          <cell r="D839" t="str">
            <v xml:space="preserve">B </v>
          </cell>
        </row>
        <row r="840">
          <cell r="A840" t="str">
            <v xml:space="preserve">PWPII-500-T999 </v>
          </cell>
          <cell r="B840" t="str">
            <v xml:space="preserve">PerfWS Fortran Pers.5.0 Sl-1 I </v>
          </cell>
          <cell r="C840">
            <v>2793</v>
          </cell>
          <cell r="D840" t="str">
            <v xml:space="preserve">B </v>
          </cell>
        </row>
        <row r="841">
          <cell r="A841" t="str">
            <v xml:space="preserve">PWPII-500-T9T9 </v>
          </cell>
          <cell r="B841" t="str">
            <v xml:space="preserve">Tradeup to PerfWS Fortran 5 In </v>
          </cell>
          <cell r="C841">
            <v>2240</v>
          </cell>
          <cell r="D841" t="str">
            <v xml:space="preserve">B </v>
          </cell>
        </row>
        <row r="842">
          <cell r="A842" t="str">
            <v xml:space="preserve">PWPIS-500-T999 </v>
          </cell>
          <cell r="B842" t="str">
            <v xml:space="preserve">PerfWS Fortran Pers.5.0 Sl-1 S </v>
          </cell>
          <cell r="C842">
            <v>2793</v>
          </cell>
          <cell r="D842" t="str">
            <v xml:space="preserve">B </v>
          </cell>
        </row>
        <row r="843">
          <cell r="A843" t="str">
            <v xml:space="preserve">PWPIS-500-T9T9 </v>
          </cell>
          <cell r="B843" t="str">
            <v xml:space="preserve">Tradeup to PerfWS Fortran 5 </v>
          </cell>
          <cell r="C843">
            <v>2240</v>
          </cell>
          <cell r="D843" t="str">
            <v xml:space="preserve">B </v>
          </cell>
        </row>
        <row r="844">
          <cell r="A844" t="str">
            <v xml:space="preserve">PWSCS-500-TG99 </v>
          </cell>
          <cell r="B844" t="str">
            <v xml:space="preserve">Gold Perf WS Fortran 5.0 100 S </v>
          </cell>
          <cell r="C844">
            <v>293580</v>
          </cell>
          <cell r="D844" t="str">
            <v xml:space="preserve">B </v>
          </cell>
        </row>
        <row r="845">
          <cell r="A845" t="str">
            <v xml:space="preserve">PWSD9-500-T999 </v>
          </cell>
          <cell r="B845" t="str">
            <v xml:space="preserve">Perf WS Fortran 5.0 Doc Set </v>
          </cell>
          <cell r="C845">
            <v>560</v>
          </cell>
          <cell r="D845" t="str">
            <v xml:space="preserve">B </v>
          </cell>
        </row>
        <row r="846">
          <cell r="A846" t="str">
            <v xml:space="preserve">PWSES-500-TG99 </v>
          </cell>
          <cell r="B846" t="str">
            <v xml:space="preserve">Gold Perf WS Fortran 5.0 250 S </v>
          </cell>
          <cell r="C846">
            <v>646100</v>
          </cell>
          <cell r="D846" t="str">
            <v xml:space="preserve">B </v>
          </cell>
        </row>
        <row r="847">
          <cell r="A847" t="str">
            <v xml:space="preserve">PWSII-500-T999 </v>
          </cell>
          <cell r="B847" t="str">
            <v xml:space="preserve">Perf WS Fortran 5.0 Slim 1 Int </v>
          </cell>
          <cell r="C847">
            <v>4893</v>
          </cell>
          <cell r="D847" t="str">
            <v xml:space="preserve">B </v>
          </cell>
        </row>
        <row r="848">
          <cell r="A848" t="str">
            <v xml:space="preserve">PWSII-500-T9U9 </v>
          </cell>
          <cell r="B848" t="str">
            <v xml:space="preserve">PerfWS Fortran 1-User In Upgr </v>
          </cell>
          <cell r="C848">
            <v>1470</v>
          </cell>
          <cell r="D848" t="str">
            <v xml:space="preserve">B </v>
          </cell>
        </row>
        <row r="849">
          <cell r="A849" t="str">
            <v xml:space="preserve">PWSIS-500-T999 </v>
          </cell>
          <cell r="B849" t="str">
            <v xml:space="preserve">Perf WS Fortran 5.0 Slim 1 SP </v>
          </cell>
          <cell r="C849">
            <v>4893</v>
          </cell>
          <cell r="D849" t="str">
            <v xml:space="preserve">B </v>
          </cell>
        </row>
        <row r="850">
          <cell r="A850" t="str">
            <v xml:space="preserve">PWSIS-500-T9U9 </v>
          </cell>
          <cell r="B850" t="str">
            <v xml:space="preserve">PerfWS Fortran 1-User SP Upgr </v>
          </cell>
          <cell r="C850">
            <v>1470</v>
          </cell>
          <cell r="D850" t="str">
            <v xml:space="preserve">B </v>
          </cell>
        </row>
        <row r="851">
          <cell r="A851" t="str">
            <v xml:space="preserve">PWSIS-500-TG99 </v>
          </cell>
          <cell r="B851" t="str">
            <v xml:space="preserve">Gold Perf WS Fortran 5 1-Lic S </v>
          </cell>
          <cell r="C851">
            <v>4893</v>
          </cell>
          <cell r="D851" t="str">
            <v xml:space="preserve">B </v>
          </cell>
        </row>
        <row r="852">
          <cell r="A852" t="str">
            <v xml:space="preserve">PWSMS-500-TG99 </v>
          </cell>
          <cell r="B852" t="str">
            <v xml:space="preserve">Gold Perf WS Fortran 5 Base SP </v>
          </cell>
          <cell r="C852">
            <v>7000</v>
          </cell>
          <cell r="D852" t="str">
            <v xml:space="preserve">B </v>
          </cell>
        </row>
        <row r="853">
          <cell r="A853" t="str">
            <v xml:space="preserve">PWSXI-500-T999 </v>
          </cell>
          <cell r="B853" t="str">
            <v xml:space="preserve">Perf WS Fortran 5.0 Slim 10 In </v>
          </cell>
          <cell r="C853">
            <v>41580</v>
          </cell>
          <cell r="D853" t="str">
            <v xml:space="preserve">B </v>
          </cell>
        </row>
        <row r="854">
          <cell r="A854" t="str">
            <v xml:space="preserve">PWSXI-500-T9U9 </v>
          </cell>
          <cell r="B854" t="str">
            <v xml:space="preserve">PerfWS Fortran 10-User In Upgr </v>
          </cell>
          <cell r="C854">
            <v>13874</v>
          </cell>
          <cell r="D854" t="str">
            <v xml:space="preserve">B </v>
          </cell>
        </row>
        <row r="855">
          <cell r="A855" t="str">
            <v xml:space="preserve">PWSXS-500-T999 </v>
          </cell>
          <cell r="B855" t="str">
            <v xml:space="preserve">Perf WS Fortran 5.0 Slim 10 SP </v>
          </cell>
          <cell r="C855">
            <v>41580</v>
          </cell>
          <cell r="D855" t="str">
            <v xml:space="preserve">B </v>
          </cell>
        </row>
        <row r="856">
          <cell r="A856" t="str">
            <v xml:space="preserve">PWSXS-500-T9U9 </v>
          </cell>
          <cell r="B856" t="str">
            <v xml:space="preserve">PerfWS Fortran 10-User SP Upgr </v>
          </cell>
          <cell r="C856">
            <v>13874</v>
          </cell>
          <cell r="D856" t="str">
            <v xml:space="preserve">B </v>
          </cell>
        </row>
        <row r="857">
          <cell r="A857" t="str">
            <v xml:space="preserve">PWSXS-500-TG99 </v>
          </cell>
          <cell r="B857" t="str">
            <v xml:space="preserve">Gold Perf WS Fortran 5.0 10 SP </v>
          </cell>
          <cell r="C857">
            <v>41580</v>
          </cell>
          <cell r="D857" t="str">
            <v xml:space="preserve">B </v>
          </cell>
        </row>
        <row r="858">
          <cell r="A858" t="str">
            <v xml:space="preserve">PWSYS-500-T999 </v>
          </cell>
          <cell r="B858" t="str">
            <v xml:space="preserve">Perf WS Fortran 5.0 Slim 25 SP </v>
          </cell>
          <cell r="C858">
            <v>97860</v>
          </cell>
          <cell r="D858" t="str">
            <v xml:space="preserve">B </v>
          </cell>
        </row>
        <row r="859">
          <cell r="A859" t="str">
            <v xml:space="preserve">PWSYS-500-TG99 </v>
          </cell>
          <cell r="B859" t="str">
            <v xml:space="preserve">Gold Perf WS Fortran 5.0 25 SP </v>
          </cell>
          <cell r="C859">
            <v>97860</v>
          </cell>
          <cell r="D859" t="str">
            <v xml:space="preserve">B </v>
          </cell>
        </row>
        <row r="860">
          <cell r="A860" t="str">
            <v xml:space="preserve">RJE-9.1-P </v>
          </cell>
          <cell r="B860" t="str">
            <v xml:space="preserve">SNA 3770/RJE 9.1, CD DOC </v>
          </cell>
          <cell r="C860">
            <v>3894</v>
          </cell>
          <cell r="D860" t="str">
            <v xml:space="preserve">B </v>
          </cell>
        </row>
        <row r="861">
          <cell r="A861" t="str">
            <v xml:space="preserve">RPCIS-100-999H </v>
          </cell>
          <cell r="B861" t="str">
            <v xml:space="preserve">KORE REALPC SW, CD DOC LIC </v>
          </cell>
          <cell r="C861">
            <v>107</v>
          </cell>
          <cell r="D861" t="str">
            <v>D</v>
          </cell>
        </row>
        <row r="862">
          <cell r="A862" t="str">
            <v xml:space="preserve">RPCXS-100-999H </v>
          </cell>
          <cell r="B862" t="str">
            <v xml:space="preserve">KORE REALPC SW, CD DOC 10 CC L </v>
          </cell>
          <cell r="C862">
            <v>911</v>
          </cell>
          <cell r="D862" t="str">
            <v>D</v>
          </cell>
        </row>
        <row r="863">
          <cell r="A863" t="str">
            <v xml:space="preserve">RPCYS-100-999H </v>
          </cell>
          <cell r="B863" t="str">
            <v xml:space="preserve">KORE REALPC SW, CD DOC 25 CC L </v>
          </cell>
          <cell r="C863">
            <v>2153</v>
          </cell>
          <cell r="D863" t="str">
            <v>D</v>
          </cell>
        </row>
        <row r="864">
          <cell r="A864" t="str">
            <v xml:space="preserve">S32-9.1-CD </v>
          </cell>
          <cell r="B864" t="str">
            <v xml:space="preserve">SNA 9.1, CD DOCS </v>
          </cell>
          <cell r="C864">
            <v>260</v>
          </cell>
          <cell r="D864" t="str">
            <v xml:space="preserve">D </v>
          </cell>
        </row>
        <row r="865">
          <cell r="A865" t="str">
            <v xml:space="preserve">S32-9.1-L128 </v>
          </cell>
          <cell r="B865" t="str">
            <v xml:space="preserve">SNA 9.1, 128 SESSION LIC </v>
          </cell>
          <cell r="C865">
            <v>20313</v>
          </cell>
          <cell r="D865" t="str">
            <v xml:space="preserve">B </v>
          </cell>
        </row>
        <row r="866">
          <cell r="A866" t="str">
            <v xml:space="preserve">S32-9.1-L256 </v>
          </cell>
          <cell r="B866" t="str">
            <v xml:space="preserve">SNA 9.1, 256 SESSION LIC </v>
          </cell>
          <cell r="C866">
            <v>30466</v>
          </cell>
          <cell r="D866" t="str">
            <v xml:space="preserve">B </v>
          </cell>
        </row>
        <row r="867">
          <cell r="A867" t="str">
            <v xml:space="preserve">S32-9.1-L64 </v>
          </cell>
          <cell r="B867" t="str">
            <v xml:space="preserve">SNA 9.1, 64 SESSION LIC </v>
          </cell>
          <cell r="C867">
            <v>12188</v>
          </cell>
          <cell r="D867" t="str">
            <v xml:space="preserve">B </v>
          </cell>
        </row>
        <row r="868">
          <cell r="A868" t="str">
            <v xml:space="preserve">S32-9.1-S </v>
          </cell>
          <cell r="B868" t="str">
            <v xml:space="preserve">SNA3270 9.1 GATEWAY, CD LIC </v>
          </cell>
          <cell r="C868">
            <v>3634</v>
          </cell>
          <cell r="D868" t="str">
            <v xml:space="preserve">B </v>
          </cell>
        </row>
        <row r="869">
          <cell r="A869" t="str">
            <v xml:space="preserve">S4IBI-200NI999 </v>
          </cell>
          <cell r="B869" t="str">
            <v xml:space="preserve">SlsISP 2.0 Esd Intel DM 4 CPU </v>
          </cell>
          <cell r="C869">
            <v>7794</v>
          </cell>
          <cell r="D869" t="str">
            <v xml:space="preserve">B </v>
          </cell>
        </row>
        <row r="870">
          <cell r="A870" t="str">
            <v xml:space="preserve">S4IBI-200WI999 </v>
          </cell>
          <cell r="B870" t="str">
            <v xml:space="preserve">SlsISP 2.0 Esd Intel Gb 4 CPU </v>
          </cell>
          <cell r="C870">
            <v>7794</v>
          </cell>
          <cell r="D870" t="str">
            <v xml:space="preserve">B </v>
          </cell>
        </row>
        <row r="871">
          <cell r="A871" t="str">
            <v xml:space="preserve">S4IBS-200NI999 </v>
          </cell>
          <cell r="B871" t="str">
            <v xml:space="preserve">SlsISP 2.0 Esd SPC DM 4 CPU </v>
          </cell>
          <cell r="C871">
            <v>7794</v>
          </cell>
          <cell r="D871" t="str">
            <v xml:space="preserve">B </v>
          </cell>
        </row>
        <row r="872">
          <cell r="A872" t="str">
            <v xml:space="preserve">S4IBS-200WI999 </v>
          </cell>
          <cell r="B872" t="str">
            <v xml:space="preserve">SlsISP 2.0 Esd SPC Gb 4 CPU </v>
          </cell>
          <cell r="C872">
            <v>7794</v>
          </cell>
          <cell r="D872" t="str">
            <v xml:space="preserve">B </v>
          </cell>
        </row>
        <row r="873">
          <cell r="A873" t="str">
            <v xml:space="preserve">S4IC9-200-I999 </v>
          </cell>
          <cell r="B873" t="str">
            <v xml:space="preserve">SlsISP 2.0 +100 RTU 4 CPU </v>
          </cell>
          <cell r="C873">
            <v>467610</v>
          </cell>
          <cell r="D873" t="str">
            <v xml:space="preserve">B </v>
          </cell>
        </row>
        <row r="874">
          <cell r="A874" t="str">
            <v xml:space="preserve">S4ID9-200-F999 </v>
          </cell>
          <cell r="B874" t="str">
            <v xml:space="preserve">SlsISP 2.0 Documentation </v>
          </cell>
          <cell r="C874">
            <v>195</v>
          </cell>
          <cell r="D874" t="str">
            <v xml:space="preserve">B </v>
          </cell>
        </row>
        <row r="875">
          <cell r="A875" t="str">
            <v xml:space="preserve">S4II9-200-C999 </v>
          </cell>
          <cell r="B875" t="str">
            <v xml:space="preserve">SlsISP 2.0 1 RTU 64 CPU </v>
          </cell>
          <cell r="C875">
            <v>43316</v>
          </cell>
          <cell r="D875" t="str">
            <v xml:space="preserve">B </v>
          </cell>
        </row>
        <row r="876">
          <cell r="A876" t="str">
            <v xml:space="preserve">S4II9-200-I999 </v>
          </cell>
          <cell r="B876" t="str">
            <v xml:space="preserve">SlsISP 2.0 RTU inc. IP SVC </v>
          </cell>
          <cell r="C876">
            <v>774</v>
          </cell>
          <cell r="D876" t="str">
            <v xml:space="preserve">B </v>
          </cell>
        </row>
        <row r="877">
          <cell r="A877" t="str">
            <v xml:space="preserve">S4II9-200-L999 </v>
          </cell>
          <cell r="B877" t="str">
            <v xml:space="preserve">SlsISP 2.0 1 RTU 32 CPU </v>
          </cell>
          <cell r="C877">
            <v>24154</v>
          </cell>
          <cell r="D877" t="str">
            <v xml:space="preserve">B </v>
          </cell>
        </row>
        <row r="878">
          <cell r="A878" t="str">
            <v xml:space="preserve">S4II9-200-X999 </v>
          </cell>
          <cell r="B878" t="str">
            <v xml:space="preserve">SlsISP 2.0 1 RTU 8 CPU </v>
          </cell>
          <cell r="C878">
            <v>4680</v>
          </cell>
          <cell r="D878" t="str">
            <v xml:space="preserve">B </v>
          </cell>
        </row>
        <row r="879">
          <cell r="A879" t="str">
            <v xml:space="preserve">S4II9-200-Y999 </v>
          </cell>
          <cell r="B879" t="str">
            <v xml:space="preserve">SlsISP 2.0 1 RTU 16 CPU </v>
          </cell>
          <cell r="C879">
            <v>12168</v>
          </cell>
          <cell r="D879" t="str">
            <v xml:space="preserve">B </v>
          </cell>
        </row>
        <row r="880">
          <cell r="A880" t="str">
            <v xml:space="preserve">S4IMI-200NI999 </v>
          </cell>
          <cell r="B880" t="str">
            <v xml:space="preserve">SlsISP 2.0 Esd SPC Dom 4 CPU </v>
          </cell>
          <cell r="C880">
            <v>7794</v>
          </cell>
          <cell r="D880" t="str">
            <v xml:space="preserve">B </v>
          </cell>
        </row>
        <row r="881">
          <cell r="A881" t="str">
            <v xml:space="preserve">S4IMI-200WI999 </v>
          </cell>
          <cell r="B881" t="str">
            <v xml:space="preserve">SlsISP 2.0 Esd SPC Gbl 4 CPU </v>
          </cell>
          <cell r="C881">
            <v>7794</v>
          </cell>
          <cell r="D881" t="str">
            <v xml:space="preserve">B </v>
          </cell>
        </row>
        <row r="882">
          <cell r="A882" t="str">
            <v xml:space="preserve">S4IMS-200NI999 </v>
          </cell>
          <cell r="B882" t="str">
            <v xml:space="preserve">S4I2.0 CD, 1RTU 1-4 CPU,Dom, S </v>
          </cell>
          <cell r="C882">
            <v>7794</v>
          </cell>
          <cell r="D882" t="str">
            <v xml:space="preserve">B </v>
          </cell>
        </row>
        <row r="883">
          <cell r="A883" t="str">
            <v xml:space="preserve">S4IMS-200WI999 </v>
          </cell>
          <cell r="B883" t="str">
            <v xml:space="preserve">SlsISP 2.0 CD SPC Gbl 4 CPU </v>
          </cell>
          <cell r="C883">
            <v>7794</v>
          </cell>
          <cell r="D883" t="str">
            <v xml:space="preserve">B </v>
          </cell>
        </row>
        <row r="884">
          <cell r="A884" t="str">
            <v xml:space="preserve">S4IX9-200-I999 </v>
          </cell>
          <cell r="B884" t="str">
            <v xml:space="preserve">SlsISP 2.0 +10 RTU 4 CPU </v>
          </cell>
          <cell r="C884">
            <v>62348</v>
          </cell>
          <cell r="D884" t="str">
            <v xml:space="preserve">B </v>
          </cell>
        </row>
        <row r="885">
          <cell r="A885" t="str">
            <v xml:space="preserve">S4IY9-200-I999 </v>
          </cell>
          <cell r="B885" t="str">
            <v xml:space="preserve">SlsISP 2.0 +25 RTU 4 CPU </v>
          </cell>
          <cell r="C885">
            <v>136383</v>
          </cell>
          <cell r="D885" t="str">
            <v xml:space="preserve">B </v>
          </cell>
        </row>
        <row r="886">
          <cell r="A886" t="str">
            <v xml:space="preserve">SBAIS-100-9999 </v>
          </cell>
          <cell r="B886" t="str">
            <v xml:space="preserve">SUW BANDWIDTH ALLOC 1.0, LIC </v>
          </cell>
          <cell r="C886">
            <v>6993</v>
          </cell>
          <cell r="D886" t="str">
            <v xml:space="preserve">B </v>
          </cell>
        </row>
        <row r="887">
          <cell r="A887" t="str">
            <v xml:space="preserve">SBAM9-100-9999 </v>
          </cell>
          <cell r="B887" t="str">
            <v xml:space="preserve">SW BANDWIDTH ALLOC 1.0, CD DOC </v>
          </cell>
          <cell r="C887">
            <v>140</v>
          </cell>
          <cell r="D887" t="str">
            <v xml:space="preserve">B </v>
          </cell>
        </row>
        <row r="888">
          <cell r="A888" t="str">
            <v xml:space="preserve">SBAXS-100-9999 </v>
          </cell>
          <cell r="B888" t="str">
            <v xml:space="preserve">SW BANDWIDTH ALLOC 1.0, 10LIC </v>
          </cell>
          <cell r="C888">
            <v>41930</v>
          </cell>
          <cell r="D888" t="str">
            <v xml:space="preserve">B </v>
          </cell>
        </row>
        <row r="889">
          <cell r="A889" t="str">
            <v xml:space="preserve">SCSC9-100-9999 </v>
          </cell>
          <cell r="B889" t="str">
            <v xml:space="preserve">Calendar Svr 1.0 1000 Clients </v>
          </cell>
          <cell r="C889">
            <v>35700</v>
          </cell>
          <cell r="D889" t="str">
            <v xml:space="preserve">B </v>
          </cell>
        </row>
        <row r="890">
          <cell r="A890" t="str">
            <v xml:space="preserve">SCSD9-100WW999 </v>
          </cell>
          <cell r="B890" t="str">
            <v xml:space="preserve">Calendar Server 1.0 Doc. </v>
          </cell>
          <cell r="C890">
            <v>210</v>
          </cell>
          <cell r="D890" t="str">
            <v xml:space="preserve">D </v>
          </cell>
        </row>
        <row r="891">
          <cell r="A891" t="str">
            <v xml:space="preserve">SCSE9-100-9999 </v>
          </cell>
          <cell r="B891" t="str">
            <v xml:space="preserve">Calendar Svr 1.0 2500 Clients </v>
          </cell>
          <cell r="C891">
            <v>87500</v>
          </cell>
          <cell r="D891" t="str">
            <v xml:space="preserve">B </v>
          </cell>
        </row>
        <row r="892">
          <cell r="A892" t="str">
            <v xml:space="preserve">SCSF9-100-9999 </v>
          </cell>
          <cell r="B892" t="str">
            <v xml:space="preserve">Calendar Svr 1.0 5000 Clients </v>
          </cell>
          <cell r="C892">
            <v>164500</v>
          </cell>
          <cell r="D892" t="str">
            <v xml:space="preserve">B </v>
          </cell>
        </row>
        <row r="893">
          <cell r="A893" t="str">
            <v xml:space="preserve">SCSG9-100-9999 </v>
          </cell>
          <cell r="B893" t="str">
            <v xml:space="preserve">Calendar Svr 1.0 10,000 Client </v>
          </cell>
          <cell r="C893">
            <v>315000</v>
          </cell>
          <cell r="D893" t="str">
            <v xml:space="preserve">B </v>
          </cell>
        </row>
        <row r="894">
          <cell r="A894" t="str">
            <v xml:space="preserve">SCSH9-100-9999 </v>
          </cell>
          <cell r="B894" t="str">
            <v xml:space="preserve">Calendar Svr 1.0 25,000 Client </v>
          </cell>
          <cell r="C894">
            <v>770000</v>
          </cell>
          <cell r="D894" t="str">
            <v xml:space="preserve">B </v>
          </cell>
        </row>
        <row r="895">
          <cell r="A895" t="str">
            <v xml:space="preserve">SCSJ9-100-9999 </v>
          </cell>
          <cell r="B895" t="str">
            <v xml:space="preserve">Calendar Svr 1.0 50,000 Client </v>
          </cell>
          <cell r="C895">
            <v>1400000</v>
          </cell>
          <cell r="D895" t="str">
            <v xml:space="preserve">B </v>
          </cell>
        </row>
        <row r="896">
          <cell r="A896" t="str">
            <v xml:space="preserve">SCSK9-100-9999 </v>
          </cell>
          <cell r="B896" t="str">
            <v xml:space="preserve">Calendar Svr 1.0 100,000 Clt </v>
          </cell>
          <cell r="C896">
            <v>2380000</v>
          </cell>
          <cell r="D896" t="str">
            <v xml:space="preserve">B </v>
          </cell>
        </row>
        <row r="897">
          <cell r="A897" t="str">
            <v xml:space="preserve">SCSL9-100-9999 </v>
          </cell>
          <cell r="B897" t="str">
            <v xml:space="preserve">Calendar Server 1.0 500 Client </v>
          </cell>
          <cell r="C897">
            <v>22050</v>
          </cell>
          <cell r="D897" t="str">
            <v xml:space="preserve">B </v>
          </cell>
        </row>
        <row r="898">
          <cell r="A898" t="str">
            <v xml:space="preserve">SCSM9-100WW999 </v>
          </cell>
          <cell r="B898" t="str">
            <v xml:space="preserve">Calendar Server 1.0 Media </v>
          </cell>
          <cell r="C898">
            <v>105</v>
          </cell>
          <cell r="D898" t="str">
            <v xml:space="preserve">D </v>
          </cell>
        </row>
        <row r="899">
          <cell r="A899" t="str">
            <v xml:space="preserve">SCSN9-100-9999 </v>
          </cell>
          <cell r="B899" t="str">
            <v xml:space="preserve">Calendar Svr 1.0 250K Clients </v>
          </cell>
          <cell r="C899">
            <v>5600000</v>
          </cell>
          <cell r="D899" t="str">
            <v xml:space="preserve">B </v>
          </cell>
        </row>
        <row r="900">
          <cell r="A900" t="str">
            <v xml:space="preserve">SCSP9-100-9999 </v>
          </cell>
          <cell r="B900" t="str">
            <v xml:space="preserve">Calendar Svr 1.0 500K Clients </v>
          </cell>
          <cell r="C900">
            <v>10150000</v>
          </cell>
          <cell r="D900" t="str">
            <v xml:space="preserve">B </v>
          </cell>
        </row>
        <row r="901">
          <cell r="A901" t="str">
            <v xml:space="preserve">SCST9-100-9999 </v>
          </cell>
          <cell r="B901" t="str">
            <v xml:space="preserve">Calendar Svr 1.0 7500 Clients </v>
          </cell>
          <cell r="C901">
            <v>241500</v>
          </cell>
          <cell r="D901" t="str">
            <v xml:space="preserve">B </v>
          </cell>
        </row>
        <row r="902">
          <cell r="A902" t="str">
            <v xml:space="preserve">SCSU9-100-9999 </v>
          </cell>
          <cell r="B902" t="str">
            <v xml:space="preserve">Calendar Svr 1.0 75,000 Client </v>
          </cell>
          <cell r="C902">
            <v>1890000</v>
          </cell>
          <cell r="D902" t="str">
            <v xml:space="preserve">B </v>
          </cell>
        </row>
        <row r="903">
          <cell r="A903" t="str">
            <v xml:space="preserve">SCSV9-100-9999 </v>
          </cell>
          <cell r="B903" t="str">
            <v xml:space="preserve">Calendar Server 1.0 50 Clients </v>
          </cell>
          <cell r="C903">
            <v>2450</v>
          </cell>
          <cell r="D903" t="str">
            <v xml:space="preserve">B </v>
          </cell>
        </row>
        <row r="904">
          <cell r="A904" t="str">
            <v xml:space="preserve">SCSV9-100WW999 </v>
          </cell>
          <cell r="B904" t="str">
            <v xml:space="preserve">Calendar Svr 1.0 Base Pack </v>
          </cell>
          <cell r="C904">
            <v>2450</v>
          </cell>
          <cell r="D904" t="str">
            <v xml:space="preserve">B </v>
          </cell>
        </row>
        <row r="905">
          <cell r="A905" t="str">
            <v xml:space="preserve">SCSX9-100-9999 </v>
          </cell>
          <cell r="B905" t="str">
            <v xml:space="preserve">Calendar Server 1.0 100 Client </v>
          </cell>
          <cell r="C905">
            <v>4900</v>
          </cell>
          <cell r="D905" t="str">
            <v xml:space="preserve">B </v>
          </cell>
        </row>
        <row r="906">
          <cell r="A906" t="str">
            <v xml:space="preserve">SDK-2.5.1-P </v>
          </cell>
          <cell r="B906" t="str">
            <v xml:space="preserve">SOL 2.5.1 DEV KIT, CD DOC LI </v>
          </cell>
          <cell r="C906">
            <v>644</v>
          </cell>
          <cell r="D906" t="str">
            <v xml:space="preserve">B </v>
          </cell>
        </row>
        <row r="907">
          <cell r="A907" t="str">
            <v xml:space="preserve">SDS-4.1-DOC </v>
          </cell>
          <cell r="B907" t="str">
            <v xml:space="preserve">DISKSUITE 4.1 DOCS </v>
          </cell>
          <cell r="C907">
            <v>210</v>
          </cell>
          <cell r="D907" t="str">
            <v xml:space="preserve">B </v>
          </cell>
        </row>
        <row r="908">
          <cell r="A908" t="str">
            <v xml:space="preserve">SDS-4.1-P </v>
          </cell>
          <cell r="B908" t="str">
            <v xml:space="preserve">DISKSUITE 4.1, CD DOC LI </v>
          </cell>
          <cell r="C908">
            <v>1995</v>
          </cell>
          <cell r="D908" t="str">
            <v xml:space="preserve">B </v>
          </cell>
        </row>
        <row r="909">
          <cell r="A909" t="str">
            <v xml:space="preserve">SDS-4.1-PU </v>
          </cell>
          <cell r="B909" t="str">
            <v xml:space="preserve">UG DISKSUITE 4.1, CD DOC LI </v>
          </cell>
          <cell r="C909">
            <v>700</v>
          </cell>
          <cell r="D909" t="str">
            <v xml:space="preserve">B </v>
          </cell>
        </row>
        <row r="910">
          <cell r="A910" t="str">
            <v xml:space="preserve">SDSC9-310-9999 </v>
          </cell>
          <cell r="B910" t="str">
            <v xml:space="preserve">SUNDS3.1, 1 RTU 100K ENTRIES </v>
          </cell>
          <cell r="C910">
            <v>10335</v>
          </cell>
          <cell r="D910" t="str">
            <v xml:space="preserve">B </v>
          </cell>
        </row>
        <row r="911">
          <cell r="A911" t="str">
            <v xml:space="preserve">SDSD9-310-9999 </v>
          </cell>
          <cell r="B911" t="str">
            <v xml:space="preserve">SUNDS3.1, DOCUMENTATION ONLY </v>
          </cell>
          <cell r="C911">
            <v>195</v>
          </cell>
          <cell r="D911" t="str">
            <v xml:space="preserve">B </v>
          </cell>
        </row>
        <row r="912">
          <cell r="A912" t="str">
            <v xml:space="preserve">SDSG9-310-9999 </v>
          </cell>
          <cell r="B912" t="str">
            <v xml:space="preserve">SUNDS3.1, 1 RTU 1M ENTRIES </v>
          </cell>
          <cell r="C912">
            <v>64935</v>
          </cell>
          <cell r="D912" t="str">
            <v xml:space="preserve">B </v>
          </cell>
        </row>
        <row r="913">
          <cell r="A913" t="str">
            <v xml:space="preserve">SDSX9-310-9999 </v>
          </cell>
          <cell r="B913" t="str">
            <v xml:space="preserve">SUNDS3.1, 1 RTU 10K ENTRIES </v>
          </cell>
          <cell r="C913">
            <v>1294</v>
          </cell>
          <cell r="D913" t="str">
            <v xml:space="preserve">B </v>
          </cell>
        </row>
        <row r="914">
          <cell r="A914" t="str">
            <v xml:space="preserve">SFMMS-200-D999 </v>
          </cell>
          <cell r="B914" t="str">
            <v xml:space="preserve">SunForum Media Kit </v>
          </cell>
          <cell r="C914">
            <v>35</v>
          </cell>
          <cell r="D914" t="str">
            <v xml:space="preserve">B </v>
          </cell>
        </row>
        <row r="915">
          <cell r="A915" t="str">
            <v xml:space="preserve">SG-ARY002A-0G </v>
          </cell>
          <cell r="B915" t="str">
            <v xml:space="preserve">A7000 CONTROLLER, DBL DRAWER </v>
          </cell>
          <cell r="C915">
            <v>216000</v>
          </cell>
          <cell r="D915" t="str">
            <v xml:space="preserve">A </v>
          </cell>
        </row>
        <row r="916">
          <cell r="A916" t="str">
            <v xml:space="preserve">SG-ARY132A-16GR4 </v>
          </cell>
          <cell r="B916" t="str">
            <v xml:space="preserve">RACKMOUNTABLE D1000 W/ 4*4GB </v>
          </cell>
          <cell r="C916">
            <v>14273</v>
          </cell>
          <cell r="D916" t="str">
            <v xml:space="preserve">H </v>
          </cell>
        </row>
        <row r="917">
          <cell r="A917" t="str">
            <v xml:space="preserve">SG-ARY134A-36GR4 </v>
          </cell>
          <cell r="B917" t="str">
            <v xml:space="preserve">36GB STOREDGE D1000 RACK </v>
          </cell>
          <cell r="C917">
            <v>15113</v>
          </cell>
          <cell r="D917" t="str">
            <v xml:space="preserve">H </v>
          </cell>
        </row>
        <row r="918">
          <cell r="A918" t="str">
            <v xml:space="preserve">SG-ARY134A-36GR5 </v>
          </cell>
          <cell r="B918" t="str">
            <v xml:space="preserve">36GB STOREDGE D1000 RACK </v>
          </cell>
          <cell r="C918">
            <v>15813</v>
          </cell>
          <cell r="D918" t="str">
            <v xml:space="preserve">H </v>
          </cell>
        </row>
        <row r="919">
          <cell r="A919" t="str">
            <v xml:space="preserve">SG-ARY135A-72GR5 </v>
          </cell>
          <cell r="B919" t="str">
            <v xml:space="preserve">72GB STOREDGE A1000 RACK </v>
          </cell>
          <cell r="C919">
            <v>27853</v>
          </cell>
          <cell r="D919" t="str">
            <v xml:space="preserve">H </v>
          </cell>
        </row>
        <row r="920">
          <cell r="A920" t="str">
            <v xml:space="preserve">SG-ARY136A-72GR5 </v>
          </cell>
          <cell r="B920" t="str">
            <v xml:space="preserve">RACK MOUNTABLE D1000 W/ 4X18GB </v>
          </cell>
          <cell r="C920">
            <v>22253</v>
          </cell>
          <cell r="D920" t="str">
            <v xml:space="preserve">H </v>
          </cell>
        </row>
        <row r="921">
          <cell r="A921" t="str">
            <v xml:space="preserve">SG-ARY351A-180G </v>
          </cell>
          <cell r="B921" t="str">
            <v xml:space="preserve">A3500 W/2 CONT.,5 TRAYS,18GBDR </v>
          </cell>
          <cell r="C921">
            <v>143710</v>
          </cell>
          <cell r="D921" t="str">
            <v xml:space="preserve">A </v>
          </cell>
        </row>
        <row r="922">
          <cell r="A922" t="str">
            <v xml:space="preserve">SG-ARY353A-360G </v>
          </cell>
          <cell r="B922" t="str">
            <v xml:space="preserve">A3500 W/4 CONT.,7 TRAYS,18GBDR </v>
          </cell>
          <cell r="C922">
            <v>242200</v>
          </cell>
          <cell r="D922" t="str">
            <v xml:space="preserve">A </v>
          </cell>
        </row>
        <row r="923">
          <cell r="A923" t="str">
            <v xml:space="preserve">SG-ARY360A-90G </v>
          </cell>
          <cell r="B923" t="str">
            <v xml:space="preserve">A3500 1 CONT/5 TRAYS/9GB(10K) </v>
          </cell>
          <cell r="C923">
            <v>122010</v>
          </cell>
          <cell r="D923" t="str">
            <v xml:space="preserve">A </v>
          </cell>
        </row>
        <row r="924">
          <cell r="A924" t="str">
            <v xml:space="preserve">SG-ARY362A-180G </v>
          </cell>
          <cell r="B924" t="str">
            <v xml:space="preserve">A3500 2 CONT/7 TRAYS/9GB(10K) </v>
          </cell>
          <cell r="C924">
            <v>198800</v>
          </cell>
          <cell r="D924" t="str">
            <v xml:space="preserve">A </v>
          </cell>
        </row>
        <row r="925">
          <cell r="A925" t="str">
            <v xml:space="preserve">SG-ARY366A-72G </v>
          </cell>
          <cell r="B925" t="str">
            <v xml:space="preserve">A3500 1 CONT/2 TRAYS/9GB(10K) </v>
          </cell>
          <cell r="C925">
            <v>72590</v>
          </cell>
          <cell r="D925" t="str">
            <v xml:space="preserve">A </v>
          </cell>
        </row>
        <row r="926">
          <cell r="A926" t="str">
            <v xml:space="preserve">SG-ARY511A-127G </v>
          </cell>
          <cell r="B926" t="str">
            <v xml:space="preserve">127GB SUN STOREDGE A5000 </v>
          </cell>
          <cell r="C926">
            <v>88200</v>
          </cell>
          <cell r="D926" t="str">
            <v xml:space="preserve">A </v>
          </cell>
        </row>
        <row r="927">
          <cell r="A927" t="str">
            <v xml:space="preserve">SG-ARY512A-127GR4 </v>
          </cell>
          <cell r="B927" t="str">
            <v xml:space="preserve">127GB SUN STOREDGE A5000 </v>
          </cell>
          <cell r="C927">
            <v>88200</v>
          </cell>
          <cell r="D927" t="str">
            <v xml:space="preserve">A </v>
          </cell>
        </row>
        <row r="928">
          <cell r="A928" t="str">
            <v xml:space="preserve">SG-ARY521A-200G </v>
          </cell>
          <cell r="B928" t="str">
            <v xml:space="preserve">200GB Sun StorEdge A5200 </v>
          </cell>
          <cell r="C928">
            <v>132300</v>
          </cell>
          <cell r="D928" t="str">
            <v xml:space="preserve">A </v>
          </cell>
        </row>
        <row r="929">
          <cell r="A929" t="str">
            <v xml:space="preserve">SG-ARY522A-200G </v>
          </cell>
          <cell r="B929" t="str">
            <v xml:space="preserve">200GB Sun StorEdge A5200 </v>
          </cell>
          <cell r="C929">
            <v>132300</v>
          </cell>
          <cell r="D929" t="str">
            <v xml:space="preserve">A </v>
          </cell>
        </row>
        <row r="930">
          <cell r="A930" t="str">
            <v xml:space="preserve">SG-ARY531A-254G </v>
          </cell>
          <cell r="B930" t="str">
            <v xml:space="preserve">254GB Sun StorEdge A5100 </v>
          </cell>
          <cell r="C930">
            <v>88060</v>
          </cell>
          <cell r="D930" t="str">
            <v xml:space="preserve">A </v>
          </cell>
        </row>
        <row r="931">
          <cell r="A931" t="str">
            <v xml:space="preserve">SG-ARY532A-254G </v>
          </cell>
          <cell r="B931" t="str">
            <v xml:space="preserve">254GB Sun StorEdge A5100 </v>
          </cell>
          <cell r="C931">
            <v>88060</v>
          </cell>
          <cell r="D931" t="str">
            <v xml:space="preserve">A </v>
          </cell>
        </row>
        <row r="932">
          <cell r="A932" t="str">
            <v xml:space="preserve">SG-DSK010A-9G </v>
          </cell>
          <cell r="B932" t="str">
            <v xml:space="preserve">9.1GB/10000RPM DISK UNIPACK </v>
          </cell>
          <cell r="C932">
            <v>1694</v>
          </cell>
          <cell r="D932" t="str">
            <v xml:space="preserve">H </v>
          </cell>
        </row>
        <row r="933">
          <cell r="A933" t="str">
            <v xml:space="preserve">SG-XDSK010A-18G </v>
          </cell>
          <cell r="B933" t="str">
            <v xml:space="preserve">18.2GB/10000RPM DISK UNIPACK </v>
          </cell>
          <cell r="C933">
            <v>1800</v>
          </cell>
          <cell r="D933" t="str">
            <v xml:space="preserve">H </v>
          </cell>
        </row>
        <row r="934">
          <cell r="A934" t="str">
            <v xml:space="preserve">SG-LIB8MMC-400GR5 </v>
          </cell>
          <cell r="B934" t="str">
            <v xml:space="preserve">STOREDGE L400 8MM 1DR EXP RACK </v>
          </cell>
          <cell r="C934">
            <v>17500</v>
          </cell>
          <cell r="D934" t="str">
            <v xml:space="preserve">H </v>
          </cell>
        </row>
        <row r="935">
          <cell r="A935" t="str">
            <v xml:space="preserve">SG-LIBDLT2-280GR5 </v>
          </cell>
          <cell r="B935" t="str">
            <v xml:space="preserve">TAPE 280/560GB DLT7000 RACKMNT </v>
          </cell>
          <cell r="C935">
            <v>21700</v>
          </cell>
          <cell r="D935" t="str">
            <v xml:space="preserve">H </v>
          </cell>
        </row>
        <row r="936">
          <cell r="A936" t="str">
            <v xml:space="preserve">SG-LIBDLT4R-1TBR5 </v>
          </cell>
          <cell r="B936" t="str">
            <v xml:space="preserve">STOREDGE L1000 4 TAPE RACKMNT </v>
          </cell>
          <cell r="C936">
            <v>91000</v>
          </cell>
          <cell r="D936" t="str">
            <v xml:space="preserve">H </v>
          </cell>
        </row>
        <row r="937">
          <cell r="A937" t="str">
            <v xml:space="preserve">SG-XARY030A </v>
          </cell>
          <cell r="B937" t="str">
            <v xml:space="preserve">72" STOREDGE EXPANSION RACK </v>
          </cell>
          <cell r="C937">
            <v>10500</v>
          </cell>
          <cell r="D937" t="str">
            <v xml:space="preserve">A </v>
          </cell>
        </row>
        <row r="938">
          <cell r="A938" t="str">
            <v xml:space="preserve">SG-XARY125A-109G </v>
          </cell>
          <cell r="B938" t="str">
            <v xml:space="preserve">109GB STOREDGE D1000 </v>
          </cell>
          <cell r="C938">
            <v>32053</v>
          </cell>
          <cell r="D938" t="str">
            <v xml:space="preserve">H </v>
          </cell>
        </row>
        <row r="939">
          <cell r="A939" t="str">
            <v xml:space="preserve">SG-XARY126A-144G </v>
          </cell>
          <cell r="B939" t="str">
            <v xml:space="preserve">144GB STOREDGE A1000 </v>
          </cell>
          <cell r="C939">
            <v>42413</v>
          </cell>
          <cell r="D939" t="str">
            <v xml:space="preserve">H </v>
          </cell>
        </row>
        <row r="940">
          <cell r="A940" t="str">
            <v xml:space="preserve">SG-XARY126A-72G </v>
          </cell>
          <cell r="B940" t="str">
            <v xml:space="preserve">72GB STOREDGE A1000 </v>
          </cell>
          <cell r="C940">
            <v>27853</v>
          </cell>
          <cell r="D940" t="str">
            <v xml:space="preserve">H </v>
          </cell>
        </row>
        <row r="941">
          <cell r="A941" t="str">
            <v xml:space="preserve">SG-XARY127A-144G </v>
          </cell>
          <cell r="B941" t="str">
            <v xml:space="preserve">144GB STOREDGE D1000 </v>
          </cell>
          <cell r="C941">
            <v>36813</v>
          </cell>
          <cell r="D941" t="str">
            <v xml:space="preserve">H </v>
          </cell>
        </row>
        <row r="942">
          <cell r="A942" t="str">
            <v xml:space="preserve">SG-XARY127A-72G </v>
          </cell>
          <cell r="B942" t="str">
            <v xml:space="preserve">72GB STOREDGE D1000 </v>
          </cell>
          <cell r="C942">
            <v>22253</v>
          </cell>
          <cell r="D942" t="str">
            <v xml:space="preserve">H </v>
          </cell>
        </row>
        <row r="943">
          <cell r="A943" t="str">
            <v xml:space="preserve">SG-XARY135A-72G </v>
          </cell>
          <cell r="B943" t="str">
            <v xml:space="preserve">72GB STOREDGE A1000 FOR RACK </v>
          </cell>
          <cell r="C943">
            <v>27853</v>
          </cell>
          <cell r="D943" t="str">
            <v xml:space="preserve">H </v>
          </cell>
        </row>
        <row r="944">
          <cell r="A944" t="str">
            <v xml:space="preserve">SG-XARY136A-72G </v>
          </cell>
          <cell r="B944" t="str">
            <v xml:space="preserve">72GB STOREDGE D1000 FOR RACK </v>
          </cell>
          <cell r="C944">
            <v>22253</v>
          </cell>
          <cell r="D944" t="str">
            <v xml:space="preserve">H </v>
          </cell>
        </row>
        <row r="945">
          <cell r="A945" t="str">
            <v xml:space="preserve">SG-XARY144A-109G </v>
          </cell>
          <cell r="B945" t="str">
            <v xml:space="preserve">109GB STOREDGE A1000(10K RPM) </v>
          </cell>
          <cell r="C945">
            <v>32613</v>
          </cell>
          <cell r="D945" t="str">
            <v xml:space="preserve">H </v>
          </cell>
        </row>
        <row r="946">
          <cell r="A946" t="str">
            <v xml:space="preserve">SG-XARY144A-36G </v>
          </cell>
          <cell r="B946" t="str">
            <v xml:space="preserve">36GB STOREDGE A1000(10K RPM) </v>
          </cell>
          <cell r="C946">
            <v>18333</v>
          </cell>
          <cell r="D946" t="str">
            <v xml:space="preserve">H </v>
          </cell>
        </row>
        <row r="947">
          <cell r="A947" t="str">
            <v xml:space="preserve">SG-XARY145A-109G </v>
          </cell>
          <cell r="B947" t="str">
            <v xml:space="preserve">109GB STOREDGE D1000(10K RPM) </v>
          </cell>
          <cell r="C947">
            <v>29113</v>
          </cell>
          <cell r="D947" t="str">
            <v xml:space="preserve">H </v>
          </cell>
        </row>
        <row r="948">
          <cell r="A948" t="str">
            <v xml:space="preserve">SG-XARY145A-36G </v>
          </cell>
          <cell r="B948" t="str">
            <v xml:space="preserve">36GB STOREDGE D1000(10K RPM) </v>
          </cell>
          <cell r="C948">
            <v>14833</v>
          </cell>
          <cell r="D948" t="str">
            <v xml:space="preserve">H </v>
          </cell>
        </row>
        <row r="949">
          <cell r="A949" t="str">
            <v xml:space="preserve">SG-XARY146A-36G </v>
          </cell>
          <cell r="B949" t="str">
            <v xml:space="preserve">36GB A1000 FOR RACK(10K RPM) </v>
          </cell>
          <cell r="C949">
            <v>18333</v>
          </cell>
          <cell r="D949" t="str">
            <v xml:space="preserve">H </v>
          </cell>
        </row>
        <row r="950">
          <cell r="A950" t="str">
            <v xml:space="preserve">SG-XARY147A-36G </v>
          </cell>
          <cell r="B950" t="str">
            <v xml:space="preserve">36GB D1000 FOR RACK(10K RPM) </v>
          </cell>
          <cell r="C950">
            <v>13643</v>
          </cell>
          <cell r="D950" t="str">
            <v xml:space="preserve">H </v>
          </cell>
        </row>
        <row r="951">
          <cell r="A951" t="str">
            <v xml:space="preserve">SG-XARY154A-72G </v>
          </cell>
          <cell r="B951" t="str">
            <v xml:space="preserve">72GB D1000 FOR RACK(10K RPM) </v>
          </cell>
          <cell r="C951">
            <v>11940</v>
          </cell>
          <cell r="D951" t="str">
            <v xml:space="preserve">H </v>
          </cell>
        </row>
        <row r="952">
          <cell r="A952" t="str">
            <v xml:space="preserve">SG-XARY155A-72G </v>
          </cell>
          <cell r="B952" t="str">
            <v xml:space="preserve">72GB A1000 FOR RACK(10K RPM) </v>
          </cell>
          <cell r="C952">
            <v>17138</v>
          </cell>
          <cell r="D952" t="str">
            <v xml:space="preserve">H </v>
          </cell>
        </row>
        <row r="953">
          <cell r="A953" t="str">
            <v xml:space="preserve">SG-XARY351A-180G </v>
          </cell>
          <cell r="B953" t="str">
            <v xml:space="preserve">A3500 2 CONT/5 TRAYS/18GB </v>
          </cell>
          <cell r="C953">
            <v>143710</v>
          </cell>
          <cell r="D953" t="str">
            <v xml:space="preserve">A </v>
          </cell>
        </row>
        <row r="954">
          <cell r="A954" t="str">
            <v xml:space="preserve">SG-XARY353A-1008G </v>
          </cell>
          <cell r="B954" t="str">
            <v xml:space="preserve">A3500 4 CONT/7 TRAYS/18GB </v>
          </cell>
          <cell r="C954">
            <v>343560</v>
          </cell>
          <cell r="D954" t="str">
            <v xml:space="preserve">A </v>
          </cell>
        </row>
        <row r="955">
          <cell r="A955" t="str">
            <v xml:space="preserve">SG-XARY353A-360G </v>
          </cell>
          <cell r="B955" t="str">
            <v xml:space="preserve">A3500 2 CONT/7 TRAYS/18GB </v>
          </cell>
          <cell r="C955">
            <v>242200</v>
          </cell>
          <cell r="D955" t="str">
            <v xml:space="preserve">A </v>
          </cell>
        </row>
        <row r="956">
          <cell r="A956" t="str">
            <v xml:space="preserve">SG-XARY355A-2160G </v>
          </cell>
          <cell r="B956" t="str">
            <v xml:space="preserve">A3500 3 CONT/15 TRAYS/18GB </v>
          </cell>
          <cell r="C956">
            <v>825230</v>
          </cell>
          <cell r="D956" t="str">
            <v xml:space="preserve">A </v>
          </cell>
        </row>
        <row r="957">
          <cell r="A957" t="str">
            <v xml:space="preserve">SG-XARY360A-545G </v>
          </cell>
          <cell r="B957" t="str">
            <v xml:space="preserve">545-GB A3500 (1X5X9-GB) </v>
          </cell>
          <cell r="C957">
            <v>230510</v>
          </cell>
          <cell r="D957" t="str">
            <v xml:space="preserve">A </v>
          </cell>
        </row>
        <row r="958">
          <cell r="A958" t="str">
            <v xml:space="preserve">SG-XARY360A-90G </v>
          </cell>
          <cell r="B958" t="str">
            <v xml:space="preserve">A3500 1 CONT/5 TRAYS/9GB(10K) </v>
          </cell>
          <cell r="C958">
            <v>122010</v>
          </cell>
          <cell r="D958" t="str">
            <v xml:space="preserve">A </v>
          </cell>
        </row>
        <row r="959">
          <cell r="A959" t="str">
            <v xml:space="preserve">SG-XARY362A-180G </v>
          </cell>
          <cell r="B959" t="str">
            <v xml:space="preserve">A3500 2 CONT/7 TRAYS/9GB(10K) </v>
          </cell>
          <cell r="C959">
            <v>198800</v>
          </cell>
          <cell r="D959" t="str">
            <v xml:space="preserve">A </v>
          </cell>
        </row>
        <row r="960">
          <cell r="A960" t="str">
            <v xml:space="preserve">SG-XARY362A-763G </v>
          </cell>
          <cell r="B960" t="str">
            <v xml:space="preserve">A3500 2 CONT/7 TRAYS/9GB(10K) </v>
          </cell>
          <cell r="C960">
            <v>337680</v>
          </cell>
          <cell r="D960" t="str">
            <v xml:space="preserve">A </v>
          </cell>
        </row>
        <row r="961">
          <cell r="A961" t="str">
            <v xml:space="preserve">SG-XARY364A-1635G </v>
          </cell>
          <cell r="B961" t="str">
            <v xml:space="preserve">A3500 3 CONT/15 TRAYS/9GB(10K) </v>
          </cell>
          <cell r="C961">
            <v>695030</v>
          </cell>
          <cell r="D961" t="str">
            <v xml:space="preserve">A </v>
          </cell>
        </row>
        <row r="962">
          <cell r="A962" t="str">
            <v xml:space="preserve">SG-XARY366A-72G </v>
          </cell>
          <cell r="B962" t="str">
            <v xml:space="preserve">A3500 1 CONT/2 TRAYS/9GB(10K) </v>
          </cell>
          <cell r="C962">
            <v>72590</v>
          </cell>
          <cell r="D962" t="str">
            <v xml:space="preserve">A </v>
          </cell>
        </row>
        <row r="963">
          <cell r="A963" t="str">
            <v xml:space="preserve">SG-XARY512A-127G </v>
          </cell>
          <cell r="B963" t="str">
            <v xml:space="preserve">127GB SUN STOREDGE A5000 </v>
          </cell>
          <cell r="C963">
            <v>88200</v>
          </cell>
          <cell r="D963" t="str">
            <v xml:space="preserve">A </v>
          </cell>
        </row>
        <row r="964">
          <cell r="A964" t="str">
            <v xml:space="preserve">SG-XARY520A-200G </v>
          </cell>
          <cell r="B964" t="str">
            <v xml:space="preserve">200GB Sun StorEdge A5200 </v>
          </cell>
          <cell r="C964">
            <v>132300</v>
          </cell>
          <cell r="D964" t="str">
            <v xml:space="preserve">A </v>
          </cell>
        </row>
        <row r="965">
          <cell r="A965" t="str">
            <v xml:space="preserve">SG-XARY520A-63G </v>
          </cell>
          <cell r="B965" t="str">
            <v xml:space="preserve">63GB Sun StorEdge A5200 </v>
          </cell>
          <cell r="C965">
            <v>71400</v>
          </cell>
          <cell r="D965" t="str">
            <v xml:space="preserve">A </v>
          </cell>
        </row>
        <row r="966">
          <cell r="A966" t="str">
            <v xml:space="preserve">SG-XARY523A-1200G </v>
          </cell>
          <cell r="B966" t="str">
            <v xml:space="preserve">1200GB Sun StorEdge A5200 </v>
          </cell>
          <cell r="C966">
            <v>831110</v>
          </cell>
          <cell r="D966" t="str">
            <v xml:space="preserve">A </v>
          </cell>
        </row>
        <row r="967">
          <cell r="A967" t="str">
            <v xml:space="preserve">SG-XARY523A-400G </v>
          </cell>
          <cell r="B967" t="str">
            <v xml:space="preserve">400GB Sun StorEdge A5200 </v>
          </cell>
          <cell r="C967">
            <v>288470</v>
          </cell>
          <cell r="D967" t="str">
            <v xml:space="preserve">A </v>
          </cell>
        </row>
        <row r="968">
          <cell r="A968" t="str">
            <v xml:space="preserve">SG-XARY523A-800G </v>
          </cell>
          <cell r="B968" t="str">
            <v xml:space="preserve">800GB Sun StorEdge A5200 </v>
          </cell>
          <cell r="C968">
            <v>563710</v>
          </cell>
          <cell r="D968" t="str">
            <v xml:space="preserve">A </v>
          </cell>
        </row>
        <row r="969">
          <cell r="A969" t="str">
            <v xml:space="preserve">SG-XARY530A-254G </v>
          </cell>
          <cell r="B969" t="str">
            <v xml:space="preserve">254GB Sun StorEdge A5100 </v>
          </cell>
          <cell r="C969">
            <v>88060</v>
          </cell>
          <cell r="D969" t="str">
            <v xml:space="preserve">A </v>
          </cell>
        </row>
        <row r="970">
          <cell r="A970" t="str">
            <v xml:space="preserve">SG-XARY530A-91G </v>
          </cell>
          <cell r="B970" t="str">
            <v xml:space="preserve">91GB Sun StorEdge A5100 </v>
          </cell>
          <cell r="C970">
            <v>49000</v>
          </cell>
          <cell r="D970" t="str">
            <v xml:space="preserve">A </v>
          </cell>
        </row>
        <row r="971">
          <cell r="A971" t="str">
            <v xml:space="preserve">SG-XARY533A-1528G </v>
          </cell>
          <cell r="B971" t="str">
            <v xml:space="preserve">1.5TB Sun StorEdge A5100 </v>
          </cell>
          <cell r="C971">
            <v>565320</v>
          </cell>
          <cell r="D971" t="str">
            <v xml:space="preserve">A </v>
          </cell>
        </row>
        <row r="972">
          <cell r="A972" t="str">
            <v xml:space="preserve">SG-XARY533A-509G </v>
          </cell>
          <cell r="B972" t="str">
            <v xml:space="preserve">509GB Sun StorEdge A5100 </v>
          </cell>
          <cell r="C972">
            <v>200480</v>
          </cell>
          <cell r="D972" t="str">
            <v xml:space="preserve">A </v>
          </cell>
        </row>
        <row r="973">
          <cell r="A973" t="str">
            <v xml:space="preserve">SG-XDSK010A-9G </v>
          </cell>
          <cell r="B973" t="str">
            <v xml:space="preserve">9.1GB/7200RPM DISK UNIPACK </v>
          </cell>
          <cell r="C973">
            <v>1694</v>
          </cell>
          <cell r="D973" t="str">
            <v xml:space="preserve">H </v>
          </cell>
        </row>
        <row r="974">
          <cell r="A974" t="str">
            <v xml:space="preserve">SG-XDSK010B-18G </v>
          </cell>
          <cell r="B974" t="str">
            <v xml:space="preserve">18.2GB/7200RPM DISK UNIPACK </v>
          </cell>
          <cell r="C974">
            <v>2870</v>
          </cell>
          <cell r="D974" t="str">
            <v xml:space="preserve">H </v>
          </cell>
        </row>
        <row r="975">
          <cell r="A975" t="str">
            <v xml:space="preserve">SG-XDSK010C-18G </v>
          </cell>
          <cell r="B975" t="str">
            <v xml:space="preserve">18.2GB/10000RPM DISK UNIPACK </v>
          </cell>
          <cell r="C975">
            <v>1800</v>
          </cell>
          <cell r="D975" t="str">
            <v xml:space="preserve">H </v>
          </cell>
        </row>
        <row r="976">
          <cell r="A976" t="str">
            <v xml:space="preserve">SG-XDSK020B-36G </v>
          </cell>
          <cell r="B976" t="str">
            <v xml:space="preserve">36.4GB/7200RPM DISK MULTIPACK </v>
          </cell>
          <cell r="C976">
            <v>6440</v>
          </cell>
          <cell r="D976" t="str">
            <v xml:space="preserve">H </v>
          </cell>
        </row>
        <row r="977">
          <cell r="A977" t="str">
            <v xml:space="preserve">SG-XDSK020C-18G </v>
          </cell>
          <cell r="B977" t="str">
            <v xml:space="preserve">18.2GB/10K RPM DISK MULTIPACK </v>
          </cell>
          <cell r="C977">
            <v>4550</v>
          </cell>
          <cell r="D977" t="str">
            <v xml:space="preserve">H </v>
          </cell>
        </row>
        <row r="978">
          <cell r="A978" t="str">
            <v xml:space="preserve">SG-XDSK040B-72G </v>
          </cell>
          <cell r="B978" t="str">
            <v xml:space="preserve">72.8GB/7200RPM DISK MULTIPACK </v>
          </cell>
          <cell r="C978">
            <v>11760</v>
          </cell>
          <cell r="D978" t="str">
            <v xml:space="preserve">H </v>
          </cell>
        </row>
        <row r="979">
          <cell r="A979" t="str">
            <v xml:space="preserve">SG-XDSK040C-36G </v>
          </cell>
          <cell r="B979" t="str">
            <v xml:space="preserve">36.4GB/10K RPM DISK MULTIPACK </v>
          </cell>
          <cell r="C979">
            <v>7980</v>
          </cell>
          <cell r="D979" t="str">
            <v xml:space="preserve">H </v>
          </cell>
        </row>
        <row r="980">
          <cell r="A980" t="str">
            <v xml:space="preserve">SG-XDSK060B-109G </v>
          </cell>
          <cell r="B980" t="str">
            <v xml:space="preserve">109.2GB/7200RPM DISK MULTIPACK </v>
          </cell>
          <cell r="C980">
            <v>17080</v>
          </cell>
          <cell r="D980" t="str">
            <v xml:space="preserve">H </v>
          </cell>
        </row>
        <row r="981">
          <cell r="A981" t="str">
            <v xml:space="preserve">SG-XDSK060C-54G </v>
          </cell>
          <cell r="B981" t="str">
            <v xml:space="preserve">54.6GB/10K RPM DISK MULTIPACK </v>
          </cell>
          <cell r="C981">
            <v>11410</v>
          </cell>
          <cell r="D981" t="str">
            <v xml:space="preserve">H </v>
          </cell>
        </row>
        <row r="982">
          <cell r="A982" t="str">
            <v xml:space="preserve">SG-XLIB8MM1-400G </v>
          </cell>
          <cell r="B982" t="str">
            <v xml:space="preserve">STOREDGE L400 400GB/8MM-2 DRVS </v>
          </cell>
          <cell r="C982">
            <v>22400</v>
          </cell>
          <cell r="D982" t="str">
            <v xml:space="preserve">H </v>
          </cell>
        </row>
        <row r="983">
          <cell r="A983" t="str">
            <v xml:space="preserve">SG-XLIB8MMB-400G </v>
          </cell>
          <cell r="B983" t="str">
            <v xml:space="preserve">STOREDGE L400 400GB/8MM 1 DRV </v>
          </cell>
          <cell r="C983">
            <v>17500</v>
          </cell>
          <cell r="D983" t="str">
            <v xml:space="preserve">H </v>
          </cell>
        </row>
        <row r="984">
          <cell r="A984" t="str">
            <v xml:space="preserve">SG-XLIB8MMC-400G </v>
          </cell>
          <cell r="B984" t="str">
            <v xml:space="preserve">STOREDGE L400 400GB/8MM 1DR/RK </v>
          </cell>
          <cell r="C984">
            <v>17500</v>
          </cell>
          <cell r="D984" t="str">
            <v xml:space="preserve">H </v>
          </cell>
        </row>
        <row r="985">
          <cell r="A985" t="str">
            <v xml:space="preserve">SG-XLIBDLT1-1TB-2 </v>
          </cell>
          <cell r="B985" t="str">
            <v xml:space="preserve">STOREDGE L1000 1 TAPE DESKSIDE </v>
          </cell>
          <cell r="C985">
            <v>42000</v>
          </cell>
          <cell r="D985" t="str">
            <v xml:space="preserve">A </v>
          </cell>
        </row>
        <row r="986">
          <cell r="A986" t="str">
            <v xml:space="preserve">SG-XLIBDLT1-280G </v>
          </cell>
          <cell r="B986" t="str">
            <v xml:space="preserve">TAPE 280/560GB STOREDGEL280 DT </v>
          </cell>
          <cell r="C986">
            <v>17150</v>
          </cell>
          <cell r="D986" t="str">
            <v xml:space="preserve">H </v>
          </cell>
        </row>
        <row r="987">
          <cell r="A987" t="str">
            <v xml:space="preserve">SG-XLIBDLT16-11TB </v>
          </cell>
          <cell r="B987" t="str">
            <v xml:space="preserve">L11000 11TB 16 DLT7000 DR. HA </v>
          </cell>
          <cell r="C987">
            <v>404600</v>
          </cell>
          <cell r="D987" t="str">
            <v xml:space="preserve">A </v>
          </cell>
        </row>
        <row r="988">
          <cell r="A988" t="str">
            <v xml:space="preserve">SG-XLIBDLT1R-1TB-2 </v>
          </cell>
          <cell r="B988" t="str">
            <v xml:space="preserve">STOREDGE L1000 1 TAPE RACKMNT </v>
          </cell>
          <cell r="C988">
            <v>42000</v>
          </cell>
          <cell r="D988" t="str">
            <v xml:space="preserve">A </v>
          </cell>
        </row>
        <row r="989">
          <cell r="A989" t="str">
            <v xml:space="preserve">SG-XLIBDLT2-280G </v>
          </cell>
          <cell r="B989" t="str">
            <v xml:space="preserve">TAPE 280/560GB DLT7000 FOR RCK </v>
          </cell>
          <cell r="C989">
            <v>17150</v>
          </cell>
          <cell r="D989" t="str">
            <v xml:space="preserve">H </v>
          </cell>
        </row>
        <row r="990">
          <cell r="A990" t="str">
            <v xml:space="preserve">SG-XLIBDLT4-11TB </v>
          </cell>
          <cell r="B990" t="str">
            <v xml:space="preserve">STOREDGE L11000, 4 X DLT7000 </v>
          </cell>
          <cell r="C990">
            <v>245000</v>
          </cell>
          <cell r="D990" t="str">
            <v xml:space="preserve">A </v>
          </cell>
        </row>
        <row r="991">
          <cell r="A991" t="str">
            <v xml:space="preserve">SG-XLIBDLT4-1TB-2 </v>
          </cell>
          <cell r="B991" t="str">
            <v xml:space="preserve">STOREDGE L1000 4 TAPE DESKSIDE </v>
          </cell>
          <cell r="C991">
            <v>75600</v>
          </cell>
          <cell r="D991" t="str">
            <v xml:space="preserve">A </v>
          </cell>
        </row>
        <row r="992">
          <cell r="A992" t="str">
            <v xml:space="preserve">SG-XLIBDLT4R-1TB-2 </v>
          </cell>
          <cell r="B992" t="str">
            <v xml:space="preserve">STOREDGE L1000 4 TAPE RACKMNT </v>
          </cell>
          <cell r="C992">
            <v>75600</v>
          </cell>
          <cell r="D992" t="str">
            <v xml:space="preserve">A </v>
          </cell>
        </row>
        <row r="993">
          <cell r="A993" t="str">
            <v xml:space="preserve">SG-XMED4MMCL-10 </v>
          </cell>
          <cell r="B993" t="str">
            <v xml:space="preserve">4MM DDS CLEANING TAPES-10 PACK </v>
          </cell>
          <cell r="C993">
            <v>168</v>
          </cell>
          <cell r="D993" t="str">
            <v xml:space="preserve">H </v>
          </cell>
        </row>
        <row r="994">
          <cell r="A994" t="str">
            <v xml:space="preserve">SG-XMED4MMDDS210 </v>
          </cell>
          <cell r="B994" t="str">
            <v xml:space="preserve">4MM 120M DDS2 TAPES - 10 PACK </v>
          </cell>
          <cell r="C994">
            <v>210</v>
          </cell>
          <cell r="D994" t="str">
            <v xml:space="preserve">H </v>
          </cell>
        </row>
        <row r="995">
          <cell r="A995" t="str">
            <v xml:space="preserve">SG-XMED4MMDDS310 </v>
          </cell>
          <cell r="B995" t="str">
            <v xml:space="preserve">4MM 125M DDS3 TAPES - 10 PACK </v>
          </cell>
          <cell r="C995">
            <v>336</v>
          </cell>
          <cell r="D995" t="str">
            <v xml:space="preserve">H </v>
          </cell>
        </row>
        <row r="996">
          <cell r="A996" t="str">
            <v xml:space="preserve">SG-XMED8MMAME-10 </v>
          </cell>
          <cell r="B996" t="str">
            <v xml:space="preserve">8MM 170M AME TAPE-PACK OF 10 </v>
          </cell>
          <cell r="C996">
            <v>1085</v>
          </cell>
          <cell r="D996" t="str">
            <v xml:space="preserve">H </v>
          </cell>
        </row>
        <row r="997">
          <cell r="A997" t="str">
            <v xml:space="preserve">SG-XMED8MMAME-PK </v>
          </cell>
          <cell r="B997" t="str">
            <v xml:space="preserve">8MM AME EXAPAK </v>
          </cell>
          <cell r="C997">
            <v>1155</v>
          </cell>
          <cell r="D997" t="str">
            <v xml:space="preserve">H </v>
          </cell>
        </row>
        <row r="998">
          <cell r="A998" t="str">
            <v xml:space="preserve">SG-XMED8MMAMEC10 </v>
          </cell>
          <cell r="B998" t="str">
            <v xml:space="preserve">8MM AME CLEANING TAPES-10 PACK </v>
          </cell>
          <cell r="C998">
            <v>371</v>
          </cell>
          <cell r="D998" t="str">
            <v xml:space="preserve">H </v>
          </cell>
        </row>
        <row r="999">
          <cell r="A999" t="str">
            <v xml:space="preserve">SG-XMED8MMXL-10 </v>
          </cell>
          <cell r="B999" t="str">
            <v xml:space="preserve">8MM 160M XL TAPES - 10 PACK </v>
          </cell>
          <cell r="C999">
            <v>210</v>
          </cell>
          <cell r="D999" t="str">
            <v xml:space="preserve">H </v>
          </cell>
        </row>
        <row r="1000">
          <cell r="A1000" t="str">
            <v xml:space="preserve">SG-XMED8MMXL-PK </v>
          </cell>
          <cell r="B1000" t="str">
            <v xml:space="preserve">8MM 160M EXAPACK </v>
          </cell>
          <cell r="C1000">
            <v>259</v>
          </cell>
          <cell r="D1000" t="str">
            <v xml:space="preserve">H </v>
          </cell>
        </row>
        <row r="1001">
          <cell r="A1001" t="str">
            <v xml:space="preserve">SG-XMED8MMXLCL10 </v>
          </cell>
          <cell r="B1001" t="str">
            <v xml:space="preserve">8MM XL CLEANING TAPES- 10 PACK </v>
          </cell>
          <cell r="C1001">
            <v>280</v>
          </cell>
          <cell r="D1001" t="str">
            <v xml:space="preserve">H </v>
          </cell>
        </row>
        <row r="1002">
          <cell r="A1002" t="str">
            <v xml:space="preserve">SG-XMEDDLTCIV-10 </v>
          </cell>
          <cell r="B1002" t="str">
            <v xml:space="preserve">DLT COMPACT IV TAPE, 10 PACK </v>
          </cell>
          <cell r="C1002">
            <v>1190</v>
          </cell>
          <cell r="D1002" t="str">
            <v xml:space="preserve">H </v>
          </cell>
        </row>
        <row r="1003">
          <cell r="A1003" t="str">
            <v xml:space="preserve">SG-XMEDDLTCL-10 </v>
          </cell>
          <cell r="B1003" t="str">
            <v xml:space="preserve">DLT CLEANING TAPES-10 PACK </v>
          </cell>
          <cell r="C1003">
            <v>700</v>
          </cell>
          <cell r="D1003" t="str">
            <v xml:space="preserve">H </v>
          </cell>
        </row>
        <row r="1004">
          <cell r="A1004" t="str">
            <v xml:space="preserve">SG-XTAP4MM-011A </v>
          </cell>
          <cell r="B1004" t="str">
            <v xml:space="preserve">TAPE 12GB 4MM DDS-3 UNIPACK </v>
          </cell>
          <cell r="C1004">
            <v>1820</v>
          </cell>
          <cell r="D1004" t="str">
            <v xml:space="preserve">H </v>
          </cell>
        </row>
        <row r="1005">
          <cell r="A1005" t="str">
            <v xml:space="preserve">SG-XTAP4MM-021A </v>
          </cell>
          <cell r="B1005" t="str">
            <v xml:space="preserve">TAPE 12GB 4MM DDS-3 FLEXIPK </v>
          </cell>
          <cell r="C1005">
            <v>2170</v>
          </cell>
          <cell r="D1005" t="str">
            <v xml:space="preserve">H </v>
          </cell>
        </row>
        <row r="1006">
          <cell r="A1006" t="str">
            <v xml:space="preserve">SG-XTAP4MM-031A </v>
          </cell>
          <cell r="B1006" t="str">
            <v xml:space="preserve">72GB 4MM DDS-3 AUTOLOADER </v>
          </cell>
          <cell r="C1006">
            <v>4270</v>
          </cell>
          <cell r="D1006" t="str">
            <v xml:space="preserve">H </v>
          </cell>
        </row>
        <row r="1007">
          <cell r="A1007" t="str">
            <v xml:space="preserve">SG-XTAP8MM-010A </v>
          </cell>
          <cell r="B1007" t="str">
            <v xml:space="preserve">TAPE 7GB 8MM UNIPACK </v>
          </cell>
          <cell r="C1007">
            <v>2160</v>
          </cell>
          <cell r="D1007" t="str">
            <v xml:space="preserve">H </v>
          </cell>
        </row>
        <row r="1008">
          <cell r="A1008" t="str">
            <v xml:space="preserve">SG-XTAP8MM-011A </v>
          </cell>
          <cell r="B1008" t="str">
            <v xml:space="preserve">TAPE 20GB 8MM UNIPACK </v>
          </cell>
          <cell r="C1008">
            <v>4658</v>
          </cell>
          <cell r="D1008" t="str">
            <v xml:space="preserve">H </v>
          </cell>
        </row>
        <row r="1009">
          <cell r="A1009" t="str">
            <v xml:space="preserve">SG-XTAP8MM-020A </v>
          </cell>
          <cell r="B1009" t="str">
            <v xml:space="preserve">7-14GB 8MM FLEXIPACK </v>
          </cell>
          <cell r="C1009">
            <v>2464</v>
          </cell>
          <cell r="D1009" t="str">
            <v xml:space="preserve">H </v>
          </cell>
        </row>
        <row r="1010">
          <cell r="A1010" t="str">
            <v xml:space="preserve">SG-XTAP8MM-021A </v>
          </cell>
          <cell r="B1010" t="str">
            <v xml:space="preserve">TAPE 20GB 8MM FLEXIPACK </v>
          </cell>
          <cell r="C1010">
            <v>4995</v>
          </cell>
          <cell r="D1010" t="str">
            <v xml:space="preserve">H </v>
          </cell>
        </row>
        <row r="1011">
          <cell r="A1011" t="str">
            <v xml:space="preserve">SG-XTAP8MM-400G </v>
          </cell>
          <cell r="B1011" t="str">
            <v xml:space="preserve">STOREDGE L400 TAPE DRIVE </v>
          </cell>
          <cell r="C1011">
            <v>4860</v>
          </cell>
          <cell r="D1011" t="str">
            <v xml:space="preserve">H </v>
          </cell>
        </row>
        <row r="1012">
          <cell r="A1012" t="str">
            <v xml:space="preserve">SG-XTAPDLT-020A </v>
          </cell>
          <cell r="B1012" t="str">
            <v xml:space="preserve">TAPE 20GB DLT4000 FLEXIPACK </v>
          </cell>
          <cell r="C1012">
            <v>5320</v>
          </cell>
          <cell r="D1012" t="str">
            <v xml:space="preserve">H </v>
          </cell>
        </row>
        <row r="1013">
          <cell r="A1013" t="str">
            <v xml:space="preserve">SG-XTAPDLT-021A </v>
          </cell>
          <cell r="B1013" t="str">
            <v xml:space="preserve">TAPE 35GB DLT7000 FLEXIPACK </v>
          </cell>
          <cell r="C1013">
            <v>10640</v>
          </cell>
          <cell r="D1013" t="str">
            <v xml:space="preserve">H </v>
          </cell>
        </row>
        <row r="1014">
          <cell r="A1014" t="str">
            <v xml:space="preserve">SG-XTAPDLT1-1TB </v>
          </cell>
          <cell r="B1014" t="str">
            <v xml:space="preserve">DLT7000 LIBRARY TAPE DRIVE </v>
          </cell>
          <cell r="C1014">
            <v>13300</v>
          </cell>
          <cell r="D1014" t="str">
            <v xml:space="preserve">A </v>
          </cell>
        </row>
        <row r="1015">
          <cell r="A1015" t="str">
            <v xml:space="preserve">SG-XTAPDLT2-11TB </v>
          </cell>
          <cell r="B1015" t="str">
            <v xml:space="preserve">DLT7000 TP DR (2) UPGD 4 L1100 </v>
          </cell>
          <cell r="C1015">
            <v>35000</v>
          </cell>
          <cell r="D1015" t="str">
            <v xml:space="preserve">A </v>
          </cell>
        </row>
        <row r="1016">
          <cell r="A1016" t="str">
            <v xml:space="preserve">SG-XTAPSLR-010A </v>
          </cell>
          <cell r="B1016" t="str">
            <v xml:space="preserve">TAPE 4GB SLR UNIPACK </v>
          </cell>
          <cell r="C1016">
            <v>1215</v>
          </cell>
          <cell r="D1016" t="str">
            <v xml:space="preserve">H </v>
          </cell>
        </row>
        <row r="1017">
          <cell r="A1017" t="str">
            <v xml:space="preserve">SG-XTAPSLR-020A </v>
          </cell>
          <cell r="B1017" t="str">
            <v xml:space="preserve">TAPE 4GB SLR FLEXIPACK </v>
          </cell>
          <cell r="C1017">
            <v>1553</v>
          </cell>
          <cell r="D1017" t="str">
            <v xml:space="preserve">H </v>
          </cell>
        </row>
        <row r="1018">
          <cell r="A1018" t="str">
            <v xml:space="preserve">SIMS-2.0-P1 </v>
          </cell>
          <cell r="B1018" t="str">
            <v xml:space="preserve">SOLSTICE INTERNT MAIL SRVR 2.0 </v>
          </cell>
          <cell r="C1018">
            <v>693</v>
          </cell>
          <cell r="D1018" t="str">
            <v xml:space="preserve">B </v>
          </cell>
        </row>
        <row r="1019">
          <cell r="A1019" t="str">
            <v xml:space="preserve">SKIP-1.1G-B </v>
          </cell>
          <cell r="B1019" t="str">
            <v xml:space="preserve">SKIP 1.1 GLOBAL, CD DOC LIC </v>
          </cell>
          <cell r="C1019">
            <v>139</v>
          </cell>
          <cell r="D1019" t="str">
            <v xml:space="preserve">B </v>
          </cell>
        </row>
        <row r="1020">
          <cell r="A1020" t="str">
            <v xml:space="preserve">SKIPWNT-3.0D-P </v>
          </cell>
          <cell r="B1020" t="str">
            <v xml:space="preserve">SKIP 3.0 WIN/NT DOM CD DOC LI </v>
          </cell>
          <cell r="C1020">
            <v>209</v>
          </cell>
          <cell r="D1020" t="str">
            <v xml:space="preserve">B </v>
          </cell>
        </row>
        <row r="1021">
          <cell r="A1021" t="str">
            <v xml:space="preserve">SKIPWNT-3.0D-P1000 </v>
          </cell>
          <cell r="B1021" t="str">
            <v xml:space="preserve">SKP3.0 WIN/NT DOM CD DOC 1K LI </v>
          </cell>
          <cell r="C1021">
            <v>57393</v>
          </cell>
          <cell r="D1021" t="str">
            <v xml:space="preserve">B </v>
          </cell>
        </row>
        <row r="1022">
          <cell r="A1022" t="str">
            <v xml:space="preserve">SKIPWNT-3.0DP10000 </v>
          </cell>
          <cell r="B1022" t="str">
            <v xml:space="preserve">SKP3.0 WIN/NT DOM CD DOC 10K L </v>
          </cell>
          <cell r="C1022">
            <v>504000</v>
          </cell>
          <cell r="D1022" t="str">
            <v xml:space="preserve">B </v>
          </cell>
        </row>
        <row r="1023">
          <cell r="A1023" t="str">
            <v xml:space="preserve">SKIPWNT-3.0E-P </v>
          </cell>
          <cell r="B1023" t="str">
            <v xml:space="preserve">SKIP 3.0 WIN/NT EC CD DOC LI </v>
          </cell>
          <cell r="C1023">
            <v>174</v>
          </cell>
          <cell r="D1023" t="str">
            <v xml:space="preserve">B </v>
          </cell>
        </row>
        <row r="1024">
          <cell r="A1024" t="str">
            <v xml:space="preserve">SKIPWNT-3.0E-P1000 </v>
          </cell>
          <cell r="B1024" t="str">
            <v xml:space="preserve">SKP3.0 WIN/NT ECT CD DOC 1K LI </v>
          </cell>
          <cell r="C1024">
            <v>57393</v>
          </cell>
          <cell r="D1024" t="str">
            <v xml:space="preserve">B </v>
          </cell>
        </row>
        <row r="1025">
          <cell r="A1025" t="str">
            <v xml:space="preserve">SKIPWNT-3.0EP10000 </v>
          </cell>
          <cell r="B1025" t="str">
            <v xml:space="preserve">SKP3.0 WIN/NT ECT CD DOC 10K L </v>
          </cell>
          <cell r="C1025">
            <v>504000</v>
          </cell>
          <cell r="D1025" t="str">
            <v xml:space="preserve">B </v>
          </cell>
        </row>
        <row r="1026">
          <cell r="A1026" t="str">
            <v xml:space="preserve">SKIPWNT-3.0G-P </v>
          </cell>
          <cell r="B1026" t="str">
            <v xml:space="preserve">SKIP 3.0 WIN/NT GLOB CD DOC LI </v>
          </cell>
          <cell r="C1026">
            <v>139</v>
          </cell>
          <cell r="D1026" t="str">
            <v xml:space="preserve">B </v>
          </cell>
        </row>
        <row r="1027">
          <cell r="A1027" t="str">
            <v xml:space="preserve">SKIPWNT-3.0G-P1000 </v>
          </cell>
          <cell r="B1027" t="str">
            <v xml:space="preserve">SKP3.0 WIN/NT GLB CD DOC 1K LI </v>
          </cell>
          <cell r="C1027">
            <v>55993</v>
          </cell>
          <cell r="D1027" t="str">
            <v xml:space="preserve">B </v>
          </cell>
        </row>
        <row r="1028">
          <cell r="A1028" t="str">
            <v xml:space="preserve">SKIPWNT-3.0GP10000 </v>
          </cell>
          <cell r="B1028" t="str">
            <v xml:space="preserve">SKP3.0 WIN/NT GBL CD DOC 10K L </v>
          </cell>
          <cell r="C1028">
            <v>490000</v>
          </cell>
          <cell r="D1028" t="str">
            <v xml:space="preserve">B </v>
          </cell>
        </row>
        <row r="1029">
          <cell r="A1029" t="str">
            <v xml:space="preserve">SLS9S-100-9999 </v>
          </cell>
          <cell r="B1029" t="str">
            <v xml:space="preserve">PC NetLink E4X00,E5X00,E6X00 </v>
          </cell>
          <cell r="C1029">
            <v>8393</v>
          </cell>
          <cell r="D1029" t="str">
            <v xml:space="preserve">B </v>
          </cell>
        </row>
        <row r="1030">
          <cell r="A1030" t="str">
            <v xml:space="preserve">SLS9S-100-999M </v>
          </cell>
          <cell r="B1030" t="str">
            <v xml:space="preserve">PC NetLink E4X00, E5X00, E6X00 </v>
          </cell>
          <cell r="C1030">
            <v>8393</v>
          </cell>
          <cell r="D1030" t="str">
            <v xml:space="preserve">B </v>
          </cell>
        </row>
        <row r="1031">
          <cell r="A1031" t="str">
            <v xml:space="preserve">SLS9S-100-99U9 </v>
          </cell>
          <cell r="B1031" t="str">
            <v xml:space="preserve">PC NetLink Upgrade from (TAS) </v>
          </cell>
          <cell r="C1031">
            <v>0</v>
          </cell>
          <cell r="D1031" t="str">
            <v xml:space="preserve">D </v>
          </cell>
        </row>
        <row r="1032">
          <cell r="A1032" t="str">
            <v xml:space="preserve">SLS9S-100-99UM </v>
          </cell>
          <cell r="B1032" t="str">
            <v xml:space="preserve">Upgrade from TAS to PC Netlink </v>
          </cell>
          <cell r="C1032">
            <v>0</v>
          </cell>
          <cell r="D1032" t="str">
            <v xml:space="preserve">D </v>
          </cell>
        </row>
        <row r="1033">
          <cell r="A1033" t="str">
            <v xml:space="preserve">SLS9S-100-E9U9 </v>
          </cell>
          <cell r="B1033" t="str">
            <v xml:space="preserve">PC NetLink Inst. Base E3X00 </v>
          </cell>
          <cell r="C1033">
            <v>4193</v>
          </cell>
          <cell r="D1033" t="str">
            <v xml:space="preserve">B </v>
          </cell>
        </row>
        <row r="1034">
          <cell r="A1034" t="str">
            <v xml:space="preserve">SLS9S-100-E9UM </v>
          </cell>
          <cell r="B1034" t="str">
            <v xml:space="preserve">PC NetLink Inst. Base 3x00 </v>
          </cell>
          <cell r="C1034">
            <v>4193</v>
          </cell>
          <cell r="D1034" t="str">
            <v xml:space="preserve">B </v>
          </cell>
        </row>
        <row r="1035">
          <cell r="A1035" t="str">
            <v xml:space="preserve">SLS9S-100-S999 </v>
          </cell>
          <cell r="B1035" t="str">
            <v xml:space="preserve">PC NetLink E10000 </v>
          </cell>
          <cell r="C1035">
            <v>13993</v>
          </cell>
          <cell r="D1035" t="str">
            <v xml:space="preserve">B </v>
          </cell>
        </row>
        <row r="1036">
          <cell r="A1036" t="str">
            <v xml:space="preserve">SLS9S-100-S99M </v>
          </cell>
          <cell r="B1036" t="str">
            <v xml:space="preserve">PC NetLink for E10K </v>
          </cell>
          <cell r="C1036">
            <v>13993</v>
          </cell>
          <cell r="D1036" t="str">
            <v xml:space="preserve">B </v>
          </cell>
        </row>
        <row r="1037">
          <cell r="A1037" t="str">
            <v xml:space="preserve">SLS9S-100-W999 </v>
          </cell>
          <cell r="B1037" t="str">
            <v xml:space="preserve">Solaris PC NetLink NewE5-E3500 </v>
          </cell>
          <cell r="C1037">
            <v>0</v>
          </cell>
          <cell r="D1037" t="str">
            <v xml:space="preserve">D </v>
          </cell>
        </row>
        <row r="1038">
          <cell r="A1038" t="str">
            <v xml:space="preserve">SLS9S-100-W99M </v>
          </cell>
          <cell r="B1038" t="str">
            <v xml:space="preserve">Solaris PC NetLink New E5-3500 </v>
          </cell>
          <cell r="C1038">
            <v>0</v>
          </cell>
          <cell r="D1038" t="str">
            <v xml:space="preserve">D </v>
          </cell>
        </row>
        <row r="1039">
          <cell r="A1039" t="str">
            <v xml:space="preserve">SLS9S-100-W9U9 </v>
          </cell>
          <cell r="B1039" t="str">
            <v xml:space="preserve">PC Netlink Inst Base E5 - E450 </v>
          </cell>
          <cell r="C1039">
            <v>2093</v>
          </cell>
          <cell r="D1039" t="str">
            <v xml:space="preserve">B </v>
          </cell>
        </row>
        <row r="1040">
          <cell r="A1040" t="str">
            <v xml:space="preserve">SLS9S-100-W9UM </v>
          </cell>
          <cell r="B1040" t="str">
            <v xml:space="preserve">PC NetLink Inst Base E5-E450 </v>
          </cell>
          <cell r="C1040">
            <v>2093</v>
          </cell>
          <cell r="D1040" t="str">
            <v xml:space="preserve">B </v>
          </cell>
        </row>
        <row r="1041">
          <cell r="A1041" t="str">
            <v xml:space="preserve">SNCC9-311-9999 </v>
          </cell>
          <cell r="B1041" t="str">
            <v xml:space="preserve">SNC 3.1.1, 100LIC </v>
          </cell>
          <cell r="C1041">
            <v>22400</v>
          </cell>
          <cell r="D1041" t="str">
            <v xml:space="preserve">B </v>
          </cell>
        </row>
        <row r="1042">
          <cell r="A1042" t="str">
            <v xml:space="preserve">SNCC9-311-99U9 </v>
          </cell>
          <cell r="B1042" t="str">
            <v xml:space="preserve">UG SNC 3.1.1, 100LIC </v>
          </cell>
          <cell r="C1042">
            <v>4060</v>
          </cell>
          <cell r="D1042" t="str">
            <v xml:space="preserve">B </v>
          </cell>
        </row>
        <row r="1043">
          <cell r="A1043" t="str">
            <v xml:space="preserve">SNCC9-320-9999 </v>
          </cell>
          <cell r="B1043" t="str">
            <v xml:space="preserve">SNC 3.2 100 USER RTU </v>
          </cell>
          <cell r="C1043">
            <v>22400</v>
          </cell>
          <cell r="D1043" t="str">
            <v xml:space="preserve">B </v>
          </cell>
        </row>
        <row r="1044">
          <cell r="A1044" t="str">
            <v xml:space="preserve">SNCC9-320-99T9 </v>
          </cell>
          <cell r="B1044" t="str">
            <v xml:space="preserve">SNC 3.2 IGRD, 100 RTU </v>
          </cell>
          <cell r="C1044">
            <v>16100</v>
          </cell>
          <cell r="D1044" t="str">
            <v xml:space="preserve">B </v>
          </cell>
        </row>
        <row r="1045">
          <cell r="A1045" t="str">
            <v xml:space="preserve">SNCC9-320-99U9 </v>
          </cell>
          <cell r="B1045" t="str">
            <v xml:space="preserve">SNC 3.2 UGRD, 100 RTU </v>
          </cell>
          <cell r="C1045">
            <v>4060</v>
          </cell>
          <cell r="D1045" t="str">
            <v xml:space="preserve">B </v>
          </cell>
        </row>
        <row r="1046">
          <cell r="A1046" t="str">
            <v xml:space="preserve">SNCF9-311-9999 </v>
          </cell>
          <cell r="B1046" t="str">
            <v xml:space="preserve">SNC 3.1.1, 500LIC </v>
          </cell>
          <cell r="C1046">
            <v>84000</v>
          </cell>
          <cell r="D1046" t="str">
            <v xml:space="preserve">B </v>
          </cell>
        </row>
        <row r="1047">
          <cell r="A1047" t="str">
            <v xml:space="preserve">SNCF9-320-9999 </v>
          </cell>
          <cell r="B1047" t="str">
            <v xml:space="preserve">SNC 3.2 500 USER RTU </v>
          </cell>
          <cell r="C1047">
            <v>84000</v>
          </cell>
          <cell r="D1047" t="str">
            <v xml:space="preserve">B </v>
          </cell>
        </row>
        <row r="1048">
          <cell r="A1048" t="str">
            <v xml:space="preserve">SNCF9-320-99T9 </v>
          </cell>
          <cell r="B1048" t="str">
            <v xml:space="preserve">SNC 3.2 IGRD, 500 RTU </v>
          </cell>
          <cell r="C1048">
            <v>55300</v>
          </cell>
          <cell r="D1048" t="str">
            <v xml:space="preserve">B </v>
          </cell>
        </row>
        <row r="1049">
          <cell r="A1049" t="str">
            <v xml:space="preserve">SNCF9-320-99U9 </v>
          </cell>
          <cell r="B1049" t="str">
            <v xml:space="preserve">SNC 3.2 UGRD, 500 RTU </v>
          </cell>
          <cell r="C1049">
            <v>15050</v>
          </cell>
          <cell r="D1049" t="str">
            <v xml:space="preserve">B </v>
          </cell>
        </row>
        <row r="1050">
          <cell r="A1050" t="str">
            <v xml:space="preserve">SNCI9-311E9999 </v>
          </cell>
          <cell r="B1050" t="str">
            <v xml:space="preserve">SNC 3.1.1 CTRLD, CD DOC LI </v>
          </cell>
          <cell r="C1050">
            <v>419</v>
          </cell>
          <cell r="D1050" t="str">
            <v xml:space="preserve">B </v>
          </cell>
        </row>
        <row r="1051">
          <cell r="A1051" t="str">
            <v xml:space="preserve">SNCI9-311E99U9 </v>
          </cell>
          <cell r="B1051" t="str">
            <v xml:space="preserve">UG SNC 3.1.1 CNTRL, CD DOC LI </v>
          </cell>
          <cell r="C1051">
            <v>125</v>
          </cell>
          <cell r="D1051" t="str">
            <v xml:space="preserve">B </v>
          </cell>
        </row>
        <row r="1052">
          <cell r="A1052" t="str">
            <v xml:space="preserve">SNCI9-311I9999 </v>
          </cell>
          <cell r="B1052" t="str">
            <v xml:space="preserve">SNC 3.1.1 GLOBAL-1, CD DOC LI </v>
          </cell>
          <cell r="C1052">
            <v>419</v>
          </cell>
          <cell r="D1052" t="str">
            <v xml:space="preserve">B </v>
          </cell>
        </row>
        <row r="1053">
          <cell r="A1053" t="str">
            <v xml:space="preserve">SNCI9-311I99U9 </v>
          </cell>
          <cell r="B1053" t="str">
            <v xml:space="preserve">UG SNC 3.1.1 GLOBAL-1,CD DOCLI </v>
          </cell>
          <cell r="C1053">
            <v>125</v>
          </cell>
          <cell r="D1053" t="str">
            <v xml:space="preserve">B </v>
          </cell>
        </row>
        <row r="1054">
          <cell r="A1054" t="str">
            <v xml:space="preserve">SNCI9-311W9999 </v>
          </cell>
          <cell r="B1054" t="str">
            <v xml:space="preserve">SNC 3.1.1 GLOBAL, CD DOC LI </v>
          </cell>
          <cell r="C1054">
            <v>419</v>
          </cell>
          <cell r="D1054" t="str">
            <v xml:space="preserve">B </v>
          </cell>
        </row>
        <row r="1055">
          <cell r="A1055" t="str">
            <v xml:space="preserve">SNCI9-311W99U9 </v>
          </cell>
          <cell r="B1055" t="str">
            <v xml:space="preserve">UG SNC 3.1.1 GLOBAL, CD DOC LI </v>
          </cell>
          <cell r="C1055">
            <v>125</v>
          </cell>
          <cell r="D1055" t="str">
            <v xml:space="preserve">B </v>
          </cell>
        </row>
        <row r="1056">
          <cell r="A1056" t="str">
            <v xml:space="preserve">SNCI9-320-99T9 </v>
          </cell>
          <cell r="B1056" t="str">
            <v xml:space="preserve">SNC 3.2 IGRD, 1 RTU </v>
          </cell>
          <cell r="C1056">
            <v>308</v>
          </cell>
          <cell r="D1056" t="str">
            <v xml:space="preserve">B </v>
          </cell>
        </row>
        <row r="1057">
          <cell r="A1057" t="str">
            <v xml:space="preserve">SNCI9-320E9999 </v>
          </cell>
          <cell r="B1057" t="str">
            <v xml:space="preserve">SNC 3.2 CTRLD, CD DOC LI </v>
          </cell>
          <cell r="C1057">
            <v>419</v>
          </cell>
          <cell r="D1057" t="str">
            <v xml:space="preserve">B </v>
          </cell>
        </row>
        <row r="1058">
          <cell r="A1058" t="str">
            <v xml:space="preserve">SNCI9-320E99U9 </v>
          </cell>
          <cell r="B1058" t="str">
            <v xml:space="preserve">SNC 3.2 CTLD, UGRD, CD DOC, LI </v>
          </cell>
          <cell r="C1058">
            <v>125</v>
          </cell>
          <cell r="D1058" t="str">
            <v xml:space="preserve">B </v>
          </cell>
        </row>
        <row r="1059">
          <cell r="A1059" t="str">
            <v xml:space="preserve">SNCI9-320E9D99 </v>
          </cell>
          <cell r="B1059" t="str">
            <v xml:space="preserve">SNC 3.2 CD, DOC, 30 DA EVAL LI </v>
          </cell>
          <cell r="C1059">
            <v>70</v>
          </cell>
          <cell r="D1059" t="str">
            <v xml:space="preserve">B </v>
          </cell>
        </row>
        <row r="1060">
          <cell r="A1060" t="str">
            <v xml:space="preserve">SNCI9-320I999A </v>
          </cell>
          <cell r="B1060" t="str">
            <v xml:space="preserve">SNC 3.2 GLOBAL 1, CD DOC LI </v>
          </cell>
          <cell r="C1060">
            <v>419</v>
          </cell>
          <cell r="D1060" t="str">
            <v xml:space="preserve">B </v>
          </cell>
        </row>
        <row r="1061">
          <cell r="A1061" t="str">
            <v xml:space="preserve">SNCI9-320I99UA </v>
          </cell>
          <cell r="B1061" t="str">
            <v xml:space="preserve">SNC 3.2 GBL1, UGRD, CD DOC, LI </v>
          </cell>
          <cell r="C1061">
            <v>125</v>
          </cell>
          <cell r="D1061" t="str">
            <v xml:space="preserve">B </v>
          </cell>
        </row>
        <row r="1062">
          <cell r="A1062" t="str">
            <v xml:space="preserve">SNCI9-320I9D9A </v>
          </cell>
          <cell r="B1062" t="str">
            <v xml:space="preserve">SNC 3.2 GBL-1 CD DOC EVAL </v>
          </cell>
          <cell r="C1062">
            <v>70</v>
          </cell>
          <cell r="D1062" t="str">
            <v xml:space="preserve">B </v>
          </cell>
        </row>
        <row r="1063">
          <cell r="A1063" t="str">
            <v xml:space="preserve">SNCI9-320W999B </v>
          </cell>
          <cell r="B1063" t="str">
            <v xml:space="preserve">SNC 3.2 GLOBAL, CD DOC LI </v>
          </cell>
          <cell r="C1063">
            <v>419</v>
          </cell>
          <cell r="D1063" t="str">
            <v xml:space="preserve">B </v>
          </cell>
        </row>
        <row r="1064">
          <cell r="A1064" t="str">
            <v xml:space="preserve">SNCI9-320W99UB </v>
          </cell>
          <cell r="B1064" t="str">
            <v xml:space="preserve">SNC 3.2 GBL, UGRD, CD DOC, LI </v>
          </cell>
          <cell r="C1064">
            <v>125</v>
          </cell>
          <cell r="D1064" t="str">
            <v xml:space="preserve">B </v>
          </cell>
        </row>
        <row r="1065">
          <cell r="A1065" t="str">
            <v xml:space="preserve">SNCI9-320W9D9B </v>
          </cell>
          <cell r="B1065" t="str">
            <v xml:space="preserve">SNC 3.2 GLOBAL, 30 DA EVAL LI </v>
          </cell>
          <cell r="C1065">
            <v>70</v>
          </cell>
          <cell r="D1065" t="str">
            <v xml:space="preserve">B </v>
          </cell>
        </row>
        <row r="1066">
          <cell r="A1066" t="str">
            <v xml:space="preserve">SNCV9-320-9999 </v>
          </cell>
          <cell r="B1066" t="str">
            <v xml:space="preserve">SNC 3.2 5 USER RTU </v>
          </cell>
          <cell r="C1066">
            <v>1750</v>
          </cell>
          <cell r="D1066" t="str">
            <v xml:space="preserve">B </v>
          </cell>
        </row>
        <row r="1067">
          <cell r="A1067" t="str">
            <v xml:space="preserve">SNCV9-320-99T9 </v>
          </cell>
          <cell r="B1067" t="str">
            <v xml:space="preserve">SNC 3.2 IGRD, 5 RTU </v>
          </cell>
          <cell r="C1067">
            <v>1393</v>
          </cell>
          <cell r="D1067" t="str">
            <v xml:space="preserve">B </v>
          </cell>
        </row>
        <row r="1068">
          <cell r="A1068" t="str">
            <v xml:space="preserve">SNCV9-320-99U9 </v>
          </cell>
          <cell r="B1068" t="str">
            <v xml:space="preserve">SNC 3.2 UGRD, 5 RTU </v>
          </cell>
          <cell r="C1068">
            <v>315</v>
          </cell>
          <cell r="D1068" t="str">
            <v xml:space="preserve">B </v>
          </cell>
        </row>
        <row r="1069">
          <cell r="A1069" t="str">
            <v xml:space="preserve">SNCX9-311-9999 </v>
          </cell>
          <cell r="B1069" t="str">
            <v xml:space="preserve">SNC 3.1.1, 10LIC </v>
          </cell>
          <cell r="C1069">
            <v>3220</v>
          </cell>
          <cell r="D1069" t="str">
            <v xml:space="preserve">B </v>
          </cell>
        </row>
        <row r="1070">
          <cell r="A1070" t="str">
            <v xml:space="preserve">SNCX9-311-99U9 </v>
          </cell>
          <cell r="B1070" t="str">
            <v xml:space="preserve">UG SNC 3.1.1, 10LIC </v>
          </cell>
          <cell r="C1070">
            <v>581</v>
          </cell>
          <cell r="D1070" t="str">
            <v xml:space="preserve">B </v>
          </cell>
        </row>
        <row r="1071">
          <cell r="A1071" t="str">
            <v xml:space="preserve">SNCX9-320-9999 </v>
          </cell>
          <cell r="B1071" t="str">
            <v xml:space="preserve">SNC 3.2 10 USER RTU </v>
          </cell>
          <cell r="C1071">
            <v>3220</v>
          </cell>
          <cell r="D1071" t="str">
            <v xml:space="preserve">B </v>
          </cell>
        </row>
        <row r="1072">
          <cell r="A1072" t="str">
            <v xml:space="preserve">SNCX9-320-99T9 </v>
          </cell>
          <cell r="B1072" t="str">
            <v xml:space="preserve">SNC 3.2 IGRD, 10 RTU </v>
          </cell>
          <cell r="C1072">
            <v>2520</v>
          </cell>
          <cell r="D1072" t="str">
            <v xml:space="preserve">B </v>
          </cell>
        </row>
        <row r="1073">
          <cell r="A1073" t="str">
            <v xml:space="preserve">SNCX9-320-99U9 </v>
          </cell>
          <cell r="B1073" t="str">
            <v xml:space="preserve">SNC 3.2 UGRD, 10 RTU </v>
          </cell>
          <cell r="C1073">
            <v>581</v>
          </cell>
          <cell r="D1073" t="str">
            <v xml:space="preserve">B </v>
          </cell>
        </row>
        <row r="1074">
          <cell r="A1074" t="str">
            <v xml:space="preserve">SNCY9-320-9999 </v>
          </cell>
          <cell r="B1074" t="str">
            <v xml:space="preserve">SNC 3.2 25 USER RTU </v>
          </cell>
          <cell r="C1074">
            <v>7000</v>
          </cell>
          <cell r="D1074" t="str">
            <v xml:space="preserve">B </v>
          </cell>
        </row>
        <row r="1075">
          <cell r="A1075" t="str">
            <v xml:space="preserve">SNCY9-320-99T9 </v>
          </cell>
          <cell r="B1075" t="str">
            <v xml:space="preserve">SNC 3.2 IGRD, 25 RTU </v>
          </cell>
          <cell r="C1075">
            <v>5320</v>
          </cell>
          <cell r="D1075" t="str">
            <v xml:space="preserve">B </v>
          </cell>
        </row>
        <row r="1076">
          <cell r="A1076" t="str">
            <v xml:space="preserve">SNCY9-320-99U9 </v>
          </cell>
          <cell r="B1076" t="str">
            <v xml:space="preserve">SNC 3.2 UGRD, 25 RTU </v>
          </cell>
          <cell r="C1076">
            <v>1260</v>
          </cell>
          <cell r="D1076" t="str">
            <v xml:space="preserve">B </v>
          </cell>
        </row>
        <row r="1077">
          <cell r="A1077" t="str">
            <v xml:space="preserve">SNM-2.3-D </v>
          </cell>
          <cell r="B1077" t="str">
            <v xml:space="preserve">DOMAIN MANAGER 2.3 DOCS </v>
          </cell>
          <cell r="C1077">
            <v>195</v>
          </cell>
          <cell r="D1077" t="str">
            <v xml:space="preserve">D </v>
          </cell>
        </row>
        <row r="1078">
          <cell r="A1078" t="str">
            <v xml:space="preserve">SNM-DM-2.3-P </v>
          </cell>
          <cell r="B1078" t="str">
            <v xml:space="preserve">DOMAIN MGR 2.3 SOL 2,CD DOC LI </v>
          </cell>
          <cell r="C1078">
            <v>13993</v>
          </cell>
          <cell r="D1078" t="str">
            <v xml:space="preserve">B </v>
          </cell>
        </row>
        <row r="1079">
          <cell r="A1079" t="str">
            <v xml:space="preserve">SNM-DM-2.3-PU </v>
          </cell>
          <cell r="B1079" t="str">
            <v xml:space="preserve">UG DOMAIN MGR 2.3, CD DOC LI </v>
          </cell>
          <cell r="C1079">
            <v>5593</v>
          </cell>
          <cell r="D1079" t="str">
            <v xml:space="preserve">B </v>
          </cell>
        </row>
        <row r="1080">
          <cell r="A1080" t="str">
            <v xml:space="preserve">SNM-NM-2.3-P </v>
          </cell>
          <cell r="B1080" t="str">
            <v xml:space="preserve">SUNNET MGR 2.3 SOL 2,CD DOC LI </v>
          </cell>
          <cell r="C1080">
            <v>9793</v>
          </cell>
          <cell r="D1080" t="str">
            <v xml:space="preserve">B </v>
          </cell>
        </row>
        <row r="1081">
          <cell r="A1081" t="str">
            <v xml:space="preserve">SNM-SM-2.3-P </v>
          </cell>
          <cell r="B1081" t="str">
            <v xml:space="preserve">SITE MGR. 2.3 SOL 2, CD DOC LI </v>
          </cell>
          <cell r="C1081">
            <v>2793</v>
          </cell>
          <cell r="D1081" t="str">
            <v xml:space="preserve">B </v>
          </cell>
        </row>
        <row r="1082">
          <cell r="A1082" t="str">
            <v xml:space="preserve">SNM-SM-2.3-PU </v>
          </cell>
          <cell r="B1082" t="str">
            <v xml:space="preserve">UG SITE MGR 2.3 SOL2,CD DOC LI </v>
          </cell>
          <cell r="C1082">
            <v>1113</v>
          </cell>
          <cell r="D1082" t="str">
            <v xml:space="preserve">B </v>
          </cell>
        </row>
        <row r="1083">
          <cell r="A1083" t="str">
            <v xml:space="preserve">SNV-9.1-P </v>
          </cell>
          <cell r="B1083" t="str">
            <v xml:space="preserve">SUNLINK SNA/SNM 9.1, CD DOC LI </v>
          </cell>
          <cell r="C1083">
            <v>12994</v>
          </cell>
          <cell r="D1083" t="str">
            <v xml:space="preserve">B </v>
          </cell>
        </row>
        <row r="1084">
          <cell r="A1084" t="str">
            <v xml:space="preserve">SOL-2.5.1APR97-D </v>
          </cell>
          <cell r="B1084" t="str">
            <v xml:space="preserve">MNL ASSY,SOL2.5.1 DOCUBOX </v>
          </cell>
          <cell r="C1084">
            <v>1554</v>
          </cell>
          <cell r="D1084" t="str">
            <v xml:space="preserve">B </v>
          </cell>
        </row>
        <row r="1085">
          <cell r="A1085" t="str">
            <v xml:space="preserve">SOL-2.5.1AUG97-D </v>
          </cell>
          <cell r="B1085" t="str">
            <v xml:space="preserve">SOLARIS 2.5.1 HW8/97 DOCS </v>
          </cell>
          <cell r="C1085">
            <v>1554</v>
          </cell>
          <cell r="D1085" t="str">
            <v xml:space="preserve">B </v>
          </cell>
        </row>
        <row r="1086">
          <cell r="A1086" t="str">
            <v xml:space="preserve">SOL-2.5.1NOV97-D </v>
          </cell>
          <cell r="B1086" t="str">
            <v xml:space="preserve">FULL ENGLISH DOCUMETATION SET </v>
          </cell>
          <cell r="C1086">
            <v>1554</v>
          </cell>
          <cell r="D1086" t="str">
            <v xml:space="preserve">B </v>
          </cell>
        </row>
        <row r="1087">
          <cell r="A1087" t="str">
            <v xml:space="preserve">SOL-2.5MAY96-D </v>
          </cell>
          <cell r="B1087" t="str">
            <v xml:space="preserve">MNL ASSY,SOL2.5.1 DOCUBOX </v>
          </cell>
          <cell r="C1087">
            <v>1554</v>
          </cell>
          <cell r="D1087" t="str">
            <v xml:space="preserve">B </v>
          </cell>
        </row>
        <row r="1088">
          <cell r="A1088" t="str">
            <v xml:space="preserve">SOL-2.6-45-ED </v>
          </cell>
          <cell r="B1088" t="str">
            <v xml:space="preserve">SOLARIS 2.6 KOREAN USERDOCS </v>
          </cell>
          <cell r="C1088">
            <v>325</v>
          </cell>
          <cell r="D1088" t="str">
            <v xml:space="preserve">B </v>
          </cell>
        </row>
        <row r="1089">
          <cell r="A1089" t="str">
            <v xml:space="preserve">SOL-2.6-D </v>
          </cell>
          <cell r="B1089" t="str">
            <v xml:space="preserve">SOLARIS 2.6 US FULL DOCS </v>
          </cell>
          <cell r="C1089">
            <v>1944</v>
          </cell>
          <cell r="D1089" t="str">
            <v xml:space="preserve">B </v>
          </cell>
        </row>
        <row r="1090">
          <cell r="A1090" t="str">
            <v xml:space="preserve">SOL-2.6-ED </v>
          </cell>
          <cell r="B1090" t="str">
            <v xml:space="preserve">SOLARIS 2.6 US USERDOCS </v>
          </cell>
          <cell r="C1090">
            <v>130</v>
          </cell>
          <cell r="D1090" t="str">
            <v xml:space="preserve">B </v>
          </cell>
        </row>
        <row r="1091">
          <cell r="A1091" t="str">
            <v xml:space="preserve">SOL-BT-2X-P20-D </v>
          </cell>
          <cell r="B1091" t="str">
            <v xml:space="preserve">ENG OPENBOOT 2.X REFGUIDE 20PK </v>
          </cell>
          <cell r="C1091">
            <v>72</v>
          </cell>
          <cell r="D1091" t="str">
            <v xml:space="preserve">B </v>
          </cell>
        </row>
        <row r="1092">
          <cell r="A1092" t="str">
            <v xml:space="preserve">SOL-BT-3X-P20-D </v>
          </cell>
          <cell r="B1092" t="str">
            <v xml:space="preserve">ENG OPENBOOT 3.X REFGUIDE 20PK </v>
          </cell>
          <cell r="C1092">
            <v>72</v>
          </cell>
          <cell r="D1092" t="str">
            <v xml:space="preserve">B </v>
          </cell>
        </row>
        <row r="1093">
          <cell r="A1093" t="str">
            <v xml:space="preserve">SOL-DTWG-LU </v>
          </cell>
          <cell r="B1093" t="str">
            <v xml:space="preserve">SOL DT TO WG SVR UPGD </v>
          </cell>
          <cell r="C1093">
            <v>2334</v>
          </cell>
          <cell r="D1093" t="str">
            <v xml:space="preserve">A </v>
          </cell>
        </row>
        <row r="1094">
          <cell r="A1094" t="str">
            <v xml:space="preserve">SOL-E450-D </v>
          </cell>
          <cell r="B1094" t="str">
            <v xml:space="preserve">E450 SOLARIS MEDIA KIT SUPP </v>
          </cell>
          <cell r="C1094">
            <v>0</v>
          </cell>
          <cell r="D1094" t="str">
            <v xml:space="preserve">D </v>
          </cell>
        </row>
        <row r="1095">
          <cell r="A1095" t="str">
            <v xml:space="preserve">SOL9S-999WC9U9 </v>
          </cell>
          <cell r="B1095" t="str">
            <v xml:space="preserve">SOLARIS 33-64CPU SRV LIC UPG </v>
          </cell>
          <cell r="C1095">
            <v>117000</v>
          </cell>
          <cell r="D1095" t="str">
            <v xml:space="preserve">A </v>
          </cell>
        </row>
        <row r="1096">
          <cell r="A1096" t="str">
            <v xml:space="preserve">SOL9S-999WD9U9 </v>
          </cell>
          <cell r="B1096" t="str">
            <v xml:space="preserve">SOLARIS DESKTOP UPGRADE - 1RTU </v>
          </cell>
          <cell r="C1096">
            <v>319</v>
          </cell>
          <cell r="D1096" t="str">
            <v xml:space="preserve">A </v>
          </cell>
        </row>
        <row r="1097">
          <cell r="A1097" t="str">
            <v xml:space="preserve">SOL9S-999WI9U9 </v>
          </cell>
          <cell r="B1097" t="str">
            <v xml:space="preserve">SOLARIS WG SERVER UPGRADE 1RTU </v>
          </cell>
          <cell r="C1097">
            <v>3192</v>
          </cell>
          <cell r="D1097" t="str">
            <v xml:space="preserve">A </v>
          </cell>
        </row>
        <row r="1098">
          <cell r="A1098" t="str">
            <v xml:space="preserve">SOL9S-999WL9U9 </v>
          </cell>
          <cell r="B1098" t="str">
            <v xml:space="preserve">SOLARIS 17-32CPU SRV LIC UPG </v>
          </cell>
          <cell r="C1098">
            <v>42120</v>
          </cell>
          <cell r="D1098" t="str">
            <v xml:space="preserve">A </v>
          </cell>
        </row>
        <row r="1099">
          <cell r="A1099" t="str">
            <v xml:space="preserve">SOL9S-999WX9U9 </v>
          </cell>
          <cell r="B1099" t="str">
            <v xml:space="preserve">SOLARIS 5-8CPU SRV LIC UPGRADE </v>
          </cell>
          <cell r="C1099">
            <v>4680</v>
          </cell>
          <cell r="D1099" t="str">
            <v xml:space="preserve">A </v>
          </cell>
        </row>
        <row r="1100">
          <cell r="A1100" t="str">
            <v xml:space="preserve">SOL9S-999WY9U9 </v>
          </cell>
          <cell r="B1100" t="str">
            <v xml:space="preserve">SOLARIS 9-16CPU SRV LIC UPG </v>
          </cell>
          <cell r="C1100">
            <v>16510</v>
          </cell>
          <cell r="D1100" t="str">
            <v xml:space="preserve">A </v>
          </cell>
        </row>
        <row r="1101">
          <cell r="A1101" t="str">
            <v xml:space="preserve">SOLC9-999-D99M </v>
          </cell>
          <cell r="B1101" t="str">
            <v xml:space="preserve">SOLARIS DESKTOP 100 RTU's </v>
          </cell>
          <cell r="C1101">
            <v>12870</v>
          </cell>
          <cell r="D1101" t="str">
            <v xml:space="preserve">A </v>
          </cell>
        </row>
        <row r="1102">
          <cell r="A1102" t="str">
            <v xml:space="preserve">SOLD-2.5.1APR97-45 </v>
          </cell>
          <cell r="B1102" t="str">
            <v xml:space="preserve">KOREAN SOLARIS 2.5.1 HW4/97 DT </v>
          </cell>
          <cell r="C1102">
            <v>325</v>
          </cell>
          <cell r="D1102" t="str">
            <v xml:space="preserve">A </v>
          </cell>
        </row>
        <row r="1103">
          <cell r="A1103" t="str">
            <v xml:space="preserve">SOLD-2.5.1AUG97-45 </v>
          </cell>
          <cell r="B1103" t="str">
            <v xml:space="preserve">KOREAN SOLARIS 2.5.1 HW8/97 DT </v>
          </cell>
          <cell r="C1103">
            <v>325</v>
          </cell>
          <cell r="D1103" t="str">
            <v xml:space="preserve">A </v>
          </cell>
        </row>
        <row r="1104">
          <cell r="A1104" t="str">
            <v xml:space="preserve">SOLD-2.5.1NOV97-45 </v>
          </cell>
          <cell r="B1104" t="str">
            <v xml:space="preserve">KOREAN SOLARIS 2.5.1 11/97 DT </v>
          </cell>
          <cell r="C1104">
            <v>325</v>
          </cell>
          <cell r="D1104" t="str">
            <v xml:space="preserve">A </v>
          </cell>
        </row>
        <row r="1105">
          <cell r="A1105" t="str">
            <v xml:space="preserve">SOLD-2.5MAY96-45 </v>
          </cell>
          <cell r="B1105" t="str">
            <v xml:space="preserve">CD ASSY,KO S2.5.1 HW5/96 DT </v>
          </cell>
          <cell r="C1105">
            <v>325</v>
          </cell>
          <cell r="D1105" t="str">
            <v xml:space="preserve">A </v>
          </cell>
        </row>
        <row r="1106">
          <cell r="A1106" t="str">
            <v xml:space="preserve">SOLD-2.6MAR98-45 </v>
          </cell>
          <cell r="B1106" t="str">
            <v xml:space="preserve">SOL 2.6 HW3/98 KOREAN DT </v>
          </cell>
          <cell r="C1106">
            <v>350</v>
          </cell>
          <cell r="D1106" t="str">
            <v xml:space="preserve">A </v>
          </cell>
        </row>
        <row r="1107">
          <cell r="A1107" t="str">
            <v xml:space="preserve">SOLD9-070-9999 </v>
          </cell>
          <cell r="B1107" t="str">
            <v xml:space="preserve">SOLARIS 7 FULL DOC SET </v>
          </cell>
          <cell r="C1107">
            <v>1944</v>
          </cell>
          <cell r="D1107" t="str">
            <v xml:space="preserve">B </v>
          </cell>
        </row>
        <row r="1108">
          <cell r="A1108" t="str">
            <v xml:space="preserve">SOLD9-070-R99H </v>
          </cell>
          <cell r="B1108" t="str">
            <v xml:space="preserve">SOLARIS 7 END USER DOC, KOREA </v>
          </cell>
          <cell r="C1108">
            <v>325</v>
          </cell>
          <cell r="D1108" t="str">
            <v xml:space="preserve">B </v>
          </cell>
        </row>
        <row r="1109">
          <cell r="A1109" t="str">
            <v xml:space="preserve">SOLDS-070-T99C </v>
          </cell>
          <cell r="B1109" t="str">
            <v xml:space="preserve">SOLARIS 7 DEVELOPER DOC JAPAN </v>
          </cell>
          <cell r="C1109">
            <v>774</v>
          </cell>
          <cell r="D1109" t="str">
            <v xml:space="preserve">B </v>
          </cell>
        </row>
        <row r="1110">
          <cell r="A1110" t="str">
            <v xml:space="preserve">SOLE-2.5MAY96-P </v>
          </cell>
          <cell r="B1110" t="str">
            <v xml:space="preserve">SW,S2.5.1,DES,BINARY </v>
          </cell>
          <cell r="C1110">
            <v>130</v>
          </cell>
          <cell r="D1110" t="str">
            <v xml:space="preserve">A </v>
          </cell>
        </row>
        <row r="1111">
          <cell r="A1111" t="str">
            <v xml:space="preserve">SOLE-2.6-P </v>
          </cell>
          <cell r="B1111" t="str">
            <v xml:space="preserve">SOLARIS 2.6 ENCRYPTION KIT </v>
          </cell>
          <cell r="C1111">
            <v>130</v>
          </cell>
          <cell r="D1111" t="str">
            <v xml:space="preserve">B </v>
          </cell>
        </row>
        <row r="1112">
          <cell r="A1112" t="str">
            <v xml:space="preserve">SOLIS-92D-W9UM </v>
          </cell>
          <cell r="B1112" t="str">
            <v xml:space="preserve">SOLARIS 2YR SUBSW/UPG WGSV 4 </v>
          </cell>
          <cell r="C1112">
            <v>3764</v>
          </cell>
          <cell r="D1112" t="str">
            <v xml:space="preserve">B </v>
          </cell>
        </row>
        <row r="1113">
          <cell r="A1113" t="str">
            <v xml:space="preserve">SOLL9-999-D99M </v>
          </cell>
          <cell r="B1113" t="str">
            <v xml:space="preserve">SOLARIS DESKTOP 50RTU's </v>
          </cell>
          <cell r="C1113">
            <v>7534</v>
          </cell>
          <cell r="D1113" t="str">
            <v xml:space="preserve">A </v>
          </cell>
        </row>
        <row r="1114">
          <cell r="A1114" t="str">
            <v xml:space="preserve">SOLMS-070W999H </v>
          </cell>
          <cell r="B1114" t="str">
            <v xml:space="preserve">SOLARIS 7 STD KOREAN SRVR </v>
          </cell>
          <cell r="C1114">
            <v>397</v>
          </cell>
          <cell r="D1114" t="str">
            <v xml:space="preserve">A </v>
          </cell>
        </row>
        <row r="1115">
          <cell r="A1115" t="str">
            <v xml:space="preserve">SOLMS-070WD99H </v>
          </cell>
          <cell r="B1115" t="str">
            <v xml:space="preserve">SOLARIS 7 STANDARD KOREAN DT </v>
          </cell>
          <cell r="C1115">
            <v>325</v>
          </cell>
          <cell r="D1115" t="str">
            <v xml:space="preserve">A </v>
          </cell>
        </row>
        <row r="1116">
          <cell r="A1116" t="str">
            <v xml:space="preserve">SOLMS-07AW999H </v>
          </cell>
          <cell r="B1116" t="str">
            <v xml:space="preserve">SOLARIS 7 10/98 KOREAN SRVR </v>
          </cell>
          <cell r="C1116">
            <v>397</v>
          </cell>
          <cell r="D1116" t="str">
            <v xml:space="preserve">A </v>
          </cell>
        </row>
        <row r="1117">
          <cell r="A1117" t="str">
            <v xml:space="preserve">SOLMS-07AWD99H </v>
          </cell>
          <cell r="B1117" t="str">
            <v xml:space="preserve">SOLARIS 7 10/98 KOREAN DT </v>
          </cell>
          <cell r="C1117">
            <v>325</v>
          </cell>
          <cell r="D1117" t="str">
            <v xml:space="preserve">A </v>
          </cell>
        </row>
        <row r="1118">
          <cell r="A1118" t="str">
            <v xml:space="preserve">SOLMS-07BW999H </v>
          </cell>
          <cell r="B1118" t="str">
            <v xml:space="preserve">Solaris 7 3/99 Korean Srvr </v>
          </cell>
          <cell r="C1118">
            <v>397</v>
          </cell>
          <cell r="D1118" t="str">
            <v xml:space="preserve">A </v>
          </cell>
        </row>
        <row r="1119">
          <cell r="A1119" t="str">
            <v xml:space="preserve">SOLMS-07BWD99H </v>
          </cell>
          <cell r="B1119" t="str">
            <v xml:space="preserve">Solaris 7 3/99 Korean DT </v>
          </cell>
          <cell r="C1119">
            <v>325</v>
          </cell>
          <cell r="D1119" t="str">
            <v xml:space="preserve">A </v>
          </cell>
        </row>
        <row r="1120">
          <cell r="A1120" t="str">
            <v xml:space="preserve">SOLMS-07CW999H </v>
          </cell>
          <cell r="B1120" t="str">
            <v xml:space="preserve">Solaris 7 5/99 Korean Srvr </v>
          </cell>
          <cell r="C1120">
            <v>397</v>
          </cell>
          <cell r="D1120" t="str">
            <v xml:space="preserve">A </v>
          </cell>
        </row>
        <row r="1121">
          <cell r="A1121" t="str">
            <v xml:space="preserve">SOLMS-07DW999H </v>
          </cell>
          <cell r="B1121" t="str">
            <v xml:space="preserve">Solaris 7 8/99 Korean Srvr </v>
          </cell>
          <cell r="C1121">
            <v>397</v>
          </cell>
          <cell r="D1121" t="str">
            <v xml:space="preserve">A </v>
          </cell>
        </row>
        <row r="1122">
          <cell r="A1122" t="str">
            <v xml:space="preserve">SOLMS-07CWD99H </v>
          </cell>
          <cell r="B1122" t="str">
            <v xml:space="preserve">Solaris 7 5/99 Korean DT </v>
          </cell>
          <cell r="C1122">
            <v>325</v>
          </cell>
          <cell r="D1122" t="str">
            <v xml:space="preserve">A </v>
          </cell>
        </row>
        <row r="1123">
          <cell r="A1123" t="str">
            <v xml:space="preserve">SOLMS-251W999H </v>
          </cell>
          <cell r="B1123" t="str">
            <v xml:space="preserve">KOREAN SOLARIS 2.5.1 STD SV </v>
          </cell>
          <cell r="C1123">
            <v>390</v>
          </cell>
          <cell r="D1123" t="str">
            <v xml:space="preserve">A </v>
          </cell>
        </row>
        <row r="1124">
          <cell r="A1124" t="str">
            <v xml:space="preserve">SOLMS-251WD99H </v>
          </cell>
          <cell r="B1124" t="str">
            <v xml:space="preserve">KOREAN SOLARIS 2.5.1 STD DT </v>
          </cell>
          <cell r="C1124">
            <v>325</v>
          </cell>
          <cell r="D1124" t="str">
            <v xml:space="preserve">A </v>
          </cell>
        </row>
        <row r="1125">
          <cell r="A1125" t="str">
            <v xml:space="preserve">SOLMS-260W999H </v>
          </cell>
          <cell r="B1125" t="str">
            <v xml:space="preserve">SOLARIS 2.6 STD KOREAN SRVR </v>
          </cell>
          <cell r="C1125">
            <v>397</v>
          </cell>
          <cell r="D1125" t="str">
            <v xml:space="preserve">A </v>
          </cell>
        </row>
        <row r="1126">
          <cell r="A1126" t="str">
            <v xml:space="preserve">SOLMS-260WD99H </v>
          </cell>
          <cell r="B1126" t="str">
            <v xml:space="preserve">SOLARIS 2.6 STANDARD KOREAN DT </v>
          </cell>
          <cell r="C1126">
            <v>325</v>
          </cell>
          <cell r="D1126" t="str">
            <v xml:space="preserve">A </v>
          </cell>
        </row>
        <row r="1127">
          <cell r="A1127" t="str">
            <v xml:space="preserve">SOLMS-26EW999H </v>
          </cell>
          <cell r="B1127" t="str">
            <v xml:space="preserve">SOLARIS 2.6 5/98 KOREAN SRVR </v>
          </cell>
          <cell r="C1127">
            <v>397</v>
          </cell>
          <cell r="D1127" t="str">
            <v xml:space="preserve">A </v>
          </cell>
        </row>
        <row r="1128">
          <cell r="A1128" t="str">
            <v xml:space="preserve">SOLMS-26EWD99H </v>
          </cell>
          <cell r="B1128" t="str">
            <v xml:space="preserve">SOLARIS 2.6 5/98 KOREAN DT </v>
          </cell>
          <cell r="C1128">
            <v>325</v>
          </cell>
          <cell r="D1128" t="str">
            <v xml:space="preserve">A </v>
          </cell>
        </row>
        <row r="1129">
          <cell r="A1129" t="str">
            <v xml:space="preserve">SOLMS-26ZW999H </v>
          </cell>
          <cell r="B1129" t="str">
            <v xml:space="preserve">SOL 2.6 BASE 08/97 KOREAN SVR </v>
          </cell>
          <cell r="C1129">
            <v>397</v>
          </cell>
          <cell r="D1129" t="str">
            <v xml:space="preserve">A </v>
          </cell>
        </row>
        <row r="1130">
          <cell r="A1130" t="str">
            <v>SOLZS-08BB9AYH</v>
          </cell>
          <cell r="B1130" t="str">
            <v>SOLARIS 8 6/00 KOREA MEDIA</v>
          </cell>
          <cell r="C1130">
            <v>397</v>
          </cell>
          <cell r="D1130" t="str">
            <v xml:space="preserve">A </v>
          </cell>
        </row>
        <row r="1131">
          <cell r="A1131" t="str">
            <v>SOLZS-080B9AYH</v>
          </cell>
          <cell r="B1131" t="str">
            <v>SOLARIS 8 6/00 KOREA MEDIA</v>
          </cell>
          <cell r="C1131">
            <v>397</v>
          </cell>
          <cell r="D1131" t="str">
            <v xml:space="preserve">A </v>
          </cell>
        </row>
        <row r="1132">
          <cell r="A1132" t="str">
            <v>SOL99-080-MAD9</v>
          </cell>
          <cell r="B1132" t="str">
            <v>SOLARIS 8 EN FULL Manul Set</v>
          </cell>
          <cell r="C1132">
            <v>1944</v>
          </cell>
          <cell r="D1132" t="str">
            <v xml:space="preserve">B </v>
          </cell>
        </row>
        <row r="1133">
          <cell r="A1133" t="str">
            <v xml:space="preserve">SOLMS-26ZWD99H </v>
          </cell>
          <cell r="B1133" t="str">
            <v xml:space="preserve">SOL 2.6 BASE 08/97 KOREAN DT </v>
          </cell>
          <cell r="C1133">
            <v>325</v>
          </cell>
          <cell r="D1133" t="str">
            <v xml:space="preserve">A </v>
          </cell>
        </row>
        <row r="1134">
          <cell r="A1134" t="str">
            <v xml:space="preserve">SOLS-2.5.1APR97-45 </v>
          </cell>
          <cell r="B1134" t="str">
            <v xml:space="preserve">KOREAN SOLARIS 2.5.1 HW4/97 SV </v>
          </cell>
          <cell r="C1134">
            <v>390</v>
          </cell>
          <cell r="D1134" t="str">
            <v xml:space="preserve">A </v>
          </cell>
        </row>
        <row r="1135">
          <cell r="A1135" t="str">
            <v xml:space="preserve">SOLS-2.5.1AUG97-45 </v>
          </cell>
          <cell r="B1135" t="str">
            <v xml:space="preserve">KOREAN SOLARIS 2.5.1 HW8/97 SV </v>
          </cell>
          <cell r="C1135">
            <v>390</v>
          </cell>
          <cell r="D1135" t="str">
            <v xml:space="preserve">A </v>
          </cell>
        </row>
        <row r="1136">
          <cell r="A1136" t="str">
            <v xml:space="preserve">SOLS-2.5.1NOV97-45 </v>
          </cell>
          <cell r="B1136" t="str">
            <v xml:space="preserve">KOREAN SOLARIS 2.5.1 11/97 SV </v>
          </cell>
          <cell r="C1136">
            <v>390</v>
          </cell>
          <cell r="D1136" t="str">
            <v xml:space="preserve">A </v>
          </cell>
        </row>
        <row r="1137">
          <cell r="A1137" t="str">
            <v xml:space="preserve">SOLS-2.5MAY96-45 </v>
          </cell>
          <cell r="B1137" t="str">
            <v xml:space="preserve">CD ASSY,KO S2.5.1 HW5/96 WGS </v>
          </cell>
          <cell r="C1137">
            <v>390</v>
          </cell>
          <cell r="D1137" t="str">
            <v xml:space="preserve">A </v>
          </cell>
        </row>
        <row r="1138">
          <cell r="A1138" t="str">
            <v xml:space="preserve">SOLS-2.6MAR98 </v>
          </cell>
          <cell r="B1138" t="str">
            <v xml:space="preserve">SOL 2.6 HW 3/98 ENG SVR </v>
          </cell>
          <cell r="C1138">
            <v>130</v>
          </cell>
          <cell r="D1138" t="str">
            <v xml:space="preserve">A </v>
          </cell>
        </row>
        <row r="1139">
          <cell r="A1139" t="str">
            <v xml:space="preserve">SOLS-2.6MAR98-45 </v>
          </cell>
          <cell r="B1139" t="str">
            <v xml:space="preserve">SOL 2.6 HW 3/98 KOREAN SVR </v>
          </cell>
          <cell r="C1139">
            <v>397</v>
          </cell>
          <cell r="D1139" t="str">
            <v xml:space="preserve">A </v>
          </cell>
        </row>
        <row r="1140">
          <cell r="A1140" t="str">
            <v xml:space="preserve">SOLSA-2.5.1-P </v>
          </cell>
          <cell r="B1140" t="str">
            <v xml:space="preserve">SW,S2.5.1,SPARC/X86,SYS AB,US </v>
          </cell>
          <cell r="C1140">
            <v>293</v>
          </cell>
          <cell r="D1140" t="str">
            <v xml:space="preserve">A </v>
          </cell>
        </row>
        <row r="1141">
          <cell r="A1141" t="str">
            <v xml:space="preserve">SOLSA-2.6-P </v>
          </cell>
          <cell r="B1141" t="str">
            <v xml:space="preserve">SOLARIS 2.6 US ADMINDOCS </v>
          </cell>
          <cell r="C1141">
            <v>293</v>
          </cell>
          <cell r="D1141" t="str">
            <v xml:space="preserve">A </v>
          </cell>
        </row>
        <row r="1142">
          <cell r="A1142" t="str">
            <v xml:space="preserve">SOLSIE-1.0-D </v>
          </cell>
          <cell r="B1142" t="str">
            <v xml:space="preserve">SOLARIS SV INTRANET EXT US DOC </v>
          </cell>
          <cell r="C1142">
            <v>390</v>
          </cell>
          <cell r="D1142" t="str">
            <v xml:space="preserve">B </v>
          </cell>
        </row>
        <row r="1143">
          <cell r="A1143" t="str">
            <v xml:space="preserve">SOLSIE-1.0-LE </v>
          </cell>
          <cell r="B1143" t="str">
            <v xml:space="preserve">SOLARIS SV INTRANET EXT LE EXP </v>
          </cell>
          <cell r="C1143">
            <v>774</v>
          </cell>
          <cell r="D1143" t="str">
            <v xml:space="preserve">A </v>
          </cell>
        </row>
        <row r="1144">
          <cell r="A1144" t="str">
            <v xml:space="preserve">SOLSIE-1.0-P </v>
          </cell>
          <cell r="B1144" t="str">
            <v xml:space="preserve">SOLARIS SV INTRANET EXT US </v>
          </cell>
          <cell r="C1144">
            <v>774</v>
          </cell>
          <cell r="D1144" t="str">
            <v xml:space="preserve">A </v>
          </cell>
        </row>
        <row r="1145">
          <cell r="A1145" t="str">
            <v xml:space="preserve">SOLSUB-DH </v>
          </cell>
          <cell r="B1145" t="str">
            <v xml:space="preserve">SOLARIS 1YR. SUBS DT HIGH </v>
          </cell>
          <cell r="C1145">
            <v>693</v>
          </cell>
          <cell r="D1145" t="str">
            <v xml:space="preserve">B </v>
          </cell>
        </row>
        <row r="1146">
          <cell r="A1146" t="str">
            <v xml:space="preserve">SOLSUB-DHU </v>
          </cell>
          <cell r="B1146" t="str">
            <v xml:space="preserve">SOLARIS 2YR SUBSW/UPG, DT HIGH </v>
          </cell>
          <cell r="C1146">
            <v>1155</v>
          </cell>
          <cell r="D1146" t="str">
            <v xml:space="preserve">B </v>
          </cell>
        </row>
        <row r="1147">
          <cell r="A1147" t="str">
            <v xml:space="preserve">SOLSUB-DHU-R10 </v>
          </cell>
          <cell r="B1147" t="str">
            <v xml:space="preserve">10RTU SOLARIS SUBSW/UPG, DT HG </v>
          </cell>
          <cell r="C1147">
            <v>10150</v>
          </cell>
          <cell r="D1147" t="str">
            <v xml:space="preserve">B </v>
          </cell>
        </row>
        <row r="1148">
          <cell r="A1148" t="str">
            <v xml:space="preserve">SOLSUB-DHU-R100 </v>
          </cell>
          <cell r="B1148" t="str">
            <v xml:space="preserve">100RTU SOLARIS SUBSW/UPG, DTHG </v>
          </cell>
          <cell r="C1148">
            <v>64400</v>
          </cell>
          <cell r="D1148" t="str">
            <v xml:space="preserve">B </v>
          </cell>
        </row>
        <row r="1149">
          <cell r="A1149" t="str">
            <v xml:space="preserve">SOLSUB-DHU-R50 </v>
          </cell>
          <cell r="B1149" t="str">
            <v xml:space="preserve">50RTU SOLARIS SUBSW/UPG, DT HG </v>
          </cell>
          <cell r="C1149">
            <v>42000</v>
          </cell>
          <cell r="D1149" t="str">
            <v xml:space="preserve">B </v>
          </cell>
        </row>
        <row r="1150">
          <cell r="A1150" t="str">
            <v xml:space="preserve">SOLSUB-DT </v>
          </cell>
          <cell r="B1150" t="str">
            <v xml:space="preserve">SOLARIS 1YR. SUBS DT LOW </v>
          </cell>
          <cell r="C1150">
            <v>511</v>
          </cell>
          <cell r="D1150" t="str">
            <v xml:space="preserve">B </v>
          </cell>
        </row>
        <row r="1151">
          <cell r="A1151" t="str">
            <v xml:space="preserve">SOLSUB-DTU </v>
          </cell>
          <cell r="B1151" t="str">
            <v xml:space="preserve">SOLARIS 2YR SUBS W/UPG, DT LOW </v>
          </cell>
          <cell r="C1151">
            <v>693</v>
          </cell>
          <cell r="D1151" t="str">
            <v xml:space="preserve">B </v>
          </cell>
        </row>
        <row r="1152">
          <cell r="A1152" t="str">
            <v xml:space="preserve">SOLSUB-DTU-R10 </v>
          </cell>
          <cell r="B1152" t="str">
            <v xml:space="preserve">10RTU SOLARIS SUBSW/UPG, DT LW </v>
          </cell>
          <cell r="C1152">
            <v>3150</v>
          </cell>
          <cell r="D1152" t="str">
            <v xml:space="preserve">B </v>
          </cell>
        </row>
        <row r="1153">
          <cell r="A1153" t="str">
            <v xml:space="preserve">SOLSUB-DTU-R100 </v>
          </cell>
          <cell r="B1153" t="str">
            <v xml:space="preserve">100RTU SOLARIS SUBSW/UPG, DTLW </v>
          </cell>
          <cell r="C1153">
            <v>18060</v>
          </cell>
          <cell r="D1153" t="str">
            <v xml:space="preserve">B </v>
          </cell>
        </row>
        <row r="1154">
          <cell r="A1154" t="str">
            <v xml:space="preserve">SOLSUB-DTU-R50 </v>
          </cell>
          <cell r="B1154" t="str">
            <v xml:space="preserve">50RTU SOLARIS SUBSW/UPG, DT LW </v>
          </cell>
          <cell r="C1154">
            <v>12250</v>
          </cell>
          <cell r="D1154" t="str">
            <v xml:space="preserve">B </v>
          </cell>
        </row>
        <row r="1155">
          <cell r="A1155" t="str">
            <v xml:space="preserve">SOLSUB-S8U-R10 </v>
          </cell>
          <cell r="B1155" t="str">
            <v xml:space="preserve">10RTU SOLARIS 8WSV SUBS W/UPGD </v>
          </cell>
          <cell r="C1155">
            <v>33530</v>
          </cell>
          <cell r="D1155" t="str">
            <v xml:space="preserve">B </v>
          </cell>
        </row>
        <row r="1156">
          <cell r="A1156" t="str">
            <v xml:space="preserve">SOLSUB-SV-16 </v>
          </cell>
          <cell r="B1156" t="str">
            <v xml:space="preserve">SOLARIS 1YR SUBS, 16CPU SERVER </v>
          </cell>
          <cell r="C1156">
            <v>14280</v>
          </cell>
          <cell r="D1156" t="str">
            <v xml:space="preserve">B </v>
          </cell>
        </row>
        <row r="1157">
          <cell r="A1157" t="str">
            <v xml:space="preserve">SOLSUB-SV-32 </v>
          </cell>
          <cell r="B1157" t="str">
            <v xml:space="preserve">SOLARIS 1YR SUBS, 32CPU SERVER </v>
          </cell>
          <cell r="C1157">
            <v>29260</v>
          </cell>
          <cell r="D1157" t="str">
            <v xml:space="preserve">B </v>
          </cell>
        </row>
        <row r="1158">
          <cell r="A1158" t="str">
            <v xml:space="preserve">SOLSUB-SV-4 </v>
          </cell>
          <cell r="B1158" t="str">
            <v xml:space="preserve">SOLARIS 1YR SUBS, 4CPU SERVER </v>
          </cell>
          <cell r="C1158">
            <v>2303</v>
          </cell>
          <cell r="D1158" t="str">
            <v xml:space="preserve">B </v>
          </cell>
        </row>
        <row r="1159">
          <cell r="A1159" t="str">
            <v xml:space="preserve">SOLSUB-SV-8 </v>
          </cell>
          <cell r="B1159" t="str">
            <v xml:space="preserve">SOLARIS 1YR SUBS, 8CPU SERVER </v>
          </cell>
          <cell r="C1159">
            <v>5593</v>
          </cell>
          <cell r="D1159" t="str">
            <v xml:space="preserve">B </v>
          </cell>
        </row>
        <row r="1160">
          <cell r="A1160" t="str">
            <v xml:space="preserve">SOLSUB-SVU-16 </v>
          </cell>
          <cell r="B1160" t="str">
            <v xml:space="preserve">SOLARIS 2YR SUBSW/UPG ENTSV 16 </v>
          </cell>
          <cell r="C1160">
            <v>25200</v>
          </cell>
          <cell r="D1160" t="str">
            <v xml:space="preserve">B </v>
          </cell>
        </row>
        <row r="1161">
          <cell r="A1161" t="str">
            <v xml:space="preserve">SOLSUB-SVU-32 </v>
          </cell>
          <cell r="B1161" t="str">
            <v xml:space="preserve">SOLARIS 2YR SUBSW/UPG ENTSV 32 </v>
          </cell>
          <cell r="C1161">
            <v>51415</v>
          </cell>
          <cell r="D1161" t="str">
            <v xml:space="preserve">B </v>
          </cell>
        </row>
        <row r="1162">
          <cell r="A1162" t="str">
            <v xml:space="preserve">SOLSUB-SVU-8 </v>
          </cell>
          <cell r="B1162" t="str">
            <v xml:space="preserve">SOLARIS 2YR SUBSW/UPG ENTSV 8 </v>
          </cell>
          <cell r="C1162">
            <v>9793</v>
          </cell>
          <cell r="D1162" t="str">
            <v xml:space="preserve">B </v>
          </cell>
        </row>
        <row r="1163">
          <cell r="A1163" t="str">
            <v xml:space="preserve">SOLX9-999-D99M </v>
          </cell>
          <cell r="B1163" t="str">
            <v xml:space="preserve">SOLARIS DESKTOP 10RTU's </v>
          </cell>
          <cell r="C1163">
            <v>2210</v>
          </cell>
          <cell r="D1163" t="str">
            <v xml:space="preserve">A </v>
          </cell>
        </row>
        <row r="1164">
          <cell r="A1164" t="str">
            <v xml:space="preserve">SOLXS-92D-W9UM </v>
          </cell>
          <cell r="B1164" t="str">
            <v xml:space="preserve">10RTU SOLARIS WGSV SUBS W/UPGD </v>
          </cell>
          <cell r="C1164">
            <v>12935</v>
          </cell>
          <cell r="D1164" t="str">
            <v xml:space="preserve">B </v>
          </cell>
        </row>
        <row r="1165">
          <cell r="A1165" t="str">
            <v xml:space="preserve">SP40-ACR-QIC </v>
          </cell>
          <cell r="B1165" t="str">
            <v xml:space="preserve">A7000 SP40 CRC SW, TAPE DOC LI </v>
          </cell>
          <cell r="C1165">
            <v>144000</v>
          </cell>
          <cell r="D1165" t="str">
            <v xml:space="preserve">B </v>
          </cell>
        </row>
        <row r="1166">
          <cell r="A1166" t="str">
            <v xml:space="preserve">SP40-OS-QIC </v>
          </cell>
          <cell r="B1166" t="str">
            <v xml:space="preserve">A7000 OS SW, TAPE DOC LI </v>
          </cell>
          <cell r="C1166">
            <v>0</v>
          </cell>
          <cell r="D1166" t="str">
            <v xml:space="preserve">D </v>
          </cell>
        </row>
        <row r="1167">
          <cell r="A1167" t="str">
            <v xml:space="preserve">SPF-1.0G-P </v>
          </cell>
          <cell r="B1167" t="str">
            <v xml:space="preserve">SPF-200 UNLI NODE GLOB </v>
          </cell>
          <cell r="C1167">
            <v>34993</v>
          </cell>
          <cell r="D1167" t="str">
            <v xml:space="preserve">B </v>
          </cell>
        </row>
        <row r="1168">
          <cell r="A1168" t="str">
            <v xml:space="preserve">SPF-1.0G-PU </v>
          </cell>
          <cell r="B1168" t="str">
            <v xml:space="preserve">UPG SPF-100 TO SPF-200 GLBL </v>
          </cell>
          <cell r="C1168">
            <v>8400</v>
          </cell>
          <cell r="D1168" t="str">
            <v xml:space="preserve">B </v>
          </cell>
        </row>
        <row r="1169">
          <cell r="A1169" t="str">
            <v xml:space="preserve">SPFMS-100W9999 </v>
          </cell>
          <cell r="B1169" t="str">
            <v xml:space="preserve">SunScreen SPF-200 Global </v>
          </cell>
          <cell r="C1169">
            <v>27993</v>
          </cell>
          <cell r="D1169" t="str">
            <v xml:space="preserve">B </v>
          </cell>
        </row>
        <row r="1170">
          <cell r="A1170" t="str">
            <v xml:space="preserve">SPFMS-100W99U9 </v>
          </cell>
          <cell r="B1170" t="str">
            <v xml:space="preserve">SunScreen SPF-200 Gl. Upgrade </v>
          </cell>
          <cell r="C1170">
            <v>350</v>
          </cell>
          <cell r="D1170" t="str">
            <v xml:space="preserve">B </v>
          </cell>
        </row>
        <row r="1171">
          <cell r="A1171" t="str">
            <v xml:space="preserve">SPFMS-100W9D99 </v>
          </cell>
          <cell r="B1171" t="str">
            <v xml:space="preserve">SunScreen SPF-200 Global Eval </v>
          </cell>
          <cell r="C1171">
            <v>350</v>
          </cell>
          <cell r="D1171" t="str">
            <v xml:space="preserve">B </v>
          </cell>
        </row>
        <row r="1172">
          <cell r="A1172" t="str">
            <v xml:space="preserve">SPTI9-999-T999 </v>
          </cell>
          <cell r="B1172" t="str">
            <v xml:space="preserve">SUNTEST JAVA TOOL TRNG - 1 PUB </v>
          </cell>
          <cell r="C1172">
            <v>2100</v>
          </cell>
          <cell r="D1172" t="str">
            <v xml:space="preserve">D </v>
          </cell>
        </row>
        <row r="1173">
          <cell r="A1173" t="str">
            <v xml:space="preserve">SQA-RT-1.0-D </v>
          </cell>
          <cell r="B1173" t="str">
            <v xml:space="preserve">TMN/SNMP Q-A 1.0 RT, DOC </v>
          </cell>
          <cell r="C1173">
            <v>195</v>
          </cell>
          <cell r="D1173" t="str">
            <v xml:space="preserve">D </v>
          </cell>
        </row>
        <row r="1174">
          <cell r="A1174" t="str">
            <v xml:space="preserve">SQA-RT-1.0-S </v>
          </cell>
          <cell r="B1174" t="str">
            <v xml:space="preserve">TMN/SNMP Q-A 1.0 RT, CD LIC </v>
          </cell>
          <cell r="C1174">
            <v>7794</v>
          </cell>
          <cell r="D1174" t="str">
            <v xml:space="preserve">B </v>
          </cell>
        </row>
        <row r="1175">
          <cell r="A1175" t="str">
            <v xml:space="preserve">SQA-TK-1.0-D </v>
          </cell>
          <cell r="B1175" t="str">
            <v xml:space="preserve">TMN/SNMP Q-A 1.0 TK, DOC </v>
          </cell>
          <cell r="C1175">
            <v>195</v>
          </cell>
          <cell r="D1175" t="str">
            <v xml:space="preserve">D </v>
          </cell>
        </row>
        <row r="1176">
          <cell r="A1176" t="str">
            <v xml:space="preserve">SQA-TK-1.0-S </v>
          </cell>
          <cell r="B1176" t="str">
            <v xml:space="preserve">TMN/SNMP Q-A 1.0 TK, CD LIC </v>
          </cell>
          <cell r="C1176">
            <v>18850</v>
          </cell>
          <cell r="D1176" t="str">
            <v xml:space="preserve">B </v>
          </cell>
        </row>
        <row r="1177">
          <cell r="A1177" t="str">
            <v xml:space="preserve">SRM9S-011-999 </v>
          </cell>
          <cell r="B1177" t="str">
            <v xml:space="preserve">SRM 1.1 Sol 2.6,7,8 SP, Media Kit </v>
          </cell>
          <cell r="C1177">
            <v>70</v>
          </cell>
          <cell r="D1177" t="str">
            <v xml:space="preserve">B </v>
          </cell>
        </row>
        <row r="1178">
          <cell r="A1178" t="str">
            <v xml:space="preserve">SRMMS-011-C999 </v>
          </cell>
          <cell r="B1178" t="str">
            <v xml:space="preserve">SRM 1.1 : E10000 ENGLISH </v>
          </cell>
          <cell r="C1178">
            <v>56000</v>
          </cell>
          <cell r="D1178" t="str">
            <v xml:space="preserve">B </v>
          </cell>
        </row>
        <row r="1179">
          <cell r="A1179" t="str">
            <v xml:space="preserve">SRM9S-010-999 </v>
          </cell>
          <cell r="B1179" t="str">
            <v xml:space="preserve">SRM 1.0 Sol 2.6,7 SP, Media Kit </v>
          </cell>
          <cell r="C1179">
            <v>70</v>
          </cell>
          <cell r="D1179" t="str">
            <v xml:space="preserve">B </v>
          </cell>
        </row>
        <row r="1180">
          <cell r="A1180" t="str">
            <v xml:space="preserve">SRMMS-010-C999 </v>
          </cell>
          <cell r="B1180" t="str">
            <v xml:space="preserve">SRM 1.0 : E10000 ENGLISH </v>
          </cell>
          <cell r="C1180">
            <v>56000</v>
          </cell>
          <cell r="D1180" t="str">
            <v xml:space="preserve">B </v>
          </cell>
        </row>
        <row r="1181">
          <cell r="A1181" t="str">
            <v xml:space="preserve">SRMMS-010-I999 </v>
          </cell>
          <cell r="B1181" t="str">
            <v xml:space="preserve">SRM 1.0 FOR WORKGROUP- ENGLISH </v>
          </cell>
          <cell r="C1181">
            <v>5600</v>
          </cell>
          <cell r="D1181" t="str">
            <v xml:space="preserve">B </v>
          </cell>
        </row>
        <row r="1182">
          <cell r="A1182" t="str">
            <v xml:space="preserve">SRMMS-010-L999 </v>
          </cell>
          <cell r="B1182" t="str">
            <v xml:space="preserve">SRM 1.0 : E6X00 ENGLISH </v>
          </cell>
          <cell r="C1182">
            <v>21000</v>
          </cell>
          <cell r="D1182" t="str">
            <v xml:space="preserve">B </v>
          </cell>
        </row>
        <row r="1183">
          <cell r="A1183" t="str">
            <v xml:space="preserve">SRMMS-010-X999 </v>
          </cell>
          <cell r="B1183" t="str">
            <v xml:space="preserve">SRM 1.0 FOR E3X000 - ENGLISH </v>
          </cell>
          <cell r="C1183">
            <v>9800</v>
          </cell>
          <cell r="D1183" t="str">
            <v xml:space="preserve">B </v>
          </cell>
        </row>
        <row r="1184">
          <cell r="A1184" t="str">
            <v xml:space="preserve">SRMMS-010-Y999 </v>
          </cell>
          <cell r="B1184" t="str">
            <v xml:space="preserve">SRM 1.0 : E4X00/E5X00 ENGLISH </v>
          </cell>
          <cell r="C1184">
            <v>16800</v>
          </cell>
          <cell r="D1184" t="str">
            <v xml:space="preserve">B </v>
          </cell>
        </row>
        <row r="1185">
          <cell r="A1185" t="str">
            <v xml:space="preserve">SRMMS-011-X999 </v>
          </cell>
          <cell r="B1185" t="str">
            <v xml:space="preserve">SRM 1.1 FOR E3X000 - ENGLISH </v>
          </cell>
          <cell r="C1185">
            <v>9800</v>
          </cell>
          <cell r="D1185" t="str">
            <v xml:space="preserve">B </v>
          </cell>
        </row>
        <row r="1186">
          <cell r="A1186" t="str">
            <v xml:space="preserve">SRMMS-011-Y999 </v>
          </cell>
          <cell r="B1186" t="str">
            <v xml:space="preserve">SRM 1.1 : E4X00/E5X00 ENGLISH </v>
          </cell>
          <cell r="C1186">
            <v>16800</v>
          </cell>
          <cell r="D1186" t="str">
            <v xml:space="preserve">B </v>
          </cell>
        </row>
        <row r="1187">
          <cell r="A1187" t="str">
            <v xml:space="preserve">SS4MS-201W9999 </v>
          </cell>
          <cell r="B1187" t="str">
            <v xml:space="preserve">SunScreen SecureNet 4Pack Prom </v>
          </cell>
          <cell r="C1187">
            <v>27993</v>
          </cell>
          <cell r="D1187" t="str">
            <v xml:space="preserve">B </v>
          </cell>
        </row>
        <row r="1188">
          <cell r="A1188" t="str">
            <v xml:space="preserve">SSHMS-200W9999 </v>
          </cell>
          <cell r="B1188" t="str">
            <v xml:space="preserve">SEC. NET HA, CD, DOCS, LIC </v>
          </cell>
          <cell r="C1188">
            <v>20993</v>
          </cell>
          <cell r="D1188" t="str">
            <v xml:space="preserve">B </v>
          </cell>
        </row>
        <row r="1189">
          <cell r="A1189" t="str">
            <v xml:space="preserve">SSHMS-200WW999 </v>
          </cell>
          <cell r="B1189" t="str">
            <v xml:space="preserve">SEC. NET HA W/G CD, DOCS, LIC </v>
          </cell>
          <cell r="C1189">
            <v>6293</v>
          </cell>
          <cell r="D1189" t="str">
            <v xml:space="preserve">B </v>
          </cell>
        </row>
        <row r="1190">
          <cell r="A1190" t="str">
            <v xml:space="preserve">SSNMS-200E99U9 </v>
          </cell>
          <cell r="B1190" t="str">
            <v xml:space="preserve">SEC. NET EXPORT CTL UPGRADE </v>
          </cell>
          <cell r="C1190">
            <v>210</v>
          </cell>
          <cell r="D1190" t="str">
            <v xml:space="preserve">B </v>
          </cell>
        </row>
        <row r="1191">
          <cell r="A1191" t="str">
            <v xml:space="preserve">SSNMS-200N99U9 </v>
          </cell>
          <cell r="B1191" t="str">
            <v xml:space="preserve">SEC. NET US/CANADA UPGRADE </v>
          </cell>
          <cell r="C1191">
            <v>210</v>
          </cell>
          <cell r="D1191" t="str">
            <v xml:space="preserve">B </v>
          </cell>
        </row>
        <row r="1192">
          <cell r="A1192" t="str">
            <v xml:space="preserve">SSNMS-200W9999 </v>
          </cell>
          <cell r="B1192" t="str">
            <v xml:space="preserve">SEC. NET CD, DOCS, LIC </v>
          </cell>
          <cell r="C1192">
            <v>13993</v>
          </cell>
          <cell r="D1192" t="str">
            <v xml:space="preserve">B </v>
          </cell>
        </row>
        <row r="1193">
          <cell r="A1193" t="str">
            <v xml:space="preserve">SSNMS-200W99U9 </v>
          </cell>
          <cell r="B1193" t="str">
            <v xml:space="preserve">SEC. NET UPGRADE FROM EFS </v>
          </cell>
          <cell r="C1193">
            <v>350</v>
          </cell>
          <cell r="D1193" t="str">
            <v xml:space="preserve">B </v>
          </cell>
        </row>
        <row r="1194">
          <cell r="A1194" t="str">
            <v xml:space="preserve">SSNMS-200W9D99 </v>
          </cell>
          <cell r="B1194" t="str">
            <v xml:space="preserve">SEC. NET CD, DOCS, 120 DA LIC </v>
          </cell>
          <cell r="C1194">
            <v>350</v>
          </cell>
          <cell r="D1194" t="str">
            <v xml:space="preserve">B </v>
          </cell>
        </row>
        <row r="1195">
          <cell r="A1195" t="str">
            <v xml:space="preserve">SSNMS-200WW999 </v>
          </cell>
          <cell r="B1195" t="str">
            <v xml:space="preserve">SEC. NET W/G CD, DOCS, LIC </v>
          </cell>
          <cell r="C1195">
            <v>4193</v>
          </cell>
          <cell r="D1195" t="str">
            <v xml:space="preserve">B </v>
          </cell>
        </row>
        <row r="1196">
          <cell r="A1196" t="str">
            <v xml:space="preserve">SSNMS-200WW9U9 </v>
          </cell>
          <cell r="B1196" t="str">
            <v xml:space="preserve">SEC. NET UPGRD EFS25/100 - W/G </v>
          </cell>
          <cell r="C1196">
            <v>350</v>
          </cell>
          <cell r="D1196" t="str">
            <v xml:space="preserve">B </v>
          </cell>
        </row>
        <row r="1197">
          <cell r="A1197" t="str">
            <v xml:space="preserve">SSNSS-200W9999 </v>
          </cell>
          <cell r="B1197" t="str">
            <v xml:space="preserve">SEC. NET CD, DOCS, SITE LIC </v>
          </cell>
          <cell r="C1197">
            <v>490000</v>
          </cell>
          <cell r="D1197" t="str">
            <v xml:space="preserve">B </v>
          </cell>
        </row>
        <row r="1198">
          <cell r="A1198" t="str">
            <v xml:space="preserve">SSNXS-200W9999 </v>
          </cell>
          <cell r="B1198" t="str">
            <v xml:space="preserve">SEC. NET CD, DOCS, 10 SVR LIC </v>
          </cell>
          <cell r="C1198">
            <v>98000</v>
          </cell>
          <cell r="D1198" t="str">
            <v xml:space="preserve">B </v>
          </cell>
        </row>
        <row r="1199">
          <cell r="A1199" t="str">
            <v xml:space="preserve">SSTI9-999-T999 </v>
          </cell>
          <cell r="B1199" t="str">
            <v xml:space="preserve">SUNTEST JAVA TOOL TRNG-1ONSITE </v>
          </cell>
          <cell r="C1199">
            <v>10500</v>
          </cell>
          <cell r="D1199" t="str">
            <v xml:space="preserve">D </v>
          </cell>
        </row>
        <row r="1200">
          <cell r="A1200" t="str">
            <v xml:space="preserve">STMM9-400-9999 </v>
          </cell>
          <cell r="B1200" t="str">
            <v xml:space="preserve">STMN 4.0PRODUCT SET CD ONLY </v>
          </cell>
          <cell r="C1200">
            <v>130</v>
          </cell>
          <cell r="D1200" t="str">
            <v xml:space="preserve">D </v>
          </cell>
        </row>
        <row r="1201">
          <cell r="A1201" t="str">
            <v xml:space="preserve">STMN-1.0-D </v>
          </cell>
          <cell r="B1201" t="str">
            <v xml:space="preserve">SOLSTICE TMN AGENT 1.0 DOCS </v>
          </cell>
          <cell r="C1201">
            <v>195</v>
          </cell>
          <cell r="D1201" t="str">
            <v xml:space="preserve">D </v>
          </cell>
        </row>
        <row r="1202">
          <cell r="A1202" t="str">
            <v xml:space="preserve">STMN-1.0-P </v>
          </cell>
          <cell r="B1202" t="str">
            <v xml:space="preserve">SOLS. TMN AGENT 1.0, CD DOC LI </v>
          </cell>
          <cell r="C1202">
            <v>36335</v>
          </cell>
          <cell r="D1202" t="str">
            <v xml:space="preserve">B </v>
          </cell>
        </row>
        <row r="1203">
          <cell r="A1203" t="str">
            <v xml:space="preserve">STMN-PSET-CD </v>
          </cell>
          <cell r="B1203" t="str">
            <v xml:space="preserve">TMN PRODUCT SET CD ONLY </v>
          </cell>
          <cell r="C1203">
            <v>130</v>
          </cell>
          <cell r="D1203" t="str">
            <v xml:space="preserve">D </v>
          </cell>
        </row>
        <row r="1204">
          <cell r="A1204" t="str">
            <v xml:space="preserve">STVM9-121-9999 </v>
          </cell>
          <cell r="B1204" t="str">
            <v xml:space="preserve">SHOWME TV 1.2.1, CD LI </v>
          </cell>
          <cell r="C1204">
            <v>35</v>
          </cell>
          <cell r="D1204" t="str">
            <v xml:space="preserve">B </v>
          </cell>
        </row>
        <row r="1205">
          <cell r="A1205" t="str">
            <v xml:space="preserve">STVM9-130-9999 </v>
          </cell>
          <cell r="B1205" t="str">
            <v xml:space="preserve">ShowMe TV 1.3, CD LI </v>
          </cell>
          <cell r="C1205">
            <v>35</v>
          </cell>
          <cell r="D1205" t="str">
            <v xml:space="preserve">B </v>
          </cell>
        </row>
        <row r="1206">
          <cell r="A1206" t="str">
            <v xml:space="preserve">SUNXTL-1.1-L1 </v>
          </cell>
          <cell r="B1206" t="str">
            <v xml:space="preserve">SUNXTL 1.1, LIC </v>
          </cell>
          <cell r="C1206">
            <v>413</v>
          </cell>
          <cell r="D1206" t="str">
            <v xml:space="preserve">A </v>
          </cell>
        </row>
        <row r="1207">
          <cell r="A1207" t="str">
            <v xml:space="preserve">SUNXTL-1.1-P </v>
          </cell>
          <cell r="B1207" t="str">
            <v xml:space="preserve">SUNXTL 1.1, CD DOC LI </v>
          </cell>
          <cell r="C1207">
            <v>2093</v>
          </cell>
          <cell r="D1207" t="str">
            <v xml:space="preserve">A </v>
          </cell>
        </row>
        <row r="1208">
          <cell r="A1208" t="str">
            <v xml:space="preserve">SWITCH-1.0-B </v>
          </cell>
          <cell r="B1208" t="str">
            <v xml:space="preserve">SUNSWITCH MANAGER SOFTWARE </v>
          </cell>
          <cell r="C1208">
            <v>0</v>
          </cell>
          <cell r="D1208" t="str">
            <v xml:space="preserve">D </v>
          </cell>
        </row>
        <row r="1209">
          <cell r="A1209" t="str">
            <v xml:space="preserve">SWN95-4.0-P </v>
          </cell>
          <cell r="B1209" t="str">
            <v xml:space="preserve">SW SOFTWINDOWS 95, CD DOC LI </v>
          </cell>
          <cell r="C1209">
            <v>304</v>
          </cell>
          <cell r="D1209" t="str">
            <v xml:space="preserve">H </v>
          </cell>
        </row>
        <row r="1210">
          <cell r="A1210" t="str">
            <v xml:space="preserve">SWT-1.0.3-D </v>
          </cell>
          <cell r="B1210" t="str">
            <v xml:space="preserve">SPARCWORKS/TW 1.0.3 DOCS </v>
          </cell>
          <cell r="C1210">
            <v>195</v>
          </cell>
          <cell r="D1210" t="str">
            <v xml:space="preserve">B </v>
          </cell>
        </row>
        <row r="1211">
          <cell r="A1211" t="str">
            <v xml:space="preserve">SYMC9-200-D999 </v>
          </cell>
          <cell r="B1211" t="str">
            <v xml:space="preserve">SYMON 2.0 FOR 100 DESKTOP PACK </v>
          </cell>
          <cell r="C1211">
            <v>12600</v>
          </cell>
          <cell r="D1211" t="str">
            <v xml:space="preserve">B </v>
          </cell>
        </row>
        <row r="1212">
          <cell r="A1212" t="str">
            <v xml:space="preserve">SYMC9-200-E999 </v>
          </cell>
          <cell r="B1212" t="str">
            <v xml:space="preserve">SYMON 2.0 FOR 100 SERVERS </v>
          </cell>
          <cell r="C1212">
            <v>70000</v>
          </cell>
          <cell r="D1212" t="str">
            <v xml:space="preserve">B </v>
          </cell>
        </row>
        <row r="1213">
          <cell r="A1213" t="str">
            <v xml:space="preserve">SYME9-200-D999 </v>
          </cell>
          <cell r="B1213" t="str">
            <v xml:space="preserve">SYMON 2.0 FOR 250 DESKTOP PACK </v>
          </cell>
          <cell r="C1213">
            <v>28000</v>
          </cell>
          <cell r="D1213" t="str">
            <v xml:space="preserve">B </v>
          </cell>
        </row>
        <row r="1214">
          <cell r="A1214" t="str">
            <v xml:space="preserve">SYMM9-201-999M </v>
          </cell>
          <cell r="B1214" t="str">
            <v xml:space="preserve">SYMON 2.0 Media Kit </v>
          </cell>
          <cell r="C1214">
            <v>70</v>
          </cell>
          <cell r="D1214" t="str">
            <v xml:space="preserve">B </v>
          </cell>
        </row>
        <row r="1215">
          <cell r="A1215" t="str">
            <v xml:space="preserve">SYMV9-200-E999 </v>
          </cell>
          <cell r="B1215" t="str">
            <v xml:space="preserve">SYMON 2.0 FOR 5 SERVERS </v>
          </cell>
          <cell r="C1215">
            <v>8750</v>
          </cell>
          <cell r="D1215" t="str">
            <v xml:space="preserve">B </v>
          </cell>
        </row>
        <row r="1216">
          <cell r="A1216" t="str">
            <v xml:space="preserve">SYMX9-200-D999 </v>
          </cell>
          <cell r="B1216" t="str">
            <v xml:space="preserve">SYMON 2.0 FOR 10 DESKTOP PACK </v>
          </cell>
          <cell r="C1216">
            <v>1400</v>
          </cell>
          <cell r="D1216" t="str">
            <v xml:space="preserve">B </v>
          </cell>
        </row>
        <row r="1217">
          <cell r="A1217" t="str">
            <v xml:space="preserve">SYMX9-200-E999 </v>
          </cell>
          <cell r="B1217" t="str">
            <v xml:space="preserve">SYMON 2.0 FOR 10 SERVERS </v>
          </cell>
          <cell r="C1217">
            <v>14000</v>
          </cell>
          <cell r="D1217" t="str">
            <v xml:space="preserve">B </v>
          </cell>
        </row>
        <row r="1218">
          <cell r="A1218" t="str">
            <v xml:space="preserve">SYMY9-200-E999 </v>
          </cell>
          <cell r="B1218" t="str">
            <v xml:space="preserve">SYMON 2.0 FOR 25 SERVERS </v>
          </cell>
          <cell r="C1218">
            <v>26250</v>
          </cell>
          <cell r="D1218" t="str">
            <v xml:space="preserve">B </v>
          </cell>
        </row>
        <row r="1219">
          <cell r="A1219" t="str">
            <v xml:space="preserve">TAGD9-200-9999 </v>
          </cell>
          <cell r="B1219" t="str">
            <v xml:space="preserve">TMN AGENT 2.0, DOC </v>
          </cell>
          <cell r="C1219">
            <v>195</v>
          </cell>
          <cell r="D1219" t="str">
            <v xml:space="preserve">D </v>
          </cell>
        </row>
        <row r="1220">
          <cell r="A1220" t="str">
            <v xml:space="preserve">TAGII-200-R999 </v>
          </cell>
          <cell r="B1220" t="str">
            <v xml:space="preserve">TMN AGENT 2.0 INTEL RT, LIC </v>
          </cell>
          <cell r="C1220">
            <v>0</v>
          </cell>
          <cell r="D1220" t="str">
            <v xml:space="preserve">D </v>
          </cell>
        </row>
        <row r="1221">
          <cell r="A1221" t="str">
            <v xml:space="preserve">TAGIN-200-R999 </v>
          </cell>
          <cell r="B1221" t="str">
            <v xml:space="preserve">TMN AGENT 2.0 NT RT, LIC </v>
          </cell>
          <cell r="C1221">
            <v>0</v>
          </cell>
          <cell r="D1221" t="str">
            <v xml:space="preserve">D </v>
          </cell>
        </row>
        <row r="1222">
          <cell r="A1222" t="str">
            <v xml:space="preserve">TAGIS-200-R999 </v>
          </cell>
          <cell r="B1222" t="str">
            <v xml:space="preserve">TMN AGENT 2.0 SPARC RT 1 LIC </v>
          </cell>
          <cell r="C1222">
            <v>0</v>
          </cell>
          <cell r="D1222" t="str">
            <v xml:space="preserve">D </v>
          </cell>
        </row>
        <row r="1223">
          <cell r="A1223" t="str">
            <v xml:space="preserve">TAGIS-200-T999 </v>
          </cell>
          <cell r="B1223" t="str">
            <v xml:space="preserve">TMN AGENT 2.0, LIC </v>
          </cell>
          <cell r="C1223">
            <v>54593</v>
          </cell>
          <cell r="D1223" t="str">
            <v xml:space="preserve">B </v>
          </cell>
        </row>
        <row r="1224">
          <cell r="A1224" t="str">
            <v xml:space="preserve">TAGIS-200-T9U9 </v>
          </cell>
          <cell r="B1224" t="str">
            <v xml:space="preserve">UG TMN AGENT 2.0, LIC </v>
          </cell>
          <cell r="C1224">
            <v>20280</v>
          </cell>
          <cell r="D1224" t="str">
            <v xml:space="preserve">D </v>
          </cell>
        </row>
        <row r="1225">
          <cell r="A1225" t="str">
            <v xml:space="preserve">TAGVS-200-T999 </v>
          </cell>
          <cell r="B1225" t="str">
            <v xml:space="preserve">TMN AGENT 2.0, 5 LIC </v>
          </cell>
          <cell r="C1225">
            <v>246085</v>
          </cell>
          <cell r="D1225" t="str">
            <v xml:space="preserve">B </v>
          </cell>
        </row>
        <row r="1226">
          <cell r="A1226" t="str">
            <v xml:space="preserve">TAGVS-200-T9U9 </v>
          </cell>
          <cell r="B1226" t="str">
            <v xml:space="preserve">UG TMN AGENT 2.0, 5LIC </v>
          </cell>
          <cell r="C1226">
            <v>91403</v>
          </cell>
          <cell r="D1226" t="str">
            <v xml:space="preserve">D </v>
          </cell>
        </row>
        <row r="1227">
          <cell r="A1227" t="str">
            <v xml:space="preserve">TASC9-200-E999 </v>
          </cell>
          <cell r="B1227" t="str">
            <v xml:space="preserve">SUNLINK PC(TAS 5.2) 100 ENT PK </v>
          </cell>
          <cell r="C1227">
            <v>11899</v>
          </cell>
          <cell r="D1227" t="str">
            <v xml:space="preserve">B </v>
          </cell>
        </row>
        <row r="1228">
          <cell r="A1228" t="str">
            <v xml:space="preserve">TASC9-200-E9U9 </v>
          </cell>
          <cell r="B1228" t="str">
            <v xml:space="preserve">SUNLINK PC(TAS 5.2) 100 ENT UG </v>
          </cell>
          <cell r="C1228">
            <v>3570</v>
          </cell>
          <cell r="D1228" t="str">
            <v xml:space="preserve">B </v>
          </cell>
        </row>
        <row r="1229">
          <cell r="A1229" t="str">
            <v xml:space="preserve">TASD9-100-9999 </v>
          </cell>
          <cell r="B1229" t="str">
            <v xml:space="preserve">TMN/SNMP Q-A 1.0 DOCS ONLY </v>
          </cell>
          <cell r="C1229">
            <v>195</v>
          </cell>
          <cell r="D1229" t="str">
            <v xml:space="preserve">D </v>
          </cell>
        </row>
        <row r="1230">
          <cell r="A1230" t="str">
            <v xml:space="preserve">TASF9-200-E999 </v>
          </cell>
          <cell r="B1230" t="str">
            <v xml:space="preserve">SUNLINK PC(TAS 5.2) 500 ENT PK </v>
          </cell>
          <cell r="C1230">
            <v>39199</v>
          </cell>
          <cell r="D1230" t="str">
            <v xml:space="preserve">B </v>
          </cell>
        </row>
        <row r="1231">
          <cell r="A1231" t="str">
            <v xml:space="preserve">TASIS-100-R999 </v>
          </cell>
          <cell r="B1231" t="str">
            <v xml:space="preserve">TMN/SNMP Q-A 1.0 1 LIC ONLY </v>
          </cell>
          <cell r="C1231">
            <v>8393</v>
          </cell>
          <cell r="D1231" t="str">
            <v xml:space="preserve">B </v>
          </cell>
        </row>
        <row r="1232">
          <cell r="A1232" t="str">
            <v xml:space="preserve">TASIS-100-T999 </v>
          </cell>
          <cell r="B1232" t="str">
            <v xml:space="preserve">TMN/SNMP Q-A 1.0 TK, 1 LIC </v>
          </cell>
          <cell r="C1232">
            <v>20300</v>
          </cell>
          <cell r="D1232" t="str">
            <v xml:space="preserve">B </v>
          </cell>
        </row>
        <row r="1233">
          <cell r="A1233" t="str">
            <v xml:space="preserve">TASX9-200-E9U9 </v>
          </cell>
          <cell r="B1233" t="str">
            <v xml:space="preserve">SUNLINK PC(TAS 5.2) 10 ENT UG </v>
          </cell>
          <cell r="C1233">
            <v>420</v>
          </cell>
          <cell r="D1233" t="str">
            <v xml:space="preserve">B </v>
          </cell>
        </row>
        <row r="1234">
          <cell r="A1234" t="str">
            <v xml:space="preserve">TASY9-200-E999 </v>
          </cell>
          <cell r="B1234" t="str">
            <v xml:space="preserve">SUNLINK PC(TAS 5.2) 25 ENT PK </v>
          </cell>
          <cell r="C1234">
            <v>3359</v>
          </cell>
          <cell r="D1234" t="str">
            <v xml:space="preserve">B </v>
          </cell>
        </row>
        <row r="1235">
          <cell r="A1235" t="str">
            <v xml:space="preserve">TASY9-200-E9U9 </v>
          </cell>
          <cell r="B1235" t="str">
            <v xml:space="preserve">SUNLINK PC(TAS 5.2) 25 ENT UG </v>
          </cell>
          <cell r="C1235">
            <v>1008</v>
          </cell>
          <cell r="D1235" t="str">
            <v xml:space="preserve">B </v>
          </cell>
        </row>
        <row r="1236">
          <cell r="A1236" t="str">
            <v xml:space="preserve">TASY9-200-W999 </v>
          </cell>
          <cell r="B1236" t="str">
            <v xml:space="preserve">SUNLINK PC(TAS 5.2)WKGRP 25 PK </v>
          </cell>
          <cell r="C1236">
            <v>1400</v>
          </cell>
          <cell r="D1236" t="str">
            <v xml:space="preserve">B </v>
          </cell>
        </row>
        <row r="1237">
          <cell r="A1237" t="str">
            <v xml:space="preserve">TASY9-200-W9U9 </v>
          </cell>
          <cell r="B1237" t="str">
            <v xml:space="preserve">SUNLINK PC(TAS 5.2)WKGRP 25 UG </v>
          </cell>
          <cell r="C1237">
            <v>420</v>
          </cell>
          <cell r="D1237" t="str">
            <v xml:space="preserve">B </v>
          </cell>
        </row>
        <row r="1238">
          <cell r="A1238" t="str">
            <v xml:space="preserve">TATD9-110-9999 </v>
          </cell>
          <cell r="B1238" t="str">
            <v xml:space="preserve">TMN AGENT TESTER 1.1 DOC SET </v>
          </cell>
          <cell r="C1238">
            <v>195</v>
          </cell>
          <cell r="D1238" t="str">
            <v xml:space="preserve">D </v>
          </cell>
        </row>
        <row r="1239">
          <cell r="A1239" t="str">
            <v xml:space="preserve">TATIS-110-9999 </v>
          </cell>
          <cell r="B1239" t="str">
            <v xml:space="preserve">TMN AGENT TESTER 1.1, LIC </v>
          </cell>
          <cell r="C1239">
            <v>20300</v>
          </cell>
          <cell r="D1239" t="str">
            <v xml:space="preserve">B </v>
          </cell>
        </row>
        <row r="1240">
          <cell r="A1240" t="str">
            <v xml:space="preserve">TATIS-110-99U9 </v>
          </cell>
          <cell r="B1240" t="str">
            <v xml:space="preserve">UG TMN AGENT TESTER 1.1, LIC </v>
          </cell>
          <cell r="C1240">
            <v>7540</v>
          </cell>
          <cell r="D1240" t="str">
            <v xml:space="preserve">D </v>
          </cell>
        </row>
        <row r="1241">
          <cell r="A1241" t="str">
            <v xml:space="preserve">TE3-L </v>
          </cell>
          <cell r="B1241" t="str">
            <v xml:space="preserve">SUNLINK TE320 8.0 SINGLE USER </v>
          </cell>
          <cell r="C1241">
            <v>345</v>
          </cell>
          <cell r="D1241" t="str">
            <v xml:space="preserve">B </v>
          </cell>
        </row>
        <row r="1242">
          <cell r="A1242" t="str">
            <v xml:space="preserve">TE3-P </v>
          </cell>
          <cell r="B1242" t="str">
            <v xml:space="preserve">SUNLINK TE320 8.0 </v>
          </cell>
          <cell r="C1242">
            <v>553</v>
          </cell>
          <cell r="D1242" t="str">
            <v xml:space="preserve">B </v>
          </cell>
        </row>
        <row r="1243">
          <cell r="A1243" t="str">
            <v xml:space="preserve">TMN-KIT-2.0-D </v>
          </cell>
          <cell r="B1243" t="str">
            <v xml:space="preserve">TMN AGENT 2.0, DOC </v>
          </cell>
          <cell r="C1243">
            <v>195</v>
          </cell>
          <cell r="D1243" t="str">
            <v xml:space="preserve">D </v>
          </cell>
        </row>
        <row r="1244">
          <cell r="A1244" t="str">
            <v xml:space="preserve">TMN-KIT-2.0-S </v>
          </cell>
          <cell r="B1244" t="str">
            <v xml:space="preserve">TMN AGENT 2.0, CD LIC </v>
          </cell>
          <cell r="C1244">
            <v>50694</v>
          </cell>
          <cell r="D1244" t="str">
            <v xml:space="preserve">B </v>
          </cell>
        </row>
        <row r="1245">
          <cell r="A1245" t="str">
            <v xml:space="preserve">TMN-KIT-2.0-S5 </v>
          </cell>
          <cell r="B1245" t="str">
            <v xml:space="preserve">TMN AGENT 2.0, CD 5LIC </v>
          </cell>
          <cell r="C1245">
            <v>228508</v>
          </cell>
          <cell r="D1245" t="str">
            <v xml:space="preserve">B </v>
          </cell>
        </row>
        <row r="1246">
          <cell r="A1246" t="str">
            <v xml:space="preserve">TMN-KIT-2.0-S5U </v>
          </cell>
          <cell r="B1246" t="str">
            <v xml:space="preserve">UG TMN AGENT 2.0, CD 5LIC </v>
          </cell>
          <cell r="C1246">
            <v>91403</v>
          </cell>
          <cell r="D1246" t="str">
            <v xml:space="preserve">B </v>
          </cell>
        </row>
        <row r="1247">
          <cell r="A1247" t="str">
            <v xml:space="preserve">TMN-KIT-2.0-SU </v>
          </cell>
          <cell r="B1247" t="str">
            <v xml:space="preserve">UG TMN AGENT 2.0, CD LIC </v>
          </cell>
          <cell r="C1247">
            <v>20280</v>
          </cell>
          <cell r="D1247" t="str">
            <v xml:space="preserve">B </v>
          </cell>
        </row>
        <row r="1248">
          <cell r="A1248" t="str">
            <v xml:space="preserve">TMSD9-110-9999 </v>
          </cell>
          <cell r="B1248" t="str">
            <v xml:space="preserve">TMN SCRIPT 1.1 DOC ONLY </v>
          </cell>
          <cell r="C1248">
            <v>195</v>
          </cell>
          <cell r="D1248" t="str">
            <v xml:space="preserve">D </v>
          </cell>
        </row>
        <row r="1249">
          <cell r="A1249" t="str">
            <v xml:space="preserve">TMSII-110-R999 </v>
          </cell>
          <cell r="B1249" t="str">
            <v xml:space="preserve">TMN SCRIPT 1.1 INTEL RT, LIC </v>
          </cell>
          <cell r="C1249">
            <v>2793</v>
          </cell>
          <cell r="D1249" t="str">
            <v xml:space="preserve">B </v>
          </cell>
        </row>
        <row r="1250">
          <cell r="A1250" t="str">
            <v xml:space="preserve">TMSII-110-R9U9 </v>
          </cell>
          <cell r="B1250" t="str">
            <v xml:space="preserve">TMN SCRIPT 1.1 INTEL RT UPG </v>
          </cell>
          <cell r="C1250">
            <v>1037</v>
          </cell>
          <cell r="D1250" t="str">
            <v xml:space="preserve">D </v>
          </cell>
        </row>
        <row r="1251">
          <cell r="A1251" t="str">
            <v xml:space="preserve">TMSIN-110-R999 </v>
          </cell>
          <cell r="B1251" t="str">
            <v xml:space="preserve">TMN SCRIPT 1.1 NT RT, LIC </v>
          </cell>
          <cell r="C1251">
            <v>2793</v>
          </cell>
          <cell r="D1251" t="str">
            <v xml:space="preserve">B </v>
          </cell>
        </row>
        <row r="1252">
          <cell r="A1252" t="str">
            <v xml:space="preserve">TMSIS-110-R999 </v>
          </cell>
          <cell r="B1252" t="str">
            <v xml:space="preserve">TMN SCRIPT 1.1 SPARC RT, LIC </v>
          </cell>
          <cell r="C1252">
            <v>2793</v>
          </cell>
          <cell r="D1252" t="str">
            <v xml:space="preserve">B </v>
          </cell>
        </row>
        <row r="1253">
          <cell r="A1253" t="str">
            <v xml:space="preserve">TMSIS-110-R9U9 </v>
          </cell>
          <cell r="B1253" t="str">
            <v xml:space="preserve">UG TMN SCRIPT 1.1 SPARC RT </v>
          </cell>
          <cell r="C1253">
            <v>1037</v>
          </cell>
          <cell r="D1253" t="str">
            <v xml:space="preserve">D </v>
          </cell>
        </row>
        <row r="1254">
          <cell r="A1254" t="str">
            <v xml:space="preserve">TMSIS-110-T999 </v>
          </cell>
          <cell r="B1254" t="str">
            <v xml:space="preserve">TMN SCRIPT TOOLKIT 1.1, LIC </v>
          </cell>
          <cell r="C1254">
            <v>20993</v>
          </cell>
          <cell r="D1254" t="str">
            <v xml:space="preserve">B </v>
          </cell>
        </row>
        <row r="1255">
          <cell r="A1255" t="str">
            <v xml:space="preserve">TMSIS-110-T9U9 </v>
          </cell>
          <cell r="B1255" t="str">
            <v xml:space="preserve">UG TMN SCRIPT 1.1 TOOLKIT </v>
          </cell>
          <cell r="C1255">
            <v>7797</v>
          </cell>
          <cell r="D1255" t="str">
            <v xml:space="preserve">D </v>
          </cell>
        </row>
        <row r="1256">
          <cell r="A1256" t="str">
            <v xml:space="preserve">TOTNET-L10 </v>
          </cell>
          <cell r="B1256" t="str">
            <v xml:space="preserve">TOTALNET 5.0, 10LIC </v>
          </cell>
          <cell r="C1256">
            <v>3348</v>
          </cell>
          <cell r="D1256" t="str">
            <v xml:space="preserve">B </v>
          </cell>
        </row>
        <row r="1257">
          <cell r="A1257" t="str">
            <v xml:space="preserve">TOTNET-L100 </v>
          </cell>
          <cell r="B1257" t="str">
            <v xml:space="preserve">TOTALNET 5.0, 100LIC </v>
          </cell>
          <cell r="C1257">
            <v>11700</v>
          </cell>
          <cell r="D1257" t="str">
            <v xml:space="preserve">B </v>
          </cell>
        </row>
        <row r="1258">
          <cell r="A1258" t="str">
            <v xml:space="preserve">TOTNET-L25 </v>
          </cell>
          <cell r="B1258" t="str">
            <v xml:space="preserve">TOTALNET 5.0, 25LIC </v>
          </cell>
          <cell r="C1258">
            <v>3250</v>
          </cell>
          <cell r="D1258" t="str">
            <v xml:space="preserve">B </v>
          </cell>
        </row>
        <row r="1259">
          <cell r="A1259" t="str">
            <v xml:space="preserve">TOTNET-WG-L25 </v>
          </cell>
          <cell r="B1259" t="str">
            <v xml:space="preserve">TOTALNET 5.0, 25LIC </v>
          </cell>
          <cell r="C1259">
            <v>1300</v>
          </cell>
          <cell r="D1259" t="str">
            <v xml:space="preserve">A </v>
          </cell>
        </row>
        <row r="1260">
          <cell r="A1260" t="str">
            <v xml:space="preserve">TRUNK-1.0.1-P </v>
          </cell>
          <cell r="B1260" t="str">
            <v xml:space="preserve">SUN TRUNKING SOFTWARE V. 1.0.1 </v>
          </cell>
          <cell r="C1260">
            <v>1393</v>
          </cell>
          <cell r="D1260" t="str">
            <v xml:space="preserve">A </v>
          </cell>
        </row>
        <row r="1261">
          <cell r="A1261" t="str">
            <v xml:space="preserve">TS2BS-251-D999 </v>
          </cell>
          <cell r="B1261" t="str">
            <v xml:space="preserve">TRUSTED SOLARIS 2.5.1 DESKTOP </v>
          </cell>
          <cell r="C1261">
            <v>1164</v>
          </cell>
          <cell r="D1261" t="str">
            <v xml:space="preserve">A </v>
          </cell>
        </row>
        <row r="1262">
          <cell r="A1262" t="str">
            <v xml:space="preserve">TS2BS-251-E999 </v>
          </cell>
          <cell r="B1262" t="str">
            <v xml:space="preserve">TRUSTED SOLARIS 2.5.1 SERVER </v>
          </cell>
          <cell r="C1262">
            <v>6494</v>
          </cell>
          <cell r="D1262" t="str">
            <v xml:space="preserve">A </v>
          </cell>
        </row>
        <row r="1263">
          <cell r="A1263" t="str">
            <v xml:space="preserve">TS2DS-251-9999 </v>
          </cell>
          <cell r="B1263" t="str">
            <v xml:space="preserve">TRUSTED SOLARIS 2.5.1 MANUALS </v>
          </cell>
          <cell r="C1263">
            <v>455</v>
          </cell>
          <cell r="D1263" t="str">
            <v xml:space="preserve">D </v>
          </cell>
        </row>
        <row r="1264">
          <cell r="A1264" t="str">
            <v xml:space="preserve">U21-UGE1Z9S-C256CR </v>
          </cell>
          <cell r="B1264" t="str">
            <v xml:space="preserve">UG U5S 360MHz,256MB,8GB,32xCD </v>
          </cell>
          <cell r="C1264">
            <v>4212</v>
          </cell>
          <cell r="D1264" t="str">
            <v xml:space="preserve">H </v>
          </cell>
        </row>
        <row r="1265">
          <cell r="A1265" t="str">
            <v xml:space="preserve">U21-UHC1Z9S-B256CP </v>
          </cell>
          <cell r="B1265" t="str">
            <v xml:space="preserve">UG U5S 333MHz,256MB,9GB,32xCD </v>
          </cell>
          <cell r="C1265">
            <v>5596</v>
          </cell>
          <cell r="D1265" t="str">
            <v xml:space="preserve">H </v>
          </cell>
        </row>
        <row r="1266">
          <cell r="A1266" t="str">
            <v xml:space="preserve">U22-UHC1Z9S-B128CP </v>
          </cell>
          <cell r="B1266" t="str">
            <v xml:space="preserve">UG U10S,333MZ/2,128MB/9GB,32XC </v>
          </cell>
          <cell r="C1266">
            <v>5663</v>
          </cell>
          <cell r="D1266" t="str">
            <v xml:space="preserve">H </v>
          </cell>
        </row>
        <row r="1267">
          <cell r="A1267" t="str">
            <v xml:space="preserve">U22-UHC1Z9S-B512CP </v>
          </cell>
          <cell r="B1267" t="str">
            <v xml:space="preserve">UG U10S,333MZ/2,512MB,9GB,32XC </v>
          </cell>
          <cell r="C1267">
            <v>7216</v>
          </cell>
          <cell r="D1267" t="str">
            <v xml:space="preserve">H </v>
          </cell>
        </row>
        <row r="1268">
          <cell r="A1268" t="str">
            <v xml:space="preserve">U2220UHC1Z9PB128CP </v>
          </cell>
          <cell r="B1268" t="str">
            <v xml:space="preserve">UG WS U10/333,PGX24,128/9GB/CD </v>
          </cell>
          <cell r="C1268">
            <v>4448</v>
          </cell>
          <cell r="D1268" t="str">
            <v xml:space="preserve">H </v>
          </cell>
        </row>
        <row r="1269">
          <cell r="A1269" t="str">
            <v xml:space="preserve">U2220UHC1Z9PB256CP </v>
          </cell>
          <cell r="B1269" t="str">
            <v xml:space="preserve">UG WS U10/333,PGX24,256/9GB/CD </v>
          </cell>
          <cell r="C1269">
            <v>4921</v>
          </cell>
          <cell r="D1269" t="str">
            <v xml:space="preserve">H </v>
          </cell>
        </row>
        <row r="1270">
          <cell r="A1270" t="str">
            <v xml:space="preserve">U22S2UHC1A9PB128CP </v>
          </cell>
          <cell r="B1270" t="str">
            <v xml:space="preserve">UG WS U10/333,PGX24,128/9GB/CD </v>
          </cell>
          <cell r="C1270">
            <v>4921</v>
          </cell>
          <cell r="D1270" t="str">
            <v xml:space="preserve">H </v>
          </cell>
        </row>
        <row r="1271">
          <cell r="A1271" t="str">
            <v xml:space="preserve">U22S2UHC1A9PB256CP </v>
          </cell>
          <cell r="B1271" t="str">
            <v xml:space="preserve">UG WS U10/333,PGX24,256/9GB/CD </v>
          </cell>
          <cell r="C1271">
            <v>5393</v>
          </cell>
          <cell r="D1271" t="str">
            <v xml:space="preserve">H </v>
          </cell>
        </row>
        <row r="1272">
          <cell r="A1272" t="str">
            <v xml:space="preserve">U22S5UHC1Z9PB128CP </v>
          </cell>
          <cell r="B1272" t="str">
            <v xml:space="preserve">UG WS U10/333,PGX24,128/9GB/CD </v>
          </cell>
          <cell r="C1272">
            <v>4786</v>
          </cell>
          <cell r="D1272" t="str">
            <v xml:space="preserve">H </v>
          </cell>
        </row>
        <row r="1273">
          <cell r="A1273" t="str">
            <v xml:space="preserve">U22S5UHC1Z9PB256CP </v>
          </cell>
          <cell r="B1273" t="str">
            <v xml:space="preserve">UG WS U10/333,PGX24,256/9GB/CD </v>
          </cell>
          <cell r="C1273">
            <v>5258</v>
          </cell>
          <cell r="D1273" t="str">
            <v xml:space="preserve">H </v>
          </cell>
        </row>
        <row r="1274">
          <cell r="A1274" t="str">
            <v xml:space="preserve">UA11-UEC1-9M-000NN </v>
          </cell>
          <cell r="B1274" t="str">
            <v xml:space="preserve">UG S1 TO U2/300, AFB </v>
          </cell>
          <cell r="C1274">
            <v>11941</v>
          </cell>
          <cell r="D1274" t="str">
            <v xml:space="preserve">H </v>
          </cell>
        </row>
        <row r="1275">
          <cell r="A1275" t="str">
            <v xml:space="preserve">UA11-UEC2-9M-000NN </v>
          </cell>
          <cell r="B1275" t="str">
            <v xml:space="preserve">UG S1 TO U2/2300, AFB </v>
          </cell>
          <cell r="C1275">
            <v>17813</v>
          </cell>
          <cell r="D1275" t="str">
            <v xml:space="preserve">H </v>
          </cell>
        </row>
        <row r="1276">
          <cell r="A1276" t="str">
            <v xml:space="preserve">UA11-UJC1-9L-000NN </v>
          </cell>
          <cell r="B1276" t="str">
            <v xml:space="preserve">UG S1 TO U2/400, AFB+ </v>
          </cell>
          <cell r="C1276">
            <v>11441</v>
          </cell>
          <cell r="D1276" t="str">
            <v xml:space="preserve">H </v>
          </cell>
        </row>
        <row r="1277">
          <cell r="A1277" t="str">
            <v xml:space="preserve">UA11-UJC1-9M-000NN </v>
          </cell>
          <cell r="B1277" t="str">
            <v xml:space="preserve">UG S1 TO U2/400, AFBm6 </v>
          </cell>
          <cell r="C1277">
            <v>14810</v>
          </cell>
          <cell r="D1277" t="str">
            <v xml:space="preserve">H </v>
          </cell>
        </row>
        <row r="1278">
          <cell r="A1278" t="str">
            <v xml:space="preserve">UA11UEC1-9M-000NNK </v>
          </cell>
          <cell r="B1278" t="str">
            <v xml:space="preserve">UG S1 TO U2/300, AFB </v>
          </cell>
          <cell r="C1278">
            <v>36907</v>
          </cell>
          <cell r="D1278" t="str">
            <v xml:space="preserve">H </v>
          </cell>
        </row>
        <row r="1279">
          <cell r="A1279" t="str">
            <v xml:space="preserve">UA12-UEC1-9N-000NN </v>
          </cell>
          <cell r="B1279" t="str">
            <v xml:space="preserve">UG TO U2/300 </v>
          </cell>
          <cell r="C1279">
            <v>6953</v>
          </cell>
          <cell r="D1279" t="str">
            <v xml:space="preserve">H </v>
          </cell>
        </row>
        <row r="1280">
          <cell r="A1280" t="str">
            <v xml:space="preserve">UA12-UEC2-9N-000NN </v>
          </cell>
          <cell r="B1280" t="str">
            <v xml:space="preserve">UG U1 TO U2 &amp; UE2/2300 </v>
          </cell>
          <cell r="C1280">
            <v>13028</v>
          </cell>
          <cell r="D1280" t="str">
            <v xml:space="preserve">H </v>
          </cell>
        </row>
        <row r="1281">
          <cell r="A1281" t="str">
            <v xml:space="preserve">UA12-UJC1-9N-000NN </v>
          </cell>
          <cell r="B1281" t="str">
            <v xml:space="preserve">UG TO U2/400 </v>
          </cell>
          <cell r="C1281">
            <v>9281</v>
          </cell>
          <cell r="D1281" t="str">
            <v xml:space="preserve">H </v>
          </cell>
        </row>
        <row r="1282">
          <cell r="A1282" t="str">
            <v xml:space="preserve">UES-1UGE1Z9P-C64AR </v>
          </cell>
          <cell r="B1282" t="str">
            <v xml:space="preserve">UG WS U5/360,PGX24, 64MB/8GB </v>
          </cell>
          <cell r="C1282">
            <v>3031</v>
          </cell>
          <cell r="D1282" t="str">
            <v xml:space="preserve">H </v>
          </cell>
        </row>
        <row r="1283">
          <cell r="A1283" t="str">
            <v xml:space="preserve">UES-1UGE1Z9PC128CR </v>
          </cell>
          <cell r="B1283" t="str">
            <v xml:space="preserve">UG WS U5/360,PGX24,128MB/8GB </v>
          </cell>
          <cell r="C1283">
            <v>3335</v>
          </cell>
          <cell r="D1283" t="str">
            <v xml:space="preserve">H </v>
          </cell>
        </row>
        <row r="1284">
          <cell r="A1284" t="str">
            <v xml:space="preserve">UES-2UKC1Z9MC256CP </v>
          </cell>
          <cell r="B1284" t="str">
            <v xml:space="preserve">UG WS U10/440,AFBM6,256MB/9G </v>
          </cell>
          <cell r="C1284">
            <v>9713</v>
          </cell>
          <cell r="D1284" t="str">
            <v xml:space="preserve">H </v>
          </cell>
        </row>
        <row r="1285">
          <cell r="A1285" t="str">
            <v xml:space="preserve">UES-2UKC1Z9QC256CP </v>
          </cell>
          <cell r="B1285" t="str">
            <v xml:space="preserve">UG WS U10/440,AFBM3,256MB/9G </v>
          </cell>
          <cell r="C1285">
            <v>8431</v>
          </cell>
          <cell r="D1285" t="str">
            <v xml:space="preserve">H </v>
          </cell>
        </row>
        <row r="1286">
          <cell r="A1286" t="str">
            <v xml:space="preserve">UG-1044A-1141A </v>
          </cell>
          <cell r="B1286" t="str">
            <v xml:space="preserve">UG SUN GIGABITETHERNET/P 2.0 </v>
          </cell>
          <cell r="C1286">
            <v>1294</v>
          </cell>
          <cell r="D1286" t="str">
            <v xml:space="preserve">A </v>
          </cell>
        </row>
        <row r="1287">
          <cell r="A1287" t="str">
            <v xml:space="preserve">UG-1045A-1140A </v>
          </cell>
          <cell r="B1287" t="str">
            <v xml:space="preserve">UG SUN GIGABITETHERNET/S 2.0 </v>
          </cell>
          <cell r="C1287">
            <v>1294</v>
          </cell>
          <cell r="D1287" t="str">
            <v xml:space="preserve">A </v>
          </cell>
        </row>
        <row r="1288">
          <cell r="A1288" t="str">
            <v xml:space="preserve">UG-260X-2761-SB1 </v>
          </cell>
          <cell r="B1288" t="str">
            <v xml:space="preserve">UG (1) 260X TO A 2761A SYS BD </v>
          </cell>
          <cell r="C1288">
            <v>88000</v>
          </cell>
          <cell r="D1288" t="str">
            <v xml:space="preserve">A </v>
          </cell>
        </row>
        <row r="1289">
          <cell r="A1289" t="str">
            <v xml:space="preserve">UG-260X-2761-SB2 </v>
          </cell>
          <cell r="B1289" t="str">
            <v xml:space="preserve">UG(2) 260X TO A 2761A SYS BD </v>
          </cell>
          <cell r="C1289">
            <v>80000</v>
          </cell>
          <cell r="D1289" t="str">
            <v xml:space="preserve">A </v>
          </cell>
        </row>
        <row r="1290">
          <cell r="A1290" t="str">
            <v xml:space="preserve">UG-2760A-C2761A </v>
          </cell>
          <cell r="B1290" t="str">
            <v xml:space="preserve">2760A TO 2761A CTO BOARD UPGR </v>
          </cell>
          <cell r="C1290">
            <v>52000</v>
          </cell>
          <cell r="D1290" t="str">
            <v xml:space="preserve">A </v>
          </cell>
        </row>
        <row r="1291">
          <cell r="A1291" t="str">
            <v xml:space="preserve">UG-2DLT7-L11000 </v>
          </cell>
          <cell r="B1291" t="str">
            <v xml:space="preserve">UPGRADE, DLT7000 TAPE DRS (2) </v>
          </cell>
          <cell r="C1291">
            <v>21000</v>
          </cell>
          <cell r="D1291" t="str">
            <v xml:space="preserve">A </v>
          </cell>
        </row>
        <row r="1292">
          <cell r="A1292" t="str">
            <v xml:space="preserve">UG-2DSK-RSM-9FST </v>
          </cell>
          <cell r="B1292" t="str">
            <v xml:space="preserve">UG 9GB RSM DISK, 2 DISK X 9GB </v>
          </cell>
          <cell r="C1292">
            <v>5530</v>
          </cell>
          <cell r="D1292" t="str">
            <v xml:space="preserve">A </v>
          </cell>
        </row>
        <row r="1293">
          <cell r="A1293" t="str">
            <v xml:space="preserve">UG-3DSK-RSM-9FST </v>
          </cell>
          <cell r="B1293" t="str">
            <v xml:space="preserve">UG RSM TRAY 3*9.1GB/7200 </v>
          </cell>
          <cell r="C1293">
            <v>14980</v>
          </cell>
          <cell r="D1293" t="str">
            <v xml:space="preserve">A </v>
          </cell>
        </row>
        <row r="1294">
          <cell r="A1294" t="str">
            <v xml:space="preserve">UG-4/1000-4DR </v>
          </cell>
          <cell r="B1294" t="str">
            <v xml:space="preserve">UG 4 X DLT4000 - DLT7000 </v>
          </cell>
          <cell r="C1294">
            <v>44800</v>
          </cell>
          <cell r="D1294" t="str">
            <v xml:space="preserve">A </v>
          </cell>
        </row>
        <row r="1295">
          <cell r="A1295" t="str">
            <v xml:space="preserve">UG-5/1-CLOCKBOARD </v>
          </cell>
          <cell r="B1295" t="str">
            <v xml:space="preserve">UG to 5:1 CLOCK BOARD - Field </v>
          </cell>
          <cell r="C1295">
            <v>1600</v>
          </cell>
          <cell r="D1295" t="str">
            <v xml:space="preserve">A </v>
          </cell>
        </row>
        <row r="1296">
          <cell r="A1296" t="str">
            <v xml:space="preserve">UG-8MM-TAPE-20G </v>
          </cell>
          <cell r="B1296" t="str">
            <v xml:space="preserve">UG TO 8MM UNIPACK TAPE, 20-40G </v>
          </cell>
          <cell r="C1296">
            <v>3308</v>
          </cell>
          <cell r="D1296" t="str">
            <v xml:space="preserve">H </v>
          </cell>
        </row>
        <row r="1297">
          <cell r="A1297" t="str">
            <v xml:space="preserve">UG-A1000-109G-10K </v>
          </cell>
          <cell r="B1297" t="str">
            <v xml:space="preserve">UPG, 109GB A1000(10K RPM) </v>
          </cell>
          <cell r="C1297">
            <v>23800</v>
          </cell>
          <cell r="D1297" t="str">
            <v xml:space="preserve">H </v>
          </cell>
        </row>
        <row r="1298">
          <cell r="A1298" t="str">
            <v xml:space="preserve">UG-A1000-36G-10K </v>
          </cell>
          <cell r="B1298" t="str">
            <v xml:space="preserve">UG, 36GB A1000 (10K RPM) </v>
          </cell>
          <cell r="C1298">
            <v>12320</v>
          </cell>
          <cell r="D1298" t="str">
            <v xml:space="preserve">H </v>
          </cell>
        </row>
        <row r="1299">
          <cell r="A1299" t="str">
            <v xml:space="preserve">UG-A1000-36G-RK-2 </v>
          </cell>
          <cell r="B1299" t="str">
            <v xml:space="preserve">UPG, 36GB A1000, RACK(10K RPM) </v>
          </cell>
          <cell r="C1299">
            <v>12320</v>
          </cell>
          <cell r="D1299" t="str">
            <v xml:space="preserve">H </v>
          </cell>
        </row>
        <row r="1300">
          <cell r="A1300" t="str">
            <v xml:space="preserve">UG-A1000-72G-18 </v>
          </cell>
          <cell r="B1300" t="str">
            <v xml:space="preserve">A1000 W/ 72GB(4X18GB DRIVES) </v>
          </cell>
          <cell r="C1300">
            <v>19600</v>
          </cell>
          <cell r="D1300" t="str">
            <v xml:space="preserve">H </v>
          </cell>
        </row>
        <row r="1301">
          <cell r="A1301" t="str">
            <v xml:space="preserve">UG-A1000-72G-RK </v>
          </cell>
          <cell r="B1301" t="str">
            <v xml:space="preserve">UPG, A1000-72GB RACKMOUNT TRAY </v>
          </cell>
          <cell r="C1301">
            <v>19600</v>
          </cell>
          <cell r="D1301" t="str">
            <v xml:space="preserve">H </v>
          </cell>
        </row>
        <row r="1302">
          <cell r="A1302" t="str">
            <v xml:space="preserve">UG-A1000-CONTBD </v>
          </cell>
          <cell r="B1302" t="str">
            <v xml:space="preserve">CONTROLLER BOARD UPG FOR A1000 </v>
          </cell>
          <cell r="C1302">
            <v>5600</v>
          </cell>
          <cell r="D1302" t="str">
            <v xml:space="preserve">H </v>
          </cell>
        </row>
        <row r="1303">
          <cell r="A1303" t="str">
            <v xml:space="preserve">UG-A1000-DISK-18GB </v>
          </cell>
          <cell r="B1303" t="str">
            <v xml:space="preserve">UG TO 18.2GB FOR A1000 </v>
          </cell>
          <cell r="C1303">
            <v>2660</v>
          </cell>
          <cell r="D1303" t="str">
            <v xml:space="preserve">H </v>
          </cell>
        </row>
        <row r="1304">
          <cell r="A1304" t="str">
            <v xml:space="preserve">UG-A1000-DISK-4GB </v>
          </cell>
          <cell r="B1304" t="str">
            <v xml:space="preserve">UG TO 4GB DSK, 10K RPM, A1000 </v>
          </cell>
          <cell r="C1304">
            <v>980</v>
          </cell>
          <cell r="D1304" t="str">
            <v xml:space="preserve">H </v>
          </cell>
        </row>
        <row r="1305">
          <cell r="A1305" t="str">
            <v xml:space="preserve">UG-A1000-DISK-9GB </v>
          </cell>
          <cell r="B1305" t="str">
            <v xml:space="preserve">UG TO 9.1GB FOR A1000 </v>
          </cell>
          <cell r="C1305">
            <v>1540</v>
          </cell>
          <cell r="D1305" t="str">
            <v xml:space="preserve">H </v>
          </cell>
        </row>
        <row r="1306">
          <cell r="A1306" t="str">
            <v xml:space="preserve">UG-A1000-RACK </v>
          </cell>
          <cell r="B1306" t="str">
            <v xml:space="preserve">UPG, STOREDGE EXPANSION RACK </v>
          </cell>
          <cell r="C1306">
            <v>7000</v>
          </cell>
          <cell r="D1306" t="str">
            <v xml:space="preserve">A </v>
          </cell>
        </row>
        <row r="1307">
          <cell r="A1307" t="str">
            <v xml:space="preserve">UG-A3500-1008G-18D </v>
          </cell>
          <cell r="B1307" t="str">
            <v xml:space="preserve">UPG TO A3500, 1008G, 7X18GB DR </v>
          </cell>
          <cell r="C1307">
            <v>259560</v>
          </cell>
          <cell r="D1307" t="str">
            <v xml:space="preserve">A </v>
          </cell>
        </row>
        <row r="1308">
          <cell r="A1308" t="str">
            <v xml:space="preserve">UG-A3500-1635G-10K </v>
          </cell>
          <cell r="B1308" t="str">
            <v xml:space="preserve">UPGRADE, STOREDGE A3500, 1635G </v>
          </cell>
          <cell r="C1308">
            <v>572600</v>
          </cell>
          <cell r="D1308" t="str">
            <v xml:space="preserve">A </v>
          </cell>
        </row>
        <row r="1309">
          <cell r="A1309" t="str">
            <v xml:space="preserve">UG-A3500-180G-10K </v>
          </cell>
          <cell r="B1309" t="str">
            <v xml:space="preserve">UPG, 180G A3500 (10K RPM) </v>
          </cell>
          <cell r="C1309">
            <v>162400</v>
          </cell>
          <cell r="D1309" t="str">
            <v xml:space="preserve">A </v>
          </cell>
        </row>
        <row r="1310">
          <cell r="A1310" t="str">
            <v xml:space="preserve">UG-A3500-360G-18D </v>
          </cell>
          <cell r="B1310" t="str">
            <v>UPG TO A3500,360G,7X18GB</v>
          </cell>
          <cell r="C1310">
            <v>159600</v>
          </cell>
          <cell r="D1310" t="str">
            <v xml:space="preserve">A </v>
          </cell>
        </row>
        <row r="1311">
          <cell r="A1311" t="str">
            <v xml:space="preserve">UG-A3500-545G-10K </v>
          </cell>
          <cell r="B1311" t="str">
            <v xml:space="preserve">UPGRADE, 545G A3500 (10K RPM) </v>
          </cell>
          <cell r="C1311">
            <v>165200</v>
          </cell>
          <cell r="D1311" t="str">
            <v xml:space="preserve">A </v>
          </cell>
        </row>
        <row r="1312">
          <cell r="A1312" t="str">
            <v xml:space="preserve">UG-A3500-763G-10K </v>
          </cell>
          <cell r="B1312" t="str">
            <v xml:space="preserve">UPG, A3500, 763G, 2 X 7 TRAYS </v>
          </cell>
          <cell r="C1312">
            <v>246400</v>
          </cell>
          <cell r="D1312" t="str">
            <v xml:space="preserve">A </v>
          </cell>
        </row>
        <row r="1313">
          <cell r="A1313" t="str">
            <v xml:space="preserve">UG-A3500-90G-10K </v>
          </cell>
          <cell r="B1313" t="str">
            <v xml:space="preserve">UPG, 90G A3500 SYS, 10K RPM </v>
          </cell>
          <cell r="C1313">
            <v>99400</v>
          </cell>
          <cell r="D1313" t="str">
            <v xml:space="preserve">A </v>
          </cell>
        </row>
        <row r="1314">
          <cell r="A1314" t="str">
            <v xml:space="preserve">UG-A3500-CTRL </v>
          </cell>
          <cell r="B1314" t="str">
            <v xml:space="preserve">UPGRADE, A3500 CONTROLLER </v>
          </cell>
          <cell r="C1314">
            <v>26600</v>
          </cell>
          <cell r="D1314" t="str">
            <v xml:space="preserve">A </v>
          </cell>
        </row>
        <row r="1315">
          <cell r="A1315" t="str">
            <v xml:space="preserve">UG-A3500-LITE-72G </v>
          </cell>
          <cell r="B1315" t="str">
            <v xml:space="preserve">UPGRADE, A3500 LITE, 72GB </v>
          </cell>
          <cell r="C1315">
            <v>56000</v>
          </cell>
          <cell r="D1315" t="str">
            <v xml:space="preserve">A </v>
          </cell>
        </row>
        <row r="1316">
          <cell r="A1316" t="str">
            <v xml:space="preserve">UG-A5000-1200G </v>
          </cell>
          <cell r="B1316" t="str">
            <v xml:space="preserve">Upgrade, 1200G StorEdge A5000 </v>
          </cell>
          <cell r="C1316">
            <v>700000</v>
          </cell>
          <cell r="D1316" t="str">
            <v xml:space="preserve">A </v>
          </cell>
        </row>
        <row r="1317">
          <cell r="A1317" t="str">
            <v xml:space="preserve">UG-A5000-1528G-18D </v>
          </cell>
          <cell r="B1317" t="str">
            <v xml:space="preserve">UPGRADE, 1.5TB StorEdge A5100 </v>
          </cell>
          <cell r="C1317">
            <v>420000</v>
          </cell>
          <cell r="D1317" t="str">
            <v xml:space="preserve">A </v>
          </cell>
        </row>
        <row r="1318">
          <cell r="A1318" t="str">
            <v xml:space="preserve">UG-A5000-18G-LP </v>
          </cell>
          <cell r="B1318" t="str">
            <v xml:space="preserve">UPGRADE, FC-AL 18GB, 1.6" DISK </v>
          </cell>
          <cell r="C1318">
            <v>2800</v>
          </cell>
          <cell r="D1318" t="str">
            <v xml:space="preserve">A </v>
          </cell>
        </row>
        <row r="1319">
          <cell r="A1319" t="str">
            <v xml:space="preserve">UG-A5000-200G </v>
          </cell>
          <cell r="B1319" t="str">
            <v xml:space="preserve">Upgrade to 200G StorEdge A5200 </v>
          </cell>
          <cell r="C1319">
            <v>98000</v>
          </cell>
          <cell r="D1319" t="str">
            <v xml:space="preserve">A </v>
          </cell>
        </row>
        <row r="1320">
          <cell r="A1320" t="str">
            <v xml:space="preserve">UG-A5000-200GR5 </v>
          </cell>
          <cell r="B1320" t="str">
            <v xml:space="preserve">UG, 200GB StorEdge A5200 </v>
          </cell>
          <cell r="C1320">
            <v>98000</v>
          </cell>
          <cell r="D1320" t="str">
            <v xml:space="preserve">A </v>
          </cell>
        </row>
        <row r="1321">
          <cell r="A1321" t="str">
            <v xml:space="preserve">UG-A5000-254G-18D </v>
          </cell>
          <cell r="B1321" t="str">
            <v xml:space="preserve">Upgrade, 254GB StorEdge A5000 </v>
          </cell>
          <cell r="C1321">
            <v>58800</v>
          </cell>
          <cell r="D1321" t="str">
            <v xml:space="preserve">A </v>
          </cell>
        </row>
        <row r="1322">
          <cell r="A1322" t="str">
            <v xml:space="preserve">UG-A5000-400G </v>
          </cell>
          <cell r="B1322" t="str">
            <v xml:space="preserve">Upgrade to 400G StorEdge A5200 </v>
          </cell>
          <cell r="C1322">
            <v>224000</v>
          </cell>
          <cell r="D1322" t="str">
            <v xml:space="preserve">A </v>
          </cell>
        </row>
        <row r="1323">
          <cell r="A1323" t="str">
            <v xml:space="preserve">UG-A5000-509G-18D </v>
          </cell>
          <cell r="B1323" t="str">
            <v xml:space="preserve">UPG, 509GB Sun StorEdge A5100 </v>
          </cell>
          <cell r="C1323">
            <v>140000</v>
          </cell>
          <cell r="D1323" t="str">
            <v xml:space="preserve">A </v>
          </cell>
        </row>
        <row r="1324">
          <cell r="A1324" t="str">
            <v xml:space="preserve">UG-A5000-63G </v>
          </cell>
          <cell r="B1324" t="str">
            <v xml:space="preserve">Upgrade to 63G StorEdge A5200 </v>
          </cell>
          <cell r="C1324">
            <v>54600</v>
          </cell>
          <cell r="D1324" t="str">
            <v xml:space="preserve">A </v>
          </cell>
        </row>
        <row r="1325">
          <cell r="A1325" t="str">
            <v xml:space="preserve">UG-A5000-800G </v>
          </cell>
          <cell r="B1325" t="str">
            <v xml:space="preserve">Upgrade, 800G StorEdge A5000 </v>
          </cell>
          <cell r="C1325">
            <v>469000</v>
          </cell>
          <cell r="D1325" t="str">
            <v xml:space="preserve">A </v>
          </cell>
        </row>
        <row r="1326">
          <cell r="A1326" t="str">
            <v xml:space="preserve">UG-A5000-91G-18D </v>
          </cell>
          <cell r="B1326" t="str">
            <v xml:space="preserve">UPG, 91GB Sun StorEdge A5100 </v>
          </cell>
          <cell r="C1326">
            <v>35000</v>
          </cell>
          <cell r="D1326" t="str">
            <v xml:space="preserve">A </v>
          </cell>
        </row>
        <row r="1327">
          <cell r="A1327" t="str">
            <v xml:space="preserve">UG-A5000-9G-LP </v>
          </cell>
          <cell r="B1327" t="str">
            <v xml:space="preserve">UPGRADE TO FC-AL 9GB 1.6" DISK </v>
          </cell>
          <cell r="C1327">
            <v>2800</v>
          </cell>
          <cell r="D1327" t="str">
            <v xml:space="preserve">A </v>
          </cell>
        </row>
        <row r="1328">
          <cell r="A1328" t="str">
            <v xml:space="preserve">UG-A7000-0GB </v>
          </cell>
          <cell r="B1328" t="str">
            <v xml:space="preserve">UPG TO A7000 BASE STORAGE SYS </v>
          </cell>
          <cell r="C1328">
            <v>176400</v>
          </cell>
          <cell r="D1328" t="str">
            <v xml:space="preserve">A </v>
          </cell>
        </row>
        <row r="1329">
          <cell r="A1329" t="str">
            <v xml:space="preserve">UG-A7000-18G </v>
          </cell>
          <cell r="B1329" t="str">
            <v xml:space="preserve">Upgrade, 108-GB SCA Disk Pack </v>
          </cell>
          <cell r="C1329">
            <v>35100</v>
          </cell>
          <cell r="D1329" t="str">
            <v xml:space="preserve">A </v>
          </cell>
        </row>
        <row r="1330">
          <cell r="A1330" t="str">
            <v xml:space="preserve">UG-A7000-18G-CO </v>
          </cell>
          <cell r="B1330" t="str">
            <v xml:space="preserve">Upgrade, 108-GB Disk Pack, SCA </v>
          </cell>
          <cell r="C1330">
            <v>35100</v>
          </cell>
          <cell r="D1330" t="str">
            <v xml:space="preserve">A </v>
          </cell>
        </row>
        <row r="1331">
          <cell r="A1331" t="str">
            <v xml:space="preserve">UG-A7000-9G-CO </v>
          </cell>
          <cell r="B1331" t="str">
            <v xml:space="preserve">Upgrade, Fac Gonfig 54-GB SCA </v>
          </cell>
          <cell r="C1331">
            <v>14400</v>
          </cell>
          <cell r="D1331" t="str">
            <v xml:space="preserve">A </v>
          </cell>
        </row>
        <row r="1332">
          <cell r="A1332" t="str">
            <v xml:space="preserve">UG-A7000-9GB-DSK </v>
          </cell>
          <cell r="B1332" t="str">
            <v xml:space="preserve">54.6GB DSK PCK UPG FOR A7000 </v>
          </cell>
          <cell r="C1332">
            <v>35100</v>
          </cell>
          <cell r="D1332" t="str">
            <v xml:space="preserve">A </v>
          </cell>
        </row>
        <row r="1333">
          <cell r="A1333" t="str">
            <v xml:space="preserve">UG-A7000-MEM-1GB </v>
          </cell>
          <cell r="B1333" t="str">
            <v xml:space="preserve">UPG TO 512MB SAFE CACHE MEMORY </v>
          </cell>
          <cell r="C1333">
            <v>84546</v>
          </cell>
          <cell r="D1333" t="str">
            <v xml:space="preserve">A </v>
          </cell>
        </row>
        <row r="1334">
          <cell r="A1334" t="str">
            <v xml:space="preserve">UG-A7000-USTE-2 </v>
          </cell>
          <cell r="B1334" t="str">
            <v xml:space="preserve">UPGRADE, ULTRA STE,2 CONNECTOR </v>
          </cell>
          <cell r="C1334">
            <v>26676</v>
          </cell>
          <cell r="D1334" t="str">
            <v xml:space="preserve">A </v>
          </cell>
        </row>
        <row r="1335">
          <cell r="A1335" t="str">
            <v xml:space="preserve">UG-A7000-USTE-4 </v>
          </cell>
          <cell r="B1335" t="str">
            <v xml:space="preserve">UPG, ULTRA STE, 4 CONNECTORS </v>
          </cell>
          <cell r="C1335">
            <v>26676</v>
          </cell>
          <cell r="D1335" t="str">
            <v xml:space="preserve">A </v>
          </cell>
        </row>
        <row r="1336">
          <cell r="A1336" t="str">
            <v xml:space="preserve">UG-A7000-USTE-8 </v>
          </cell>
          <cell r="B1336" t="str">
            <v xml:space="preserve">UPG, ULTRA STE, 8 CONNECTORS </v>
          </cell>
          <cell r="C1336">
            <v>26676</v>
          </cell>
          <cell r="D1336" t="str">
            <v xml:space="preserve">A </v>
          </cell>
        </row>
        <row r="1337">
          <cell r="A1337" t="str">
            <v xml:space="preserve">UG-AX000-DISK-9G-2 </v>
          </cell>
          <cell r="B1337" t="str">
            <v xml:space="preserve">UPG, 9GB, 10000RPM, USCSI DR </v>
          </cell>
          <cell r="C1337">
            <v>1365</v>
          </cell>
          <cell r="D1337" t="str">
            <v xml:space="preserve">H </v>
          </cell>
        </row>
        <row r="1338">
          <cell r="A1338" t="str">
            <v xml:space="preserve">UG-D1000-36G-10K </v>
          </cell>
          <cell r="B1338" t="str">
            <v xml:space="preserve">UPG, 36GB D1000 (10K RPM) </v>
          </cell>
          <cell r="C1338">
            <v>9800</v>
          </cell>
          <cell r="D1338" t="str">
            <v xml:space="preserve">H </v>
          </cell>
        </row>
        <row r="1339">
          <cell r="A1339" t="str">
            <v xml:space="preserve">UG-D1000-36G-RK-2 </v>
          </cell>
          <cell r="B1339" t="str">
            <v xml:space="preserve">UPG, 36GB D1000, RACK, 10K RPM </v>
          </cell>
          <cell r="C1339">
            <v>9800</v>
          </cell>
          <cell r="D1339" t="str">
            <v xml:space="preserve">H </v>
          </cell>
        </row>
        <row r="1340">
          <cell r="A1340" t="str">
            <v xml:space="preserve">UG-D1000-72G-18 </v>
          </cell>
          <cell r="B1340" t="str">
            <v xml:space="preserve">UPGRADE TO D1000, 72GB (4X18G) </v>
          </cell>
          <cell r="C1340">
            <v>14700</v>
          </cell>
          <cell r="D1340" t="str">
            <v xml:space="preserve">H </v>
          </cell>
        </row>
        <row r="1341">
          <cell r="A1341" t="str">
            <v xml:space="preserve">UG-D1000-72G-RK </v>
          </cell>
          <cell r="B1341" t="str">
            <v xml:space="preserve">UPG, D1000-72GB RACKMOUNT TRAY </v>
          </cell>
          <cell r="C1341">
            <v>14700</v>
          </cell>
          <cell r="D1341" t="str">
            <v xml:space="preserve">H </v>
          </cell>
        </row>
        <row r="1342">
          <cell r="A1342" t="str">
            <v xml:space="preserve">UG-DLT4700-TO-L280 </v>
          </cell>
          <cell r="B1342" t="str">
            <v xml:space="preserve">UG TO L280 STOREDGE AUTOLOADER </v>
          </cell>
          <cell r="C1342">
            <v>12460</v>
          </cell>
          <cell r="D1342" t="str">
            <v xml:space="preserve">H </v>
          </cell>
        </row>
        <row r="1343">
          <cell r="A1343" t="str">
            <v xml:space="preserve">UG-DLT7000 </v>
          </cell>
          <cell r="B1343" t="str">
            <v xml:space="preserve">UG TO DLT7000 35-70GB FLEXIPAK </v>
          </cell>
          <cell r="C1343">
            <v>8400</v>
          </cell>
          <cell r="D1343" t="str">
            <v xml:space="preserve">H </v>
          </cell>
        </row>
        <row r="1344">
          <cell r="A1344" t="str">
            <v xml:space="preserve">UG-DSK-18GB </v>
          </cell>
          <cell r="B1344" t="str">
            <v xml:space="preserve">UG TO 18.2GB DISK </v>
          </cell>
          <cell r="C1344">
            <v>1960</v>
          </cell>
          <cell r="D1344" t="str">
            <v xml:space="preserve">H </v>
          </cell>
        </row>
        <row r="1345">
          <cell r="A1345" t="str">
            <v xml:space="preserve">UG-DSK-9GB </v>
          </cell>
          <cell r="B1345" t="str">
            <v xml:space="preserve">UPG, DISK 9.1GB/7200 USCSI </v>
          </cell>
          <cell r="C1345">
            <v>1204</v>
          </cell>
          <cell r="D1345" t="str">
            <v xml:space="preserve">H </v>
          </cell>
        </row>
        <row r="1346">
          <cell r="A1346" t="str">
            <v xml:space="preserve">UG-DSK-9GB-2 </v>
          </cell>
          <cell r="B1346" t="str">
            <v xml:space="preserve">UPG, 9GB, 10000RPM, USCSI DR </v>
          </cell>
          <cell r="C1346">
            <v>1295</v>
          </cell>
          <cell r="D1346" t="str">
            <v xml:space="preserve">H </v>
          </cell>
        </row>
        <row r="1347">
          <cell r="A1347" t="str">
            <v xml:space="preserve">UG-E3000-E3500 </v>
          </cell>
          <cell r="B1347" t="str">
            <v xml:space="preserve">UG E3000 TO E3500 </v>
          </cell>
          <cell r="C1347">
            <v>15750</v>
          </cell>
          <cell r="D1347" t="str">
            <v xml:space="preserve">A </v>
          </cell>
        </row>
        <row r="1348">
          <cell r="A1348" t="str">
            <v xml:space="preserve">UG-E3000-E3501 </v>
          </cell>
          <cell r="B1348" t="str">
            <v xml:space="preserve">UG E3000 TO E3501 </v>
          </cell>
          <cell r="C1348">
            <v>15750</v>
          </cell>
          <cell r="D1348" t="str">
            <v xml:space="preserve">A </v>
          </cell>
        </row>
        <row r="1349">
          <cell r="A1349" t="str">
            <v xml:space="preserve">UG-E3000-E4500 </v>
          </cell>
          <cell r="B1349" t="str">
            <v xml:space="preserve">UG E3000 TO E4500 </v>
          </cell>
          <cell r="C1349">
            <v>45000</v>
          </cell>
          <cell r="D1349" t="str">
            <v xml:space="preserve">A </v>
          </cell>
        </row>
        <row r="1350">
          <cell r="A1350" t="str">
            <v xml:space="preserve">UG-E3000-E4501 </v>
          </cell>
          <cell r="B1350" t="str">
            <v xml:space="preserve">UG E3000 TO E4501 </v>
          </cell>
          <cell r="C1350">
            <v>45600</v>
          </cell>
          <cell r="D1350" t="str">
            <v xml:space="preserve">A </v>
          </cell>
        </row>
        <row r="1351">
          <cell r="A1351" t="str">
            <v xml:space="preserve">UG-E3000-E5500 </v>
          </cell>
          <cell r="B1351" t="str">
            <v xml:space="preserve">UG E3000 TO E5500 </v>
          </cell>
          <cell r="C1351">
            <v>61500</v>
          </cell>
          <cell r="D1351" t="str">
            <v xml:space="preserve">A </v>
          </cell>
        </row>
        <row r="1352">
          <cell r="A1352" t="str">
            <v xml:space="preserve">UG-E3000-E5501 </v>
          </cell>
          <cell r="B1352" t="str">
            <v xml:space="preserve">UG E3000 TO E5501 </v>
          </cell>
          <cell r="C1352">
            <v>63200</v>
          </cell>
          <cell r="D1352" t="str">
            <v xml:space="preserve">A </v>
          </cell>
        </row>
        <row r="1353">
          <cell r="A1353" t="str">
            <v xml:space="preserve">UG-E3500-E4500 </v>
          </cell>
          <cell r="B1353" t="str">
            <v xml:space="preserve">UG E3500 TO E4500 </v>
          </cell>
          <cell r="C1353">
            <v>42750</v>
          </cell>
          <cell r="D1353" t="str">
            <v xml:space="preserve">A </v>
          </cell>
        </row>
        <row r="1354">
          <cell r="A1354" t="str">
            <v xml:space="preserve">UG-E3500-E5500 </v>
          </cell>
          <cell r="B1354" t="str">
            <v xml:space="preserve">UG E3500 TO E5500 </v>
          </cell>
          <cell r="C1354">
            <v>59250</v>
          </cell>
          <cell r="D1354" t="str">
            <v xml:space="preserve">A </v>
          </cell>
        </row>
        <row r="1355">
          <cell r="A1355" t="str">
            <v xml:space="preserve">UG-E350X-E4501 </v>
          </cell>
          <cell r="B1355" t="str">
            <v xml:space="preserve">UG E350x TO E4501 </v>
          </cell>
          <cell r="C1355">
            <v>45600</v>
          </cell>
          <cell r="D1355" t="str">
            <v xml:space="preserve">A </v>
          </cell>
        </row>
        <row r="1356">
          <cell r="A1356" t="str">
            <v xml:space="preserve">UG-E350X-E5501 </v>
          </cell>
          <cell r="B1356" t="str">
            <v xml:space="preserve">UG E350X TO E5501 </v>
          </cell>
          <cell r="C1356">
            <v>63200</v>
          </cell>
          <cell r="D1356" t="str">
            <v xml:space="preserve">A </v>
          </cell>
        </row>
        <row r="1357">
          <cell r="A1357" t="str">
            <v xml:space="preserve">UG-E4000-100GIGPLN </v>
          </cell>
          <cell r="B1357" t="str">
            <v xml:space="preserve">UG E4000 TO 100MHZ GIGAPLANE </v>
          </cell>
          <cell r="C1357">
            <v>13300</v>
          </cell>
          <cell r="D1357" t="str">
            <v xml:space="preserve">A </v>
          </cell>
        </row>
        <row r="1358">
          <cell r="A1358" t="str">
            <v xml:space="preserve">UG-E4000-5/1GIGPLN </v>
          </cell>
          <cell r="B1358" t="str">
            <v xml:space="preserve">UG E4000 to 5/1 Gigaplane </v>
          </cell>
          <cell r="C1358">
            <v>15200</v>
          </cell>
          <cell r="D1358" t="str">
            <v xml:space="preserve">A </v>
          </cell>
        </row>
        <row r="1359">
          <cell r="A1359" t="str">
            <v xml:space="preserve">UG-E4000-E6500 </v>
          </cell>
          <cell r="B1359" t="str">
            <v xml:space="preserve">UG E4000 TO E6500 </v>
          </cell>
          <cell r="C1359">
            <v>164250</v>
          </cell>
          <cell r="D1359" t="str">
            <v xml:space="preserve">A </v>
          </cell>
        </row>
        <row r="1360">
          <cell r="A1360" t="str">
            <v xml:space="preserve">UG-E4000-E6501 </v>
          </cell>
          <cell r="B1360" t="str">
            <v xml:space="preserve">UG E4000 TO E6501 </v>
          </cell>
          <cell r="C1360">
            <v>127200</v>
          </cell>
          <cell r="D1360" t="str">
            <v xml:space="preserve">A </v>
          </cell>
        </row>
        <row r="1361">
          <cell r="A1361" t="str">
            <v xml:space="preserve">UG-E4500-E6500 </v>
          </cell>
          <cell r="B1361" t="str">
            <v xml:space="preserve">UG E4500 TO E6500 </v>
          </cell>
          <cell r="C1361">
            <v>162000</v>
          </cell>
          <cell r="D1361" t="str">
            <v xml:space="preserve">A </v>
          </cell>
        </row>
        <row r="1362">
          <cell r="A1362" t="str">
            <v xml:space="preserve">UG-E450X-E6501 </v>
          </cell>
          <cell r="B1362" t="str">
            <v xml:space="preserve">UG E450X TO E6501 </v>
          </cell>
          <cell r="C1362">
            <v>127200</v>
          </cell>
          <cell r="D1362" t="str">
            <v xml:space="preserve">A </v>
          </cell>
        </row>
        <row r="1363">
          <cell r="A1363" t="str">
            <v xml:space="preserve">UG-E5000-100GIGPLN </v>
          </cell>
          <cell r="B1363" t="str">
            <v xml:space="preserve">UG E5000 TO 100MHZ GIGAPLANE </v>
          </cell>
          <cell r="C1363">
            <v>15400</v>
          </cell>
          <cell r="D1363" t="str">
            <v xml:space="preserve">A </v>
          </cell>
        </row>
        <row r="1364">
          <cell r="A1364" t="str">
            <v xml:space="preserve">UG-E5000-5/1GIGPLN </v>
          </cell>
          <cell r="B1364" t="str">
            <v xml:space="preserve">UG E5000 to 5/1 Gigaplane </v>
          </cell>
          <cell r="C1364">
            <v>17600</v>
          </cell>
          <cell r="D1364" t="str">
            <v xml:space="preserve">A </v>
          </cell>
        </row>
        <row r="1365">
          <cell r="A1365" t="str">
            <v xml:space="preserve">UG-E5000-E6500 </v>
          </cell>
          <cell r="B1365" t="str">
            <v xml:space="preserve">UG E5000 TO E6500 </v>
          </cell>
          <cell r="C1365">
            <v>146250</v>
          </cell>
          <cell r="D1365" t="str">
            <v xml:space="preserve">A </v>
          </cell>
        </row>
        <row r="1366">
          <cell r="A1366" t="str">
            <v xml:space="preserve">UG-E5000-E6501 </v>
          </cell>
          <cell r="B1366" t="str">
            <v xml:space="preserve">UG E5000 TO E6501 </v>
          </cell>
          <cell r="C1366">
            <v>108000</v>
          </cell>
          <cell r="D1366" t="str">
            <v xml:space="preserve">A </v>
          </cell>
        </row>
        <row r="1367">
          <cell r="A1367" t="str">
            <v xml:space="preserve">UG-E5500-E6500 </v>
          </cell>
          <cell r="B1367" t="str">
            <v xml:space="preserve">UG E5500 TO E6500 </v>
          </cell>
          <cell r="C1367">
            <v>144000</v>
          </cell>
          <cell r="D1367" t="str">
            <v xml:space="preserve">A </v>
          </cell>
        </row>
        <row r="1368">
          <cell r="A1368" t="str">
            <v xml:space="preserve">UG-E550X-E6501 </v>
          </cell>
          <cell r="B1368" t="str">
            <v xml:space="preserve">UG E550X TO E6501 </v>
          </cell>
          <cell r="C1368">
            <v>108000</v>
          </cell>
          <cell r="D1368" t="str">
            <v xml:space="preserve">A </v>
          </cell>
        </row>
        <row r="1369">
          <cell r="A1369" t="str">
            <v xml:space="preserve">UG-E5X00-E10000-4 </v>
          </cell>
          <cell r="B1369" t="str">
            <v xml:space="preserve">CHASSIS UPGRADE TO E10000-4 </v>
          </cell>
          <cell r="C1369">
            <v>268800</v>
          </cell>
          <cell r="D1369" t="str">
            <v xml:space="preserve">A </v>
          </cell>
        </row>
        <row r="1370">
          <cell r="A1370" t="str">
            <v xml:space="preserve">UG-E6X00-E10000-4 </v>
          </cell>
          <cell r="B1370" t="str">
            <v xml:space="preserve">CHASSIS UPGRADE TO E10000-4 </v>
          </cell>
          <cell r="C1370">
            <v>212800</v>
          </cell>
          <cell r="D1370" t="str">
            <v xml:space="preserve">A </v>
          </cell>
        </row>
        <row r="1371">
          <cell r="A1371" t="str">
            <v xml:space="preserve">UG-ENT-100MHCLOCKB </v>
          </cell>
          <cell r="B1371" t="str">
            <v xml:space="preserve">100MHZ COMPAT ENT CLOCK BOARD </v>
          </cell>
          <cell r="C1371">
            <v>1500</v>
          </cell>
          <cell r="D1371" t="str">
            <v xml:space="preserve">A </v>
          </cell>
        </row>
        <row r="1372">
          <cell r="A1372" t="str">
            <v xml:space="preserve">UG-FFB-AFB-M3-V </v>
          </cell>
          <cell r="B1372" t="str">
            <v xml:space="preserve">GPX UPG TO ELITE3D M3 VERTICAL </v>
          </cell>
          <cell r="C1372">
            <v>2153</v>
          </cell>
          <cell r="D1372" t="str">
            <v xml:space="preserve">H </v>
          </cell>
        </row>
        <row r="1373">
          <cell r="A1373" t="str">
            <v xml:space="preserve">UG-FFB-AFB-M6-H </v>
          </cell>
          <cell r="B1373" t="str">
            <v xml:space="preserve">GPX UPG TO ELITE3D M6 HORIZON </v>
          </cell>
          <cell r="C1373">
            <v>3503</v>
          </cell>
          <cell r="D1373" t="str">
            <v xml:space="preserve">H </v>
          </cell>
        </row>
        <row r="1374">
          <cell r="A1374" t="str">
            <v xml:space="preserve">UG-FFB-AFB-M6-V </v>
          </cell>
          <cell r="B1374" t="str">
            <v xml:space="preserve">GPX UPG TO ELITE3D M6 VERTICAL </v>
          </cell>
          <cell r="C1374">
            <v>3503</v>
          </cell>
          <cell r="D1374" t="str">
            <v xml:space="preserve">H </v>
          </cell>
        </row>
        <row r="1375">
          <cell r="A1375" t="str">
            <v xml:space="preserve">UG-FFB-FFB3-DB-1-H </v>
          </cell>
          <cell r="B1375" t="str">
            <v xml:space="preserve">GPX UPG TO CREATOR3D SER 3 HOR </v>
          </cell>
          <cell r="C1375">
            <v>803</v>
          </cell>
          <cell r="D1375" t="str">
            <v xml:space="preserve">H </v>
          </cell>
        </row>
        <row r="1376">
          <cell r="A1376" t="str">
            <v xml:space="preserve">UG-FFB-FFB3-DB-1-V </v>
          </cell>
          <cell r="B1376" t="str">
            <v xml:space="preserve">GPX UPG TO CREATOR3D SER 3 VER </v>
          </cell>
          <cell r="C1376">
            <v>803</v>
          </cell>
          <cell r="D1376" t="str">
            <v xml:space="preserve">H </v>
          </cell>
        </row>
        <row r="1377">
          <cell r="A1377" t="str">
            <v xml:space="preserve">UG-L11000 </v>
          </cell>
          <cell r="B1377" t="str">
            <v xml:space="preserve">UPGRADE, L11000 TAPE LIBRARY </v>
          </cell>
          <cell r="C1377">
            <v>210000</v>
          </cell>
          <cell r="D1377" t="str">
            <v xml:space="preserve">A </v>
          </cell>
        </row>
        <row r="1378">
          <cell r="A1378" t="str">
            <v xml:space="preserve">UG-L3500-2 </v>
          </cell>
          <cell r="B1378" t="str">
            <v xml:space="preserve">UG TO L3500, TWO DRIVES </v>
          </cell>
          <cell r="C1378">
            <v>75600</v>
          </cell>
          <cell r="D1378" t="str">
            <v xml:space="preserve">A </v>
          </cell>
        </row>
        <row r="1379">
          <cell r="A1379" t="str">
            <v xml:space="preserve">UG-M11XX-M1194 </v>
          </cell>
          <cell r="B1379" t="str">
            <v xml:space="preserve">UG 300 to 400MHz CPU Ent 250 </v>
          </cell>
          <cell r="C1379">
            <v>5940</v>
          </cell>
          <cell r="D1379" t="str">
            <v xml:space="preserve">H </v>
          </cell>
        </row>
        <row r="1380">
          <cell r="A1380" t="str">
            <v xml:space="preserve">UG-M1XXX-M1300 </v>
          </cell>
          <cell r="B1380" t="str">
            <v xml:space="preserve">UG TO U2 300MHZ MODULE </v>
          </cell>
          <cell r="C1380">
            <v>7155</v>
          </cell>
          <cell r="D1380" t="str">
            <v xml:space="preserve">H </v>
          </cell>
        </row>
        <row r="1381">
          <cell r="A1381" t="str">
            <v xml:space="preserve">UG-M1XXX-M1400 </v>
          </cell>
          <cell r="B1381" t="str">
            <v xml:space="preserve">UG TO 400MHZ MODULE </v>
          </cell>
          <cell r="C1381">
            <v>5940</v>
          </cell>
          <cell r="D1381" t="str">
            <v xml:space="preserve">H </v>
          </cell>
        </row>
        <row r="1382">
          <cell r="A1382" t="str">
            <v xml:space="preserve">UG-M22XX-M2244 </v>
          </cell>
          <cell r="B1382" t="str">
            <v xml:space="preserve">UG TO E450 400MHZ CPU MODULE </v>
          </cell>
          <cell r="C1382">
            <v>6885</v>
          </cell>
          <cell r="D1382" t="str">
            <v xml:space="preserve">H </v>
          </cell>
        </row>
        <row r="1383">
          <cell r="A1383" t="str">
            <v xml:space="preserve">UG-M2510-M2550 </v>
          </cell>
          <cell r="B1383" t="str">
            <v xml:space="preserve">UG US 250MHZ/4MB </v>
          </cell>
          <cell r="C1383">
            <v>11250</v>
          </cell>
          <cell r="D1383" t="str">
            <v xml:space="preserve">A </v>
          </cell>
        </row>
        <row r="1384">
          <cell r="A1384" t="str">
            <v xml:space="preserve">UG-M2510-M2550E10K </v>
          </cell>
          <cell r="B1384" t="str">
            <v xml:space="preserve">UG US 250MHZ/4MB E10000 </v>
          </cell>
          <cell r="C1384">
            <v>11250</v>
          </cell>
          <cell r="D1384" t="str">
            <v xml:space="preserve">A </v>
          </cell>
        </row>
        <row r="1385">
          <cell r="A1385" t="str">
            <v xml:space="preserve">UG-M2510-M2560 </v>
          </cell>
          <cell r="B1385" t="str">
            <v xml:space="preserve">UG US 336MHZ/4MB </v>
          </cell>
          <cell r="C1385">
            <v>18750</v>
          </cell>
          <cell r="D1385" t="str">
            <v xml:space="preserve">A </v>
          </cell>
        </row>
        <row r="1386">
          <cell r="A1386" t="str">
            <v xml:space="preserve">UG-M2510-M2570 </v>
          </cell>
          <cell r="B1386" t="str">
            <v xml:space="preserve">UG 167MHZ TO 400MHZ/4MB </v>
          </cell>
          <cell r="C1386">
            <v>16100</v>
          </cell>
          <cell r="D1386" t="str">
            <v xml:space="preserve">A </v>
          </cell>
        </row>
        <row r="1387">
          <cell r="A1387" t="str">
            <v xml:space="preserve">UG-M2510-M2580 </v>
          </cell>
          <cell r="B1387" t="str">
            <v xml:space="preserve">UG 167Mhz to 400MHz/8MB </v>
          </cell>
          <cell r="C1387">
            <v>18000</v>
          </cell>
          <cell r="D1387" t="str">
            <v xml:space="preserve">A </v>
          </cell>
        </row>
        <row r="1388">
          <cell r="A1388" t="str">
            <v xml:space="preserve">UG-M2530-M2560 </v>
          </cell>
          <cell r="B1388" t="str">
            <v xml:space="preserve">UG US 336MHZ/4MB </v>
          </cell>
          <cell r="C1388">
            <v>14250</v>
          </cell>
          <cell r="D1388" t="str">
            <v xml:space="preserve">A </v>
          </cell>
        </row>
        <row r="1389">
          <cell r="A1389" t="str">
            <v xml:space="preserve">UG-M2550 </v>
          </cell>
          <cell r="B1389" t="str">
            <v xml:space="preserve">UG US 250MHZ/4MB </v>
          </cell>
          <cell r="C1389">
            <v>20250</v>
          </cell>
          <cell r="D1389" t="str">
            <v xml:space="preserve">A </v>
          </cell>
        </row>
        <row r="1390">
          <cell r="A1390" t="str">
            <v xml:space="preserve">UG-M2550-M2570 </v>
          </cell>
          <cell r="B1390" t="str">
            <v xml:space="preserve">UG 250MHZ TO 400MHZ/4MB-FIELD </v>
          </cell>
          <cell r="C1390">
            <v>14000</v>
          </cell>
          <cell r="D1390" t="str">
            <v xml:space="preserve">A </v>
          </cell>
        </row>
        <row r="1391">
          <cell r="A1391" t="str">
            <v xml:space="preserve">UG-M2550-M2580 </v>
          </cell>
          <cell r="B1391" t="str">
            <v xml:space="preserve">UG 250Mhz to 400MHz/8MB-Field </v>
          </cell>
          <cell r="C1391">
            <v>15750</v>
          </cell>
          <cell r="D1391" t="str">
            <v xml:space="preserve">A </v>
          </cell>
        </row>
        <row r="1392">
          <cell r="A1392" t="str">
            <v xml:space="preserve">UG-M2560 </v>
          </cell>
          <cell r="B1392" t="str">
            <v xml:space="preserve">UG US 336MHZ/4MB </v>
          </cell>
          <cell r="C1392">
            <v>24750</v>
          </cell>
          <cell r="D1392" t="str">
            <v xml:space="preserve">A </v>
          </cell>
        </row>
        <row r="1393">
          <cell r="A1393" t="str">
            <v xml:space="preserve">UG-M2560-M2570 </v>
          </cell>
          <cell r="B1393" t="str">
            <v xml:space="preserve">UG 336MHZ TO 400MHZ/4MB-FIELD </v>
          </cell>
          <cell r="C1393">
            <v>11900</v>
          </cell>
          <cell r="D1393" t="str">
            <v xml:space="preserve">A </v>
          </cell>
        </row>
        <row r="1394">
          <cell r="A1394" t="str">
            <v xml:space="preserve">UG-M2560-M2580 </v>
          </cell>
          <cell r="B1394" t="str">
            <v xml:space="preserve">UG 336/400 to 400MHz/8MB-Field </v>
          </cell>
          <cell r="C1394">
            <v>13500</v>
          </cell>
          <cell r="D1394" t="str">
            <v xml:space="preserve">A </v>
          </cell>
        </row>
        <row r="1395">
          <cell r="A1395" t="str">
            <v xml:space="preserve">UG-M2570 </v>
          </cell>
          <cell r="B1395" t="str">
            <v xml:space="preserve">UG SUNSPARC TO 400MHZ/4MB </v>
          </cell>
          <cell r="C1395">
            <v>20300</v>
          </cell>
          <cell r="D1395" t="str">
            <v xml:space="preserve">A </v>
          </cell>
        </row>
        <row r="1396">
          <cell r="A1396" t="str">
            <v xml:space="preserve">UG-M2580 </v>
          </cell>
          <cell r="B1396" t="str">
            <v xml:space="preserve">UG SunSPARC to 400MHz/8MB </v>
          </cell>
          <cell r="C1396">
            <v>22500</v>
          </cell>
          <cell r="D1396" t="str">
            <v xml:space="preserve">A </v>
          </cell>
        </row>
        <row r="1397">
          <cell r="A1397" t="str">
            <v xml:space="preserve">UG-M300-M360-U60 </v>
          </cell>
          <cell r="B1397" t="str">
            <v xml:space="preserve">ULTRA 60 MODULE UPG TO 360MHZ </v>
          </cell>
          <cell r="C1397">
            <v>5188</v>
          </cell>
          <cell r="D1397" t="str">
            <v xml:space="preserve">H </v>
          </cell>
        </row>
        <row r="1398">
          <cell r="A1398" t="str">
            <v xml:space="preserve">UG-M300-M400 </v>
          </cell>
          <cell r="B1398" t="str">
            <v xml:space="preserve">Upgr 300 to 400MHz/2Mb - E2/U2 </v>
          </cell>
          <cell r="C1398">
            <v>5265</v>
          </cell>
          <cell r="D1398" t="str">
            <v xml:space="preserve">H </v>
          </cell>
        </row>
        <row r="1399">
          <cell r="A1399" t="str">
            <v xml:space="preserve">UG-MEM128-MEM512 </v>
          </cell>
          <cell r="B1399" t="str">
            <v xml:space="preserve">UG TO 512MB (4X128MB) MEMORY </v>
          </cell>
          <cell r="C1399">
            <v>13130</v>
          </cell>
          <cell r="D1399" t="str">
            <v xml:space="preserve">H </v>
          </cell>
        </row>
        <row r="1400">
          <cell r="A1400" t="str">
            <v xml:space="preserve">UG-MEM256-MEM1GB </v>
          </cell>
          <cell r="B1400" t="str">
            <v xml:space="preserve">7022A TO 7023A MEM UPGRADE-1GB </v>
          </cell>
          <cell r="C1400">
            <v>17990</v>
          </cell>
          <cell r="D1400" t="str">
            <v xml:space="preserve">A </v>
          </cell>
        </row>
        <row r="1401">
          <cell r="A1401" t="str">
            <v xml:space="preserve">UG-MXXX-M300 </v>
          </cell>
          <cell r="B1401" t="str">
            <v xml:space="preserve">UG US-I TO 300MHZ US-II MODULE </v>
          </cell>
          <cell r="C1401">
            <v>6075</v>
          </cell>
          <cell r="D1401" t="str">
            <v xml:space="preserve">H </v>
          </cell>
        </row>
        <row r="1402">
          <cell r="A1402" t="str">
            <v xml:space="preserve">UG-MXXX-M450 </v>
          </cell>
          <cell r="B1402" t="str">
            <v xml:space="preserve">CPU MODULE UPG TO 450MHZ </v>
          </cell>
          <cell r="C1402">
            <v>6210</v>
          </cell>
          <cell r="D1402" t="str">
            <v xml:space="preserve">H </v>
          </cell>
        </row>
        <row r="1403">
          <cell r="A1403" t="str">
            <v xml:space="preserve">UG-MXXXX-M1194 </v>
          </cell>
          <cell r="B1403" t="str">
            <v xml:space="preserve">UG 167/200/250 CPU to 400/2MHz </v>
          </cell>
          <cell r="C1403">
            <v>6757</v>
          </cell>
          <cell r="D1403" t="str">
            <v xml:space="preserve">H </v>
          </cell>
        </row>
        <row r="1404">
          <cell r="A1404" t="str">
            <v xml:space="preserve">UG-MXXXX-M2244 </v>
          </cell>
          <cell r="B1404" t="str">
            <v xml:space="preserve">UG TO E450 400MHZ CPU MODULE </v>
          </cell>
          <cell r="C1404">
            <v>8775</v>
          </cell>
          <cell r="D1404" t="str">
            <v xml:space="preserve">H </v>
          </cell>
        </row>
        <row r="1405">
          <cell r="A1405" t="str">
            <v xml:space="preserve">UG-S-14UEC19S128CJ </v>
          </cell>
          <cell r="B1405" t="str">
            <v xml:space="preserve">UG TO UE2/1300,128MB,9GB,32XCD </v>
          </cell>
          <cell r="C1405">
            <v>17692</v>
          </cell>
          <cell r="D1405" t="str">
            <v xml:space="preserve">H </v>
          </cell>
        </row>
        <row r="1406">
          <cell r="A1406" t="str">
            <v xml:space="preserve">UG-S-14UJC19S128CJ </v>
          </cell>
          <cell r="B1406" t="str">
            <v xml:space="preserve">UG TO E2/1400,128MB,9GB,32xCD </v>
          </cell>
          <cell r="C1406">
            <v>14722</v>
          </cell>
          <cell r="D1406" t="str">
            <v xml:space="preserve">H </v>
          </cell>
        </row>
        <row r="1407">
          <cell r="A1407" t="str">
            <v xml:space="preserve">UG-S-UEC2-9S-256CJ </v>
          </cell>
          <cell r="B1407" t="str">
            <v xml:space="preserve">UG TO UE2/2300,256MB,9GB,32XCD </v>
          </cell>
          <cell r="C1407">
            <v>23645</v>
          </cell>
          <cell r="D1407" t="str">
            <v xml:space="preserve">H </v>
          </cell>
        </row>
        <row r="1408">
          <cell r="A1408" t="str">
            <v xml:space="preserve">UG-S-UJC2-9S-256CJ </v>
          </cell>
          <cell r="B1408" t="str">
            <v xml:space="preserve">UG TO UE2/2400,256MB,9GB,32xCD </v>
          </cell>
          <cell r="C1408">
            <v>21944</v>
          </cell>
          <cell r="D1408" t="str">
            <v xml:space="preserve">H </v>
          </cell>
        </row>
        <row r="1409">
          <cell r="A1409" t="str">
            <v xml:space="preserve">UG-SBIO-DSBIO </v>
          </cell>
          <cell r="B1409" t="str">
            <v xml:space="preserve">UG E10000 I/O BOARD </v>
          </cell>
          <cell r="C1409">
            <v>9600</v>
          </cell>
          <cell r="D1409" t="str">
            <v xml:space="preserve">A </v>
          </cell>
        </row>
        <row r="1410">
          <cell r="A1410" t="str">
            <v xml:space="preserve">UG-SF-BEZEL-KIT </v>
          </cell>
          <cell r="B1410" t="str">
            <v xml:space="preserve">UG E5x00/E6x00 Bezel - Field </v>
          </cell>
          <cell r="C1410">
            <v>800</v>
          </cell>
          <cell r="D1410" t="str">
            <v xml:space="preserve">A </v>
          </cell>
        </row>
        <row r="1411">
          <cell r="A1411" t="str">
            <v xml:space="preserve">UG-SUNSV-E3500-C52 </v>
          </cell>
          <cell r="B1411" t="str">
            <v xml:space="preserve">UG TO E3500 2X250MHZ/4MB </v>
          </cell>
          <cell r="C1411">
            <v>43200</v>
          </cell>
          <cell r="D1411" t="str">
            <v xml:space="preserve">A </v>
          </cell>
        </row>
        <row r="1412">
          <cell r="A1412" t="str">
            <v xml:space="preserve">UG-SUNSV-E3500-C62 </v>
          </cell>
          <cell r="B1412" t="str">
            <v xml:space="preserve">UG TO E3500 2X336MHZ/4MB </v>
          </cell>
          <cell r="C1412">
            <v>50700</v>
          </cell>
          <cell r="D1412" t="str">
            <v xml:space="preserve">A </v>
          </cell>
        </row>
        <row r="1413">
          <cell r="A1413" t="str">
            <v xml:space="preserve">UG-SUNSV-E3500-C72 </v>
          </cell>
          <cell r="B1413" t="str">
            <v xml:space="preserve">UG TO E3500 2X400MHZ/4MB </v>
          </cell>
          <cell r="C1413">
            <v>48720</v>
          </cell>
          <cell r="D1413" t="str">
            <v xml:space="preserve">A </v>
          </cell>
        </row>
        <row r="1414">
          <cell r="A1414" t="str">
            <v xml:space="preserve">UG-SUNSV-E3501-C62 </v>
          </cell>
          <cell r="B1414" t="str">
            <v xml:space="preserve">UG TO E3501 2x336MHZ/4MB </v>
          </cell>
          <cell r="C1414">
            <v>43200</v>
          </cell>
          <cell r="D1414" t="str">
            <v xml:space="preserve">A </v>
          </cell>
        </row>
        <row r="1415">
          <cell r="A1415" t="str">
            <v xml:space="preserve">UG-SUNSV-E3501-C72 </v>
          </cell>
          <cell r="B1415" t="str">
            <v xml:space="preserve">UG TO E3501 2x400MHZ/4MB </v>
          </cell>
          <cell r="C1415">
            <v>52200</v>
          </cell>
          <cell r="D1415" t="str">
            <v xml:space="preserve">A </v>
          </cell>
        </row>
        <row r="1416">
          <cell r="A1416" t="str">
            <v xml:space="preserve">UG-SUNSV-E3501-C82 </v>
          </cell>
          <cell r="B1416" t="str">
            <v xml:space="preserve">UG TO E3501 2x400MHZ/8MB </v>
          </cell>
          <cell r="C1416">
            <v>53700</v>
          </cell>
          <cell r="D1416" t="str">
            <v xml:space="preserve">A </v>
          </cell>
        </row>
        <row r="1417">
          <cell r="A1417" t="str">
            <v xml:space="preserve">UG-SUNSV-E4500 </v>
          </cell>
          <cell r="B1417" t="str">
            <v xml:space="preserve">UG TO E4500 </v>
          </cell>
          <cell r="C1417">
            <v>56250</v>
          </cell>
          <cell r="D1417" t="str">
            <v xml:space="preserve">A </v>
          </cell>
        </row>
        <row r="1418">
          <cell r="A1418" t="str">
            <v xml:space="preserve">UG-SUNSV-E4501 </v>
          </cell>
          <cell r="B1418" t="str">
            <v xml:space="preserve">UG TO E4501 </v>
          </cell>
          <cell r="C1418">
            <v>60000</v>
          </cell>
          <cell r="D1418" t="str">
            <v xml:space="preserve">A </v>
          </cell>
        </row>
        <row r="1419">
          <cell r="A1419" t="str">
            <v xml:space="preserve">UG-SUNSV-E5500 </v>
          </cell>
          <cell r="B1419" t="str">
            <v xml:space="preserve">UG TO E5500 </v>
          </cell>
          <cell r="C1419">
            <v>68250</v>
          </cell>
          <cell r="D1419" t="str">
            <v xml:space="preserve">A </v>
          </cell>
        </row>
        <row r="1420">
          <cell r="A1420" t="str">
            <v xml:space="preserve">UG-SUNSV-E5501 </v>
          </cell>
          <cell r="B1420" t="str">
            <v xml:space="preserve">UG TO E5501 </v>
          </cell>
          <cell r="C1420">
            <v>72800</v>
          </cell>
          <cell r="D1420" t="str">
            <v xml:space="preserve">A </v>
          </cell>
        </row>
        <row r="1421">
          <cell r="A1421" t="str">
            <v xml:space="preserve">UG-TAPE-SLR </v>
          </cell>
          <cell r="B1421" t="str">
            <v xml:space="preserve">UG TO EXT. 4GB SLR TAPE </v>
          </cell>
          <cell r="C1421">
            <v>945</v>
          </cell>
          <cell r="D1421" t="str">
            <v xml:space="preserve">H </v>
          </cell>
        </row>
        <row r="1422">
          <cell r="A1422" t="str">
            <v xml:space="preserve">UG-WRKGP-E3500-C52 </v>
          </cell>
          <cell r="B1422" t="str">
            <v xml:space="preserve">UG WKGRP SV TO E3500 250MHZ/4M </v>
          </cell>
          <cell r="C1422">
            <v>45300</v>
          </cell>
          <cell r="D1422" t="str">
            <v xml:space="preserve">A </v>
          </cell>
        </row>
        <row r="1423">
          <cell r="A1423" t="str">
            <v xml:space="preserve">UG-WRKGP-E3500-C62 </v>
          </cell>
          <cell r="B1423" t="str">
            <v xml:space="preserve">UG WKGRP SV TO E3500 2X336MHZ </v>
          </cell>
          <cell r="C1423">
            <v>54300</v>
          </cell>
          <cell r="D1423" t="str">
            <v xml:space="preserve">A </v>
          </cell>
        </row>
        <row r="1424">
          <cell r="A1424" t="str">
            <v xml:space="preserve">UG-WRKGP-E3500-C72 </v>
          </cell>
          <cell r="B1424" t="str">
            <v xml:space="preserve">UG WKGRP SV TO E3500 2X400MHZ </v>
          </cell>
          <cell r="C1424">
            <v>52080</v>
          </cell>
          <cell r="D1424" t="str">
            <v xml:space="preserve">A </v>
          </cell>
        </row>
        <row r="1425">
          <cell r="A1425" t="str">
            <v xml:space="preserve">UG-WRKGP-E3501-C62 </v>
          </cell>
          <cell r="B1425" t="str">
            <v xml:space="preserve">UG Wkgrp SV TO E3501 2x336MHz </v>
          </cell>
          <cell r="C1425">
            <v>46800</v>
          </cell>
          <cell r="D1425" t="str">
            <v xml:space="preserve">A </v>
          </cell>
        </row>
        <row r="1426">
          <cell r="A1426" t="str">
            <v xml:space="preserve">UG-WRKGP-E3501-C72 </v>
          </cell>
          <cell r="B1426" t="str">
            <v xml:space="preserve">UG Wkgrp SV TO E3501 2x400/4MB </v>
          </cell>
          <cell r="C1426">
            <v>55800</v>
          </cell>
          <cell r="D1426" t="str">
            <v xml:space="preserve">A </v>
          </cell>
        </row>
        <row r="1427">
          <cell r="A1427" t="str">
            <v xml:space="preserve">UG-WRKGP-E3501-C82 </v>
          </cell>
          <cell r="B1427" t="str">
            <v xml:space="preserve">UG Wkgrp SV TO E3501 2x400/8MB </v>
          </cell>
          <cell r="C1427">
            <v>57300</v>
          </cell>
          <cell r="D1427" t="str">
            <v xml:space="preserve">A </v>
          </cell>
        </row>
        <row r="1428">
          <cell r="A1428" t="str">
            <v xml:space="preserve">UG1-2UKC1Z9MC256CP </v>
          </cell>
          <cell r="B1428" t="str">
            <v xml:space="preserve">UG WS U10/440,AFBM6,256MB/9G </v>
          </cell>
          <cell r="C1428">
            <v>8498</v>
          </cell>
          <cell r="D1428" t="str">
            <v xml:space="preserve">H </v>
          </cell>
        </row>
        <row r="1429">
          <cell r="A1429" t="str">
            <v xml:space="preserve">UG1-2UKC1Z9MC512CP </v>
          </cell>
          <cell r="B1429" t="str">
            <v xml:space="preserve">UG WS U10/440,AFBM6,512MB/9G </v>
          </cell>
          <cell r="C1429">
            <v>9578</v>
          </cell>
          <cell r="D1429" t="str">
            <v xml:space="preserve">H </v>
          </cell>
        </row>
        <row r="1430">
          <cell r="A1430" t="str">
            <v xml:space="preserve">UG1-2UKC1Z9QC256CP </v>
          </cell>
          <cell r="B1430" t="str">
            <v xml:space="preserve">UG WS U10/440,AFBM3,256MB/9G </v>
          </cell>
          <cell r="C1430">
            <v>7216</v>
          </cell>
          <cell r="D1430" t="str">
            <v xml:space="preserve">H </v>
          </cell>
        </row>
        <row r="1431">
          <cell r="A1431" t="str">
            <v xml:space="preserve">UG1-2UKC1Z9QC512CP </v>
          </cell>
          <cell r="B1431" t="str">
            <v xml:space="preserve">UG WS U10/440,AFBM3,512MB/9G </v>
          </cell>
          <cell r="C1431">
            <v>8296</v>
          </cell>
          <cell r="D1431" t="str">
            <v xml:space="preserve">H </v>
          </cell>
        </row>
        <row r="1432">
          <cell r="A1432" t="str">
            <v xml:space="preserve">UG10-A25-BA </v>
          </cell>
          <cell r="B1432" t="str">
            <v xml:space="preserve">UG TO E450 400MHZ ENABLED BASE </v>
          </cell>
          <cell r="C1432">
            <v>10861</v>
          </cell>
          <cell r="D1432" t="str">
            <v xml:space="preserve">H </v>
          </cell>
        </row>
        <row r="1433">
          <cell r="A1433" t="str">
            <v xml:space="preserve">UG10-A26-AA </v>
          </cell>
          <cell r="B1433" t="str">
            <v xml:space="preserve">UG S10/SERVR TO E250 ZERO BASE </v>
          </cell>
          <cell r="C1433">
            <v>4158</v>
          </cell>
          <cell r="D1433" t="str">
            <v xml:space="preserve">H </v>
          </cell>
        </row>
        <row r="1434">
          <cell r="A1434" t="str">
            <v xml:space="preserve">UG10-A26-AA-R </v>
          </cell>
          <cell r="B1434" t="str">
            <v xml:space="preserve">UG S10 TO E250 RACK BASE </v>
          </cell>
          <cell r="C1434">
            <v>4158</v>
          </cell>
          <cell r="D1434" t="str">
            <v xml:space="preserve">H </v>
          </cell>
        </row>
        <row r="1435">
          <cell r="A1435" t="str">
            <v xml:space="preserve">UG10-UEC1-9L-128AH </v>
          </cell>
          <cell r="B1435" t="str">
            <v xml:space="preserve">UG S10 TO U2/300, C3D SER 3 </v>
          </cell>
          <cell r="C1435">
            <v>12690</v>
          </cell>
          <cell r="D1435" t="str">
            <v xml:space="preserve">H </v>
          </cell>
        </row>
        <row r="1436">
          <cell r="A1436" t="str">
            <v xml:space="preserve">UG10-UEC1-9M-128AH </v>
          </cell>
          <cell r="B1436" t="str">
            <v xml:space="preserve">UG S10 TO U2/1300,AFB,128MB,9G </v>
          </cell>
          <cell r="C1436">
            <v>15518</v>
          </cell>
          <cell r="D1436" t="str">
            <v xml:space="preserve">H </v>
          </cell>
        </row>
        <row r="1437">
          <cell r="A1437" t="str">
            <v xml:space="preserve">UG10-UEC2-9L-128AH </v>
          </cell>
          <cell r="B1437" t="str">
            <v xml:space="preserve">UG S10 TO U2/2300, C3D SER 3 </v>
          </cell>
          <cell r="C1437">
            <v>18765</v>
          </cell>
          <cell r="D1437" t="str">
            <v xml:space="preserve">H </v>
          </cell>
        </row>
        <row r="1438">
          <cell r="A1438" t="str">
            <v xml:space="preserve">UG10-UEC2-9M-128AH </v>
          </cell>
          <cell r="B1438" t="str">
            <v xml:space="preserve">UG S10 TO U2/2300,AFB,128MB,9G </v>
          </cell>
          <cell r="C1438">
            <v>21256</v>
          </cell>
          <cell r="D1438" t="str">
            <v xml:space="preserve">H </v>
          </cell>
        </row>
        <row r="1439">
          <cell r="A1439" t="str">
            <v xml:space="preserve">UG10-UJC1-9L-256AH </v>
          </cell>
          <cell r="B1439" t="str">
            <v xml:space="preserve">UG S10 TO U2/400, C3D SER 3 </v>
          </cell>
          <cell r="C1439">
            <v>15822</v>
          </cell>
          <cell r="D1439" t="str">
            <v xml:space="preserve">H </v>
          </cell>
        </row>
        <row r="1440">
          <cell r="A1440" t="str">
            <v xml:space="preserve">UG10-UJC1-9M-256AH </v>
          </cell>
          <cell r="B1440" t="str">
            <v xml:space="preserve">UG S10 TO U2/1400,AFB,256MB,9G </v>
          </cell>
          <cell r="C1440">
            <v>19265</v>
          </cell>
          <cell r="D1440" t="str">
            <v xml:space="preserve">H </v>
          </cell>
        </row>
        <row r="1441">
          <cell r="A1441" t="str">
            <v xml:space="preserve">UG14-3UEC19L-000AC </v>
          </cell>
          <cell r="B1441" t="str">
            <v xml:space="preserve">CHASSIS UPG TO ULT 60, 300MHZ </v>
          </cell>
          <cell r="C1441">
            <v>10523</v>
          </cell>
          <cell r="D1441" t="str">
            <v xml:space="preserve">H </v>
          </cell>
        </row>
        <row r="1442">
          <cell r="A1442" t="str">
            <v xml:space="preserve">UG14-3UEC19M-000AC </v>
          </cell>
          <cell r="B1442" t="str">
            <v xml:space="preserve">CHASSIS UPG TO ULT 60, 300MHZ </v>
          </cell>
          <cell r="C1442">
            <v>16470</v>
          </cell>
          <cell r="D1442" t="str">
            <v xml:space="preserve">H </v>
          </cell>
        </row>
        <row r="1443">
          <cell r="A1443" t="str">
            <v xml:space="preserve">UG14-3UEC19Q-000AC </v>
          </cell>
          <cell r="B1443" t="str">
            <v xml:space="preserve">CHASSIS UPG TO ULT 60, 300MHZ </v>
          </cell>
          <cell r="C1443">
            <v>14236</v>
          </cell>
          <cell r="D1443" t="str">
            <v xml:space="preserve">H </v>
          </cell>
        </row>
        <row r="1444">
          <cell r="A1444" t="str">
            <v xml:space="preserve">UG14-3UGD19L-000AH </v>
          </cell>
          <cell r="B1444" t="str">
            <v xml:space="preserve">CHASSIS UPG TO ULT 60, 360MHZ </v>
          </cell>
          <cell r="C1444">
            <v>8431</v>
          </cell>
          <cell r="D1444" t="str">
            <v xml:space="preserve">H </v>
          </cell>
        </row>
        <row r="1445">
          <cell r="A1445" t="str">
            <v xml:space="preserve">UG14-3UGD19M-000AH </v>
          </cell>
          <cell r="B1445" t="str">
            <v xml:space="preserve">CHASSIS UPG TO ULT 60, 360MHZ </v>
          </cell>
          <cell r="C1445">
            <v>13561</v>
          </cell>
          <cell r="D1445" t="str">
            <v xml:space="preserve">H </v>
          </cell>
        </row>
        <row r="1446">
          <cell r="A1446" t="str">
            <v xml:space="preserve">UG14-3UGD19Q-128AH </v>
          </cell>
          <cell r="B1446" t="str">
            <v xml:space="preserve">CHASSIS UPG TO ULT 60, 360MHZ </v>
          </cell>
          <cell r="C1446">
            <v>11873</v>
          </cell>
          <cell r="D1446" t="str">
            <v xml:space="preserve">H </v>
          </cell>
        </row>
        <row r="1447">
          <cell r="A1447" t="str">
            <v xml:space="preserve">UG14-3UGD29M-000AH </v>
          </cell>
          <cell r="B1447" t="str">
            <v xml:space="preserve">CHASSIS UPG TO ULT 60,2X360MHZ </v>
          </cell>
          <cell r="C1447">
            <v>17881</v>
          </cell>
          <cell r="D1447" t="str">
            <v xml:space="preserve">H </v>
          </cell>
        </row>
        <row r="1448">
          <cell r="A1448" t="str">
            <v xml:space="preserve">UG14-5UNC-9S-000NK </v>
          </cell>
          <cell r="B1448" t="str">
            <v xml:space="preserve">UG E2/300MHZ TO E450 </v>
          </cell>
          <cell r="C1448">
            <v>13696</v>
          </cell>
          <cell r="D1448" t="str">
            <v xml:space="preserve">H </v>
          </cell>
        </row>
        <row r="1449">
          <cell r="A1449" t="str">
            <v xml:space="preserve">UG14-6UNC-9S-000NK </v>
          </cell>
          <cell r="B1449" t="str">
            <v xml:space="preserve">UG E2/300MHZ TO E250 BASE </v>
          </cell>
          <cell r="C1449">
            <v>5913</v>
          </cell>
          <cell r="D1449" t="str">
            <v xml:space="preserve">H </v>
          </cell>
        </row>
        <row r="1450">
          <cell r="A1450" t="str">
            <v xml:space="preserve">UG14-A25-9S-000-BA </v>
          </cell>
          <cell r="B1450" t="str">
            <v xml:space="preserve">UG SS20/UE1/UE2 TO E450 CHASSI </v>
          </cell>
          <cell r="C1450">
            <v>11536</v>
          </cell>
          <cell r="D1450" t="str">
            <v xml:space="preserve">H </v>
          </cell>
        </row>
        <row r="1451">
          <cell r="A1451" t="str">
            <v xml:space="preserve">UG14-A25-9S-000NK </v>
          </cell>
          <cell r="B1451" t="str">
            <v xml:space="preserve">UG E2-&gt;E450 400MH ENABLED BASE </v>
          </cell>
          <cell r="C1451">
            <v>12076</v>
          </cell>
          <cell r="D1451" t="str">
            <v xml:space="preserve">H </v>
          </cell>
        </row>
        <row r="1452">
          <cell r="A1452" t="str">
            <v xml:space="preserve">UG14-A26-9S-000-AA </v>
          </cell>
          <cell r="B1452" t="str">
            <v xml:space="preserve">UG E1/SS20-&gt;E250(CPU/DISK RQD) </v>
          </cell>
          <cell r="C1452">
            <v>3213</v>
          </cell>
          <cell r="D1452" t="str">
            <v xml:space="preserve">H </v>
          </cell>
        </row>
        <row r="1453">
          <cell r="A1453" t="str">
            <v xml:space="preserve">UG14-A26-9S-000NK </v>
          </cell>
          <cell r="B1453" t="str">
            <v xml:space="preserve">UG E1 OR E2 TO E250 (CPU REQD) </v>
          </cell>
          <cell r="C1453">
            <v>3888</v>
          </cell>
          <cell r="D1453" t="str">
            <v xml:space="preserve">H </v>
          </cell>
        </row>
        <row r="1454">
          <cell r="A1454" t="str">
            <v xml:space="preserve">UG14-UJC1-9S-000NK </v>
          </cell>
          <cell r="B1454" t="str">
            <v xml:space="preserve">UPGRADE E2 TO E2/1400, 32xCD </v>
          </cell>
          <cell r="C1454">
            <v>9470</v>
          </cell>
          <cell r="D1454" t="str">
            <v xml:space="preserve">H </v>
          </cell>
        </row>
        <row r="1455">
          <cell r="A1455" t="str">
            <v xml:space="preserve">UG16-3ULD19L-000AH </v>
          </cell>
          <cell r="B1455" t="str">
            <v xml:space="preserve">CHASSIS UPG TO ULT 60, 450MHZ </v>
          </cell>
          <cell r="C1455">
            <v>12413</v>
          </cell>
          <cell r="D1455" t="str">
            <v xml:space="preserve">H </v>
          </cell>
        </row>
        <row r="1456">
          <cell r="A1456" t="str">
            <v xml:space="preserve">UG16-3ULD19M-000AH </v>
          </cell>
          <cell r="B1456" t="str">
            <v xml:space="preserve">CHASSIS UPG TO ULT 60, 450MHZ </v>
          </cell>
          <cell r="C1456">
            <v>15383</v>
          </cell>
          <cell r="D1456" t="str">
            <v xml:space="preserve">H </v>
          </cell>
        </row>
        <row r="1457">
          <cell r="A1457" t="str">
            <v xml:space="preserve">UG16-3ULD19Q-000AH </v>
          </cell>
          <cell r="B1457" t="str">
            <v xml:space="preserve">CHASSIS UPG TO ULT 60, 450MHZ </v>
          </cell>
          <cell r="C1457">
            <v>14033</v>
          </cell>
          <cell r="D1457" t="str">
            <v xml:space="preserve">H </v>
          </cell>
        </row>
        <row r="1458">
          <cell r="A1458" t="str">
            <v xml:space="preserve">UG20-3UEC19L-128AC </v>
          </cell>
          <cell r="B1458" t="str">
            <v xml:space="preserve">UPG TO ULT 60, 300MHZ, 128MB </v>
          </cell>
          <cell r="C1458">
            <v>11873</v>
          </cell>
          <cell r="D1458" t="str">
            <v xml:space="preserve">H </v>
          </cell>
        </row>
        <row r="1459">
          <cell r="A1459" t="str">
            <v xml:space="preserve">UG20-3UEC19Q-128AC </v>
          </cell>
          <cell r="B1459" t="str">
            <v xml:space="preserve">UPG TO ULT 60, 300MHZ, 128MB </v>
          </cell>
          <cell r="C1459">
            <v>16126</v>
          </cell>
          <cell r="D1459" t="str">
            <v xml:space="preserve">H </v>
          </cell>
        </row>
        <row r="1460">
          <cell r="A1460" t="str">
            <v xml:space="preserve">UG20-3UGD19L-128AH </v>
          </cell>
          <cell r="B1460" t="str">
            <v xml:space="preserve">UPG TO ULT 60, 360MHZ, 128MB </v>
          </cell>
          <cell r="C1460">
            <v>10118</v>
          </cell>
          <cell r="D1460" t="str">
            <v xml:space="preserve">H </v>
          </cell>
        </row>
        <row r="1461">
          <cell r="A1461" t="str">
            <v xml:space="preserve">UG20-3UGD19M-128AH </v>
          </cell>
          <cell r="B1461" t="str">
            <v xml:space="preserve">UPG TO ULT 60, 1X360MHZ, 128MB </v>
          </cell>
          <cell r="C1461">
            <v>15248</v>
          </cell>
          <cell r="D1461" t="str">
            <v xml:space="preserve">H </v>
          </cell>
        </row>
        <row r="1462">
          <cell r="A1462" t="str">
            <v xml:space="preserve">UG20-3UGD19Q-128AH </v>
          </cell>
          <cell r="B1462" t="str">
            <v xml:space="preserve">UPG TO ULT 60, 360MHZ, 128MB </v>
          </cell>
          <cell r="C1462">
            <v>12548</v>
          </cell>
          <cell r="D1462" t="str">
            <v xml:space="preserve">H </v>
          </cell>
        </row>
        <row r="1463">
          <cell r="A1463" t="str">
            <v xml:space="preserve">UG20-3UGD29L-256AH </v>
          </cell>
          <cell r="B1463" t="str">
            <v xml:space="preserve">UPG TO ULT 60, 2X360MHZ, 256MB </v>
          </cell>
          <cell r="C1463">
            <v>15316</v>
          </cell>
          <cell r="D1463" t="str">
            <v xml:space="preserve">H </v>
          </cell>
        </row>
        <row r="1464">
          <cell r="A1464" t="str">
            <v xml:space="preserve">UG20-3UGD29Q-256AH </v>
          </cell>
          <cell r="B1464" t="str">
            <v xml:space="preserve">UPG TO ULT 60, 2X360MHZ, 256MB </v>
          </cell>
          <cell r="C1464">
            <v>17746</v>
          </cell>
          <cell r="D1464" t="str">
            <v xml:space="preserve">H </v>
          </cell>
        </row>
        <row r="1465">
          <cell r="A1465" t="str">
            <v xml:space="preserve">UG20-3ULD19L-256AH </v>
          </cell>
          <cell r="B1465" t="str">
            <v xml:space="preserve">CHASSIS UPG TO ULT 60, 450MHZ </v>
          </cell>
          <cell r="C1465">
            <v>15518</v>
          </cell>
          <cell r="D1465" t="str">
            <v xml:space="preserve">H </v>
          </cell>
        </row>
        <row r="1466">
          <cell r="A1466" t="str">
            <v xml:space="preserve">UG20-3ULD19M-256AH </v>
          </cell>
          <cell r="B1466" t="str">
            <v xml:space="preserve">CHASSIS UPG TO ULT 60, 450MHZ </v>
          </cell>
          <cell r="C1466">
            <v>18488</v>
          </cell>
          <cell r="D1466" t="str">
            <v xml:space="preserve">H </v>
          </cell>
        </row>
        <row r="1467">
          <cell r="A1467" t="str">
            <v xml:space="preserve">UG20-3ULD19M-512AH </v>
          </cell>
          <cell r="B1467" t="str">
            <v xml:space="preserve">CHASSIS UPG TO ULT 60, 450MHZ </v>
          </cell>
          <cell r="C1467">
            <v>20304</v>
          </cell>
          <cell r="D1467" t="str">
            <v xml:space="preserve">H </v>
          </cell>
        </row>
        <row r="1468">
          <cell r="A1468" t="str">
            <v xml:space="preserve">UG20-3ULD19Q-256AH </v>
          </cell>
          <cell r="B1468" t="str">
            <v xml:space="preserve">CHASSIS UPG TO ULT 60, 450MHZ </v>
          </cell>
          <cell r="C1468">
            <v>17138</v>
          </cell>
          <cell r="D1468" t="str">
            <v xml:space="preserve">H </v>
          </cell>
        </row>
        <row r="1469">
          <cell r="A1469" t="str">
            <v xml:space="preserve">UG20-3ULD19Q1024AH </v>
          </cell>
          <cell r="B1469" t="str">
            <v xml:space="preserve">CHASSIS UPG TO ULT 60, 450MHZ </v>
          </cell>
          <cell r="C1469">
            <v>22329</v>
          </cell>
          <cell r="D1469" t="str">
            <v xml:space="preserve">H </v>
          </cell>
        </row>
        <row r="1470">
          <cell r="A1470" t="str">
            <v xml:space="preserve">UG20-UEC1-9M-000NN </v>
          </cell>
          <cell r="B1470" t="str">
            <v xml:space="preserve">UG S20 TO U2/1300, AFB </v>
          </cell>
          <cell r="C1470">
            <v>21128</v>
          </cell>
          <cell r="D1470" t="str">
            <v xml:space="preserve">H </v>
          </cell>
        </row>
        <row r="1471">
          <cell r="A1471" t="str">
            <v xml:space="preserve">UG20-UJC1-9L-000NN </v>
          </cell>
          <cell r="B1471" t="str">
            <v xml:space="preserve">UG S20 TO U2/400, SER 3 C3D </v>
          </cell>
          <cell r="C1471">
            <v>12116</v>
          </cell>
          <cell r="D1471" t="str">
            <v xml:space="preserve">H </v>
          </cell>
        </row>
        <row r="1472">
          <cell r="A1472" t="str">
            <v xml:space="preserve">UG20-UJC1-9M-000NN </v>
          </cell>
          <cell r="B1472" t="str">
            <v xml:space="preserve">UG S20 TO U2/1400, AFBm6 </v>
          </cell>
          <cell r="C1472">
            <v>15485</v>
          </cell>
          <cell r="D1472" t="str">
            <v xml:space="preserve">H </v>
          </cell>
        </row>
        <row r="1473">
          <cell r="A1473" t="str">
            <v xml:space="preserve">UG20UEC1-9M-000NNK </v>
          </cell>
          <cell r="B1473" t="str">
            <v xml:space="preserve">UG S20 TO U2/1300, AFB </v>
          </cell>
          <cell r="C1473">
            <v>38587</v>
          </cell>
          <cell r="D1473" t="str">
            <v xml:space="preserve">H </v>
          </cell>
        </row>
        <row r="1474">
          <cell r="A1474" t="str">
            <v xml:space="preserve">UG20UGC1Z9QB256CP </v>
          </cell>
          <cell r="B1474" t="str">
            <v xml:space="preserve">UG WS U10/360,AFB-L,256/9GB/CD </v>
          </cell>
          <cell r="C1474">
            <v>8903</v>
          </cell>
          <cell r="D1474" t="str">
            <v xml:space="preserve">H </v>
          </cell>
        </row>
        <row r="1475">
          <cell r="A1475" t="str">
            <v xml:space="preserve">UGFA-M11XX-M1194 </v>
          </cell>
          <cell r="B1475" t="str">
            <v xml:space="preserve">UG 300 to 400MHz CPU E250 FACT </v>
          </cell>
          <cell r="C1475">
            <v>5940</v>
          </cell>
          <cell r="D1475" t="str">
            <v xml:space="preserve">H </v>
          </cell>
        </row>
        <row r="1476">
          <cell r="A1476" t="str">
            <v xml:space="preserve">UGFA-M22XX-M2244 </v>
          </cell>
          <cell r="B1476" t="str">
            <v xml:space="preserve">UG To E450 400Mhz CPU FACTY IN </v>
          </cell>
          <cell r="C1476">
            <v>5940</v>
          </cell>
          <cell r="D1476" t="str">
            <v xml:space="preserve">H </v>
          </cell>
        </row>
        <row r="1477">
          <cell r="A1477" t="str">
            <v xml:space="preserve">UGFA-M2510-M2560 </v>
          </cell>
          <cell r="B1477" t="str">
            <v xml:space="preserve">UG FACTORY INSTALL 336MHZ/4MB </v>
          </cell>
          <cell r="C1477">
            <v>14250</v>
          </cell>
          <cell r="D1477" t="str">
            <v xml:space="preserve">A </v>
          </cell>
        </row>
        <row r="1478">
          <cell r="A1478" t="str">
            <v xml:space="preserve">UGFA-M2510-M2570 </v>
          </cell>
          <cell r="B1478" t="str">
            <v xml:space="preserve">UG 167MHZ TO 400MHZ/4MB-FACTRY </v>
          </cell>
          <cell r="C1478">
            <v>16100</v>
          </cell>
          <cell r="D1478" t="str">
            <v xml:space="preserve">A </v>
          </cell>
        </row>
        <row r="1479">
          <cell r="A1479" t="str">
            <v xml:space="preserve">UGFA-M2510-M2580 </v>
          </cell>
          <cell r="B1479" t="str">
            <v xml:space="preserve">UG 167Mhz to 400MHz/8MB-Factry </v>
          </cell>
          <cell r="C1479">
            <v>18000</v>
          </cell>
          <cell r="D1479" t="str">
            <v xml:space="preserve">A </v>
          </cell>
        </row>
        <row r="1480">
          <cell r="A1480" t="str">
            <v xml:space="preserve">UGFA-M2530-M2560 </v>
          </cell>
          <cell r="B1480" t="str">
            <v xml:space="preserve">UG FACTORY INSTALL 336MHZ/4MB </v>
          </cell>
          <cell r="C1480">
            <v>11250</v>
          </cell>
          <cell r="D1480" t="str">
            <v xml:space="preserve">A </v>
          </cell>
        </row>
        <row r="1481">
          <cell r="A1481" t="str">
            <v xml:space="preserve">UGFA-M2550-M2570 </v>
          </cell>
          <cell r="B1481" t="str">
            <v xml:space="preserve">UG 250MHZ TO 400MHZ/4MB-FACTRY </v>
          </cell>
          <cell r="C1481">
            <v>14000</v>
          </cell>
          <cell r="D1481" t="str">
            <v xml:space="preserve">A </v>
          </cell>
        </row>
        <row r="1482">
          <cell r="A1482" t="str">
            <v xml:space="preserve">UGFA-M2550-M2580 </v>
          </cell>
          <cell r="B1482" t="str">
            <v xml:space="preserve">UG 250Mhz to 400MHz/8MB-FACTY </v>
          </cell>
          <cell r="C1482">
            <v>15750</v>
          </cell>
          <cell r="D1482" t="str">
            <v xml:space="preserve">A </v>
          </cell>
        </row>
        <row r="1483">
          <cell r="A1483" t="str">
            <v xml:space="preserve">UGFA-M2560-M2570 </v>
          </cell>
          <cell r="B1483" t="str">
            <v xml:space="preserve">UG 336MHZ TO 400MHZ/4MB-FACTY </v>
          </cell>
          <cell r="C1483">
            <v>11900</v>
          </cell>
          <cell r="D1483" t="str">
            <v xml:space="preserve">A </v>
          </cell>
        </row>
        <row r="1484">
          <cell r="A1484" t="str">
            <v xml:space="preserve">UGFA-M2560-M2580 </v>
          </cell>
          <cell r="B1484" t="str">
            <v xml:space="preserve">UG 336/400 to 400MHz/8MB-Facty </v>
          </cell>
          <cell r="C1484">
            <v>13500</v>
          </cell>
          <cell r="D1484" t="str">
            <v xml:space="preserve">A </v>
          </cell>
        </row>
        <row r="1485">
          <cell r="A1485" t="str">
            <v xml:space="preserve">UGFA-MEM256-MEM1GB </v>
          </cell>
          <cell r="B1485" t="str">
            <v xml:space="preserve">7022A TO 7023A MEM UPGRADE-1GB </v>
          </cell>
          <cell r="C1485">
            <v>17990</v>
          </cell>
          <cell r="D1485" t="str">
            <v xml:space="preserve">A </v>
          </cell>
        </row>
        <row r="1486">
          <cell r="A1486" t="str">
            <v xml:space="preserve">UGFA-MXXXX-M1194 </v>
          </cell>
          <cell r="B1486" t="str">
            <v xml:space="preserve">UG 167/200/250 CPU to 400/2MHz </v>
          </cell>
          <cell r="C1486">
            <v>6757</v>
          </cell>
          <cell r="D1486" t="str">
            <v xml:space="preserve">H </v>
          </cell>
        </row>
        <row r="1487">
          <cell r="A1487" t="str">
            <v xml:space="preserve">UGFA-MXXXX-M2244 </v>
          </cell>
          <cell r="B1487" t="str">
            <v xml:space="preserve">UG 167/200/250MHz to 400/4 FAC </v>
          </cell>
          <cell r="C1487">
            <v>6757</v>
          </cell>
          <cell r="D1487" t="str">
            <v xml:space="preserve">H </v>
          </cell>
        </row>
        <row r="1488">
          <cell r="A1488" t="str">
            <v xml:space="preserve">UGFA-SB261X-2612 </v>
          </cell>
          <cell r="B1488" t="str">
            <v xml:space="preserve">UG 261X TO 2612 I/O BD W/FC-AL </v>
          </cell>
          <cell r="C1488">
            <v>4900</v>
          </cell>
          <cell r="D1488" t="str">
            <v xml:space="preserve">A </v>
          </cell>
        </row>
        <row r="1489">
          <cell r="A1489" t="str">
            <v xml:space="preserve">UGFA-SB262X-2622 </v>
          </cell>
          <cell r="B1489" t="str">
            <v xml:space="preserve">UG 262X TO 2622 G I/O BD:FC-AL </v>
          </cell>
          <cell r="C1489">
            <v>5600</v>
          </cell>
          <cell r="D1489" t="str">
            <v xml:space="preserve">A </v>
          </cell>
        </row>
        <row r="1490">
          <cell r="A1490" t="str">
            <v xml:space="preserve">UGFA-SB263X-2632 </v>
          </cell>
          <cell r="B1490" t="str">
            <v xml:space="preserve">UG 263X TO 2632 PCI I/O BD </v>
          </cell>
          <cell r="C1490">
            <v>7000</v>
          </cell>
          <cell r="D1490" t="str">
            <v xml:space="preserve">A </v>
          </cell>
        </row>
        <row r="1491">
          <cell r="A1491" t="str">
            <v xml:space="preserve">UGMB-A25AA-A25BA </v>
          </cell>
          <cell r="B1491" t="str">
            <v xml:space="preserve">UG E450 250/300 Board to 400MH </v>
          </cell>
          <cell r="C1491">
            <v>4590</v>
          </cell>
          <cell r="D1491" t="str">
            <v xml:space="preserve">H </v>
          </cell>
        </row>
        <row r="1492">
          <cell r="A1492" t="str">
            <v xml:space="preserve">UGN6XXN-I-3.1-1145 </v>
          </cell>
          <cell r="B1492" t="str">
            <v xml:space="preserve">UPG. TO SUN NETRA ULTRA1,143MH </v>
          </cell>
          <cell r="C1492">
            <v>15253</v>
          </cell>
          <cell r="D1492" t="str">
            <v xml:space="preserve">A </v>
          </cell>
        </row>
        <row r="1493">
          <cell r="A1493" t="str">
            <v xml:space="preserve">UGN6XXN-I-3.1-1170 </v>
          </cell>
          <cell r="B1493" t="str">
            <v xml:space="preserve">UPG. TO SUN NETRA ULTRA1,167MH </v>
          </cell>
          <cell r="C1493">
            <v>25053</v>
          </cell>
          <cell r="D1493" t="str">
            <v xml:space="preserve">A </v>
          </cell>
        </row>
        <row r="1494">
          <cell r="A1494" t="str">
            <v xml:space="preserve">UGS2000-E6501 </v>
          </cell>
          <cell r="B1494" t="str">
            <v xml:space="preserve">UG TO E6501 </v>
          </cell>
          <cell r="C1494">
            <v>125600</v>
          </cell>
          <cell r="D1494" t="str">
            <v xml:space="preserve">A </v>
          </cell>
        </row>
        <row r="1495">
          <cell r="A1495" t="str">
            <v xml:space="preserve">UGS20UHC1Z9KB128CP </v>
          </cell>
          <cell r="B1495" t="str">
            <v xml:space="preserve">UG WS U10/333, C3SB,128/9GB/CD </v>
          </cell>
          <cell r="C1495">
            <v>5393</v>
          </cell>
          <cell r="D1495" t="str">
            <v xml:space="preserve">H </v>
          </cell>
        </row>
        <row r="1496">
          <cell r="A1496" t="str">
            <v xml:space="preserve">UGS5-UFE1Z9P-B64CN </v>
          </cell>
          <cell r="B1496" t="str">
            <v xml:space="preserve">UG WS U5/270,PGX24,64/4GB/CD </v>
          </cell>
          <cell r="C1496">
            <v>2963</v>
          </cell>
          <cell r="D1496" t="str">
            <v xml:space="preserve">H </v>
          </cell>
        </row>
        <row r="1497">
          <cell r="A1497" t="str">
            <v xml:space="preserve">UGS5-UFE1Z9PB128CN </v>
          </cell>
          <cell r="B1497" t="str">
            <v xml:space="preserve">UG WS U5/270,PGX24,128MB/4GB </v>
          </cell>
          <cell r="C1497">
            <v>3200</v>
          </cell>
          <cell r="D1497" t="str">
            <v xml:space="preserve">H </v>
          </cell>
        </row>
        <row r="1498">
          <cell r="A1498" t="str">
            <v xml:space="preserve">UGS5-UHC1Z9KB128CP </v>
          </cell>
          <cell r="B1498" t="str">
            <v xml:space="preserve">UG WS U10/333, C3SB,128/9GB/CD </v>
          </cell>
          <cell r="C1498">
            <v>5731</v>
          </cell>
          <cell r="D1498" t="str">
            <v xml:space="preserve">H </v>
          </cell>
        </row>
        <row r="1499">
          <cell r="A1499" t="str">
            <v xml:space="preserve">UGS5-UHC1Z9KB256CP </v>
          </cell>
          <cell r="B1499" t="str">
            <v xml:space="preserve">UG WS U10/333, C3SB,256/9GB/CD </v>
          </cell>
          <cell r="C1499">
            <v>6136</v>
          </cell>
          <cell r="D1499" t="str">
            <v xml:space="preserve">H </v>
          </cell>
        </row>
        <row r="1500">
          <cell r="A1500" t="str">
            <v xml:space="preserve">UGS5-UHC1Z9LB128CP </v>
          </cell>
          <cell r="B1500" t="str">
            <v xml:space="preserve">UG WS U10/333, C3DB,128/9GB/CD </v>
          </cell>
          <cell r="C1500">
            <v>6068</v>
          </cell>
          <cell r="D1500" t="str">
            <v xml:space="preserve">H </v>
          </cell>
        </row>
        <row r="1501">
          <cell r="A1501" t="str">
            <v xml:space="preserve">UGS5-UHC1Z9LB256CP </v>
          </cell>
          <cell r="B1501" t="str">
            <v xml:space="preserve">UG WS U10/333, C3DB,256/9GB/CD </v>
          </cell>
          <cell r="C1501">
            <v>6541</v>
          </cell>
          <cell r="D1501" t="str">
            <v xml:space="preserve">H </v>
          </cell>
        </row>
        <row r="1502">
          <cell r="A1502" t="str">
            <v xml:space="preserve">UGS5-UHC1Z9PB128CP </v>
          </cell>
          <cell r="B1502" t="str">
            <v xml:space="preserve">UG WS U5/333,PGX24,128MB/9GB </v>
          </cell>
          <cell r="C1502">
            <v>4178</v>
          </cell>
          <cell r="D1502" t="str">
            <v xml:space="preserve">H </v>
          </cell>
        </row>
        <row r="1503">
          <cell r="A1503" t="str">
            <v xml:space="preserve">UGS5-UHC1Z9PB256CP </v>
          </cell>
          <cell r="B1503" t="str">
            <v xml:space="preserve">UG WS U5/333,PGX24,256/9GB/CD </v>
          </cell>
          <cell r="C1503">
            <v>4651</v>
          </cell>
          <cell r="D1503" t="str">
            <v xml:space="preserve">H </v>
          </cell>
        </row>
        <row r="1504">
          <cell r="A1504" t="str">
            <v xml:space="preserve">UGS5UGC1Z9Q-B256CP </v>
          </cell>
          <cell r="B1504" t="str">
            <v xml:space="preserve">UG WS U10/360,AFB-L,256/9GB/CD </v>
          </cell>
          <cell r="C1504">
            <v>9443</v>
          </cell>
          <cell r="D1504" t="str">
            <v xml:space="preserve">H </v>
          </cell>
        </row>
        <row r="1505">
          <cell r="A1505" t="str">
            <v xml:space="preserve">UGSB1000-X-256M-C </v>
          </cell>
          <cell r="B1505" t="str">
            <v xml:space="preserve">UG SS1000 TO 2602CPU/MEM+256MB </v>
          </cell>
          <cell r="C1505">
            <v>14250</v>
          </cell>
          <cell r="D1505" t="str">
            <v xml:space="preserve">A </v>
          </cell>
        </row>
        <row r="1506">
          <cell r="A1506" t="str">
            <v xml:space="preserve">UGSB2000-X-0M-C </v>
          </cell>
          <cell r="B1506" t="str">
            <v xml:space="preserve">UG 1000/2000 BD TO2602 CPU/MEM </v>
          </cell>
          <cell r="C1506">
            <v>9000</v>
          </cell>
          <cell r="D1506" t="str">
            <v xml:space="preserve">A </v>
          </cell>
        </row>
        <row r="1507">
          <cell r="A1507" t="str">
            <v xml:space="preserve">UGSB2000-X-256M-C </v>
          </cell>
          <cell r="B1507" t="str">
            <v xml:space="preserve">UG SC2000 TO 2602CPU/MEM+256MB </v>
          </cell>
          <cell r="C1507">
            <v>13500</v>
          </cell>
          <cell r="D1507" t="str">
            <v xml:space="preserve">A </v>
          </cell>
        </row>
        <row r="1508">
          <cell r="A1508" t="str">
            <v xml:space="preserve">UGSB260X-2602 </v>
          </cell>
          <cell r="B1508" t="str">
            <v xml:space="preserve">UG 260X TO 2602 CPU/MEM BOARD </v>
          </cell>
          <cell r="C1508">
            <v>6750</v>
          </cell>
          <cell r="D1508" t="str">
            <v xml:space="preserve">A </v>
          </cell>
        </row>
        <row r="1509">
          <cell r="A1509" t="str">
            <v xml:space="preserve">UGSB261X-2612 </v>
          </cell>
          <cell r="B1509" t="str">
            <v xml:space="preserve">UG 261X TO 2612 I/O BD W/FC-AL </v>
          </cell>
          <cell r="C1509">
            <v>4900</v>
          </cell>
          <cell r="D1509" t="str">
            <v xml:space="preserve">A </v>
          </cell>
        </row>
        <row r="1510">
          <cell r="A1510" t="str">
            <v xml:space="preserve">UGSB261X-2632 </v>
          </cell>
          <cell r="B1510" t="str">
            <v xml:space="preserve">UG 261X SBus to 2632 PCI I/O B </v>
          </cell>
          <cell r="C1510">
            <v>7700</v>
          </cell>
          <cell r="D1510" t="str">
            <v xml:space="preserve">A </v>
          </cell>
        </row>
        <row r="1511">
          <cell r="A1511" t="str">
            <v xml:space="preserve">UGSB262X-2622 </v>
          </cell>
          <cell r="B1511" t="str">
            <v xml:space="preserve">UG 262X to 2622 G I/O Bd:FC-AL </v>
          </cell>
          <cell r="C1511">
            <v>5600</v>
          </cell>
          <cell r="D1511" t="str">
            <v xml:space="preserve">A </v>
          </cell>
        </row>
        <row r="1512">
          <cell r="A1512" t="str">
            <v xml:space="preserve">UGSB263X-2632 </v>
          </cell>
          <cell r="B1512" t="str">
            <v xml:space="preserve">UG 263X TO 2632 PCI I/O BD </v>
          </cell>
          <cell r="C1512">
            <v>7000</v>
          </cell>
          <cell r="D1512" t="str">
            <v xml:space="preserve">A </v>
          </cell>
        </row>
        <row r="1513">
          <cell r="A1513" t="str">
            <v xml:space="preserve">UGSS2-3UEC19Q128AC </v>
          </cell>
          <cell r="B1513" t="str">
            <v xml:space="preserve">UG TO U60 300 128MB/4GB </v>
          </cell>
          <cell r="C1513">
            <v>16335</v>
          </cell>
          <cell r="D1513" t="str">
            <v xml:space="preserve">H </v>
          </cell>
        </row>
        <row r="1514">
          <cell r="A1514" t="str">
            <v xml:space="preserve">UGSS2-UFE1A9PB64CN </v>
          </cell>
          <cell r="B1514" t="str">
            <v xml:space="preserve">UG WS U5/270, PGX24,64/4GB, CD </v>
          </cell>
          <cell r="C1514">
            <v>3031</v>
          </cell>
          <cell r="D1514" t="str">
            <v xml:space="preserve">H </v>
          </cell>
        </row>
        <row r="1515">
          <cell r="A1515" t="str">
            <v xml:space="preserve">UGSS2UEC1-9L-128AH </v>
          </cell>
          <cell r="B1515" t="str">
            <v xml:space="preserve">UG S20-U2/300, C3D, 128MB/9GB </v>
          </cell>
          <cell r="C1515">
            <v>13095</v>
          </cell>
          <cell r="D1515" t="str">
            <v xml:space="preserve">H </v>
          </cell>
        </row>
        <row r="1516">
          <cell r="A1516" t="str">
            <v xml:space="preserve">UGSS2UEC1-9M-128AH </v>
          </cell>
          <cell r="B1516" t="str">
            <v xml:space="preserve">UG U2/1300, AFB, 128MB, 9GB </v>
          </cell>
          <cell r="C1516">
            <v>15923</v>
          </cell>
          <cell r="D1516" t="str">
            <v xml:space="preserve">H </v>
          </cell>
        </row>
        <row r="1517">
          <cell r="A1517" t="str">
            <v xml:space="preserve">UGSS2UEC2-9L-512AH </v>
          </cell>
          <cell r="B1517" t="str">
            <v xml:space="preserve">UG U2/2300, FDB2+, 512MB, 9GB </v>
          </cell>
          <cell r="C1517">
            <v>20952</v>
          </cell>
          <cell r="D1517" t="str">
            <v xml:space="preserve">H </v>
          </cell>
        </row>
        <row r="1518">
          <cell r="A1518" t="str">
            <v xml:space="preserve">UGSS2UFE1A9PB128CN </v>
          </cell>
          <cell r="B1518" t="str">
            <v xml:space="preserve">UG WS U5/270,PGX24,128/4GB/CD </v>
          </cell>
          <cell r="C1518">
            <v>3267</v>
          </cell>
          <cell r="D1518" t="str">
            <v xml:space="preserve">H </v>
          </cell>
        </row>
        <row r="1519">
          <cell r="A1519" t="str">
            <v xml:space="preserve">UGSS2UHC1A9PB128CP </v>
          </cell>
          <cell r="B1519" t="str">
            <v xml:space="preserve">UG WS U5/333,PGX24,128/9GB/CD </v>
          </cell>
          <cell r="C1519">
            <v>4381</v>
          </cell>
          <cell r="D1519" t="str">
            <v xml:space="preserve">H </v>
          </cell>
        </row>
        <row r="1520">
          <cell r="A1520" t="str">
            <v xml:space="preserve">UGSS2UHC1A9PB256CP </v>
          </cell>
          <cell r="B1520" t="str">
            <v xml:space="preserve">UG WS U5/333,PGX24,256/9GB/CD </v>
          </cell>
          <cell r="C1520">
            <v>4853</v>
          </cell>
          <cell r="D1520" t="str">
            <v xml:space="preserve">H </v>
          </cell>
        </row>
        <row r="1521">
          <cell r="A1521" t="str">
            <v xml:space="preserve">UGSS2UJC1-9L-256AH </v>
          </cell>
          <cell r="B1521" t="str">
            <v xml:space="preserve">UG SS2-U2/400, C3D, 256MB/9GB </v>
          </cell>
          <cell r="C1521">
            <v>16301</v>
          </cell>
          <cell r="D1521" t="str">
            <v xml:space="preserve">H </v>
          </cell>
        </row>
        <row r="1522">
          <cell r="A1522" t="str">
            <v xml:space="preserve">UGSS2UJC1-9M-256AH </v>
          </cell>
          <cell r="B1522" t="str">
            <v xml:space="preserve">UG U2/1400, AFB, 256MB, 9GB </v>
          </cell>
          <cell r="C1522">
            <v>19670</v>
          </cell>
          <cell r="D1522" t="str">
            <v xml:space="preserve">H </v>
          </cell>
        </row>
        <row r="1523">
          <cell r="A1523" t="str">
            <v xml:space="preserve">UGTOTNET-L25 </v>
          </cell>
          <cell r="B1523" t="str">
            <v xml:space="preserve">UG TOTALNET 5.0, 25LIC </v>
          </cell>
          <cell r="C1523">
            <v>975</v>
          </cell>
          <cell r="D1523" t="str">
            <v xml:space="preserve">B </v>
          </cell>
        </row>
        <row r="1524">
          <cell r="A1524" t="str">
            <v xml:space="preserve">UGU1-UHC1Z9KB256CP </v>
          </cell>
          <cell r="B1524" t="str">
            <v xml:space="preserve">UG WS U10/333, C3SB,256/9GB/CD </v>
          </cell>
          <cell r="C1524">
            <v>5596</v>
          </cell>
          <cell r="D1524" t="str">
            <v xml:space="preserve">H </v>
          </cell>
        </row>
        <row r="1525">
          <cell r="A1525" t="str">
            <v xml:space="preserve">UGU1-UHC1Z9LB128CP </v>
          </cell>
          <cell r="B1525" t="str">
            <v xml:space="preserve">UG WS U10/333, C3DB,128/9GB/CD </v>
          </cell>
          <cell r="C1525">
            <v>5663</v>
          </cell>
          <cell r="D1525" t="str">
            <v xml:space="preserve">H </v>
          </cell>
        </row>
        <row r="1526">
          <cell r="A1526" t="str">
            <v xml:space="preserve">UGU1-UHC1Z9LB256CP </v>
          </cell>
          <cell r="B1526" t="str">
            <v xml:space="preserve">UG WS U10/333, C3DB,256/9GB/CD </v>
          </cell>
          <cell r="C1526">
            <v>6136</v>
          </cell>
          <cell r="D1526" t="str">
            <v xml:space="preserve">H </v>
          </cell>
        </row>
        <row r="1527">
          <cell r="A1527" t="str">
            <v xml:space="preserve">UGU1UGC1Z9Q-B256CP </v>
          </cell>
          <cell r="B1527" t="str">
            <v xml:space="preserve">UG WS U10/360,AFB-L,256/9GB/CD </v>
          </cell>
          <cell r="C1527">
            <v>8363</v>
          </cell>
          <cell r="D1527" t="str">
            <v xml:space="preserve">H </v>
          </cell>
        </row>
        <row r="1528">
          <cell r="A1528" t="str">
            <v xml:space="preserve">US20-UHC1Z9KB256CP </v>
          </cell>
          <cell r="B1528" t="str">
            <v xml:space="preserve">UG WS U10/333, C3SB,256/9GB/CD </v>
          </cell>
          <cell r="C1528">
            <v>5866</v>
          </cell>
          <cell r="D1528" t="str">
            <v xml:space="preserve">H </v>
          </cell>
        </row>
        <row r="1529">
          <cell r="A1529" t="str">
            <v xml:space="preserve">US20-UHC1Z9LB128CP </v>
          </cell>
          <cell r="B1529" t="str">
            <v xml:space="preserve">UG WS U10/333, C3DB,128/9GB/CD </v>
          </cell>
          <cell r="C1529">
            <v>5798</v>
          </cell>
          <cell r="D1529" t="str">
            <v xml:space="preserve">H </v>
          </cell>
        </row>
        <row r="1530">
          <cell r="A1530" t="str">
            <v xml:space="preserve">US20UEC1-9S-000NK </v>
          </cell>
          <cell r="B1530" t="str">
            <v xml:space="preserve">UG S20 TO UE2/1300, 32XCD </v>
          </cell>
          <cell r="C1530">
            <v>13439</v>
          </cell>
          <cell r="D1530" t="str">
            <v xml:space="preserve">H </v>
          </cell>
        </row>
        <row r="1531">
          <cell r="A1531" t="str">
            <v xml:space="preserve">US20UEC2-9S-000NK </v>
          </cell>
          <cell r="B1531" t="str">
            <v xml:space="preserve">UG S20 TO UE2/2300,32XCD </v>
          </cell>
          <cell r="C1531">
            <v>20593</v>
          </cell>
          <cell r="D1531" t="str">
            <v xml:space="preserve">H </v>
          </cell>
        </row>
        <row r="1532">
          <cell r="A1532" t="str">
            <v xml:space="preserve">US20UJC1-9S-000NK </v>
          </cell>
          <cell r="B1532" t="str">
            <v xml:space="preserve">UG S20/E1 TO E2/1400, 32xCD </v>
          </cell>
          <cell r="C1532">
            <v>12440</v>
          </cell>
          <cell r="D1532" t="str">
            <v xml:space="preserve">H </v>
          </cell>
        </row>
        <row r="1533">
          <cell r="A1533" t="str">
            <v xml:space="preserve">US20UJC2-9S-000NK </v>
          </cell>
          <cell r="B1533" t="str">
            <v xml:space="preserve">UG S20/E1 toE2/2400, no mem/dr </v>
          </cell>
          <cell r="C1533">
            <v>18650</v>
          </cell>
          <cell r="D1533" t="str">
            <v xml:space="preserve">H </v>
          </cell>
        </row>
        <row r="1534">
          <cell r="A1534" t="str">
            <v xml:space="preserve">US5-1UGE1Z9PC256CR </v>
          </cell>
          <cell r="B1534" t="str">
            <v xml:space="preserve">UG WS U5/360,PGX24,256MB/8GB </v>
          </cell>
          <cell r="C1534">
            <v>3537</v>
          </cell>
          <cell r="D1534" t="str">
            <v xml:space="preserve">H </v>
          </cell>
        </row>
        <row r="1535">
          <cell r="A1535" t="str">
            <v xml:space="preserve">US5-2UKC1Z9MC256CP </v>
          </cell>
          <cell r="B1535" t="str">
            <v xml:space="preserve">UG WS U10/440,AFBM6,256MB/9G </v>
          </cell>
          <cell r="C1535">
            <v>9173</v>
          </cell>
          <cell r="D1535" t="str">
            <v xml:space="preserve">H </v>
          </cell>
        </row>
        <row r="1536">
          <cell r="A1536" t="str">
            <v xml:space="preserve">US5-2UKC1Z9QC128CP </v>
          </cell>
          <cell r="B1536" t="str">
            <v xml:space="preserve">UG WS U10/440,AFBM3,128MB/9G </v>
          </cell>
          <cell r="C1536">
            <v>7418</v>
          </cell>
          <cell r="D1536" t="str">
            <v xml:space="preserve">H </v>
          </cell>
        </row>
        <row r="1537">
          <cell r="A1537" t="str">
            <v xml:space="preserve">US5-2UKC1Z9QC256CP </v>
          </cell>
          <cell r="B1537" t="str">
            <v xml:space="preserve">UG WS U10/440,AFBM3,256MB/9G </v>
          </cell>
          <cell r="C1537">
            <v>7891</v>
          </cell>
          <cell r="D1537" t="str">
            <v xml:space="preserve">H </v>
          </cell>
        </row>
        <row r="1538">
          <cell r="A1538" t="str">
            <v xml:space="preserve">USS-2UKC1Z9MC256CP </v>
          </cell>
          <cell r="B1538" t="str">
            <v xml:space="preserve">UG WS U10/440,AFBM6,256MB/9G </v>
          </cell>
          <cell r="C1538">
            <v>8768</v>
          </cell>
          <cell r="D1538" t="str">
            <v xml:space="preserve">H </v>
          </cell>
        </row>
        <row r="1539">
          <cell r="A1539" t="str">
            <v xml:space="preserve">USS-2UKC1Z9MC512CP </v>
          </cell>
          <cell r="B1539" t="str">
            <v xml:space="preserve">UG WS U10/440,AFBM6,512MB/9G </v>
          </cell>
          <cell r="C1539">
            <v>9848</v>
          </cell>
          <cell r="D1539" t="str">
            <v xml:space="preserve">H </v>
          </cell>
        </row>
        <row r="1540">
          <cell r="A1540" t="str">
            <v xml:space="preserve">USS-2UKC1Z9QC256CP </v>
          </cell>
          <cell r="B1540" t="str">
            <v xml:space="preserve">UG WS U10/440,AFBM3,256MB/9G </v>
          </cell>
          <cell r="C1540">
            <v>7486</v>
          </cell>
          <cell r="D1540" t="str">
            <v xml:space="preserve">H </v>
          </cell>
        </row>
        <row r="1541">
          <cell r="A1541" t="str">
            <v xml:space="preserve">USS-2UKC1Z9QC512CP </v>
          </cell>
          <cell r="B1541" t="str">
            <v xml:space="preserve">UG WS U10/440,AFBM3,512MB/9G </v>
          </cell>
          <cell r="C1541">
            <v>8566</v>
          </cell>
          <cell r="D1541" t="str">
            <v xml:space="preserve">H </v>
          </cell>
        </row>
        <row r="1542">
          <cell r="A1542" t="str">
            <v xml:space="preserve">USS2-3UGD19L-128AH </v>
          </cell>
          <cell r="B1542" t="str">
            <v xml:space="preserve">UG TO U60 360 128MB/9GB </v>
          </cell>
          <cell r="C1542">
            <v>11873</v>
          </cell>
          <cell r="D1542" t="str">
            <v xml:space="preserve">H </v>
          </cell>
        </row>
        <row r="1543">
          <cell r="A1543" t="str">
            <v xml:space="preserve">USS2-3UGD29L-256AH </v>
          </cell>
          <cell r="B1543" t="str">
            <v xml:space="preserve">UPG TO ULT 60, 2X360MHZ, 256MB </v>
          </cell>
          <cell r="C1543">
            <v>17071</v>
          </cell>
          <cell r="D1543" t="str">
            <v xml:space="preserve">H </v>
          </cell>
        </row>
        <row r="1544">
          <cell r="A1544" t="str">
            <v xml:space="preserve">USS2-3ULD19L-256AH </v>
          </cell>
          <cell r="B1544" t="str">
            <v xml:space="preserve">CHASSIS UPG TO ULT 60, 450MHZ </v>
          </cell>
          <cell r="C1544">
            <v>15923</v>
          </cell>
          <cell r="D1544" t="str">
            <v xml:space="preserve">H </v>
          </cell>
        </row>
        <row r="1545">
          <cell r="A1545" t="str">
            <v xml:space="preserve">USS2-3ULD19Q-256AH </v>
          </cell>
          <cell r="B1545" t="str">
            <v xml:space="preserve">CHASSIS UPG TO ULT 60, 450MHZ </v>
          </cell>
          <cell r="C1545">
            <v>17543</v>
          </cell>
          <cell r="D1545" t="str">
            <v xml:space="preserve">H </v>
          </cell>
        </row>
        <row r="1546">
          <cell r="A1546" t="str">
            <v xml:space="preserve">USS2-UEC2-9M-256AH </v>
          </cell>
          <cell r="B1546" t="str">
            <v xml:space="preserve">UG U2/2300, AFB, 256MB, 9GB </v>
          </cell>
          <cell r="C1546">
            <v>22673</v>
          </cell>
          <cell r="D1546" t="str">
            <v xml:space="preserve">H </v>
          </cell>
        </row>
        <row r="1547">
          <cell r="A1547" t="str">
            <v xml:space="preserve">USS2-UHC1A9KB128CP </v>
          </cell>
          <cell r="B1547" t="str">
            <v xml:space="preserve">UG WS U10/333, C3SB,128/9GB/CD </v>
          </cell>
          <cell r="C1547">
            <v>5866</v>
          </cell>
          <cell r="D1547" t="str">
            <v xml:space="preserve">H </v>
          </cell>
        </row>
        <row r="1548">
          <cell r="A1548" t="str">
            <v xml:space="preserve">VENBS-311-9999 </v>
          </cell>
          <cell r="B1548" t="str">
            <v xml:space="preserve">SW VX NFS EDITION MEDIA </v>
          </cell>
          <cell r="C1548">
            <v>195</v>
          </cell>
          <cell r="D1548" t="str">
            <v xml:space="preserve">D </v>
          </cell>
        </row>
        <row r="1549">
          <cell r="A1549" t="str">
            <v xml:space="preserve">VENIS-311-D999 </v>
          </cell>
          <cell r="B1549" t="str">
            <v xml:space="preserve">SW VX NFS EDITION TIER 1 </v>
          </cell>
          <cell r="C1549">
            <v>8673</v>
          </cell>
          <cell r="D1549" t="str">
            <v xml:space="preserve">B </v>
          </cell>
        </row>
        <row r="1550">
          <cell r="A1550" t="str">
            <v xml:space="preserve">VENIS-311-E999 </v>
          </cell>
          <cell r="B1550" t="str">
            <v xml:space="preserve">SW VX NFS EDITION TIER 3 </v>
          </cell>
          <cell r="C1550">
            <v>37233</v>
          </cell>
          <cell r="D1550" t="str">
            <v xml:space="preserve">B </v>
          </cell>
        </row>
        <row r="1551">
          <cell r="A1551" t="str">
            <v xml:space="preserve">VENIS-311-S999 </v>
          </cell>
          <cell r="B1551" t="str">
            <v xml:space="preserve">SW VX NFS EDITION TIER 4 </v>
          </cell>
          <cell r="C1551">
            <v>122913</v>
          </cell>
          <cell r="D1551" t="str">
            <v xml:space="preserve">B </v>
          </cell>
        </row>
        <row r="1552">
          <cell r="A1552" t="str">
            <v xml:space="preserve">VENIS-311-W999 </v>
          </cell>
          <cell r="B1552" t="str">
            <v xml:space="preserve">SW VX NFS EDITION TIER 2 </v>
          </cell>
          <cell r="C1552">
            <v>19733</v>
          </cell>
          <cell r="D1552" t="str">
            <v xml:space="preserve">B </v>
          </cell>
        </row>
        <row r="1553">
          <cell r="A1553" t="str">
            <v xml:space="preserve">VEOBS-311-9999 </v>
          </cell>
          <cell r="B1553" t="str">
            <v xml:space="preserve">SW VX ORACLE EDITION MEDIA </v>
          </cell>
          <cell r="C1553">
            <v>195</v>
          </cell>
          <cell r="D1553" t="str">
            <v xml:space="preserve">D </v>
          </cell>
        </row>
        <row r="1554">
          <cell r="A1554" t="str">
            <v xml:space="preserve">VEOIS-311-D999 </v>
          </cell>
          <cell r="B1554" t="str">
            <v xml:space="preserve">SW VX ORACLE EDITION TIER 1 </v>
          </cell>
          <cell r="C1554">
            <v>11060</v>
          </cell>
          <cell r="D1554" t="str">
            <v xml:space="preserve">B </v>
          </cell>
        </row>
        <row r="1555">
          <cell r="A1555" t="str">
            <v xml:space="preserve">VEOIS-311-E999 </v>
          </cell>
          <cell r="B1555" t="str">
            <v xml:space="preserve">SW VX ORACLE EDITION TIER 3 </v>
          </cell>
          <cell r="C1555">
            <v>49000</v>
          </cell>
          <cell r="D1555" t="str">
            <v xml:space="preserve">B </v>
          </cell>
        </row>
        <row r="1556">
          <cell r="A1556" t="str">
            <v xml:space="preserve">VEOIS-311-S999 </v>
          </cell>
          <cell r="B1556" t="str">
            <v xml:space="preserve">SW VX ORACLE EDITION TIER 4 </v>
          </cell>
          <cell r="C1556">
            <v>162400</v>
          </cell>
          <cell r="D1556" t="str">
            <v xml:space="preserve">B </v>
          </cell>
        </row>
        <row r="1557">
          <cell r="A1557" t="str">
            <v xml:space="preserve">VEOIS-311-W999 </v>
          </cell>
          <cell r="B1557" t="str">
            <v xml:space="preserve">SW VX ORACLE EDITION TIER 2 </v>
          </cell>
          <cell r="C1557">
            <v>26320</v>
          </cell>
          <cell r="D1557" t="str">
            <v xml:space="preserve">B </v>
          </cell>
        </row>
        <row r="1558">
          <cell r="A1558" t="str">
            <v xml:space="preserve">VEWBS-311-9999 </v>
          </cell>
          <cell r="B1558" t="str">
            <v xml:space="preserve">SW VX WEB EDITION MEDIA </v>
          </cell>
          <cell r="C1558">
            <v>195</v>
          </cell>
          <cell r="D1558" t="str">
            <v xml:space="preserve">D </v>
          </cell>
        </row>
        <row r="1559">
          <cell r="A1559" t="str">
            <v xml:space="preserve">VEWIS-311-D999 </v>
          </cell>
          <cell r="B1559" t="str">
            <v xml:space="preserve">SW VX WEB EDITION TIER 1 </v>
          </cell>
          <cell r="C1559">
            <v>7133</v>
          </cell>
          <cell r="D1559" t="str">
            <v xml:space="preserve">B </v>
          </cell>
        </row>
        <row r="1560">
          <cell r="A1560" t="str">
            <v xml:space="preserve">VEWIS-311-E999 </v>
          </cell>
          <cell r="B1560" t="str">
            <v xml:space="preserve">SW VX WEB EDITION TIER 3 </v>
          </cell>
          <cell r="C1560">
            <v>30933</v>
          </cell>
          <cell r="D1560" t="str">
            <v xml:space="preserve">B </v>
          </cell>
        </row>
        <row r="1561">
          <cell r="A1561" t="str">
            <v xml:space="preserve">VEWIS-311-S999 </v>
          </cell>
          <cell r="B1561" t="str">
            <v xml:space="preserve">SW VX WEB EDITION TIER 4 </v>
          </cell>
          <cell r="C1561">
            <v>102333</v>
          </cell>
          <cell r="D1561" t="str">
            <v xml:space="preserve">B </v>
          </cell>
        </row>
        <row r="1562">
          <cell r="A1562" t="str">
            <v xml:space="preserve">VEWIS-311-W999 </v>
          </cell>
          <cell r="B1562" t="str">
            <v xml:space="preserve">SW VX WEB EDITION TIER 2 </v>
          </cell>
          <cell r="C1562">
            <v>16653</v>
          </cell>
          <cell r="D1562" t="str">
            <v xml:space="preserve">B </v>
          </cell>
        </row>
        <row r="1563">
          <cell r="A1563" t="str">
            <v xml:space="preserve">VEYBS-311-9999 </v>
          </cell>
          <cell r="B1563" t="str">
            <v xml:space="preserve">Veritas SYBASE Edition Media </v>
          </cell>
          <cell r="C1563">
            <v>195</v>
          </cell>
          <cell r="D1563" t="str">
            <v xml:space="preserve">D </v>
          </cell>
        </row>
        <row r="1564">
          <cell r="A1564" t="str">
            <v xml:space="preserve">VEYIS-311-D999 </v>
          </cell>
          <cell r="B1564" t="str">
            <v xml:space="preserve">Veritas SYBASE Edition Tier 1 </v>
          </cell>
          <cell r="C1564">
            <v>8953</v>
          </cell>
          <cell r="D1564" t="str">
            <v xml:space="preserve">B </v>
          </cell>
        </row>
        <row r="1565">
          <cell r="A1565" t="str">
            <v xml:space="preserve">VEYIS-311-E999 </v>
          </cell>
          <cell r="B1565" t="str">
            <v>Veritas SYBASE Edition Tier 3</v>
          </cell>
          <cell r="C1565">
            <v>38633</v>
          </cell>
          <cell r="D1565" t="str">
            <v xml:space="preserve">B </v>
          </cell>
        </row>
        <row r="1566">
          <cell r="A1566" t="str">
            <v xml:space="preserve">VEYIS-311-S999 </v>
          </cell>
          <cell r="B1566" t="str">
            <v>Veritas SYBASE Edition Tier 4</v>
          </cell>
          <cell r="C1566">
            <v>128093</v>
          </cell>
          <cell r="D1566" t="str">
            <v xml:space="preserve">B </v>
          </cell>
        </row>
        <row r="1567">
          <cell r="A1567" t="str">
            <v xml:space="preserve">VEYIS 311-W999 </v>
          </cell>
          <cell r="B1567" t="str">
            <v>Veritas SYBASE Edition Tier 2</v>
          </cell>
          <cell r="C1567">
            <v>20853</v>
          </cell>
          <cell r="D1567" t="str">
            <v xml:space="preserve">B </v>
          </cell>
        </row>
        <row r="1568">
          <cell r="A1568" t="str">
            <v xml:space="preserve">VFS9S-330-D999 </v>
          </cell>
          <cell r="B1568" t="str">
            <v>VERITAS FS 3.3 DEP SVR, LIC</v>
          </cell>
          <cell r="C1568">
            <v>9793</v>
          </cell>
          <cell r="D1568" t="str">
            <v xml:space="preserve">B </v>
          </cell>
        </row>
        <row r="1569">
          <cell r="A1569" t="str">
            <v xml:space="preserve">VFS9S-330-D9U9 </v>
          </cell>
          <cell r="B1569" t="str">
            <v>UG VERITAS FS 3.3 DEP SVR, LIC</v>
          </cell>
          <cell r="C1569">
            <v>2422</v>
          </cell>
          <cell r="D1569" t="str">
            <v xml:space="preserve">B </v>
          </cell>
        </row>
        <row r="1570">
          <cell r="A1570" t="str">
            <v xml:space="preserve">VFS9S-330-E999 </v>
          </cell>
          <cell r="B1570" t="str">
            <v>VERITAS FS 3.3 EX000, LIC</v>
          </cell>
          <cell r="C1570">
            <v>18193</v>
          </cell>
          <cell r="D1570" t="str">
            <v xml:space="preserve">B </v>
          </cell>
        </row>
        <row r="1571">
          <cell r="A1571" t="str">
            <v xml:space="preserve">VFS9S-330-E9U9 </v>
          </cell>
          <cell r="B1571" t="str">
            <v>UG VERITAS FS 3.3 EXX00, LIC</v>
          </cell>
          <cell r="C1571">
            <v>4550</v>
          </cell>
          <cell r="D1571" t="str">
            <v xml:space="preserve">B </v>
          </cell>
        </row>
        <row r="1572">
          <cell r="A1572" t="str">
            <v xml:space="preserve">VFS9S-330-R999 </v>
          </cell>
          <cell r="B1572" t="str">
            <v>VERIITAS FS 3.3, CD DOC</v>
          </cell>
          <cell r="C1572">
            <v>140</v>
          </cell>
          <cell r="D1572" t="str">
            <v xml:space="preserve">D </v>
          </cell>
        </row>
        <row r="1573">
          <cell r="A1573" t="str">
            <v xml:space="preserve">VFS9S-330-S999 </v>
          </cell>
          <cell r="B1573" t="str">
            <v>VERITAS FS 3.3 E10000, LIC</v>
          </cell>
          <cell r="C1573">
            <v>60193</v>
          </cell>
          <cell r="D1573" t="str">
            <v xml:space="preserve">B </v>
          </cell>
        </row>
        <row r="1574">
          <cell r="A1574" t="str">
            <v xml:space="preserve">VFS9S-330-S9U9 </v>
          </cell>
          <cell r="B1574" t="str">
            <v xml:space="preserve">UG VERITAS FS 3.3 E10000, LIC </v>
          </cell>
          <cell r="C1574">
            <v>14000</v>
          </cell>
          <cell r="D1574" t="str">
            <v xml:space="preserve">B </v>
          </cell>
        </row>
        <row r="1575">
          <cell r="A1575" t="str">
            <v xml:space="preserve">VFS9S-330-W999 </v>
          </cell>
          <cell r="B1575" t="str">
            <v>VERITAS FS 3.2 WS+WGS, LIC</v>
          </cell>
          <cell r="C1575">
            <v>4193</v>
          </cell>
          <cell r="D1575" t="str">
            <v xml:space="preserve">B </v>
          </cell>
        </row>
        <row r="1576">
          <cell r="A1576" t="str">
            <v xml:space="preserve">VFS9S-330-W9U9 </v>
          </cell>
          <cell r="B1576" t="str">
            <v>UG VERITAS FS 3.3 DWS&amp;WGS, LIC</v>
          </cell>
          <cell r="C1576">
            <v>1050</v>
          </cell>
          <cell r="D1576" t="str">
            <v xml:space="preserve">B </v>
          </cell>
        </row>
        <row r="1577">
          <cell r="A1577" t="str">
            <v xml:space="preserve">VFSTS-311-9999 </v>
          </cell>
          <cell r="B1577" t="str">
            <v xml:space="preserve">VERITAS VM 3.1.1 MEDIA &amp; DOC </v>
          </cell>
          <cell r="C1577">
            <v>210</v>
          </cell>
          <cell r="D1577" t="str">
            <v xml:space="preserve">B </v>
          </cell>
        </row>
        <row r="1578">
          <cell r="A1578" t="str">
            <v xml:space="preserve">VHSM9-311-9999 </v>
          </cell>
          <cell r="B1578" t="str">
            <v xml:space="preserve">SW HSM 3.1.1 UNIX MEDIA &amp; DOC </v>
          </cell>
          <cell r="C1578">
            <v>130</v>
          </cell>
          <cell r="D1578" t="str">
            <v xml:space="preserve">D </v>
          </cell>
        </row>
        <row r="1579">
          <cell r="A1579" t="str">
            <v xml:space="preserve">VMR9S-260-D999 </v>
          </cell>
          <cell r="B1579" t="str">
            <v>SW SVM 2.6 DEPARTMENT SRVR RTU</v>
          </cell>
          <cell r="C1579">
            <v>9793</v>
          </cell>
          <cell r="D1579" t="str">
            <v xml:space="preserve">B </v>
          </cell>
        </row>
        <row r="1580">
          <cell r="A1580" t="str">
            <v xml:space="preserve">VMR9S-260-D9U9 </v>
          </cell>
          <cell r="B1580" t="str">
            <v xml:space="preserve">SW SVM 2.6 DEP SRVR RTU UPG </v>
          </cell>
          <cell r="C1580">
            <v>2422</v>
          </cell>
          <cell r="D1580" t="str">
            <v xml:space="preserve">B </v>
          </cell>
        </row>
        <row r="1581">
          <cell r="A1581" t="str">
            <v xml:space="preserve">VMR9S-260-E999 </v>
          </cell>
          <cell r="B1581" t="str">
            <v xml:space="preserve">SW SVM 2.6 ENTERPRISE SRVR RTU </v>
          </cell>
          <cell r="C1581">
            <v>18193</v>
          </cell>
          <cell r="D1581" t="str">
            <v xml:space="preserve">B </v>
          </cell>
        </row>
        <row r="1582">
          <cell r="A1582" t="str">
            <v xml:space="preserve">VMR9S-260-E9U9 </v>
          </cell>
          <cell r="B1582" t="str">
            <v xml:space="preserve">SW SVM 2.6 ENTRPR SRVR RTU UPG </v>
          </cell>
          <cell r="C1582">
            <v>4550</v>
          </cell>
          <cell r="D1582" t="str">
            <v xml:space="preserve">B </v>
          </cell>
        </row>
        <row r="1583">
          <cell r="A1583" t="str">
            <v xml:space="preserve">VMR9S-260-R999 </v>
          </cell>
          <cell r="B1583" t="str">
            <v xml:space="preserve">SW SVM 2.6 MEDIA DOCUMENTATION </v>
          </cell>
          <cell r="C1583">
            <v>140</v>
          </cell>
          <cell r="D1583" t="str">
            <v xml:space="preserve">D </v>
          </cell>
        </row>
        <row r="1584">
          <cell r="A1584" t="str">
            <v xml:space="preserve">VMR9S-260-R9U9 </v>
          </cell>
          <cell r="B1584" t="str">
            <v xml:space="preserve">SW SVM 2.6 SSA/A5000 UP CD/DOC </v>
          </cell>
          <cell r="C1584">
            <v>560</v>
          </cell>
          <cell r="D1584" t="str">
            <v xml:space="preserve">B </v>
          </cell>
        </row>
        <row r="1585">
          <cell r="A1585" t="str">
            <v xml:space="preserve">VMR9S-260-S999 </v>
          </cell>
          <cell r="B1585" t="str">
            <v xml:space="preserve">SW SVM 2.6 E10000 SRVR RTU </v>
          </cell>
          <cell r="C1585">
            <v>60193</v>
          </cell>
          <cell r="D1585" t="str">
            <v xml:space="preserve">B </v>
          </cell>
        </row>
        <row r="1586">
          <cell r="A1586" t="str">
            <v xml:space="preserve">VMR9S-260-S9U9 </v>
          </cell>
          <cell r="B1586" t="str">
            <v xml:space="preserve">SW SVM 2.6 E10000 SRVR RTU UPG </v>
          </cell>
          <cell r="C1586">
            <v>14000</v>
          </cell>
          <cell r="D1586" t="str">
            <v xml:space="preserve">B </v>
          </cell>
        </row>
        <row r="1587">
          <cell r="A1587" t="str">
            <v xml:space="preserve">VMR9S-260-W999 </v>
          </cell>
          <cell r="B1587" t="str">
            <v xml:space="preserve">SW SVM 2.6 WS AND WG SRVR RTU </v>
          </cell>
          <cell r="C1587">
            <v>4193</v>
          </cell>
          <cell r="D1587" t="str">
            <v xml:space="preserve">B </v>
          </cell>
        </row>
        <row r="1588">
          <cell r="A1588" t="str">
            <v xml:space="preserve">VMR9S-260-W9U9 </v>
          </cell>
          <cell r="B1588" t="str">
            <v xml:space="preserve">SW SVM 2.6 WS &amp; WS SVR RTU UPG </v>
          </cell>
          <cell r="C1588">
            <v>1050</v>
          </cell>
          <cell r="D1588" t="str">
            <v xml:space="preserve">B </v>
          </cell>
        </row>
        <row r="1589">
          <cell r="A1589" t="str">
            <v xml:space="preserve">VMS9S-260-D999 </v>
          </cell>
          <cell r="B1589" t="str">
            <v xml:space="preserve">SW SVM 2.6 DEPRTMT SRV ADD RTU </v>
          </cell>
          <cell r="C1589">
            <v>5782</v>
          </cell>
          <cell r="D1589" t="str">
            <v xml:space="preserve">B </v>
          </cell>
        </row>
        <row r="1590">
          <cell r="A1590" t="str">
            <v xml:space="preserve">VMS9S-260-E999 </v>
          </cell>
          <cell r="B1590" t="str">
            <v xml:space="preserve">SW SVM 2.6 ENTRPRS SRV ADD RTU </v>
          </cell>
          <cell r="C1590">
            <v>10822</v>
          </cell>
          <cell r="D1590" t="str">
            <v xml:space="preserve">B </v>
          </cell>
        </row>
        <row r="1591">
          <cell r="A1591" t="str">
            <v xml:space="preserve">VMS9S-260-R999 </v>
          </cell>
          <cell r="B1591" t="str">
            <v xml:space="preserve">SW SVM 2.6 FOR A5000S </v>
          </cell>
          <cell r="C1591">
            <v>0</v>
          </cell>
          <cell r="D1591" t="str">
            <v xml:space="preserve">D </v>
          </cell>
        </row>
        <row r="1592">
          <cell r="A1592" t="str">
            <v xml:space="preserve">VMS9S-260-S999 </v>
          </cell>
          <cell r="B1592" t="str">
            <v xml:space="preserve">SW SVM 2.6 E10000 SRV ADD RTU </v>
          </cell>
          <cell r="C1592">
            <v>36302</v>
          </cell>
          <cell r="D1592" t="str">
            <v xml:space="preserve">B </v>
          </cell>
        </row>
        <row r="1593">
          <cell r="A1593" t="str">
            <v xml:space="preserve">VMS9S-260-W999 </v>
          </cell>
          <cell r="B1593" t="str">
            <v xml:space="preserve">SW SVM 2.6 WS &amp; WG SRV ADD RTU </v>
          </cell>
          <cell r="C1593">
            <v>2562</v>
          </cell>
          <cell r="D1593" t="str">
            <v xml:space="preserve">B </v>
          </cell>
        </row>
        <row r="1594">
          <cell r="A1594" t="str">
            <v xml:space="preserve">VNB9N-311-9999 </v>
          </cell>
          <cell r="B1594" t="str">
            <v xml:space="preserve">SW NBU 3.1.1 NT SERVER RTU </v>
          </cell>
          <cell r="C1594">
            <v>5593</v>
          </cell>
          <cell r="D1594" t="str">
            <v xml:space="preserve">B </v>
          </cell>
        </row>
        <row r="1595">
          <cell r="A1595" t="str">
            <v xml:space="preserve">VNB9N-311-D999 </v>
          </cell>
          <cell r="B1595" t="str">
            <v xml:space="preserve">SW NBU 3.1.1 DB TIER 0 RTU </v>
          </cell>
          <cell r="C1595">
            <v>1400</v>
          </cell>
          <cell r="D1595" t="str">
            <v xml:space="preserve">B </v>
          </cell>
        </row>
        <row r="1596">
          <cell r="A1596" t="str">
            <v xml:space="preserve">VNB9N-311-W999 </v>
          </cell>
          <cell r="B1596" t="str">
            <v xml:space="preserve">SW NBU 3.1.1 DB TIER 2 RTU </v>
          </cell>
          <cell r="C1596">
            <v>3500</v>
          </cell>
          <cell r="D1596" t="str">
            <v xml:space="preserve">B </v>
          </cell>
        </row>
        <row r="1597">
          <cell r="A1597" t="str">
            <v xml:space="preserve">VNB9S-311-9999 </v>
          </cell>
          <cell r="B1597" t="str">
            <v xml:space="preserve">SW NBU 3.1.1 UNIX MEDIA &amp; DOC </v>
          </cell>
          <cell r="C1597">
            <v>260</v>
          </cell>
          <cell r="D1597" t="str">
            <v xml:space="preserve">D </v>
          </cell>
        </row>
        <row r="1598">
          <cell r="A1598" t="str">
            <v>VNBCS-999-D999</v>
          </cell>
          <cell r="B1598" t="str">
            <v>SW NBU &amp; Storage Migrator(HSM)</v>
          </cell>
          <cell r="C1598">
            <v>980</v>
          </cell>
          <cell r="D1598" t="str">
            <v xml:space="preserve">D </v>
          </cell>
        </row>
        <row r="1599">
          <cell r="A1599" t="str">
            <v xml:space="preserve">VNBI9-311-9999 </v>
          </cell>
          <cell r="B1599" t="str">
            <v xml:space="preserve">SW NBU 3.1.1 VMS Media, Doc </v>
          </cell>
          <cell r="C1599">
            <v>52</v>
          </cell>
          <cell r="D1599" t="str">
            <v xml:space="preserve">D </v>
          </cell>
        </row>
        <row r="1600">
          <cell r="A1600" t="str">
            <v xml:space="preserve">VNBSS-320-9999 </v>
          </cell>
          <cell r="B1600" t="str">
            <v xml:space="preserve">SW NBU 3.2.0 Solaris Media kit,Doc </v>
          </cell>
          <cell r="C1600">
            <v>280</v>
          </cell>
          <cell r="D1600" t="str">
            <v xml:space="preserve">B </v>
          </cell>
        </row>
        <row r="1601">
          <cell r="A1601" t="str">
            <v xml:space="preserve">VNBSS-999-9999 </v>
          </cell>
          <cell r="B1601" t="str">
            <v xml:space="preserve">SW NBU 3.2.0 Lic Solaris,Unix,RTU </v>
          </cell>
          <cell r="C1601">
            <v>11900</v>
          </cell>
          <cell r="D1601" t="str">
            <v xml:space="preserve">B </v>
          </cell>
        </row>
        <row r="1602">
          <cell r="A1602" t="str">
            <v xml:space="preserve">VNARS-999-D999 </v>
          </cell>
          <cell r="B1602" t="str">
            <v>SW NBU 3.2.0 Robotic Support NBU,Tier 2</v>
          </cell>
          <cell r="C1602">
            <v>13300</v>
          </cell>
          <cell r="D1602" t="str">
            <v xml:space="preserve">B </v>
          </cell>
        </row>
        <row r="1603">
          <cell r="A1603" t="str">
            <v xml:space="preserve">VNBDS-320-9999 </v>
          </cell>
          <cell r="B1603" t="str">
            <v xml:space="preserve">SW NBU 3.2.0 UNIX Database </v>
          </cell>
          <cell r="C1603">
            <v>140</v>
          </cell>
          <cell r="D1603" t="str">
            <v xml:space="preserve">D </v>
          </cell>
        </row>
        <row r="1604">
          <cell r="A1604" t="str">
            <v xml:space="preserve">VNBDS-999-E999 </v>
          </cell>
          <cell r="B1604" t="str">
            <v>SW NBU 3.2.0 Extension License</v>
          </cell>
          <cell r="C1604">
            <v>14000</v>
          </cell>
          <cell r="D1604" t="str">
            <v xml:space="preserve">D </v>
          </cell>
        </row>
        <row r="1605">
          <cell r="A1605" t="str">
            <v xml:space="preserve">VNBIN-311-9999 </v>
          </cell>
          <cell r="B1605" t="str">
            <v xml:space="preserve">SW NBU 3.1.1 NT MEDIA &amp; DOC </v>
          </cell>
          <cell r="C1605">
            <v>130</v>
          </cell>
          <cell r="D1605" t="str">
            <v xml:space="preserve">D </v>
          </cell>
        </row>
        <row r="1606">
          <cell r="A1606" t="str">
            <v xml:space="preserve">VNBMN-311-9999 </v>
          </cell>
          <cell r="B1606" t="str">
            <v xml:space="preserve">SW NBU 3.1.1 SQL/EX MEDIA, DOC </v>
          </cell>
          <cell r="C1606">
            <v>59</v>
          </cell>
          <cell r="D1606" t="str">
            <v xml:space="preserve">D </v>
          </cell>
        </row>
        <row r="1607">
          <cell r="A1607" t="str">
            <v xml:space="preserve">VNEIS-320-9999 </v>
          </cell>
          <cell r="B1607" t="str">
            <v xml:space="preserve">SW NBU International client Encryp. </v>
          </cell>
          <cell r="C1607">
            <v>63</v>
          </cell>
          <cell r="D1607" t="str">
            <v xml:space="preserve">D </v>
          </cell>
        </row>
        <row r="1608">
          <cell r="A1608" t="str">
            <v xml:space="preserve">VNM9S-311-9999 </v>
          </cell>
          <cell r="B1608" t="str">
            <v xml:space="preserve">SW NBU 3.1.1 GDM Media Kit </v>
          </cell>
          <cell r="C1608">
            <v>119</v>
          </cell>
          <cell r="D1608" t="str">
            <v xml:space="preserve">D </v>
          </cell>
        </row>
        <row r="1609">
          <cell r="A1609" t="str">
            <v xml:space="preserve">VNMIS-311-9999 </v>
          </cell>
          <cell r="B1609" t="str">
            <v xml:space="preserve">SW NBU 3.1.1 GDM MOM RTU </v>
          </cell>
          <cell r="C1609">
            <v>7000</v>
          </cell>
          <cell r="D1609" t="str">
            <v xml:space="preserve">B </v>
          </cell>
        </row>
        <row r="1610">
          <cell r="A1610" t="str">
            <v xml:space="preserve">VNMIS-311-D999 </v>
          </cell>
          <cell r="B1610" t="str">
            <v xml:space="preserve">SW NBU 3.1.1 GDM Tier 1 </v>
          </cell>
          <cell r="C1610">
            <v>2100</v>
          </cell>
          <cell r="D1610" t="str">
            <v xml:space="preserve">B </v>
          </cell>
        </row>
        <row r="1611">
          <cell r="A1611" t="str">
            <v xml:space="preserve">VNMIS-311-E999 </v>
          </cell>
          <cell r="B1611" t="str">
            <v xml:space="preserve">SW NBU 3.1.1 GDM Tier 3 </v>
          </cell>
          <cell r="C1611">
            <v>3500</v>
          </cell>
          <cell r="D1611" t="str">
            <v xml:space="preserve">B </v>
          </cell>
        </row>
        <row r="1612">
          <cell r="A1612" t="str">
            <v xml:space="preserve">VNMIS-311-S999 </v>
          </cell>
          <cell r="B1612" t="str">
            <v xml:space="preserve">SW NBU 3.1.1 GDM Tier 4 </v>
          </cell>
          <cell r="C1612">
            <v>4200</v>
          </cell>
          <cell r="D1612" t="str">
            <v xml:space="preserve">B </v>
          </cell>
        </row>
        <row r="1613">
          <cell r="A1613" t="str">
            <v xml:space="preserve">VNMIS-311-W999 </v>
          </cell>
          <cell r="B1613" t="str">
            <v xml:space="preserve">SW NBU 3.1.1 GDM Tier 2 </v>
          </cell>
          <cell r="C1613">
            <v>2800</v>
          </cell>
          <cell r="D1613" t="str">
            <v xml:space="preserve">B </v>
          </cell>
        </row>
        <row r="1614">
          <cell r="A1614" t="str">
            <v xml:space="preserve">VNR99-311-D999 </v>
          </cell>
          <cell r="B1614" t="str">
            <v xml:space="preserve">SW NBU Add Robot Tier 2 RTU </v>
          </cell>
          <cell r="C1614">
            <v>5320</v>
          </cell>
          <cell r="D1614" t="str">
            <v xml:space="preserve">B </v>
          </cell>
        </row>
        <row r="1615">
          <cell r="A1615" t="str">
            <v xml:space="preserve">VNR99-311-E999 </v>
          </cell>
          <cell r="B1615" t="str">
            <v xml:space="preserve">SW NBU Add Robot Tier 4 RTU </v>
          </cell>
          <cell r="C1615">
            <v>14000</v>
          </cell>
          <cell r="D1615" t="str">
            <v xml:space="preserve">B </v>
          </cell>
        </row>
        <row r="1616">
          <cell r="A1616" t="str">
            <v xml:space="preserve">VNR99-311-R999 </v>
          </cell>
          <cell r="B1616" t="str">
            <v xml:space="preserve">SW NBU Add Robot Tier 1 RTU </v>
          </cell>
          <cell r="C1616">
            <v>2240</v>
          </cell>
          <cell r="D1616" t="str">
            <v xml:space="preserve">B </v>
          </cell>
        </row>
        <row r="1617">
          <cell r="A1617" t="str">
            <v xml:space="preserve">VNR99-311-W999 </v>
          </cell>
          <cell r="B1617" t="str">
            <v xml:space="preserve">SW NBU Add Robot Tier 3 RTU </v>
          </cell>
          <cell r="C1617">
            <v>9520</v>
          </cell>
          <cell r="D1617" t="str">
            <v xml:space="preserve">B </v>
          </cell>
        </row>
        <row r="1618">
          <cell r="A1618" t="str">
            <v xml:space="preserve">VT-8.0.1-P </v>
          </cell>
          <cell r="B1618" t="str">
            <v xml:space="preserve">SUNLINK VT 8.0.1, CD DOC LI </v>
          </cell>
          <cell r="C1618">
            <v>2793</v>
          </cell>
          <cell r="D1618" t="str">
            <v xml:space="preserve">B </v>
          </cell>
        </row>
        <row r="1619">
          <cell r="A1619" t="str">
            <v>VVMGS-999-S999</v>
          </cell>
          <cell r="B1619" t="str">
            <v>Veritas Volume Manager3.1 for E10K</v>
          </cell>
          <cell r="C1619">
            <v>60193</v>
          </cell>
          <cell r="D1619" t="str">
            <v xml:space="preserve">B </v>
          </cell>
        </row>
        <row r="1620">
          <cell r="A1620" t="str">
            <v xml:space="preserve">VW1II-500-T9T9 </v>
          </cell>
          <cell r="B1620" t="str">
            <v xml:space="preserve">VIS WKSHOP C++ 5.0 TRDUP Intel </v>
          </cell>
          <cell r="C1620">
            <v>3920</v>
          </cell>
          <cell r="D1620" t="str">
            <v xml:space="preserve">B </v>
          </cell>
        </row>
        <row r="1621">
          <cell r="A1621" t="str">
            <v xml:space="preserve">VW1IS-500-T9T9 </v>
          </cell>
          <cell r="B1621" t="str">
            <v xml:space="preserve">VIS WKSHOP C++ 5.0 TRDUP SPARC </v>
          </cell>
          <cell r="C1621">
            <v>3920</v>
          </cell>
          <cell r="D1621" t="str">
            <v xml:space="preserve">B </v>
          </cell>
        </row>
        <row r="1622">
          <cell r="A1622" t="str">
            <v xml:space="preserve">VW2II-500-T9T9 </v>
          </cell>
          <cell r="B1622" t="str">
            <v xml:space="preserve">VIS WKSHOP C++ 5.0 TRDUP Intel </v>
          </cell>
          <cell r="C1622">
            <v>2940</v>
          </cell>
          <cell r="D1622" t="str">
            <v xml:space="preserve">B </v>
          </cell>
        </row>
        <row r="1623">
          <cell r="A1623" t="str">
            <v xml:space="preserve">VW2IS-500-T9T9 </v>
          </cell>
          <cell r="B1623" t="str">
            <v xml:space="preserve">VIS WKSHOP C++ 5.0 TRDUP SPARC </v>
          </cell>
          <cell r="C1623">
            <v>2940</v>
          </cell>
          <cell r="D1623" t="str">
            <v xml:space="preserve">B </v>
          </cell>
        </row>
        <row r="1624">
          <cell r="A1624" t="str">
            <v xml:space="preserve">VWC-3.0-45-P1 </v>
          </cell>
          <cell r="B1624" t="str">
            <v xml:space="preserve">KOREAN VWC C++ 3.0, CD DOC LI </v>
          </cell>
          <cell r="C1624">
            <v>5453</v>
          </cell>
          <cell r="D1624" t="str">
            <v xml:space="preserve">B </v>
          </cell>
        </row>
        <row r="1625">
          <cell r="A1625" t="str">
            <v xml:space="preserve">VWC-3.0-45-P10 </v>
          </cell>
          <cell r="B1625" t="str">
            <v xml:space="preserve">KOREAN VWC C++ 3.0,CD DOC 10LI </v>
          </cell>
          <cell r="C1625">
            <v>42140</v>
          </cell>
          <cell r="D1625" t="str">
            <v xml:space="preserve">B </v>
          </cell>
        </row>
        <row r="1626">
          <cell r="A1626" t="str">
            <v xml:space="preserve">VWC-3.0-D </v>
          </cell>
          <cell r="B1626" t="str">
            <v xml:space="preserve">VISUAL WS C++ 3.0, DOC </v>
          </cell>
          <cell r="C1626">
            <v>560</v>
          </cell>
          <cell r="D1626" t="str">
            <v xml:space="preserve">B </v>
          </cell>
        </row>
        <row r="1627">
          <cell r="A1627" t="str">
            <v xml:space="preserve">VWC-3.0-S </v>
          </cell>
          <cell r="B1627" t="str">
            <v xml:space="preserve">VISUAL WS C++ 3.0, CD DOC LI </v>
          </cell>
          <cell r="C1627">
            <v>4893</v>
          </cell>
          <cell r="D1627" t="str">
            <v xml:space="preserve">B </v>
          </cell>
        </row>
        <row r="1628">
          <cell r="A1628" t="str">
            <v xml:space="preserve">VWC-3.0-S10 </v>
          </cell>
          <cell r="B1628" t="str">
            <v xml:space="preserve">VISUAL WS C++ 3.0,CD DOC 10LIC </v>
          </cell>
          <cell r="C1628">
            <v>41580</v>
          </cell>
          <cell r="D1628" t="str">
            <v xml:space="preserve">B </v>
          </cell>
        </row>
        <row r="1629">
          <cell r="A1629" t="str">
            <v xml:space="preserve">VWC-3.0-SFU </v>
          </cell>
          <cell r="B1629" t="str">
            <v xml:space="preserve">UG TO VWS C++ 3.0 PE FLOAT-LIC </v>
          </cell>
          <cell r="C1629">
            <v>2233</v>
          </cell>
          <cell r="D1629" t="str">
            <v xml:space="preserve">B </v>
          </cell>
        </row>
        <row r="1630">
          <cell r="A1630" t="str">
            <v xml:space="preserve">VWC-3.0-SN </v>
          </cell>
          <cell r="B1630" t="str">
            <v xml:space="preserve">VISUAL WS C++ 3.0, PERSNL ED </v>
          </cell>
          <cell r="C1630">
            <v>2793</v>
          </cell>
          <cell r="D1630" t="str">
            <v xml:space="preserve">B </v>
          </cell>
        </row>
        <row r="1631">
          <cell r="A1631" t="str">
            <v xml:space="preserve">VWC-3.0-SU </v>
          </cell>
          <cell r="B1631" t="str">
            <v xml:space="preserve">UG VIS. WS C++ 3.0, CD DOC LIC </v>
          </cell>
          <cell r="C1631">
            <v>1470</v>
          </cell>
          <cell r="D1631" t="str">
            <v xml:space="preserve">B </v>
          </cell>
        </row>
        <row r="1632">
          <cell r="A1632" t="str">
            <v xml:space="preserve">VWPII-500-T999 </v>
          </cell>
          <cell r="B1632" t="str">
            <v xml:space="preserve">Vis WS C++ 5.0 Per. Ed. Intel </v>
          </cell>
          <cell r="C1632">
            <v>2793</v>
          </cell>
          <cell r="D1632" t="str">
            <v xml:space="preserve">B </v>
          </cell>
        </row>
        <row r="1633">
          <cell r="A1633" t="str">
            <v xml:space="preserve">VWPII-500-T9T9 </v>
          </cell>
          <cell r="B1633" t="str">
            <v xml:space="preserve">VIS WKSHOP C++ 5.0 TRDUP Intel </v>
          </cell>
          <cell r="C1633">
            <v>2240</v>
          </cell>
          <cell r="D1633" t="str">
            <v xml:space="preserve">B </v>
          </cell>
        </row>
        <row r="1634">
          <cell r="A1634" t="str">
            <v xml:space="preserve">VWPIS-500-T999 </v>
          </cell>
          <cell r="B1634" t="str">
            <v xml:space="preserve">Vis WS C++ 5.0 Per. Ed. SPARC </v>
          </cell>
          <cell r="C1634">
            <v>2793</v>
          </cell>
          <cell r="D1634" t="str">
            <v xml:space="preserve">B </v>
          </cell>
        </row>
        <row r="1635">
          <cell r="A1635" t="str">
            <v xml:space="preserve">VWPIS-500-T9T9 </v>
          </cell>
          <cell r="B1635" t="str">
            <v xml:space="preserve">VIS WKSHOP C++ 5.0 TRDUP SPARC </v>
          </cell>
          <cell r="C1635">
            <v>2240</v>
          </cell>
          <cell r="D1635" t="str">
            <v xml:space="preserve">B </v>
          </cell>
        </row>
        <row r="1636">
          <cell r="A1636" t="str">
            <v xml:space="preserve">VWPIS-500-T9U9 </v>
          </cell>
          <cell r="B1636" t="str">
            <v xml:space="preserve">VIS WKSHOP C++ 5.0 UPGDS SPARC </v>
          </cell>
          <cell r="C1636">
            <v>840</v>
          </cell>
          <cell r="D1636" t="str">
            <v xml:space="preserve">B </v>
          </cell>
        </row>
        <row r="1637">
          <cell r="A1637" t="str">
            <v xml:space="preserve">VWSCI-500-TG99 </v>
          </cell>
          <cell r="B1637" t="str">
            <v xml:space="preserve">VIS WKSHOP C++ 5.0 GOLD Intel </v>
          </cell>
          <cell r="C1637">
            <v>293580</v>
          </cell>
          <cell r="D1637" t="str">
            <v xml:space="preserve">B </v>
          </cell>
        </row>
        <row r="1638">
          <cell r="A1638" t="str">
            <v xml:space="preserve">VWSCS-500-TG99 </v>
          </cell>
          <cell r="B1638" t="str">
            <v xml:space="preserve">VIS WKSHOP C++ 5.0 GOLD SPARC </v>
          </cell>
          <cell r="C1638">
            <v>293580</v>
          </cell>
          <cell r="D1638" t="str">
            <v xml:space="preserve">B </v>
          </cell>
        </row>
        <row r="1639">
          <cell r="A1639" t="str">
            <v xml:space="preserve">VWSD9-500-T999 </v>
          </cell>
          <cell r="B1639" t="str">
            <v xml:space="preserve">VWS C++ 5.0 Doc Set </v>
          </cell>
          <cell r="C1639">
            <v>560</v>
          </cell>
          <cell r="D1639" t="str">
            <v xml:space="preserve">B </v>
          </cell>
        </row>
        <row r="1640">
          <cell r="A1640" t="str">
            <v xml:space="preserve">VWSEI-500-TG99 </v>
          </cell>
          <cell r="B1640" t="str">
            <v xml:space="preserve">VIS WKSHOP C++ 5.0 GOLD Intel </v>
          </cell>
          <cell r="C1640">
            <v>646100</v>
          </cell>
          <cell r="D1640" t="str">
            <v xml:space="preserve">B </v>
          </cell>
        </row>
        <row r="1641">
          <cell r="A1641" t="str">
            <v xml:space="preserve">VWSES-500-TG99 </v>
          </cell>
          <cell r="B1641" t="str">
            <v xml:space="preserve">VIS WKSHOP C++ 5.0 GOLD SPARC </v>
          </cell>
          <cell r="C1641">
            <v>646100</v>
          </cell>
          <cell r="D1641" t="str">
            <v xml:space="preserve">B </v>
          </cell>
        </row>
        <row r="1642">
          <cell r="A1642" t="str">
            <v xml:space="preserve">VWSII-500-T999 </v>
          </cell>
          <cell r="B1642" t="str">
            <v xml:space="preserve">Vis WS C++ 5.0 one-user Intel </v>
          </cell>
          <cell r="C1642">
            <v>4893</v>
          </cell>
          <cell r="D1642" t="str">
            <v xml:space="preserve">B </v>
          </cell>
        </row>
        <row r="1643">
          <cell r="A1643" t="str">
            <v xml:space="preserve">VWSII-500-T9U9 </v>
          </cell>
          <cell r="B1643" t="str">
            <v xml:space="preserve">VIS WKSHOP C++ 5.0 UPGDS Intel </v>
          </cell>
          <cell r="C1643">
            <v>1470</v>
          </cell>
          <cell r="D1643" t="str">
            <v xml:space="preserve">B </v>
          </cell>
        </row>
        <row r="1644">
          <cell r="A1644" t="str">
            <v xml:space="preserve">VWSII-500-TG99 </v>
          </cell>
          <cell r="B1644" t="str">
            <v xml:space="preserve">VIS WKSHOP C++ 5.0 GOLD Intel </v>
          </cell>
          <cell r="C1644">
            <v>4893</v>
          </cell>
          <cell r="D1644" t="str">
            <v xml:space="preserve">B </v>
          </cell>
        </row>
        <row r="1645">
          <cell r="A1645" t="str">
            <v xml:space="preserve">VWSIS-500-T999 </v>
          </cell>
          <cell r="B1645" t="str">
            <v xml:space="preserve">Visual WS C++ 5.0 1-user SPARC </v>
          </cell>
          <cell r="C1645">
            <v>4893</v>
          </cell>
          <cell r="D1645" t="str">
            <v xml:space="preserve">B </v>
          </cell>
        </row>
        <row r="1646">
          <cell r="A1646" t="str">
            <v xml:space="preserve">VWSIS-500-T9U9 </v>
          </cell>
          <cell r="B1646" t="str">
            <v xml:space="preserve">VIS WKSHOP C++ 5.0 UPGDS SPARC </v>
          </cell>
          <cell r="C1646">
            <v>1470</v>
          </cell>
          <cell r="D1646" t="str">
            <v xml:space="preserve">B </v>
          </cell>
        </row>
        <row r="1647">
          <cell r="A1647" t="str">
            <v xml:space="preserve">VWSIS-500-TG99 </v>
          </cell>
          <cell r="B1647" t="str">
            <v xml:space="preserve">VIS WKSHOP C++ 5.0 GOLD SPARC </v>
          </cell>
          <cell r="C1647">
            <v>4893</v>
          </cell>
          <cell r="D1647" t="str">
            <v xml:space="preserve">B </v>
          </cell>
        </row>
        <row r="1648">
          <cell r="A1648" t="str">
            <v xml:space="preserve">VWSMI-500-TG99 </v>
          </cell>
          <cell r="B1648" t="str">
            <v xml:space="preserve">VIS WKSHOP C++ 5.0 GOLD Intel </v>
          </cell>
          <cell r="C1648">
            <v>7000</v>
          </cell>
          <cell r="D1648" t="str">
            <v xml:space="preserve">B </v>
          </cell>
        </row>
        <row r="1649">
          <cell r="A1649" t="str">
            <v xml:space="preserve">VWSMS-500-TG99 </v>
          </cell>
          <cell r="B1649" t="str">
            <v xml:space="preserve">VIS WKSHOP C++ 5.0 GOLD SPARC </v>
          </cell>
          <cell r="C1649">
            <v>7000</v>
          </cell>
          <cell r="D1649" t="str">
            <v xml:space="preserve">B </v>
          </cell>
        </row>
        <row r="1650">
          <cell r="A1650" t="str">
            <v xml:space="preserve">VWSXI-500-T999 </v>
          </cell>
          <cell r="B1650" t="str">
            <v xml:space="preserve">Vis WS C++ 5.0 10-user Intel </v>
          </cell>
          <cell r="C1650">
            <v>41580</v>
          </cell>
          <cell r="D1650" t="str">
            <v xml:space="preserve">B </v>
          </cell>
        </row>
        <row r="1651">
          <cell r="A1651" t="str">
            <v xml:space="preserve">VWSXI-500-T9U9 </v>
          </cell>
          <cell r="B1651" t="str">
            <v xml:space="preserve">VIS WKSHOP C++ 5.0 UPGDS Intel </v>
          </cell>
          <cell r="C1651">
            <v>13874</v>
          </cell>
          <cell r="D1651" t="str">
            <v xml:space="preserve">B </v>
          </cell>
        </row>
        <row r="1652">
          <cell r="A1652" t="str">
            <v xml:space="preserve">VWSXI-500-TG99 </v>
          </cell>
          <cell r="B1652" t="str">
            <v xml:space="preserve">VIS WKSHOP C++ 5.0 GOLD Intel </v>
          </cell>
          <cell r="C1652">
            <v>41580</v>
          </cell>
          <cell r="D1652" t="str">
            <v xml:space="preserve">B </v>
          </cell>
        </row>
        <row r="1653">
          <cell r="A1653" t="str">
            <v xml:space="preserve">VWSXS-500-T999 </v>
          </cell>
          <cell r="B1653" t="str">
            <v xml:space="preserve">Vis WS C++ 5.0 10-user SPARC </v>
          </cell>
          <cell r="C1653">
            <v>41580</v>
          </cell>
          <cell r="D1653" t="str">
            <v xml:space="preserve">B </v>
          </cell>
        </row>
        <row r="1654">
          <cell r="A1654" t="str">
            <v xml:space="preserve">VWSXS-500-T9U9 </v>
          </cell>
          <cell r="B1654" t="str">
            <v xml:space="preserve">VIS WKSHOP C++ 5.0 UPGDS SPARC </v>
          </cell>
          <cell r="C1654">
            <v>13874</v>
          </cell>
          <cell r="D1654" t="str">
            <v xml:space="preserve">B </v>
          </cell>
        </row>
        <row r="1655">
          <cell r="A1655" t="str">
            <v xml:space="preserve">VWSXS-500-TG99 </v>
          </cell>
          <cell r="B1655" t="str">
            <v xml:space="preserve">VIS WKSHOP C++ 5.0 GOLD SPARC </v>
          </cell>
          <cell r="C1655">
            <v>41580</v>
          </cell>
          <cell r="D1655" t="str">
            <v xml:space="preserve">B </v>
          </cell>
        </row>
        <row r="1656">
          <cell r="A1656" t="str">
            <v xml:space="preserve">VWSYI-500-TG99 </v>
          </cell>
          <cell r="B1656" t="str">
            <v xml:space="preserve">VIS WKSHOP C++ 5.0 GOLD Intel </v>
          </cell>
          <cell r="C1656">
            <v>97860</v>
          </cell>
          <cell r="D1656" t="str">
            <v xml:space="preserve">B </v>
          </cell>
        </row>
        <row r="1657">
          <cell r="A1657" t="str">
            <v xml:space="preserve">VWSYS-500-T999 </v>
          </cell>
          <cell r="B1657" t="str">
            <v xml:space="preserve">Vis WS C++ 5.0 25-user SPARC </v>
          </cell>
          <cell r="C1657">
            <v>97860</v>
          </cell>
          <cell r="D1657" t="str">
            <v xml:space="preserve">B </v>
          </cell>
        </row>
        <row r="1658">
          <cell r="A1658" t="str">
            <v xml:space="preserve">VWSYS-500-T9U9 </v>
          </cell>
          <cell r="B1658" t="str">
            <v xml:space="preserve">VIS WKSHOP C++ 5.0 UPGDS SPARC </v>
          </cell>
          <cell r="C1658">
            <v>29358</v>
          </cell>
          <cell r="D1658" t="str">
            <v xml:space="preserve">B </v>
          </cell>
        </row>
        <row r="1659">
          <cell r="A1659" t="str">
            <v xml:space="preserve">VWSYS-500-TG99 </v>
          </cell>
          <cell r="B1659" t="str">
            <v xml:space="preserve">VIS WKSHOP C++ 5.0 GOLD SPARC </v>
          </cell>
          <cell r="C1659">
            <v>97860</v>
          </cell>
          <cell r="D1659" t="str">
            <v xml:space="preserve">B </v>
          </cell>
        </row>
        <row r="1660">
          <cell r="A1660" t="str">
            <v>VVMGS-999-S999</v>
          </cell>
          <cell r="B1660" t="str">
            <v>Veritas Volume Manager3.1 for E10K</v>
          </cell>
          <cell r="C1660">
            <v>60193</v>
          </cell>
          <cell r="D1660" t="str">
            <v xml:space="preserve">B </v>
          </cell>
        </row>
        <row r="1661">
          <cell r="A1661" t="str">
            <v>VVMGS-999-ESU9</v>
          </cell>
          <cell r="B1661" t="str">
            <v>Veritas V.M Ent-E10K Upgrd</v>
          </cell>
          <cell r="C1661">
            <v>14000</v>
          </cell>
          <cell r="D1661" t="str">
            <v xml:space="preserve">B </v>
          </cell>
        </row>
        <row r="1662">
          <cell r="A1662" t="str">
            <v xml:space="preserve">WCC-4.2-D </v>
          </cell>
          <cell r="B1662" t="str">
            <v xml:space="preserve">SPARCOMPILER C/C++ 4.2, DOC </v>
          </cell>
          <cell r="C1662">
            <v>350</v>
          </cell>
          <cell r="D1662" t="str">
            <v xml:space="preserve">B </v>
          </cell>
        </row>
        <row r="1663">
          <cell r="A1663" t="str">
            <v xml:space="preserve">WCC-4.2-S </v>
          </cell>
          <cell r="B1663" t="str">
            <v xml:space="preserve">SPARCOMP. C/C++ 4.2,CD DOC LI </v>
          </cell>
          <cell r="C1663">
            <v>1393</v>
          </cell>
          <cell r="D1663" t="str">
            <v xml:space="preserve">B </v>
          </cell>
        </row>
        <row r="1664">
          <cell r="A1664" t="str">
            <v xml:space="preserve">WCC-4.2-SU </v>
          </cell>
          <cell r="B1664" t="str">
            <v xml:space="preserve">UG SC C/C++ 4.2, CD DOC LI </v>
          </cell>
          <cell r="C1664">
            <v>420</v>
          </cell>
          <cell r="D1664" t="str">
            <v xml:space="preserve">B </v>
          </cell>
        </row>
        <row r="1665">
          <cell r="A1665" t="str">
            <v xml:space="preserve">WCCD9-500-T999 </v>
          </cell>
          <cell r="B1665" t="str">
            <v xml:space="preserve">WS Compilers C/C++ 5.0 Doc Set </v>
          </cell>
          <cell r="C1665">
            <v>350</v>
          </cell>
          <cell r="D1665" t="str">
            <v xml:space="preserve">B </v>
          </cell>
        </row>
        <row r="1666">
          <cell r="A1666" t="str">
            <v xml:space="preserve">WCCII-500-T999 </v>
          </cell>
          <cell r="B1666" t="str">
            <v xml:space="preserve">WS Compilers C/C++ 5.0 Sl-1 In </v>
          </cell>
          <cell r="C1666">
            <v>1393</v>
          </cell>
          <cell r="D1666" t="str">
            <v xml:space="preserve">B </v>
          </cell>
        </row>
        <row r="1667">
          <cell r="A1667" t="str">
            <v xml:space="preserve">WCCII-500-T9U9 </v>
          </cell>
          <cell r="B1667" t="str">
            <v xml:space="preserve">WS Comp. C/C++ 5.0 Upg Sl-1 In </v>
          </cell>
          <cell r="C1667">
            <v>420</v>
          </cell>
          <cell r="D1667" t="str">
            <v xml:space="preserve">B </v>
          </cell>
        </row>
        <row r="1668">
          <cell r="A1668" t="str">
            <v xml:space="preserve">WCCIS-500-T999 </v>
          </cell>
          <cell r="B1668" t="str">
            <v xml:space="preserve">WS Compilers C/C++ 5.0 Sl-1 SP </v>
          </cell>
          <cell r="C1668">
            <v>1393</v>
          </cell>
          <cell r="D1668" t="str">
            <v xml:space="preserve">B </v>
          </cell>
        </row>
        <row r="1669">
          <cell r="A1669" t="str">
            <v xml:space="preserve">WCCIS-500-T9U9 </v>
          </cell>
          <cell r="B1669" t="str">
            <v xml:space="preserve">WS Comp. C/C++ 5.0 Upg Sl-1 SP </v>
          </cell>
          <cell r="C1669">
            <v>420</v>
          </cell>
          <cell r="D1669" t="str">
            <v xml:space="preserve">B </v>
          </cell>
        </row>
        <row r="1670">
          <cell r="A1670" t="str">
            <v xml:space="preserve">WCF-4.2-D </v>
          </cell>
          <cell r="B1670" t="str">
            <v xml:space="preserve">SPARCOMPILER FORTRAN 4.2, DOC </v>
          </cell>
          <cell r="C1670">
            <v>350</v>
          </cell>
          <cell r="D1670" t="str">
            <v xml:space="preserve">B </v>
          </cell>
        </row>
        <row r="1671">
          <cell r="A1671" t="str">
            <v xml:space="preserve">WCF-4.2-S </v>
          </cell>
          <cell r="B1671" t="str">
            <v xml:space="preserve">SC FORTRAN 4.2, CD DOC LI </v>
          </cell>
          <cell r="C1671">
            <v>1813</v>
          </cell>
          <cell r="D1671" t="str">
            <v xml:space="preserve">B </v>
          </cell>
        </row>
        <row r="1672">
          <cell r="A1672" t="str">
            <v xml:space="preserve">WCF-4.2-SU </v>
          </cell>
          <cell r="B1672" t="str">
            <v xml:space="preserve">UG SC FORTRAN 4.2, CD DOC LI </v>
          </cell>
          <cell r="C1672">
            <v>476</v>
          </cell>
          <cell r="D1672" t="str">
            <v xml:space="preserve">B </v>
          </cell>
        </row>
        <row r="1673">
          <cell r="A1673" t="str">
            <v xml:space="preserve">WCFD9-500-T999 </v>
          </cell>
          <cell r="B1673" t="str">
            <v xml:space="preserve">WS Compilers Fort 5.0 Doc Set </v>
          </cell>
          <cell r="C1673">
            <v>350</v>
          </cell>
          <cell r="D1673" t="str">
            <v xml:space="preserve">B </v>
          </cell>
        </row>
        <row r="1674">
          <cell r="A1674" t="str">
            <v xml:space="preserve">WCFII-500-T999 </v>
          </cell>
          <cell r="B1674" t="str">
            <v xml:space="preserve">WS Compilers Fort 5.0 Sl-1 In </v>
          </cell>
          <cell r="C1674">
            <v>1813</v>
          </cell>
          <cell r="D1674" t="str">
            <v xml:space="preserve">B </v>
          </cell>
        </row>
        <row r="1675">
          <cell r="A1675" t="str">
            <v xml:space="preserve">WCFII-500-T9U9 </v>
          </cell>
          <cell r="B1675" t="str">
            <v xml:space="preserve">WS Comp. Fort 5.0 Upg Sl-1 In </v>
          </cell>
          <cell r="C1675">
            <v>476</v>
          </cell>
          <cell r="D1675" t="str">
            <v xml:space="preserve">B </v>
          </cell>
        </row>
        <row r="1676">
          <cell r="A1676" t="str">
            <v xml:space="preserve">WCFIS-500-T999 </v>
          </cell>
          <cell r="B1676" t="str">
            <v xml:space="preserve">WS Compilers Fort 5.0 Sl-1 SP </v>
          </cell>
          <cell r="C1676">
            <v>1813</v>
          </cell>
          <cell r="D1676" t="str">
            <v xml:space="preserve">B </v>
          </cell>
        </row>
        <row r="1677">
          <cell r="A1677" t="str">
            <v xml:space="preserve">WCFIS-500-T9U9 </v>
          </cell>
          <cell r="B1677" t="str">
            <v xml:space="preserve">WS Comp. Fort 5.0 Upg Sl-1 SP </v>
          </cell>
          <cell r="C1677">
            <v>476</v>
          </cell>
          <cell r="D1677" t="str">
            <v xml:space="preserve">B </v>
          </cell>
        </row>
        <row r="1678">
          <cell r="A1678" t="str">
            <v xml:space="preserve">WPC-3.0-D </v>
          </cell>
          <cell r="B1678" t="str">
            <v xml:space="preserve">WORKSHOP C 3.0, DOC </v>
          </cell>
          <cell r="C1678">
            <v>280</v>
          </cell>
          <cell r="D1678" t="str">
            <v xml:space="preserve">B </v>
          </cell>
        </row>
        <row r="1679">
          <cell r="A1679" t="str">
            <v xml:space="preserve">WPC-3.0-S </v>
          </cell>
          <cell r="B1679" t="str">
            <v xml:space="preserve">WORKSHOP C 3.0, CD DOC LI </v>
          </cell>
          <cell r="C1679">
            <v>2093</v>
          </cell>
          <cell r="D1679" t="str">
            <v xml:space="preserve">B </v>
          </cell>
        </row>
        <row r="1680">
          <cell r="A1680" t="str">
            <v xml:space="preserve">WPC-3.0-SU </v>
          </cell>
          <cell r="B1680" t="str">
            <v xml:space="preserve">UG WORKSHOP C 3.0, CD DOC LI </v>
          </cell>
          <cell r="C1680">
            <v>630</v>
          </cell>
          <cell r="D1680" t="str">
            <v xml:space="preserve">B </v>
          </cell>
        </row>
        <row r="1681">
          <cell r="A1681" t="str">
            <v xml:space="preserve">WPCCS-500-TG99 </v>
          </cell>
          <cell r="B1681" t="str">
            <v xml:space="preserve">Gold WS Prof C 5.0 100-User SP </v>
          </cell>
          <cell r="C1681">
            <v>139580</v>
          </cell>
          <cell r="D1681" t="str">
            <v xml:space="preserve">B </v>
          </cell>
        </row>
        <row r="1682">
          <cell r="A1682" t="str">
            <v xml:space="preserve">WPCD9-500-T999 </v>
          </cell>
          <cell r="B1682" t="str">
            <v xml:space="preserve">WS Professional C 5.0 Doc Set </v>
          </cell>
          <cell r="C1682">
            <v>280</v>
          </cell>
          <cell r="D1682" t="str">
            <v xml:space="preserve">B </v>
          </cell>
        </row>
        <row r="1683">
          <cell r="A1683" t="str">
            <v xml:space="preserve">WPCES-500-TG99 </v>
          </cell>
          <cell r="B1683" t="str">
            <v xml:space="preserve">Gold WS Prof C 5.0 250-User SP </v>
          </cell>
          <cell r="C1683">
            <v>276500</v>
          </cell>
          <cell r="D1683" t="str">
            <v xml:space="preserve">B </v>
          </cell>
        </row>
        <row r="1684">
          <cell r="A1684" t="str">
            <v xml:space="preserve">WPCII-500-T999 </v>
          </cell>
          <cell r="B1684" t="str">
            <v xml:space="preserve">WS Professional C 5.0 Sl-1 In </v>
          </cell>
          <cell r="C1684">
            <v>2093</v>
          </cell>
          <cell r="D1684" t="str">
            <v xml:space="preserve">B </v>
          </cell>
        </row>
        <row r="1685">
          <cell r="A1685" t="str">
            <v xml:space="preserve">WPCII-500-T9U9 </v>
          </cell>
          <cell r="B1685" t="str">
            <v xml:space="preserve">WS Prof C 5.0 Slim-1 Intel </v>
          </cell>
          <cell r="C1685">
            <v>630</v>
          </cell>
          <cell r="D1685" t="str">
            <v xml:space="preserve">B </v>
          </cell>
        </row>
        <row r="1686">
          <cell r="A1686" t="str">
            <v xml:space="preserve">WPCIS-500-T999 </v>
          </cell>
          <cell r="B1686" t="str">
            <v xml:space="preserve">WS Professional C 5.0 Sl-1 SP </v>
          </cell>
          <cell r="C1686">
            <v>2093</v>
          </cell>
          <cell r="D1686" t="str">
            <v xml:space="preserve">B </v>
          </cell>
        </row>
        <row r="1687">
          <cell r="A1687" t="str">
            <v xml:space="preserve">WPCIS-500-T9U9 </v>
          </cell>
          <cell r="B1687" t="str">
            <v xml:space="preserve">WS Prof C 5.0 Slim-1 SPARC </v>
          </cell>
          <cell r="C1687">
            <v>630</v>
          </cell>
          <cell r="D1687" t="str">
            <v xml:space="preserve">B </v>
          </cell>
        </row>
        <row r="1688">
          <cell r="A1688" t="str">
            <v xml:space="preserve">WPCIS-500-TG99 </v>
          </cell>
          <cell r="B1688" t="str">
            <v xml:space="preserve">Gold WS Prof C 5.0 1-User SP </v>
          </cell>
          <cell r="C1688">
            <v>2093</v>
          </cell>
          <cell r="D1688" t="str">
            <v xml:space="preserve">B </v>
          </cell>
        </row>
        <row r="1689">
          <cell r="A1689" t="str">
            <v xml:space="preserve">WPCMS-500-TG99 </v>
          </cell>
          <cell r="B1689" t="str">
            <v xml:space="preserve">Gold WS Prof C 5.0 Base Pack </v>
          </cell>
          <cell r="C1689">
            <v>7000</v>
          </cell>
          <cell r="D1689" t="str">
            <v xml:space="preserve">B </v>
          </cell>
        </row>
        <row r="1690">
          <cell r="A1690" t="str">
            <v xml:space="preserve">WPCXI-500-T999 </v>
          </cell>
          <cell r="B1690" t="str">
            <v xml:space="preserve">WS Professional C 5.0 Sl-10 In </v>
          </cell>
          <cell r="C1690">
            <v>17780</v>
          </cell>
          <cell r="D1690" t="str">
            <v xml:space="preserve">B </v>
          </cell>
        </row>
        <row r="1691">
          <cell r="A1691" t="str">
            <v xml:space="preserve">WPCXI-500-T9U9 </v>
          </cell>
          <cell r="B1691" t="str">
            <v xml:space="preserve">WS Prof C 5.0 Slim-10 Intel </v>
          </cell>
          <cell r="C1691">
            <v>5474</v>
          </cell>
          <cell r="D1691" t="str">
            <v xml:space="preserve">B </v>
          </cell>
        </row>
        <row r="1692">
          <cell r="A1692" t="str">
            <v xml:space="preserve">WPCXS-500-T999 </v>
          </cell>
          <cell r="B1692" t="str">
            <v xml:space="preserve">WS Professional C 5.0 Sl-10 SP </v>
          </cell>
          <cell r="C1692">
            <v>17780</v>
          </cell>
          <cell r="D1692" t="str">
            <v xml:space="preserve">B </v>
          </cell>
        </row>
        <row r="1693">
          <cell r="A1693" t="str">
            <v xml:space="preserve">WPCXS-500-T9U9 </v>
          </cell>
          <cell r="B1693" t="str">
            <v xml:space="preserve">WS Prof C 5.0 Slim-10 SPARC </v>
          </cell>
          <cell r="C1693">
            <v>5474</v>
          </cell>
          <cell r="D1693" t="str">
            <v xml:space="preserve">B </v>
          </cell>
        </row>
        <row r="1694">
          <cell r="A1694" t="str">
            <v xml:space="preserve">WPCXS-500-TG99 </v>
          </cell>
          <cell r="B1694" t="str">
            <v xml:space="preserve">Gold WS Prof C 5.0 10-User SP </v>
          </cell>
          <cell r="C1694">
            <v>17780</v>
          </cell>
          <cell r="D1694" t="str">
            <v xml:space="preserve">B </v>
          </cell>
        </row>
        <row r="1695">
          <cell r="A1695" t="str">
            <v xml:space="preserve">WPCYS-500-TG99 </v>
          </cell>
          <cell r="B1695" t="str">
            <v xml:space="preserve">Gold WS Prof C 5.0 25-User SP </v>
          </cell>
          <cell r="C1695">
            <v>41860</v>
          </cell>
          <cell r="D1695" t="str">
            <v xml:space="preserve">B </v>
          </cell>
        </row>
        <row r="1696">
          <cell r="A1696" t="str">
            <v xml:space="preserve">WPP-5.0-S </v>
          </cell>
          <cell r="B1696" t="str">
            <v xml:space="preserve">WORKSHOP PASCAL 5.0, CD DOC LI </v>
          </cell>
          <cell r="C1696">
            <v>3073</v>
          </cell>
          <cell r="D1696" t="str">
            <v xml:space="preserve">B </v>
          </cell>
        </row>
        <row r="1697">
          <cell r="A1697" t="str">
            <v xml:space="preserve">WPP-5.0-SU </v>
          </cell>
          <cell r="B1697" t="str">
            <v xml:space="preserve">SW ASSY, WS PAS5.0,SKIT,UPG,1 </v>
          </cell>
          <cell r="C1697">
            <v>910</v>
          </cell>
          <cell r="D1697" t="str">
            <v xml:space="preserve">B </v>
          </cell>
        </row>
        <row r="1698">
          <cell r="A1698" t="str">
            <v xml:space="preserve">WSFTN-1.1-PU </v>
          </cell>
          <cell r="B1698" t="str">
            <v xml:space="preserve">UG WS F77 1.1, CD DOC LI </v>
          </cell>
          <cell r="C1698">
            <v>774</v>
          </cell>
          <cell r="D1698" t="str">
            <v xml:space="preserve">B </v>
          </cell>
        </row>
        <row r="1699">
          <cell r="A1699" t="str">
            <v xml:space="preserve">WTW-2.0-S </v>
          </cell>
          <cell r="B1699" t="str">
            <v xml:space="preserve">WS TEAMWARE 2.0, CD DOC LI </v>
          </cell>
          <cell r="C1699">
            <v>1813</v>
          </cell>
          <cell r="D1699" t="str">
            <v xml:space="preserve">B </v>
          </cell>
        </row>
        <row r="1700">
          <cell r="A1700" t="str">
            <v xml:space="preserve">WTW-2.0-S10 </v>
          </cell>
          <cell r="B1700" t="str">
            <v xml:space="preserve">SW ASSY,WS/TW 2.0,10USR SLIMKT </v>
          </cell>
          <cell r="C1700">
            <v>15400</v>
          </cell>
          <cell r="D1700" t="str">
            <v xml:space="preserve">B </v>
          </cell>
        </row>
        <row r="1701">
          <cell r="A1701" t="str">
            <v xml:space="preserve">WTW-2.0-SU </v>
          </cell>
          <cell r="B1701" t="str">
            <v xml:space="preserve">SW ASSY,WS/TMWR 2.0,SKIT,UPGD </v>
          </cell>
          <cell r="C1701">
            <v>476</v>
          </cell>
          <cell r="D1701" t="str">
            <v xml:space="preserve">B </v>
          </cell>
        </row>
        <row r="1702">
          <cell r="A1702" t="str">
            <v xml:space="preserve">WTWD9-210-T999 </v>
          </cell>
          <cell r="B1702" t="str">
            <v xml:space="preserve">Sun WorkShop TeamWare 2.1 Doc </v>
          </cell>
          <cell r="C1702">
            <v>210</v>
          </cell>
          <cell r="D1702" t="str">
            <v xml:space="preserve">B </v>
          </cell>
        </row>
        <row r="1703">
          <cell r="A1703" t="str">
            <v xml:space="preserve">WTWII-210-T999 </v>
          </cell>
          <cell r="B1703" t="str">
            <v xml:space="preserve">Sun WS TeamWare 2.1 Slim-1 In </v>
          </cell>
          <cell r="C1703">
            <v>1813</v>
          </cell>
          <cell r="D1703" t="str">
            <v xml:space="preserve">B </v>
          </cell>
        </row>
        <row r="1704">
          <cell r="A1704" t="str">
            <v xml:space="preserve">WTWII-210-T9U9 </v>
          </cell>
          <cell r="B1704" t="str">
            <v xml:space="preserve">WS TeamWare 2.1 Upg. Sl-1 In </v>
          </cell>
          <cell r="C1704">
            <v>476</v>
          </cell>
          <cell r="D1704" t="str">
            <v xml:space="preserve">B </v>
          </cell>
        </row>
        <row r="1705">
          <cell r="A1705" t="str">
            <v xml:space="preserve">WTWIS-210-T999 </v>
          </cell>
          <cell r="B1705" t="str">
            <v xml:space="preserve">Sun WS TeamWare 2.1 Slim-1 SP </v>
          </cell>
          <cell r="C1705">
            <v>1813</v>
          </cell>
          <cell r="D1705" t="str">
            <v xml:space="preserve">B </v>
          </cell>
        </row>
        <row r="1706">
          <cell r="A1706" t="str">
            <v xml:space="preserve">WTWIS-210-T9U9 </v>
          </cell>
          <cell r="B1706" t="str">
            <v xml:space="preserve">WS TeamWare 2.1 Upg. Sl-1 SP </v>
          </cell>
          <cell r="C1706">
            <v>476</v>
          </cell>
          <cell r="D1706" t="str">
            <v xml:space="preserve">B </v>
          </cell>
        </row>
        <row r="1707">
          <cell r="A1707" t="str">
            <v xml:space="preserve">X1013A </v>
          </cell>
          <cell r="B1707" t="str">
            <v xml:space="preserve">SUNISDN KIT CD, DOC LI </v>
          </cell>
          <cell r="C1707">
            <v>124</v>
          </cell>
          <cell r="D1707" t="str">
            <v xml:space="preserve">A </v>
          </cell>
        </row>
        <row r="1708">
          <cell r="A1708" t="str">
            <v xml:space="preserve">X1018A </v>
          </cell>
          <cell r="B1708" t="str">
            <v xml:space="preserve">OPT SBUS SFE FWSCSI ADAPTER </v>
          </cell>
          <cell r="C1708">
            <v>1424</v>
          </cell>
          <cell r="D1708" t="str">
            <v xml:space="preserve">A </v>
          </cell>
        </row>
        <row r="1709">
          <cell r="A1709" t="str">
            <v xml:space="preserve">X1030A </v>
          </cell>
          <cell r="B1709" t="str">
            <v xml:space="preserve">OPT SBUS PCMCIA INTERFACE </v>
          </cell>
          <cell r="C1709">
            <v>384</v>
          </cell>
          <cell r="D1709" t="str">
            <v xml:space="preserve">A </v>
          </cell>
        </row>
        <row r="1710">
          <cell r="A1710" t="str">
            <v xml:space="preserve">X1032A </v>
          </cell>
          <cell r="B1710" t="str">
            <v xml:space="preserve">OPT INT PCI 10/100BASET NIC </v>
          </cell>
          <cell r="C1710">
            <v>1294</v>
          </cell>
          <cell r="D1710" t="str">
            <v xml:space="preserve">A </v>
          </cell>
        </row>
        <row r="1711">
          <cell r="A1711" t="str">
            <v xml:space="preserve">X1033A </v>
          </cell>
          <cell r="B1711" t="str">
            <v xml:space="preserve">OPT INT PCI 10/100BASET NIC 2 </v>
          </cell>
          <cell r="C1711">
            <v>904</v>
          </cell>
          <cell r="D1711" t="str">
            <v xml:space="preserve">A </v>
          </cell>
        </row>
        <row r="1712">
          <cell r="A1712" t="str">
            <v xml:space="preserve">X1034A </v>
          </cell>
          <cell r="B1712" t="str">
            <v xml:space="preserve">OPT QFE PCI CARD W/SW </v>
          </cell>
          <cell r="C1712">
            <v>2334</v>
          </cell>
          <cell r="D1712" t="str">
            <v xml:space="preserve">A </v>
          </cell>
        </row>
        <row r="1713">
          <cell r="A1713" t="str">
            <v xml:space="preserve">X1046A </v>
          </cell>
          <cell r="B1713" t="str">
            <v xml:space="preserve">OPT GIGABIT ENET SWITCH </v>
          </cell>
          <cell r="C1713">
            <v>12994</v>
          </cell>
          <cell r="D1713" t="str">
            <v xml:space="preserve">A </v>
          </cell>
        </row>
        <row r="1714">
          <cell r="A1714" t="str">
            <v xml:space="preserve">X1049A </v>
          </cell>
          <cell r="B1714" t="str">
            <v xml:space="preserve">OPT QUAD FASTETHERNET W/SW </v>
          </cell>
          <cell r="C1714">
            <v>2594</v>
          </cell>
          <cell r="D1714" t="str">
            <v xml:space="preserve">A </v>
          </cell>
        </row>
        <row r="1715">
          <cell r="A1715" t="str">
            <v xml:space="preserve">X1052A </v>
          </cell>
          <cell r="B1715" t="str">
            <v xml:space="preserve">SBUS FAST DFF SCSI2/BF ETH CRD </v>
          </cell>
          <cell r="C1715">
            <v>1424</v>
          </cell>
          <cell r="D1715" t="str">
            <v xml:space="preserve">A </v>
          </cell>
        </row>
        <row r="1716">
          <cell r="A1716" t="str">
            <v xml:space="preserve">X1053A </v>
          </cell>
          <cell r="B1716" t="str">
            <v xml:space="preserve">OPT SBUS FSCSI ETHER. (FSBE/S) </v>
          </cell>
          <cell r="C1716">
            <v>1424</v>
          </cell>
          <cell r="D1716" t="str">
            <v xml:space="preserve">A </v>
          </cell>
        </row>
        <row r="1717">
          <cell r="A1717" t="str">
            <v xml:space="preserve">X1055A </v>
          </cell>
          <cell r="B1717" t="str">
            <v xml:space="preserve">OPT SBUS SCSI HOST ADAPTER </v>
          </cell>
          <cell r="C1717">
            <v>644</v>
          </cell>
          <cell r="D1717" t="str">
            <v xml:space="preserve">A </v>
          </cell>
        </row>
        <row r="1718">
          <cell r="A1718" t="str">
            <v xml:space="preserve">X1059A </v>
          </cell>
          <cell r="B1718" t="str">
            <v xml:space="preserve">OPT SBUS FASTETHERNET 2.0/SW </v>
          </cell>
          <cell r="C1718">
            <v>1034</v>
          </cell>
          <cell r="D1718" t="str">
            <v xml:space="preserve">A </v>
          </cell>
        </row>
        <row r="1719">
          <cell r="A1719" t="str">
            <v xml:space="preserve">X1060A </v>
          </cell>
          <cell r="B1719" t="str">
            <v xml:space="preserve">OPT SBUS SUNATM155/MFIBER S/SW </v>
          </cell>
          <cell r="C1719">
            <v>1684</v>
          </cell>
          <cell r="D1719" t="str">
            <v xml:space="preserve">A </v>
          </cell>
        </row>
        <row r="1720">
          <cell r="A1720" t="str">
            <v xml:space="preserve">X1061A </v>
          </cell>
          <cell r="B1720" t="str">
            <v xml:space="preserve">OPT SBUS SUNATM155/UTP5 W/SW </v>
          </cell>
          <cell r="C1720">
            <v>1294</v>
          </cell>
          <cell r="D1720" t="str">
            <v xml:space="preserve">A </v>
          </cell>
        </row>
        <row r="1721">
          <cell r="A1721" t="str">
            <v xml:space="preserve">X1062A </v>
          </cell>
          <cell r="B1721" t="str">
            <v xml:space="preserve">OPT SBUS F/W DWIS/S ADAPTER </v>
          </cell>
          <cell r="C1721">
            <v>1684</v>
          </cell>
          <cell r="D1721" t="str">
            <v xml:space="preserve">A </v>
          </cell>
        </row>
        <row r="1722">
          <cell r="A1722" t="str">
            <v xml:space="preserve">X1063A </v>
          </cell>
          <cell r="B1722" t="str">
            <v xml:space="preserve">OPT SBUS F/W SWIS/S ADAPTER </v>
          </cell>
          <cell r="C1722">
            <v>1554</v>
          </cell>
          <cell r="D1722" t="str">
            <v xml:space="preserve">A </v>
          </cell>
        </row>
        <row r="1723">
          <cell r="A1723" t="str">
            <v xml:space="preserve">X1064A </v>
          </cell>
          <cell r="B1723" t="str">
            <v xml:space="preserve">OPT SBUS SUNATM622/MFIBER W/SW </v>
          </cell>
          <cell r="C1723">
            <v>6494</v>
          </cell>
          <cell r="D1723" t="str">
            <v xml:space="preserve">A </v>
          </cell>
        </row>
        <row r="1724">
          <cell r="A1724" t="str">
            <v xml:space="preserve">X1065A </v>
          </cell>
          <cell r="B1724" t="str">
            <v xml:space="preserve">OPT ULTRA DWIS/S HOST ADAPTER </v>
          </cell>
          <cell r="C1724">
            <v>1684</v>
          </cell>
          <cell r="D1724" t="str">
            <v xml:space="preserve">A </v>
          </cell>
        </row>
        <row r="1725">
          <cell r="A1725" t="str">
            <v xml:space="preserve">X1066A </v>
          </cell>
          <cell r="B1725" t="str">
            <v xml:space="preserve">OPT PCI SUNATM/P-155MMF W/SW </v>
          </cell>
          <cell r="C1725">
            <v>1424</v>
          </cell>
          <cell r="D1725" t="str">
            <v xml:space="preserve">A </v>
          </cell>
        </row>
        <row r="1726">
          <cell r="A1726" t="str">
            <v xml:space="preserve">X1067A </v>
          </cell>
          <cell r="B1726" t="str">
            <v xml:space="preserve">OPT PCI SUNATM/P-155UTP W/SW </v>
          </cell>
          <cell r="C1726">
            <v>1164</v>
          </cell>
          <cell r="D1726" t="str">
            <v xml:space="preserve">A </v>
          </cell>
        </row>
        <row r="1727">
          <cell r="A1727" t="str">
            <v xml:space="preserve">X1068A </v>
          </cell>
          <cell r="B1727" t="str">
            <v xml:space="preserve">OPT PCI SUNATM/P-622MMF W/SW </v>
          </cell>
          <cell r="C1727">
            <v>5194</v>
          </cell>
          <cell r="D1727" t="str">
            <v xml:space="preserve">A </v>
          </cell>
        </row>
        <row r="1728">
          <cell r="A1728" t="str">
            <v xml:space="preserve">X1070A </v>
          </cell>
          <cell r="B1728" t="str">
            <v xml:space="preserve">HIPPI/P 1.0 Interface Board </v>
          </cell>
          <cell r="C1728">
            <v>13000</v>
          </cell>
          <cell r="D1728" t="str">
            <v xml:space="preserve">A </v>
          </cell>
        </row>
        <row r="1729">
          <cell r="A1729" t="str">
            <v xml:space="preserve">X1073A </v>
          </cell>
          <cell r="B1729" t="str">
            <v xml:space="preserve">SC 2.2 SCI/SBUS BOARD </v>
          </cell>
          <cell r="C1729">
            <v>5850</v>
          </cell>
          <cell r="D1729" t="str">
            <v xml:space="preserve">A </v>
          </cell>
        </row>
        <row r="1730">
          <cell r="A1730" t="str">
            <v xml:space="preserve">X1076A </v>
          </cell>
          <cell r="B1730" t="str">
            <v xml:space="preserve">A7000 SCSI ADAPT KIT W/RAID A+ </v>
          </cell>
          <cell r="C1730">
            <v>0</v>
          </cell>
          <cell r="D1730" t="str">
            <v xml:space="preserve">D </v>
          </cell>
        </row>
        <row r="1731">
          <cell r="A1731" t="str">
            <v xml:space="preserve">X1085A </v>
          </cell>
          <cell r="B1731" t="str">
            <v xml:space="preserve">OPT SBUS SUNVIDEO W/DOC'S </v>
          </cell>
          <cell r="C1731">
            <v>1586</v>
          </cell>
          <cell r="D1731" t="str">
            <v xml:space="preserve">H </v>
          </cell>
        </row>
        <row r="1732">
          <cell r="A1732" t="str">
            <v xml:space="preserve">X1087A </v>
          </cell>
          <cell r="B1732" t="str">
            <v xml:space="preserve">SUNVIDEO PCI CARD W/SW </v>
          </cell>
          <cell r="C1732">
            <v>1495</v>
          </cell>
          <cell r="D1732" t="str">
            <v xml:space="preserve">H </v>
          </cell>
        </row>
        <row r="1733">
          <cell r="A1733" t="str">
            <v xml:space="preserve">X1088A </v>
          </cell>
          <cell r="B1733" t="str">
            <v xml:space="preserve">SUNVIDEO PCI CARD W/SW </v>
          </cell>
          <cell r="C1733">
            <v>1495</v>
          </cell>
          <cell r="D1733" t="str">
            <v xml:space="preserve">H </v>
          </cell>
        </row>
        <row r="1734">
          <cell r="A1734" t="str">
            <v xml:space="preserve">X1129A-4.2-P </v>
          </cell>
          <cell r="B1734" t="str">
            <v xml:space="preserve">OPT SBUS SUNPC 133/586 W/SW </v>
          </cell>
          <cell r="C1734">
            <v>553</v>
          </cell>
          <cell r="D1734" t="str">
            <v xml:space="preserve">A </v>
          </cell>
        </row>
        <row r="1735">
          <cell r="A1735" t="str">
            <v xml:space="preserve">X1131A-64.1 </v>
          </cell>
          <cell r="B1735" t="str">
            <v xml:space="preserve">PCI Co-processor 300MHz/64 W/S </v>
          </cell>
          <cell r="C1735">
            <v>693</v>
          </cell>
          <cell r="D1735" t="str">
            <v xml:space="preserve">H </v>
          </cell>
        </row>
        <row r="1736">
          <cell r="A1736" t="str">
            <v xml:space="preserve">X1140A </v>
          </cell>
          <cell r="B1736" t="str">
            <v xml:space="preserve">SUN GIGABITETHERNET/S 2.0 </v>
          </cell>
          <cell r="C1736">
            <v>2984</v>
          </cell>
          <cell r="D1736" t="str">
            <v xml:space="preserve">A </v>
          </cell>
        </row>
        <row r="1737">
          <cell r="A1737" t="str">
            <v xml:space="preserve">X1141A </v>
          </cell>
          <cell r="B1737" t="str">
            <v xml:space="preserve">SUN GIGABITETHERNET/P 2.0 </v>
          </cell>
          <cell r="C1737">
            <v>2724</v>
          </cell>
          <cell r="D1737" t="str">
            <v xml:space="preserve">A </v>
          </cell>
        </row>
        <row r="1738">
          <cell r="A1738" t="str">
            <v xml:space="preserve">X1142A </v>
          </cell>
          <cell r="B1738" t="str">
            <v xml:space="preserve">OPT SBUS SAS FDDI 6.0 W/SW </v>
          </cell>
          <cell r="C1738">
            <v>3250</v>
          </cell>
          <cell r="D1738" t="str">
            <v xml:space="preserve">A </v>
          </cell>
        </row>
        <row r="1739">
          <cell r="A1739" t="str">
            <v xml:space="preserve">X1143A </v>
          </cell>
          <cell r="B1739" t="str">
            <v xml:space="preserve">OPT SBUS DAS FDDI 6.0 W/SW </v>
          </cell>
          <cell r="C1739">
            <v>4908</v>
          </cell>
          <cell r="D1739" t="str">
            <v xml:space="preserve">A </v>
          </cell>
        </row>
        <row r="1740">
          <cell r="A1740" t="str">
            <v xml:space="preserve">X1144A </v>
          </cell>
          <cell r="B1740" t="str">
            <v xml:space="preserve">OPT SBUS CARD TRI/S INCL. SW </v>
          </cell>
          <cell r="C1740">
            <v>1755</v>
          </cell>
          <cell r="D1740" t="str">
            <v xml:space="preserve">A </v>
          </cell>
        </row>
        <row r="1741">
          <cell r="A1741" t="str">
            <v xml:space="preserve">X1145A </v>
          </cell>
          <cell r="B1741" t="str">
            <v xml:space="preserve">OPT SBUS HSI/S INCL. SW </v>
          </cell>
          <cell r="C1741">
            <v>2958</v>
          </cell>
          <cell r="D1741" t="str">
            <v xml:space="preserve">A </v>
          </cell>
        </row>
        <row r="1742">
          <cell r="A1742" t="str">
            <v xml:space="preserve">X1146A </v>
          </cell>
          <cell r="B1742" t="str">
            <v xml:space="preserve">OPT SERIAL PARA CONT. W/SW </v>
          </cell>
          <cell r="C1742">
            <v>1424</v>
          </cell>
          <cell r="D1742" t="str">
            <v xml:space="preserve">A </v>
          </cell>
        </row>
        <row r="1743">
          <cell r="A1743" t="str">
            <v xml:space="preserve">X1152A </v>
          </cell>
          <cell r="B1743" t="str">
            <v xml:space="preserve">OPT INT SUNFDDI/P SAS 2.0 </v>
          </cell>
          <cell r="C1743">
            <v>2984</v>
          </cell>
          <cell r="D1743" t="str">
            <v xml:space="preserve">A </v>
          </cell>
        </row>
        <row r="1744">
          <cell r="A1744" t="str">
            <v xml:space="preserve">X1153A </v>
          </cell>
          <cell r="B1744" t="str">
            <v xml:space="preserve">OPT INT SUNFDDI/P DAS 2.0 </v>
          </cell>
          <cell r="C1744">
            <v>4414</v>
          </cell>
          <cell r="D1744" t="str">
            <v xml:space="preserve">A </v>
          </cell>
        </row>
        <row r="1745">
          <cell r="A1745" t="str">
            <v xml:space="preserve">X1154A </v>
          </cell>
          <cell r="B1745" t="str">
            <v xml:space="preserve">OPT INT SUNTRI/P 2.0 </v>
          </cell>
          <cell r="C1745">
            <v>1554</v>
          </cell>
          <cell r="D1745" t="str">
            <v xml:space="preserve">A </v>
          </cell>
        </row>
        <row r="1746">
          <cell r="A1746" t="str">
            <v xml:space="preserve">X1155A </v>
          </cell>
          <cell r="B1746" t="str">
            <v xml:space="preserve">OPT IN SUNHSI/P 2.0 </v>
          </cell>
          <cell r="C1746">
            <v>2594</v>
          </cell>
          <cell r="D1746" t="str">
            <v xml:space="preserve">A </v>
          </cell>
        </row>
        <row r="1747">
          <cell r="A1747" t="str">
            <v xml:space="preserve">X1156A </v>
          </cell>
          <cell r="B1747" t="str">
            <v xml:space="preserve">OPT INT SUNSAI/P 2.0 </v>
          </cell>
          <cell r="C1747">
            <v>1294</v>
          </cell>
          <cell r="D1747" t="str">
            <v xml:space="preserve">A </v>
          </cell>
        </row>
        <row r="1748">
          <cell r="A1748" t="str">
            <v xml:space="preserve">X1190A </v>
          </cell>
          <cell r="B1748" t="str">
            <v xml:space="preserve">OPT PROCESSOR US 250MHZ/1MB </v>
          </cell>
          <cell r="C1748">
            <v>3497</v>
          </cell>
          <cell r="D1748" t="str">
            <v xml:space="preserve">H </v>
          </cell>
        </row>
        <row r="1749">
          <cell r="A1749" t="str">
            <v xml:space="preserve">X1191A </v>
          </cell>
          <cell r="B1749" t="str">
            <v xml:space="preserve">OPT PROCESSOR US 300MHZ/2MB </v>
          </cell>
          <cell r="C1749">
            <v>8450</v>
          </cell>
          <cell r="D1749" t="str">
            <v xml:space="preserve">H </v>
          </cell>
        </row>
        <row r="1750">
          <cell r="A1750" t="str">
            <v xml:space="preserve">X1192A </v>
          </cell>
          <cell r="B1750" t="str">
            <v xml:space="preserve">OPT PROCESSOR US 360MHZ/4MB </v>
          </cell>
          <cell r="C1750">
            <v>7425</v>
          </cell>
          <cell r="D1750" t="str">
            <v xml:space="preserve">H </v>
          </cell>
        </row>
        <row r="1751">
          <cell r="A1751" t="str">
            <v xml:space="preserve">X1193A </v>
          </cell>
          <cell r="B1751" t="str">
            <v xml:space="preserve">Opt 400MHz/2MB proc for E2 U2 </v>
          </cell>
          <cell r="C1751">
            <v>7280</v>
          </cell>
          <cell r="D1751" t="str">
            <v xml:space="preserve">H </v>
          </cell>
        </row>
        <row r="1752">
          <cell r="A1752" t="str">
            <v xml:space="preserve">X1194A </v>
          </cell>
          <cell r="B1752" t="str">
            <v xml:space="preserve">Opt 400MHz/2MB processor </v>
          </cell>
          <cell r="C1752">
            <v>8775</v>
          </cell>
          <cell r="D1752" t="str">
            <v xml:space="preserve">H </v>
          </cell>
        </row>
        <row r="1753">
          <cell r="A1753" t="str">
            <v xml:space="preserve">X1195A </v>
          </cell>
          <cell r="B1753" t="str">
            <v xml:space="preserve">OPT PROCESSOR US 450MHZ/4MB </v>
          </cell>
          <cell r="C1753">
            <v>8970</v>
          </cell>
          <cell r="D1753" t="str">
            <v xml:space="preserve">H </v>
          </cell>
        </row>
        <row r="1754">
          <cell r="A1754" t="str">
            <v xml:space="preserve">X1259A </v>
          </cell>
          <cell r="B1754" t="str">
            <v xml:space="preserve">HA CFP ENTERPRISE X000 </v>
          </cell>
          <cell r="C1754">
            <v>8610</v>
          </cell>
          <cell r="D1754" t="str">
            <v xml:space="preserve">A </v>
          </cell>
        </row>
        <row r="1755">
          <cell r="A1755" t="str">
            <v xml:space="preserve">X1301A </v>
          </cell>
          <cell r="B1755" t="str">
            <v xml:space="preserve">HA CFP ENTERPRISE 2/MULTIPACK </v>
          </cell>
          <cell r="C1755">
            <v>10122</v>
          </cell>
          <cell r="D1755" t="str">
            <v xml:space="preserve">A </v>
          </cell>
        </row>
        <row r="1756">
          <cell r="A1756" t="str">
            <v xml:space="preserve">X1308A </v>
          </cell>
          <cell r="B1756" t="str">
            <v xml:space="preserve">HA CFP ENTERPRISE 2/SSA </v>
          </cell>
          <cell r="C1756">
            <v>18536</v>
          </cell>
          <cell r="D1756" t="str">
            <v xml:space="preserve">A </v>
          </cell>
        </row>
        <row r="1757">
          <cell r="A1757" t="str">
            <v xml:space="preserve">X1311A </v>
          </cell>
          <cell r="B1757" t="str">
            <v xml:space="preserve">TC MOUNT BRACKET </v>
          </cell>
          <cell r="C1757">
            <v>0</v>
          </cell>
          <cell r="D1757" t="str">
            <v xml:space="preserve">D </v>
          </cell>
        </row>
        <row r="1758">
          <cell r="A1758" t="str">
            <v xml:space="preserve">X1312A </v>
          </cell>
          <cell r="B1758" t="str">
            <v xml:space="preserve">TERMINAL CONCENTRATOR KIT </v>
          </cell>
          <cell r="C1758">
            <v>3250</v>
          </cell>
          <cell r="D1758" t="str">
            <v xml:space="preserve">A </v>
          </cell>
        </row>
        <row r="1759">
          <cell r="A1759" t="str">
            <v xml:space="preserve">X132M </v>
          </cell>
          <cell r="B1759" t="str">
            <v xml:space="preserve">OPT MEMORY 32MB (1X32MB) </v>
          </cell>
          <cell r="C1759">
            <v>630</v>
          </cell>
          <cell r="D1759" t="str">
            <v xml:space="preserve">A </v>
          </cell>
        </row>
        <row r="1760">
          <cell r="A1760" t="str">
            <v xml:space="preserve">X180A </v>
          </cell>
          <cell r="B1760" t="str">
            <v xml:space="preserve">OTP 32-KEY I/O DEVICE </v>
          </cell>
          <cell r="C1760">
            <v>1910</v>
          </cell>
          <cell r="D1760" t="str">
            <v xml:space="preserve">H </v>
          </cell>
        </row>
        <row r="1761">
          <cell r="A1761" t="str">
            <v xml:space="preserve">X180AV4 </v>
          </cell>
          <cell r="B1761" t="str">
            <v xml:space="preserve">OPT 32-KEY I/O DEVICE 240V </v>
          </cell>
          <cell r="C1761">
            <v>1910</v>
          </cell>
          <cell r="D1761" t="str">
            <v xml:space="preserve">H </v>
          </cell>
        </row>
        <row r="1762">
          <cell r="A1762" t="str">
            <v xml:space="preserve">X190A </v>
          </cell>
          <cell r="B1762" t="str">
            <v xml:space="preserve">OPT 8-DIA I/O DEVICE FOR 3D </v>
          </cell>
          <cell r="C1762">
            <v>1917</v>
          </cell>
          <cell r="D1762" t="str">
            <v xml:space="preserve">H </v>
          </cell>
        </row>
        <row r="1763">
          <cell r="A1763" t="str">
            <v xml:space="preserve">X190AV4 </v>
          </cell>
          <cell r="B1763" t="str">
            <v xml:space="preserve">OPT 8-DIAL I/O DEVICE FOR 3D </v>
          </cell>
          <cell r="C1763">
            <v>1917</v>
          </cell>
          <cell r="D1763" t="str">
            <v xml:space="preserve">H </v>
          </cell>
        </row>
        <row r="1764">
          <cell r="A1764" t="str">
            <v xml:space="preserve">X2177A </v>
          </cell>
          <cell r="B1764" t="str">
            <v xml:space="preserve">Metro Remote Dual Copy HW </v>
          </cell>
          <cell r="C1764">
            <v>62316</v>
          </cell>
          <cell r="D1764" t="str">
            <v xml:space="preserve">A </v>
          </cell>
        </row>
        <row r="1765">
          <cell r="A1765" t="str">
            <v xml:space="preserve">X2230A </v>
          </cell>
          <cell r="B1765" t="str">
            <v xml:space="preserve">OPT 250MHZ CPU W/1MB FOR E400 </v>
          </cell>
          <cell r="C1765">
            <v>3632</v>
          </cell>
          <cell r="D1765" t="str">
            <v xml:space="preserve">H </v>
          </cell>
        </row>
        <row r="1766">
          <cell r="A1766" t="str">
            <v xml:space="preserve">X2240A </v>
          </cell>
          <cell r="B1766" t="str">
            <v xml:space="preserve">OPT 300MHZ CPU W/2MB FOR E450 </v>
          </cell>
          <cell r="C1766">
            <v>8450</v>
          </cell>
          <cell r="D1766" t="str">
            <v xml:space="preserve">H </v>
          </cell>
        </row>
        <row r="1767">
          <cell r="A1767" t="str">
            <v xml:space="preserve">X2244A </v>
          </cell>
          <cell r="B1767" t="str">
            <v xml:space="preserve">OPT 400MHZ CPU W/4MB FOR E450 </v>
          </cell>
          <cell r="C1767">
            <v>11050</v>
          </cell>
          <cell r="D1767" t="str">
            <v xml:space="preserve">H </v>
          </cell>
        </row>
        <row r="1768">
          <cell r="A1768" t="str">
            <v xml:space="preserve">X25-9.1-D </v>
          </cell>
          <cell r="B1768" t="str">
            <v xml:space="preserve">X.25 9.1 DOC'S ONLY </v>
          </cell>
          <cell r="C1768">
            <v>195</v>
          </cell>
          <cell r="D1768" t="str">
            <v xml:space="preserve">B </v>
          </cell>
        </row>
        <row r="1769">
          <cell r="A1769" t="str">
            <v xml:space="preserve">X25-9.1-DT-S </v>
          </cell>
          <cell r="B1769" t="str">
            <v xml:space="preserve">X.5 9.1 DESKTOP SLIMKIT </v>
          </cell>
          <cell r="C1769">
            <v>2925</v>
          </cell>
          <cell r="D1769" t="str">
            <v xml:space="preserve">B </v>
          </cell>
        </row>
        <row r="1770">
          <cell r="A1770" t="str">
            <v xml:space="preserve">X25-9.1-LS-S </v>
          </cell>
          <cell r="B1770" t="str">
            <v xml:space="preserve">X.25 9.1 SERVER SLIMKIT </v>
          </cell>
          <cell r="C1770">
            <v>4290</v>
          </cell>
          <cell r="D1770" t="str">
            <v xml:space="preserve">B </v>
          </cell>
        </row>
        <row r="1771">
          <cell r="A1771" t="str">
            <v xml:space="preserve">X25-9.2-LS-S </v>
          </cell>
          <cell r="B1771" t="str">
            <v xml:space="preserve">X.25 9.2 SERVER SLIMKIT </v>
          </cell>
          <cell r="C1771">
            <v>4290</v>
          </cell>
          <cell r="D1771" t="str">
            <v xml:space="preserve">B </v>
          </cell>
        </row>
        <row r="1772">
          <cell r="A1772" t="str">
            <v xml:space="preserve">X2510A </v>
          </cell>
          <cell r="B1772" t="str">
            <v xml:space="preserve">OPT PROCESSOR US 167MHZ/1MB </v>
          </cell>
          <cell r="C1772">
            <v>19500</v>
          </cell>
          <cell r="D1772" t="str">
            <v xml:space="preserve">A </v>
          </cell>
        </row>
        <row r="1773">
          <cell r="A1773" t="str">
            <v xml:space="preserve">X2550A </v>
          </cell>
          <cell r="B1773" t="str">
            <v xml:space="preserve">OPT PROCESSOR US 250MHZ/4MB </v>
          </cell>
          <cell r="C1773">
            <v>24000</v>
          </cell>
          <cell r="D1773" t="str">
            <v xml:space="preserve">A </v>
          </cell>
        </row>
        <row r="1774">
          <cell r="A1774" t="str">
            <v xml:space="preserve">X2560A </v>
          </cell>
          <cell r="B1774" t="str">
            <v xml:space="preserve">OPT PROCESSOR US 336/333MHZ/4M </v>
          </cell>
          <cell r="C1774">
            <v>28500</v>
          </cell>
          <cell r="D1774" t="str">
            <v xml:space="preserve">A </v>
          </cell>
        </row>
        <row r="1775">
          <cell r="A1775" t="str">
            <v xml:space="preserve">X2570A </v>
          </cell>
          <cell r="B1775" t="str">
            <v xml:space="preserve">OPT PROCESSOR US 400-MHZ/4MB </v>
          </cell>
          <cell r="C1775">
            <v>25500</v>
          </cell>
          <cell r="D1775" t="str">
            <v xml:space="preserve">A </v>
          </cell>
        </row>
        <row r="1776">
          <cell r="A1776" t="str">
            <v xml:space="preserve">X2580A </v>
          </cell>
          <cell r="B1776" t="str">
            <v xml:space="preserve">OPT PROCESSOR US 400-MHZ/8MB </v>
          </cell>
          <cell r="C1776">
            <v>26250</v>
          </cell>
          <cell r="D1776" t="str">
            <v xml:space="preserve">A </v>
          </cell>
        </row>
        <row r="1777">
          <cell r="A1777" t="str">
            <v xml:space="preserve">X2602A </v>
          </cell>
          <cell r="B1777" t="str">
            <v xml:space="preserve">OPT INT CPU/MEM BD FOR EXX00 </v>
          </cell>
          <cell r="C1777">
            <v>13500</v>
          </cell>
          <cell r="D1777" t="str">
            <v xml:space="preserve">A </v>
          </cell>
        </row>
        <row r="1778">
          <cell r="A1778" t="str">
            <v xml:space="preserve">X2612A </v>
          </cell>
          <cell r="B1778" t="str">
            <v xml:space="preserve">OPT INT I/O BD EXX00 W/FC-AL </v>
          </cell>
          <cell r="C1778">
            <v>9750</v>
          </cell>
          <cell r="D1778" t="str">
            <v xml:space="preserve">A </v>
          </cell>
        </row>
        <row r="1779">
          <cell r="A1779" t="str">
            <v xml:space="preserve">X2622A </v>
          </cell>
          <cell r="B1779" t="str">
            <v xml:space="preserve">OPT INT GRAPHICS I/O BD EXX00 </v>
          </cell>
          <cell r="C1779">
            <v>10500</v>
          </cell>
          <cell r="D1779" t="str">
            <v xml:space="preserve">A </v>
          </cell>
        </row>
        <row r="1780">
          <cell r="A1780" t="str">
            <v xml:space="preserve">X2632A </v>
          </cell>
          <cell r="B1780" t="str">
            <v xml:space="preserve">OPT INT PCI I/O BD FOR EXX00 </v>
          </cell>
          <cell r="C1780">
            <v>12000</v>
          </cell>
          <cell r="D1780" t="str">
            <v xml:space="preserve">A </v>
          </cell>
        </row>
        <row r="1781">
          <cell r="A1781" t="str">
            <v xml:space="preserve">X2652A </v>
          </cell>
          <cell r="B1781" t="str">
            <v xml:space="preserve">OPTIONAL FC-AL INTERFACE BOARD </v>
          </cell>
          <cell r="C1781">
            <v>2250</v>
          </cell>
          <cell r="D1781" t="str">
            <v xml:space="preserve">A </v>
          </cell>
        </row>
        <row r="1782">
          <cell r="A1782" t="str">
            <v xml:space="preserve">X2720A </v>
          </cell>
          <cell r="B1782" t="str">
            <v xml:space="preserve">E10000 CONTROL BOARD </v>
          </cell>
          <cell r="C1782">
            <v>32000</v>
          </cell>
          <cell r="D1782" t="str">
            <v xml:space="preserve">A </v>
          </cell>
        </row>
        <row r="1783">
          <cell r="A1783" t="str">
            <v xml:space="preserve">X2721A </v>
          </cell>
          <cell r="B1783" t="str">
            <v xml:space="preserve">E10000 CONTROL BOARD, ETH HUB. </v>
          </cell>
          <cell r="C1783">
            <v>32000</v>
          </cell>
          <cell r="D1783" t="str">
            <v xml:space="preserve">A </v>
          </cell>
        </row>
        <row r="1784">
          <cell r="A1784" t="str">
            <v xml:space="preserve">X2730A </v>
          </cell>
          <cell r="B1784" t="str">
            <v xml:space="preserve">E10000 I/O BOARD </v>
          </cell>
          <cell r="C1784">
            <v>12000</v>
          </cell>
          <cell r="D1784" t="str">
            <v xml:space="preserve">A </v>
          </cell>
        </row>
        <row r="1785">
          <cell r="A1785" t="str">
            <v xml:space="preserve">X2753A </v>
          </cell>
          <cell r="B1785" t="str">
            <v xml:space="preserve">E10000 Sys. Service Processor </v>
          </cell>
          <cell r="C1785">
            <v>16800</v>
          </cell>
          <cell r="D1785" t="str">
            <v xml:space="preserve">A </v>
          </cell>
        </row>
        <row r="1786">
          <cell r="A1786" t="str">
            <v xml:space="preserve">X311L </v>
          </cell>
          <cell r="B1786" t="str">
            <v xml:space="preserve">NORTH AMERICAN/ASIA PWR CRD KT </v>
          </cell>
          <cell r="C1786">
            <v>0</v>
          </cell>
          <cell r="D1786" t="str">
            <v xml:space="preserve">D </v>
          </cell>
        </row>
        <row r="1787">
          <cell r="A1787" t="str">
            <v xml:space="preserve">X3518A </v>
          </cell>
          <cell r="B1787" t="str">
            <v xml:space="preserve">KOREAN COUNTRY KIT </v>
          </cell>
          <cell r="C1787">
            <v>0</v>
          </cell>
          <cell r="D1787" t="str">
            <v xml:space="preserve">D </v>
          </cell>
        </row>
        <row r="1788">
          <cell r="A1788" t="str">
            <v xml:space="preserve">X3655A </v>
          </cell>
          <cell r="B1788" t="str">
            <v xml:space="preserve">TURBOGXPLUS CARD W/CABLES, DOC </v>
          </cell>
          <cell r="C1788">
            <v>1162</v>
          </cell>
          <cell r="D1788" t="str">
            <v xml:space="preserve">H </v>
          </cell>
        </row>
        <row r="1789">
          <cell r="A1789" t="str">
            <v xml:space="preserve">X3664A </v>
          </cell>
          <cell r="B1789" t="str">
            <v xml:space="preserve">ELITE3D M3 W/CBL </v>
          </cell>
          <cell r="C1789">
            <v>2594</v>
          </cell>
          <cell r="D1789" t="str">
            <v xml:space="preserve">H </v>
          </cell>
        </row>
        <row r="1790">
          <cell r="A1790" t="str">
            <v xml:space="preserve">X3665A </v>
          </cell>
          <cell r="B1790" t="str">
            <v xml:space="preserve">ELITE3D M6 VERTICAL W/CBL </v>
          </cell>
          <cell r="C1790">
            <v>3894</v>
          </cell>
          <cell r="D1790" t="str">
            <v xml:space="preserve">H </v>
          </cell>
        </row>
        <row r="1791">
          <cell r="A1791" t="str">
            <v xml:space="preserve">X3666A </v>
          </cell>
          <cell r="B1791" t="str">
            <v xml:space="preserve">ELITE3D M6 HORIZ. W/CBL </v>
          </cell>
          <cell r="C1791">
            <v>6993</v>
          </cell>
          <cell r="D1791" t="str">
            <v xml:space="preserve">H </v>
          </cell>
        </row>
        <row r="1792">
          <cell r="A1792" t="str">
            <v xml:space="preserve">X3667A </v>
          </cell>
          <cell r="B1792" t="str">
            <v xml:space="preserve">ELITE3D M6 HORIZ. W/CBL </v>
          </cell>
          <cell r="C1792">
            <v>3894</v>
          </cell>
          <cell r="D1792" t="str">
            <v xml:space="preserve">H </v>
          </cell>
        </row>
        <row r="1793">
          <cell r="A1793" t="str">
            <v xml:space="preserve">X3668A </v>
          </cell>
          <cell r="B1793" t="str">
            <v xml:space="preserve">PGX32 CARD W/VIDEO ADAPTOR </v>
          </cell>
          <cell r="C1793">
            <v>398</v>
          </cell>
          <cell r="D1793" t="str">
            <v xml:space="preserve">H </v>
          </cell>
        </row>
        <row r="1794">
          <cell r="A1794" t="str">
            <v xml:space="preserve">X3669A </v>
          </cell>
          <cell r="B1794" t="str">
            <v xml:space="preserve">CREATOR SERIES 1, HORIZONTAL </v>
          </cell>
          <cell r="C1794">
            <v>1113</v>
          </cell>
          <cell r="D1794" t="str">
            <v xml:space="preserve">H </v>
          </cell>
        </row>
        <row r="1795">
          <cell r="A1795" t="str">
            <v xml:space="preserve">X3670A </v>
          </cell>
          <cell r="B1795" t="str">
            <v xml:space="preserve">Creator3D series 3, vertical </v>
          </cell>
          <cell r="C1795">
            <v>1034</v>
          </cell>
          <cell r="D1795" t="str">
            <v xml:space="preserve">H </v>
          </cell>
        </row>
        <row r="1796">
          <cell r="A1796" t="str">
            <v xml:space="preserve">X3671A </v>
          </cell>
          <cell r="B1796" t="str">
            <v xml:space="preserve">CREATOR3D SERIES 3, HORIZONTAL </v>
          </cell>
          <cell r="C1796">
            <v>1034</v>
          </cell>
          <cell r="D1796" t="str">
            <v xml:space="preserve">H </v>
          </cell>
        </row>
        <row r="1797">
          <cell r="A1797" t="str">
            <v xml:space="preserve">X3672A </v>
          </cell>
          <cell r="B1797" t="str">
            <v xml:space="preserve">CREATOR SERIES 3, VERTICAL </v>
          </cell>
          <cell r="C1797">
            <v>1113</v>
          </cell>
          <cell r="D1797" t="str">
            <v xml:space="preserve">H </v>
          </cell>
        </row>
        <row r="1798">
          <cell r="A1798" t="str">
            <v xml:space="preserve">X3675A </v>
          </cell>
          <cell r="B1798" t="str">
            <v xml:space="preserve">CREATOR3D SERIES 2, HORIZONTAL </v>
          </cell>
          <cell r="C1798">
            <v>1673</v>
          </cell>
          <cell r="D1798" t="str">
            <v xml:space="preserve">H </v>
          </cell>
        </row>
        <row r="1799">
          <cell r="A1799" t="str">
            <v xml:space="preserve">X3810A </v>
          </cell>
          <cell r="B1799" t="str">
            <v xml:space="preserve">OPT CABLE SCSI 4M 68/68PIN </v>
          </cell>
          <cell r="C1799">
            <v>215</v>
          </cell>
          <cell r="D1799" t="str">
            <v xml:space="preserve">A </v>
          </cell>
        </row>
        <row r="1800">
          <cell r="A1800" t="str">
            <v xml:space="preserve">X3825A </v>
          </cell>
          <cell r="B1800" t="str">
            <v xml:space="preserve">SC 2.1 SCI CABLE (10M) </v>
          </cell>
          <cell r="C1800">
            <v>325</v>
          </cell>
          <cell r="D1800" t="str">
            <v xml:space="preserve">D </v>
          </cell>
        </row>
        <row r="1801">
          <cell r="A1801" t="str">
            <v xml:space="preserve">X3826A </v>
          </cell>
          <cell r="B1801" t="str">
            <v xml:space="preserve">SC 2.1 SCI CABLE (2M) </v>
          </cell>
          <cell r="C1801">
            <v>325</v>
          </cell>
          <cell r="D1801" t="str">
            <v xml:space="preserve">D </v>
          </cell>
        </row>
        <row r="1802">
          <cell r="A1802" t="str">
            <v xml:space="preserve">X3828A </v>
          </cell>
          <cell r="B1802" t="str">
            <v xml:space="preserve">SC 2.2 SCI CABLE (5M) </v>
          </cell>
          <cell r="C1802">
            <v>325</v>
          </cell>
          <cell r="D1802" t="str">
            <v xml:space="preserve">D </v>
          </cell>
        </row>
        <row r="1803">
          <cell r="A1803" t="str">
            <v xml:space="preserve">X3829A </v>
          </cell>
          <cell r="B1803" t="str">
            <v xml:space="preserve">SC 2.1 SCI CBL BRACK (E5/6000) </v>
          </cell>
          <cell r="C1803">
            <v>390</v>
          </cell>
          <cell r="D1803" t="str">
            <v xml:space="preserve">D </v>
          </cell>
        </row>
        <row r="1804">
          <cell r="A1804" t="str">
            <v xml:space="preserve">X3830A </v>
          </cell>
          <cell r="B1804" t="str">
            <v xml:space="preserve">4M CABLE, SCSI 68 TO VHDC </v>
          </cell>
          <cell r="C1804">
            <v>231</v>
          </cell>
          <cell r="D1804" t="str">
            <v xml:space="preserve">A </v>
          </cell>
        </row>
        <row r="1805">
          <cell r="A1805" t="str">
            <v xml:space="preserve">X3831A </v>
          </cell>
          <cell r="B1805" t="str">
            <v xml:space="preserve">10M CABLE, SCSI TO VHDC </v>
          </cell>
          <cell r="C1805">
            <v>371</v>
          </cell>
          <cell r="D1805" t="str">
            <v xml:space="preserve">A </v>
          </cell>
        </row>
        <row r="1806">
          <cell r="A1806" t="str">
            <v xml:space="preserve">X3836A </v>
          </cell>
          <cell r="B1806" t="str">
            <v xml:space="preserve">5M SERIAL CABLE </v>
          </cell>
          <cell r="C1806">
            <v>163</v>
          </cell>
          <cell r="D1806" t="str">
            <v xml:space="preserve">D </v>
          </cell>
        </row>
        <row r="1807">
          <cell r="A1807" t="str">
            <v xml:space="preserve">X3837A </v>
          </cell>
          <cell r="B1807" t="str">
            <v xml:space="preserve">OPT 5M NULL ENET CABLE </v>
          </cell>
          <cell r="C1807">
            <v>163</v>
          </cell>
          <cell r="D1807" t="str">
            <v xml:space="preserve">D </v>
          </cell>
        </row>
        <row r="1808">
          <cell r="A1808" t="str">
            <v xml:space="preserve">X3838A </v>
          </cell>
          <cell r="B1808" t="str">
            <v xml:space="preserve">OPT 6M DIFFERENTIAL SCSI CABLE </v>
          </cell>
          <cell r="C1808">
            <v>163</v>
          </cell>
          <cell r="D1808" t="str">
            <v xml:space="preserve">D </v>
          </cell>
        </row>
        <row r="1809">
          <cell r="A1809" t="str">
            <v xml:space="preserve">X3839A </v>
          </cell>
          <cell r="B1809" t="str">
            <v xml:space="preserve">OPT 8M DIFFERENTIAL SCSI CABLE </v>
          </cell>
          <cell r="C1809">
            <v>163</v>
          </cell>
          <cell r="D1809" t="str">
            <v xml:space="preserve">D </v>
          </cell>
        </row>
        <row r="1810">
          <cell r="A1810" t="str">
            <v xml:space="preserve">X3840A </v>
          </cell>
          <cell r="B1810" t="str">
            <v xml:space="preserve">SCSI CABLE,68P-68P,12M </v>
          </cell>
          <cell r="C1810">
            <v>270</v>
          </cell>
          <cell r="D1810" t="str">
            <v xml:space="preserve">A </v>
          </cell>
        </row>
        <row r="1811">
          <cell r="A1811" t="str">
            <v xml:space="preserve">X3841A </v>
          </cell>
          <cell r="B1811" t="str">
            <v xml:space="preserve">SCSI CABLE,IBM RS/6000,68P-68P </v>
          </cell>
          <cell r="C1811">
            <v>270</v>
          </cell>
          <cell r="D1811" t="str">
            <v xml:space="preserve">A </v>
          </cell>
        </row>
        <row r="1812">
          <cell r="A1812" t="str">
            <v xml:space="preserve">X3842A </v>
          </cell>
          <cell r="B1812" t="str">
            <v xml:space="preserve">BMC CABLE PAIR, 0.5M </v>
          </cell>
          <cell r="C1812">
            <v>144</v>
          </cell>
          <cell r="D1812" t="str">
            <v xml:space="preserve">A </v>
          </cell>
        </row>
        <row r="1813">
          <cell r="A1813" t="str">
            <v xml:space="preserve">X3843A </v>
          </cell>
          <cell r="B1813" t="str">
            <v xml:space="preserve">BMC CABLE PAIR, 10M </v>
          </cell>
          <cell r="C1813">
            <v>486</v>
          </cell>
          <cell r="D1813" t="str">
            <v xml:space="preserve">A </v>
          </cell>
        </row>
        <row r="1814">
          <cell r="A1814" t="str">
            <v xml:space="preserve">X3844A </v>
          </cell>
          <cell r="B1814" t="str">
            <v xml:space="preserve">BMC CABLE PAIR, 20M </v>
          </cell>
          <cell r="C1814">
            <v>684</v>
          </cell>
          <cell r="D1814" t="str">
            <v xml:space="preserve">A </v>
          </cell>
        </row>
        <row r="1815">
          <cell r="A1815" t="str">
            <v xml:space="preserve">X3845A </v>
          </cell>
          <cell r="B1815" t="str">
            <v xml:space="preserve">BMC CABLE PAIR, 30M </v>
          </cell>
          <cell r="C1815">
            <v>882</v>
          </cell>
          <cell r="D1815" t="str">
            <v xml:space="preserve">A </v>
          </cell>
        </row>
        <row r="1816">
          <cell r="A1816" t="str">
            <v xml:space="preserve">X3846A </v>
          </cell>
          <cell r="B1816" t="str">
            <v xml:space="preserve">ESCON CABLE, 13M </v>
          </cell>
          <cell r="C1816">
            <v>252</v>
          </cell>
          <cell r="D1816" t="str">
            <v xml:space="preserve">A </v>
          </cell>
        </row>
        <row r="1817">
          <cell r="A1817" t="str">
            <v xml:space="preserve">X3847A </v>
          </cell>
          <cell r="B1817" t="str">
            <v xml:space="preserve">ESCON CABLE, 31M </v>
          </cell>
          <cell r="C1817">
            <v>558</v>
          </cell>
          <cell r="D1817" t="str">
            <v xml:space="preserve">A </v>
          </cell>
        </row>
        <row r="1818">
          <cell r="A1818" t="str">
            <v xml:space="preserve">X3848A </v>
          </cell>
          <cell r="B1818" t="str">
            <v xml:space="preserve">OPT PWR CORD F.ENTERPR.(INT) </v>
          </cell>
          <cell r="C1818">
            <v>0</v>
          </cell>
          <cell r="D1818" t="str">
            <v xml:space="preserve">D </v>
          </cell>
        </row>
        <row r="1819">
          <cell r="A1819" t="str">
            <v xml:space="preserve">X3856A </v>
          </cell>
          <cell r="B1819" t="str">
            <v xml:space="preserve">CABLE-68/68PIN SCSI W/PWR CORD </v>
          </cell>
          <cell r="C1819">
            <v>61</v>
          </cell>
          <cell r="D1819" t="str">
            <v xml:space="preserve">H </v>
          </cell>
        </row>
        <row r="1820">
          <cell r="A1820" t="str">
            <v xml:space="preserve">X3857A </v>
          </cell>
          <cell r="B1820" t="str">
            <v xml:space="preserve">CABLE-50/68PIN SCSI W/PWR CORD </v>
          </cell>
          <cell r="C1820">
            <v>63</v>
          </cell>
          <cell r="D1820" t="str">
            <v xml:space="preserve">H </v>
          </cell>
        </row>
        <row r="1821">
          <cell r="A1821" t="str">
            <v xml:space="preserve">X3858A </v>
          </cell>
          <cell r="B1821" t="str">
            <v xml:space="preserve">U.S. POWER CORD FOR STOREDGE </v>
          </cell>
          <cell r="C1821">
            <v>0</v>
          </cell>
          <cell r="D1821" t="str">
            <v xml:space="preserve">D </v>
          </cell>
        </row>
        <row r="1822">
          <cell r="A1822" t="str">
            <v xml:space="preserve">X3859A </v>
          </cell>
          <cell r="B1822" t="str">
            <v xml:space="preserve">INTL. POWER CORD FOR STOREDGE </v>
          </cell>
          <cell r="C1822">
            <v>0</v>
          </cell>
          <cell r="D1822" t="str">
            <v xml:space="preserve">D </v>
          </cell>
        </row>
        <row r="1823">
          <cell r="A1823" t="str">
            <v xml:space="preserve">X3860A </v>
          </cell>
          <cell r="B1823" t="str">
            <v xml:space="preserve">OPT CABLE SCSI FOR ULTRA 2 </v>
          </cell>
          <cell r="C1823">
            <v>33</v>
          </cell>
          <cell r="D1823" t="str">
            <v xml:space="preserve">A </v>
          </cell>
        </row>
        <row r="1824">
          <cell r="A1824" t="str">
            <v xml:space="preserve">X3865A </v>
          </cell>
          <cell r="B1824" t="str">
            <v xml:space="preserve">E10000 PWR CORD (14FT),FOR N.A </v>
          </cell>
          <cell r="C1824">
            <v>0</v>
          </cell>
          <cell r="D1824" t="str">
            <v xml:space="preserve">D </v>
          </cell>
        </row>
        <row r="1825">
          <cell r="A1825" t="str">
            <v xml:space="preserve">X3872A </v>
          </cell>
          <cell r="B1825" t="str">
            <v xml:space="preserve">VIDEO CONNECTOR ADAPTER HD-15 </v>
          </cell>
          <cell r="C1825">
            <v>47</v>
          </cell>
          <cell r="D1825" t="str">
            <v xml:space="preserve">H </v>
          </cell>
        </row>
        <row r="1826">
          <cell r="A1826" t="str">
            <v xml:space="preserve">X3875A </v>
          </cell>
          <cell r="B1826" t="str">
            <v xml:space="preserve">E10000 AC INPUT MODULE </v>
          </cell>
          <cell r="C1826">
            <v>3900</v>
          </cell>
          <cell r="D1826" t="str">
            <v xml:space="preserve">A </v>
          </cell>
        </row>
        <row r="1827">
          <cell r="A1827" t="str">
            <v xml:space="preserve">X3876A </v>
          </cell>
          <cell r="B1827" t="str">
            <v xml:space="preserve">SC 2.1 SCI SWITCH 4-PORT </v>
          </cell>
          <cell r="C1827">
            <v>22750</v>
          </cell>
          <cell r="D1827" t="str">
            <v xml:space="preserve">A </v>
          </cell>
        </row>
        <row r="1828">
          <cell r="A1828" t="str">
            <v xml:space="preserve">X400-9.0-B </v>
          </cell>
          <cell r="B1828" t="str">
            <v xml:space="preserve">SOLSTICE X.400 9.0, CD DOC </v>
          </cell>
          <cell r="C1828">
            <v>260</v>
          </cell>
          <cell r="D1828" t="str">
            <v xml:space="preserve">B </v>
          </cell>
        </row>
        <row r="1829">
          <cell r="A1829" t="str">
            <v xml:space="preserve">X400-9.0-CSITE </v>
          </cell>
          <cell r="B1829" t="str">
            <v xml:space="preserve">SOLSTICE X.400 9.0 CT. LIC </v>
          </cell>
          <cell r="C1829">
            <v>2594</v>
          </cell>
          <cell r="D1829" t="str">
            <v xml:space="preserve">B </v>
          </cell>
        </row>
        <row r="1830">
          <cell r="A1830" t="str">
            <v xml:space="preserve">X400-9.0-ES-S </v>
          </cell>
          <cell r="B1830" t="str">
            <v xml:space="preserve">SOLSTICE X.400 9.0 T2, CD LIC </v>
          </cell>
          <cell r="C1830">
            <v>16894</v>
          </cell>
          <cell r="D1830" t="str">
            <v xml:space="preserve">B </v>
          </cell>
        </row>
        <row r="1831">
          <cell r="A1831" t="str">
            <v xml:space="preserve">X400-9.0-L10 </v>
          </cell>
          <cell r="B1831" t="str">
            <v xml:space="preserve">SOLSTICE X.400 9.0, LIC </v>
          </cell>
          <cell r="C1831">
            <v>1560</v>
          </cell>
          <cell r="D1831" t="str">
            <v xml:space="preserve">B </v>
          </cell>
        </row>
        <row r="1832">
          <cell r="A1832" t="str">
            <v xml:space="preserve">X400-9.0-MGMT-L </v>
          </cell>
          <cell r="B1832" t="str">
            <v xml:space="preserve">SOLSTICE X.400 9.0 MGMT, LIC </v>
          </cell>
          <cell r="C1832">
            <v>2594</v>
          </cell>
          <cell r="D1832" t="str">
            <v xml:space="preserve">B </v>
          </cell>
        </row>
        <row r="1833">
          <cell r="A1833" t="str">
            <v xml:space="preserve">X400-9.0-MIME-L </v>
          </cell>
          <cell r="B1833" t="str">
            <v xml:space="preserve">SOLSTICE X.400 9.0 MIME. LIC </v>
          </cell>
          <cell r="C1833">
            <v>2594</v>
          </cell>
          <cell r="D1833" t="str">
            <v xml:space="preserve">B </v>
          </cell>
        </row>
        <row r="1834">
          <cell r="A1834" t="str">
            <v xml:space="preserve">X400-9.0-SS-S </v>
          </cell>
          <cell r="B1834" t="str">
            <v xml:space="preserve">SOLSTICE X.400 9.0 T1, CD LIC </v>
          </cell>
          <cell r="C1834">
            <v>7144</v>
          </cell>
          <cell r="D1834" t="str">
            <v xml:space="preserve">B </v>
          </cell>
        </row>
        <row r="1835">
          <cell r="A1835" t="str">
            <v xml:space="preserve">X465A </v>
          </cell>
          <cell r="B1835" t="str">
            <v xml:space="preserve">SUN INTERFACE CONVERTER </v>
          </cell>
          <cell r="C1835">
            <v>98</v>
          </cell>
          <cell r="D1835" t="str">
            <v xml:space="preserve">D </v>
          </cell>
        </row>
        <row r="1836">
          <cell r="A1836" t="str">
            <v xml:space="preserve">X467A </v>
          </cell>
          <cell r="B1836" t="str">
            <v xml:space="preserve">OPT CABLE MII-AUI CONVERTER </v>
          </cell>
          <cell r="C1836">
            <v>384</v>
          </cell>
          <cell r="D1836" t="str">
            <v xml:space="preserve">A </v>
          </cell>
        </row>
        <row r="1837">
          <cell r="A1837" t="str">
            <v xml:space="preserve">X470A </v>
          </cell>
          <cell r="B1837" t="str">
            <v xml:space="preserve">VIDEO CONNECTOR 13W3F/HD15M </v>
          </cell>
          <cell r="C1837">
            <v>61</v>
          </cell>
          <cell r="D1837" t="str">
            <v xml:space="preserve">H </v>
          </cell>
        </row>
        <row r="1838">
          <cell r="A1838" t="str">
            <v xml:space="preserve">X488A </v>
          </cell>
          <cell r="B1838" t="str">
            <v xml:space="preserve">OPT MULTIMEDIA KIT US </v>
          </cell>
          <cell r="C1838">
            <v>2018</v>
          </cell>
          <cell r="D1838" t="str">
            <v xml:space="preserve">H </v>
          </cell>
        </row>
        <row r="1839">
          <cell r="A1839" t="str">
            <v xml:space="preserve">X488A-EU </v>
          </cell>
          <cell r="B1839" t="str">
            <v xml:space="preserve">OPT MULTIMEDIA KIT EUROPE </v>
          </cell>
          <cell r="C1839">
            <v>2018</v>
          </cell>
          <cell r="D1839" t="str">
            <v xml:space="preserve">H </v>
          </cell>
        </row>
        <row r="1840">
          <cell r="A1840" t="str">
            <v xml:space="preserve">X488A-UK </v>
          </cell>
          <cell r="B1840" t="str">
            <v xml:space="preserve">OPT MULTIMEDIA KIT UK </v>
          </cell>
          <cell r="C1840">
            <v>2018</v>
          </cell>
          <cell r="D1840" t="str">
            <v xml:space="preserve">H </v>
          </cell>
        </row>
        <row r="1841">
          <cell r="A1841" t="str">
            <v xml:space="preserve">X490A </v>
          </cell>
          <cell r="B1841" t="str">
            <v xml:space="preserve">PCI MULTIMEDIA KIT US </v>
          </cell>
          <cell r="C1841">
            <v>1993</v>
          </cell>
          <cell r="D1841" t="str">
            <v xml:space="preserve">H </v>
          </cell>
        </row>
        <row r="1842">
          <cell r="A1842" t="str">
            <v xml:space="preserve">X498A </v>
          </cell>
          <cell r="B1842" t="str">
            <v xml:space="preserve">PCI MULTIMEDIA KIT US </v>
          </cell>
          <cell r="C1842">
            <v>1993</v>
          </cell>
          <cell r="D1842" t="str">
            <v xml:space="preserve">H </v>
          </cell>
        </row>
        <row r="1843">
          <cell r="A1843" t="str">
            <v xml:space="preserve">X500-1.0-B </v>
          </cell>
          <cell r="B1843" t="str">
            <v xml:space="preserve">SOLSTICE X.500 1.0, CD DOC </v>
          </cell>
          <cell r="C1843">
            <v>260</v>
          </cell>
          <cell r="D1843" t="str">
            <v xml:space="preserve">B </v>
          </cell>
        </row>
        <row r="1844">
          <cell r="A1844" t="str">
            <v xml:space="preserve">X500-1.0-CSITE </v>
          </cell>
          <cell r="B1844" t="str">
            <v xml:space="preserve">SOLSTICE X.500 1.0 TK, LIC </v>
          </cell>
          <cell r="C1844">
            <v>2594</v>
          </cell>
          <cell r="D1844" t="str">
            <v xml:space="preserve">B </v>
          </cell>
        </row>
        <row r="1845">
          <cell r="A1845" t="str">
            <v xml:space="preserve">X500-1.0-ES-L </v>
          </cell>
          <cell r="B1845" t="str">
            <v xml:space="preserve">SOLSTICE X.500 1.0 T2, LIC </v>
          </cell>
          <cell r="C1845">
            <v>18194</v>
          </cell>
          <cell r="D1845" t="str">
            <v xml:space="preserve">B </v>
          </cell>
        </row>
        <row r="1846">
          <cell r="A1846" t="str">
            <v xml:space="preserve">X500-1.0-SS-L </v>
          </cell>
          <cell r="B1846" t="str">
            <v xml:space="preserve">SOLSTICE X.500 1.0 T1, LIC </v>
          </cell>
          <cell r="C1846">
            <v>7794</v>
          </cell>
          <cell r="D1846" t="str">
            <v xml:space="preserve">B </v>
          </cell>
        </row>
        <row r="1847">
          <cell r="A1847" t="str">
            <v xml:space="preserve">X5162A </v>
          </cell>
          <cell r="B1847" t="str">
            <v xml:space="preserve">OPT INT DISKBD 8GB/7200 USCSI </v>
          </cell>
          <cell r="C1847">
            <v>5550</v>
          </cell>
          <cell r="D1847" t="str">
            <v xml:space="preserve">A </v>
          </cell>
        </row>
        <row r="1848">
          <cell r="A1848" t="str">
            <v xml:space="preserve">X5214A </v>
          </cell>
          <cell r="B1848" t="str">
            <v xml:space="preserve">OPT INT DISK 4.2GB/7200 USCSI </v>
          </cell>
          <cell r="C1848">
            <v>1015</v>
          </cell>
          <cell r="D1848" t="str">
            <v xml:space="preserve">H </v>
          </cell>
        </row>
        <row r="1849">
          <cell r="A1849" t="str">
            <v xml:space="preserve">X5226A </v>
          </cell>
          <cell r="B1849" t="str">
            <v xml:space="preserve">OPT INT 9GB DRIVE FOR U10 </v>
          </cell>
          <cell r="C1849">
            <v>630</v>
          </cell>
          <cell r="D1849" t="str">
            <v xml:space="preserve">H </v>
          </cell>
        </row>
        <row r="1850">
          <cell r="A1850" t="str">
            <v xml:space="preserve">X5228A </v>
          </cell>
          <cell r="B1850" t="str">
            <v xml:space="preserve">OPT INT DISK 4GB/10000 USCSI </v>
          </cell>
          <cell r="C1850">
            <v>1365</v>
          </cell>
          <cell r="D1850" t="str">
            <v xml:space="preserve">H </v>
          </cell>
        </row>
        <row r="1851">
          <cell r="A1851" t="str">
            <v xml:space="preserve">X5229A </v>
          </cell>
          <cell r="B1851" t="str">
            <v xml:space="preserve">OPT INT DISK 9.1GB/7200 USCSI </v>
          </cell>
          <cell r="C1851">
            <v>1484</v>
          </cell>
          <cell r="D1851" t="str">
            <v xml:space="preserve">H </v>
          </cell>
        </row>
        <row r="1852">
          <cell r="A1852" t="str">
            <v xml:space="preserve">X5230A </v>
          </cell>
          <cell r="B1852" t="str">
            <v xml:space="preserve">OPT INT DISK 9.1GB/7200 USCSI </v>
          </cell>
          <cell r="C1852">
            <v>2030</v>
          </cell>
          <cell r="D1852" t="str">
            <v xml:space="preserve">H </v>
          </cell>
        </row>
        <row r="1853">
          <cell r="A1853" t="str">
            <v xml:space="preserve">X5232A </v>
          </cell>
          <cell r="B1853" t="str">
            <v xml:space="preserve">OPT INT DISK 18.2GB/7200 USCSI </v>
          </cell>
          <cell r="C1853">
            <v>2660</v>
          </cell>
          <cell r="D1853" t="str">
            <v xml:space="preserve">H </v>
          </cell>
        </row>
        <row r="1854">
          <cell r="A1854" t="str">
            <v xml:space="preserve">X5233A </v>
          </cell>
          <cell r="B1854" t="str">
            <v xml:space="preserve">OPT INT DISK 18.2GB/7200 USCSI </v>
          </cell>
          <cell r="C1854">
            <v>3640</v>
          </cell>
          <cell r="D1854" t="str">
            <v xml:space="preserve">H </v>
          </cell>
        </row>
        <row r="1855">
          <cell r="A1855" t="str">
            <v xml:space="preserve">X5234A </v>
          </cell>
          <cell r="B1855" t="str">
            <v xml:space="preserve">OPT INT DISK 9.1GB/10K USCSI </v>
          </cell>
          <cell r="C1855">
            <v>1715</v>
          </cell>
          <cell r="D1855" t="str">
            <v xml:space="preserve">H </v>
          </cell>
        </row>
        <row r="1856">
          <cell r="A1856" t="str">
            <v xml:space="preserve">X5235A </v>
          </cell>
          <cell r="B1856" t="str">
            <v xml:space="preserve">OPT INT DISK 9GB/10000 USCSI </v>
          </cell>
          <cell r="C1856">
            <v>1785</v>
          </cell>
          <cell r="D1856" t="str">
            <v xml:space="preserve">H </v>
          </cell>
        </row>
        <row r="1857">
          <cell r="A1857" t="str">
            <v xml:space="preserve">X5236A </v>
          </cell>
          <cell r="B1857" t="str">
            <v xml:space="preserve">OPT INT 9GB DRIVE FOR U5/U10 </v>
          </cell>
          <cell r="C1857">
            <v>630</v>
          </cell>
          <cell r="D1857" t="str">
            <v xml:space="preserve">H </v>
          </cell>
        </row>
        <row r="1858">
          <cell r="A1858" t="str">
            <v xml:space="preserve">X5911A </v>
          </cell>
          <cell r="B1858" t="str">
            <v xml:space="preserve">OPT INT DISK 4.2GB/7200 USCSI </v>
          </cell>
          <cell r="C1858">
            <v>1015</v>
          </cell>
          <cell r="D1858" t="str">
            <v xml:space="preserve">H </v>
          </cell>
        </row>
        <row r="1859">
          <cell r="A1859" t="str">
            <v xml:space="preserve">X595A </v>
          </cell>
          <cell r="B1859" t="str">
            <v xml:space="preserve">OPT FIBRE CHANNEL OPTICAL MOD </v>
          </cell>
          <cell r="C1859">
            <v>780</v>
          </cell>
          <cell r="D1859" t="str">
            <v xml:space="preserve">A </v>
          </cell>
        </row>
        <row r="1860">
          <cell r="A1860" t="str">
            <v xml:space="preserve">X6003A </v>
          </cell>
          <cell r="B1860" t="str">
            <v xml:space="preserve">OPT INT FLOPPY 1.44GB FOR U2 </v>
          </cell>
          <cell r="C1860">
            <v>175</v>
          </cell>
          <cell r="D1860" t="str">
            <v xml:space="preserve">H </v>
          </cell>
        </row>
        <row r="1861">
          <cell r="A1861" t="str">
            <v xml:space="preserve">X6004A </v>
          </cell>
          <cell r="B1861" t="str">
            <v xml:space="preserve">OPT INT FLOPPY DRIVE U30 </v>
          </cell>
          <cell r="C1861">
            <v>175</v>
          </cell>
          <cell r="D1861" t="str">
            <v xml:space="preserve">H </v>
          </cell>
        </row>
        <row r="1862">
          <cell r="A1862" t="str">
            <v xml:space="preserve">X6005A </v>
          </cell>
          <cell r="B1862" t="str">
            <v xml:space="preserve">OPT FLOPPY INT DR TAZMO &amp; E250 </v>
          </cell>
          <cell r="C1862">
            <v>175</v>
          </cell>
          <cell r="D1862" t="str">
            <v xml:space="preserve">H </v>
          </cell>
        </row>
        <row r="1863">
          <cell r="A1863" t="str">
            <v xml:space="preserve">X6062A </v>
          </cell>
          <cell r="B1863" t="str">
            <v xml:space="preserve">OPT INT TAPE 35GB DLT FOR FRST </v>
          </cell>
          <cell r="C1863">
            <v>13860</v>
          </cell>
          <cell r="D1863" t="str">
            <v xml:space="preserve">A </v>
          </cell>
        </row>
        <row r="1864">
          <cell r="A1864" t="str">
            <v xml:space="preserve">X6063A </v>
          </cell>
          <cell r="B1864" t="str">
            <v xml:space="preserve">OPT INT DLT7000 DRIVE </v>
          </cell>
          <cell r="C1864">
            <v>17360</v>
          </cell>
          <cell r="D1864" t="str">
            <v xml:space="preserve">A </v>
          </cell>
        </row>
        <row r="1865">
          <cell r="A1865" t="str">
            <v xml:space="preserve">X6077A </v>
          </cell>
          <cell r="B1865" t="str">
            <v xml:space="preserve">STOREDGE L1800, 2 X DLT7000 </v>
          </cell>
          <cell r="C1865">
            <v>77000</v>
          </cell>
          <cell r="D1865" t="str">
            <v xml:space="preserve">A </v>
          </cell>
        </row>
        <row r="1866">
          <cell r="A1866" t="str">
            <v xml:space="preserve">X6078A </v>
          </cell>
          <cell r="B1866" t="str">
            <v xml:space="preserve">STOREDGE L1800, 4 X DLT7000 </v>
          </cell>
          <cell r="C1866">
            <v>105000</v>
          </cell>
          <cell r="D1866" t="str">
            <v xml:space="preserve">A </v>
          </cell>
        </row>
        <row r="1867">
          <cell r="A1867" t="str">
            <v xml:space="preserve">X6079A </v>
          </cell>
          <cell r="B1867" t="str">
            <v xml:space="preserve">STOREDGE L3500, 2 X DLT7000 </v>
          </cell>
          <cell r="C1867">
            <v>98000</v>
          </cell>
          <cell r="D1867" t="str">
            <v xml:space="preserve">A </v>
          </cell>
        </row>
        <row r="1868">
          <cell r="A1868" t="str">
            <v xml:space="preserve">X6080A </v>
          </cell>
          <cell r="B1868" t="str">
            <v xml:space="preserve">STOREDGE L3500, 7 X DLT7000 </v>
          </cell>
          <cell r="C1868">
            <v>162400</v>
          </cell>
          <cell r="D1868" t="str">
            <v xml:space="preserve">A </v>
          </cell>
        </row>
        <row r="1869">
          <cell r="A1869" t="str">
            <v xml:space="preserve">X6106A </v>
          </cell>
          <cell r="B1869" t="str">
            <v xml:space="preserve">OPT INT 4GB SLR TAPE </v>
          </cell>
          <cell r="C1869">
            <v>1050</v>
          </cell>
          <cell r="D1869" t="str">
            <v xml:space="preserve">H </v>
          </cell>
        </row>
        <row r="1870">
          <cell r="A1870" t="str">
            <v xml:space="preserve">X6107A </v>
          </cell>
          <cell r="B1870" t="str">
            <v xml:space="preserve">OPT INT 4GB SLR TAPE (SERVER) </v>
          </cell>
          <cell r="C1870">
            <v>1235</v>
          </cell>
          <cell r="D1870" t="str">
            <v xml:space="preserve">A </v>
          </cell>
        </row>
        <row r="1871">
          <cell r="A1871" t="str">
            <v xml:space="preserve">X6166A </v>
          </cell>
          <cell r="B1871" t="str">
            <v xml:space="preserve">OPT INT CD 32X FOR U30/U60 </v>
          </cell>
          <cell r="C1871">
            <v>350</v>
          </cell>
          <cell r="D1871" t="str">
            <v xml:space="preserve">H </v>
          </cell>
        </row>
        <row r="1872">
          <cell r="A1872" t="str">
            <v xml:space="preserve">X6167A </v>
          </cell>
          <cell r="B1872" t="str">
            <v xml:space="preserve">OPT INT CD 32X FOR U2/E2 </v>
          </cell>
          <cell r="C1872">
            <v>350</v>
          </cell>
          <cell r="D1872" t="str">
            <v xml:space="preserve">H </v>
          </cell>
        </row>
        <row r="1873">
          <cell r="A1873" t="str">
            <v xml:space="preserve">X6171A </v>
          </cell>
          <cell r="B1873" t="str">
            <v xml:space="preserve">OPT INT 32X CD-ROM FOR U5/U10 </v>
          </cell>
          <cell r="C1873">
            <v>210</v>
          </cell>
          <cell r="D1873" t="str">
            <v xml:space="preserve">H </v>
          </cell>
        </row>
        <row r="1874">
          <cell r="A1874" t="str">
            <v xml:space="preserve">X6206A </v>
          </cell>
          <cell r="B1874" t="str">
            <v xml:space="preserve">OPT INT TAPE 14GB/8MM </v>
          </cell>
          <cell r="C1874">
            <v>3510</v>
          </cell>
          <cell r="D1874" t="str">
            <v xml:space="preserve">A </v>
          </cell>
        </row>
        <row r="1875">
          <cell r="A1875" t="str">
            <v xml:space="preserve">X6212A </v>
          </cell>
          <cell r="B1875" t="str">
            <v xml:space="preserve">OPT INT TAPE 7GB/8MM </v>
          </cell>
          <cell r="C1875">
            <v>2030</v>
          </cell>
          <cell r="D1875" t="str">
            <v xml:space="preserve">H </v>
          </cell>
        </row>
        <row r="1876">
          <cell r="A1876" t="str">
            <v xml:space="preserve">X6213A </v>
          </cell>
          <cell r="B1876" t="str">
            <v xml:space="preserve">OPT INT TAPE 7GB/8MM </v>
          </cell>
          <cell r="C1876">
            <v>2695</v>
          </cell>
          <cell r="D1876" t="str">
            <v xml:space="preserve">A </v>
          </cell>
        </row>
        <row r="1877">
          <cell r="A1877" t="str">
            <v xml:space="preserve">X6226A </v>
          </cell>
          <cell r="B1877" t="str">
            <v xml:space="preserve">TAPE LIB RACK 400GB/8MM W/TAPE </v>
          </cell>
          <cell r="C1877">
            <v>22400</v>
          </cell>
          <cell r="D1877" t="str">
            <v xml:space="preserve">H </v>
          </cell>
        </row>
        <row r="1878">
          <cell r="A1878" t="str">
            <v xml:space="preserve">X6234A </v>
          </cell>
          <cell r="B1878" t="str">
            <v xml:space="preserve">OPT INT TAPE 20/40GB 8MM </v>
          </cell>
          <cell r="C1878">
            <v>6300</v>
          </cell>
          <cell r="D1878" t="str">
            <v xml:space="preserve">A </v>
          </cell>
        </row>
        <row r="1879">
          <cell r="A1879" t="str">
            <v xml:space="preserve">X6235A </v>
          </cell>
          <cell r="B1879" t="str">
            <v xml:space="preserve">OPT INT TAPE 20-40GB 8MM E4000 </v>
          </cell>
          <cell r="C1879">
            <v>6300</v>
          </cell>
          <cell r="D1879" t="str">
            <v xml:space="preserve">A </v>
          </cell>
        </row>
        <row r="1880">
          <cell r="A1880" t="str">
            <v xml:space="preserve">X6236A </v>
          </cell>
          <cell r="B1880" t="str">
            <v xml:space="preserve">OPT INT 40GB/8MM FLEXIPACK </v>
          </cell>
          <cell r="C1880">
            <v>4620</v>
          </cell>
          <cell r="D1880" t="str">
            <v xml:space="preserve">H </v>
          </cell>
        </row>
        <row r="1881">
          <cell r="A1881" t="str">
            <v xml:space="preserve">X6238A </v>
          </cell>
          <cell r="B1881" t="str">
            <v xml:space="preserve">OPT INT TAPE 20/40GB 8MM-EX500 </v>
          </cell>
          <cell r="C1881">
            <v>6750</v>
          </cell>
          <cell r="D1881" t="str">
            <v xml:space="preserve">A </v>
          </cell>
        </row>
        <row r="1882">
          <cell r="A1882" t="str">
            <v xml:space="preserve">X6282A </v>
          </cell>
          <cell r="B1882" t="str">
            <v xml:space="preserve">OPT INT TAPE 12GB 4MM DDS-3 </v>
          </cell>
          <cell r="C1882">
            <v>1610</v>
          </cell>
          <cell r="D1882" t="str">
            <v xml:space="preserve">H </v>
          </cell>
        </row>
        <row r="1883">
          <cell r="A1883" t="str">
            <v xml:space="preserve">X6283A </v>
          </cell>
          <cell r="B1883" t="str">
            <v xml:space="preserve">OPT INT TAPE 12GB 4MM EX000 </v>
          </cell>
          <cell r="C1883">
            <v>1890</v>
          </cell>
          <cell r="D1883" t="str">
            <v xml:space="preserve">A </v>
          </cell>
        </row>
        <row r="1884">
          <cell r="A1884" t="str">
            <v xml:space="preserve">X6286A </v>
          </cell>
          <cell r="B1884" t="str">
            <v xml:space="preserve">OPT INT TAPE 12GB 4MM </v>
          </cell>
          <cell r="C1884">
            <v>1890</v>
          </cell>
          <cell r="D1884" t="str">
            <v xml:space="preserve">A </v>
          </cell>
        </row>
        <row r="1885">
          <cell r="A1885" t="str">
            <v xml:space="preserve">X6287A </v>
          </cell>
          <cell r="B1885" t="str">
            <v xml:space="preserve">A7000 54.3GB STORAGE PACKAGE </v>
          </cell>
          <cell r="C1885">
            <v>43200</v>
          </cell>
          <cell r="D1885" t="str">
            <v xml:space="preserve">A </v>
          </cell>
        </row>
        <row r="1886">
          <cell r="A1886" t="str">
            <v xml:space="preserve">X6288A </v>
          </cell>
          <cell r="B1886" t="str">
            <v xml:space="preserve">54.3GB SCA STORAGE MODULE </v>
          </cell>
          <cell r="C1886">
            <v>26046</v>
          </cell>
          <cell r="D1886" t="str">
            <v xml:space="preserve">A </v>
          </cell>
        </row>
        <row r="1887">
          <cell r="A1887" t="str">
            <v xml:space="preserve">X6289A </v>
          </cell>
          <cell r="B1887" t="str">
            <v xml:space="preserve">108.6GB SCA Storage Package </v>
          </cell>
          <cell r="C1887">
            <v>43200</v>
          </cell>
          <cell r="D1887" t="str">
            <v xml:space="preserve">A </v>
          </cell>
        </row>
        <row r="1888">
          <cell r="A1888" t="str">
            <v xml:space="preserve">X6510A </v>
          </cell>
          <cell r="B1888" t="str">
            <v xml:space="preserve">RSM SCSI ENVIRONMENTAL CARD </v>
          </cell>
          <cell r="C1888">
            <v>910</v>
          </cell>
          <cell r="D1888" t="str">
            <v xml:space="preserve">A </v>
          </cell>
        </row>
        <row r="1889">
          <cell r="A1889" t="str">
            <v xml:space="preserve">X6513A </v>
          </cell>
          <cell r="B1889" t="str">
            <v xml:space="preserve">OPT POWER ENTERPRISE EXP. CAB </v>
          </cell>
          <cell r="C1889">
            <v>1430</v>
          </cell>
          <cell r="D1889" t="str">
            <v xml:space="preserve">A </v>
          </cell>
        </row>
        <row r="1890">
          <cell r="A1890" t="str">
            <v xml:space="preserve">X6516A </v>
          </cell>
          <cell r="B1890" t="str">
            <v xml:space="preserve">RSM 9.1GB/7200 FWSCSI </v>
          </cell>
          <cell r="C1890">
            <v>3211</v>
          </cell>
          <cell r="D1890" t="str">
            <v xml:space="preserve">A </v>
          </cell>
        </row>
        <row r="1891">
          <cell r="A1891" t="str">
            <v xml:space="preserve">X6537A </v>
          </cell>
          <cell r="B1891" t="str">
            <v xml:space="preserve">STOREDGE A3500 CONTROLLER </v>
          </cell>
          <cell r="C1891">
            <v>36610</v>
          </cell>
          <cell r="D1891" t="str">
            <v xml:space="preserve">A </v>
          </cell>
        </row>
        <row r="1892">
          <cell r="A1892" t="str">
            <v xml:space="preserve">X6540A </v>
          </cell>
          <cell r="B1892" t="str">
            <v xml:space="preserve">OPT INT PCI ULTRASCSI SE CARD </v>
          </cell>
          <cell r="C1892">
            <v>975</v>
          </cell>
          <cell r="D1892" t="str">
            <v xml:space="preserve">A </v>
          </cell>
        </row>
        <row r="1893">
          <cell r="A1893" t="str">
            <v xml:space="preserve">X6541A </v>
          </cell>
          <cell r="B1893" t="str">
            <v xml:space="preserve">OPT INT PCI ULTRASCSI DIFF CRD </v>
          </cell>
          <cell r="C1893">
            <v>1872</v>
          </cell>
          <cell r="D1893" t="str">
            <v xml:space="preserve">A </v>
          </cell>
        </row>
        <row r="1894">
          <cell r="A1894" t="str">
            <v xml:space="preserve">X6601A </v>
          </cell>
          <cell r="B1894" t="str">
            <v xml:space="preserve">E450 8BAY STOR EXP KIT, 10K </v>
          </cell>
          <cell r="C1894">
            <v>1476</v>
          </cell>
          <cell r="D1894" t="str">
            <v xml:space="preserve">H </v>
          </cell>
        </row>
        <row r="1895">
          <cell r="A1895" t="str">
            <v xml:space="preserve">X6710A </v>
          </cell>
          <cell r="B1895" t="str">
            <v xml:space="preserve">FC-AL 9.1GB 10000RPM 1" DISK </v>
          </cell>
          <cell r="C1895">
            <v>4060</v>
          </cell>
          <cell r="D1895" t="str">
            <v xml:space="preserve">A </v>
          </cell>
        </row>
        <row r="1896">
          <cell r="A1896" t="str">
            <v xml:space="preserve">X6711A </v>
          </cell>
          <cell r="B1896" t="str">
            <v xml:space="preserve">FC-AL 18.2GB 7200RPM 1.6" DISK </v>
          </cell>
          <cell r="C1896">
            <v>4340</v>
          </cell>
          <cell r="D1896" t="str">
            <v xml:space="preserve">A </v>
          </cell>
        </row>
        <row r="1897">
          <cell r="A1897" t="str">
            <v xml:space="preserve">X6729A </v>
          </cell>
          <cell r="B1897" t="str">
            <v xml:space="preserve">OPT INT PCI FC-AL HOST ADAPTER </v>
          </cell>
          <cell r="C1897">
            <v>2990</v>
          </cell>
          <cell r="D1897" t="str">
            <v xml:space="preserve">A </v>
          </cell>
        </row>
        <row r="1898">
          <cell r="A1898" t="str">
            <v xml:space="preserve">X6730A </v>
          </cell>
          <cell r="B1898" t="str">
            <v xml:space="preserve">FCAL 100MB/S SBUS HOST ADAPTER </v>
          </cell>
          <cell r="C1898">
            <v>3510</v>
          </cell>
          <cell r="D1898" t="str">
            <v xml:space="preserve">A </v>
          </cell>
        </row>
        <row r="1899">
          <cell r="A1899" t="str">
            <v xml:space="preserve">X6731A </v>
          </cell>
          <cell r="B1899" t="str">
            <v xml:space="preserve">FCAL GBIC MODULE 100MB/S </v>
          </cell>
          <cell r="C1899">
            <v>780</v>
          </cell>
          <cell r="D1899" t="str">
            <v xml:space="preserve">A </v>
          </cell>
        </row>
        <row r="1900">
          <cell r="A1900" t="str">
            <v xml:space="preserve">X6732A </v>
          </cell>
          <cell r="B1900" t="str">
            <v xml:space="preserve">FCAL HUB 7 SLOT </v>
          </cell>
          <cell r="C1900">
            <v>2800</v>
          </cell>
          <cell r="D1900" t="str">
            <v xml:space="preserve">A </v>
          </cell>
        </row>
        <row r="1901">
          <cell r="A1901" t="str">
            <v xml:space="preserve">X6734A </v>
          </cell>
          <cell r="B1901" t="str">
            <v xml:space="preserve">A5000 CHASSIS INTERFACE BOARD </v>
          </cell>
          <cell r="C1901">
            <v>3220</v>
          </cell>
          <cell r="D1901" t="str">
            <v xml:space="preserve">A </v>
          </cell>
        </row>
        <row r="1902">
          <cell r="A1902" t="str">
            <v xml:space="preserve">X6735A </v>
          </cell>
          <cell r="B1902" t="str">
            <v xml:space="preserve">DUAL HUB MOUNT KIT </v>
          </cell>
          <cell r="C1902">
            <v>350</v>
          </cell>
          <cell r="D1902" t="str">
            <v xml:space="preserve">A </v>
          </cell>
        </row>
        <row r="1903">
          <cell r="A1903" t="str">
            <v xml:space="preserve">X6773A </v>
          </cell>
          <cell r="B1903" t="str">
            <v xml:space="preserve">A7000 1024MB SAFE CACHE, RMC </v>
          </cell>
          <cell r="C1903">
            <v>91386</v>
          </cell>
          <cell r="D1903" t="str">
            <v xml:space="preserve">A </v>
          </cell>
        </row>
        <row r="1904">
          <cell r="A1904" t="str">
            <v xml:space="preserve">X6778A </v>
          </cell>
          <cell r="B1904" t="str">
            <v xml:space="preserve">A7000 QUAD CH BMC ADAPT KIT </v>
          </cell>
          <cell r="C1904">
            <v>94158</v>
          </cell>
          <cell r="D1904" t="str">
            <v xml:space="preserve">A </v>
          </cell>
        </row>
        <row r="1905">
          <cell r="A1905" t="str">
            <v xml:space="preserve">X6779A </v>
          </cell>
          <cell r="B1905" t="str">
            <v xml:space="preserve">A7000 DUAL ESCON ADP KIT #2 </v>
          </cell>
          <cell r="C1905">
            <v>110772</v>
          </cell>
          <cell r="D1905" t="str">
            <v xml:space="preserve">A </v>
          </cell>
        </row>
        <row r="1906">
          <cell r="A1906" t="str">
            <v xml:space="preserve">X6780A </v>
          </cell>
          <cell r="B1906" t="str">
            <v xml:space="preserve">A7000 DUAL ESCON ADP KIT #1 </v>
          </cell>
          <cell r="C1906">
            <v>110772</v>
          </cell>
          <cell r="D1906" t="str">
            <v xml:space="preserve">A </v>
          </cell>
        </row>
        <row r="1907">
          <cell r="A1907" t="str">
            <v xml:space="preserve">X6796A </v>
          </cell>
          <cell r="B1907" t="str">
            <v xml:space="preserve">8 CH. ULTRA STE, 2 CONNECTOR </v>
          </cell>
          <cell r="C1907">
            <v>37476</v>
          </cell>
          <cell r="D1907" t="str">
            <v xml:space="preserve">A </v>
          </cell>
        </row>
        <row r="1908">
          <cell r="A1908" t="str">
            <v xml:space="preserve">X6797A </v>
          </cell>
          <cell r="B1908" t="str">
            <v xml:space="preserve">4 CH. ULTRA STE, 2 CONNECTOR </v>
          </cell>
          <cell r="C1908">
            <v>37476</v>
          </cell>
          <cell r="D1908" t="str">
            <v xml:space="preserve">A </v>
          </cell>
        </row>
        <row r="1909">
          <cell r="A1909" t="str">
            <v xml:space="preserve">X6798A </v>
          </cell>
          <cell r="B1909" t="str">
            <v xml:space="preserve">8 CH. ULTRA STE, 8 CONNECTOR </v>
          </cell>
          <cell r="C1909">
            <v>37476</v>
          </cell>
          <cell r="D1909" t="str">
            <v xml:space="preserve">A </v>
          </cell>
        </row>
        <row r="1910">
          <cell r="A1910" t="str">
            <v xml:space="preserve">X6900A </v>
          </cell>
          <cell r="B1910" t="str">
            <v xml:space="preserve">NETRA T 1100 ALARMS SW, CD </v>
          </cell>
          <cell r="C1910">
            <v>260</v>
          </cell>
          <cell r="D1910" t="str">
            <v xml:space="preserve">A </v>
          </cell>
        </row>
        <row r="1911">
          <cell r="A1911" t="str">
            <v xml:space="preserve">X6901A </v>
          </cell>
          <cell r="B1911" t="str">
            <v xml:space="preserve">NETRA TELCO 19" RACKMOUNT KIT </v>
          </cell>
          <cell r="C1911">
            <v>325</v>
          </cell>
          <cell r="D1911" t="str">
            <v xml:space="preserve">A </v>
          </cell>
        </row>
        <row r="1912">
          <cell r="A1912" t="str">
            <v xml:space="preserve">X6902A </v>
          </cell>
          <cell r="B1912" t="str">
            <v xml:space="preserve">NETRA TELCO 23" RACKMOUNT KIT </v>
          </cell>
          <cell r="C1912">
            <v>325</v>
          </cell>
          <cell r="D1912" t="str">
            <v xml:space="preserve">A </v>
          </cell>
        </row>
        <row r="1913">
          <cell r="A1913" t="str">
            <v xml:space="preserve">X6903A </v>
          </cell>
          <cell r="B1913" t="str">
            <v xml:space="preserve">NETRA TELCO 24" RACKMOUNT KIT </v>
          </cell>
          <cell r="C1913">
            <v>325</v>
          </cell>
          <cell r="D1913" t="str">
            <v xml:space="preserve">A </v>
          </cell>
        </row>
        <row r="1914">
          <cell r="A1914" t="str">
            <v xml:space="preserve">X6904A </v>
          </cell>
          <cell r="B1914" t="str">
            <v xml:space="preserve">NETRA TELCO 600MM RACKMNT KIT </v>
          </cell>
          <cell r="C1914">
            <v>325</v>
          </cell>
          <cell r="D1914" t="str">
            <v xml:space="preserve">A </v>
          </cell>
        </row>
        <row r="1915">
          <cell r="A1915" t="str">
            <v xml:space="preserve">X6905A </v>
          </cell>
          <cell r="B1915" t="str">
            <v xml:space="preserve">NETRA TELCO ALARMS SW, CD </v>
          </cell>
          <cell r="C1915">
            <v>280</v>
          </cell>
          <cell r="D1915" t="str">
            <v xml:space="preserve">A </v>
          </cell>
        </row>
        <row r="1916">
          <cell r="A1916" t="str">
            <v xml:space="preserve">X6907A </v>
          </cell>
          <cell r="B1916" t="str">
            <v xml:space="preserve">23"/24" rack kit for Netra st </v>
          </cell>
          <cell r="C1916">
            <v>350</v>
          </cell>
          <cell r="D1916" t="str">
            <v xml:space="preserve">A </v>
          </cell>
        </row>
        <row r="1917">
          <cell r="A1917" t="str">
            <v xml:space="preserve">X6909A </v>
          </cell>
          <cell r="B1917" t="str">
            <v xml:space="preserve">600MM RACK KIT FOR NETRA ST </v>
          </cell>
          <cell r="C1917">
            <v>350</v>
          </cell>
          <cell r="D1917" t="str">
            <v xml:space="preserve">A </v>
          </cell>
        </row>
        <row r="1918">
          <cell r="A1918" t="str">
            <v xml:space="preserve">X7002A </v>
          </cell>
          <cell r="B1918" t="str">
            <v xml:space="preserve">OPT MEMORY 64MB (2*32MB) </v>
          </cell>
          <cell r="C1918">
            <v>664</v>
          </cell>
          <cell r="D1918" t="str">
            <v xml:space="preserve">H </v>
          </cell>
        </row>
        <row r="1919">
          <cell r="A1919" t="str">
            <v xml:space="preserve">X7003A </v>
          </cell>
          <cell r="B1919" t="str">
            <v xml:space="preserve">OPT MEMORY 128MB (2*64MB) </v>
          </cell>
          <cell r="C1919">
            <v>1264</v>
          </cell>
          <cell r="D1919" t="str">
            <v xml:space="preserve">H </v>
          </cell>
        </row>
        <row r="1920">
          <cell r="A1920" t="str">
            <v xml:space="preserve">X7004A </v>
          </cell>
          <cell r="B1920" t="str">
            <v xml:space="preserve">OPT MEMORY 256MB (2*128MB) </v>
          </cell>
          <cell r="C1920">
            <v>2400</v>
          </cell>
          <cell r="D1920" t="str">
            <v xml:space="preserve">H </v>
          </cell>
        </row>
        <row r="1921">
          <cell r="A1921" t="str">
            <v xml:space="preserve">X7005A </v>
          </cell>
          <cell r="B1921" t="str">
            <v xml:space="preserve">OPT MEMORY 512MB (2*256MB) </v>
          </cell>
          <cell r="C1921">
            <v>9600</v>
          </cell>
          <cell r="D1921" t="str">
            <v xml:space="preserve">H </v>
          </cell>
        </row>
        <row r="1922">
          <cell r="A1922" t="str">
            <v xml:space="preserve">X7016A </v>
          </cell>
          <cell r="B1922" t="str">
            <v xml:space="preserve">JAVASTATION 8MB FLASH MEMORY </v>
          </cell>
          <cell r="C1922">
            <v>358</v>
          </cell>
          <cell r="D1922" t="str">
            <v xml:space="preserve">A </v>
          </cell>
        </row>
        <row r="1923">
          <cell r="A1923" t="str">
            <v xml:space="preserve">X7020A </v>
          </cell>
          <cell r="B1923" t="str">
            <v xml:space="preserve">OPT A3500 MEMORY 64MB </v>
          </cell>
          <cell r="C1923">
            <v>2600</v>
          </cell>
          <cell r="D1923" t="str">
            <v xml:space="preserve">A </v>
          </cell>
        </row>
        <row r="1924">
          <cell r="A1924" t="str">
            <v xml:space="preserve">X7022A </v>
          </cell>
          <cell r="B1924" t="str">
            <v xml:space="preserve">OPT MEMORY 256MB (8*32MB) </v>
          </cell>
          <cell r="C1924">
            <v>5761</v>
          </cell>
          <cell r="D1924" t="str">
            <v xml:space="preserve">A </v>
          </cell>
        </row>
        <row r="1925">
          <cell r="A1925" t="str">
            <v xml:space="preserve">X7023A </v>
          </cell>
          <cell r="B1925" t="str">
            <v xml:space="preserve">OTP MEMORY 1GB (8*128MB) </v>
          </cell>
          <cell r="C1925">
            <v>18000</v>
          </cell>
          <cell r="D1925" t="str">
            <v xml:space="preserve">A </v>
          </cell>
        </row>
        <row r="1926">
          <cell r="A1926" t="str">
            <v xml:space="preserve">X7025A </v>
          </cell>
          <cell r="B1926" t="str">
            <v xml:space="preserve">E10000 MEM BOARD, UNPOPULATED </v>
          </cell>
          <cell r="C1926">
            <v>16000</v>
          </cell>
          <cell r="D1926" t="str">
            <v xml:space="preserve">A </v>
          </cell>
        </row>
        <row r="1927">
          <cell r="A1927" t="str">
            <v xml:space="preserve">X7030A </v>
          </cell>
          <cell r="B1927" t="str">
            <v xml:space="preserve">OPT 64MB MEMORY FOR U5/10 </v>
          </cell>
          <cell r="C1927">
            <v>553</v>
          </cell>
          <cell r="D1927" t="str">
            <v xml:space="preserve">H </v>
          </cell>
        </row>
        <row r="1928">
          <cell r="A1928" t="str">
            <v xml:space="preserve">X7031A </v>
          </cell>
          <cell r="B1928" t="str">
            <v xml:space="preserve">OPT 128MB MEMORY FOR U5/10 </v>
          </cell>
          <cell r="C1928">
            <v>1050</v>
          </cell>
          <cell r="D1928" t="str">
            <v xml:space="preserve">H </v>
          </cell>
        </row>
        <row r="1929">
          <cell r="A1929" t="str">
            <v xml:space="preserve">X7032A </v>
          </cell>
          <cell r="B1929" t="str">
            <v xml:space="preserve">OPT 256MB MEMORY FOR U5/10 </v>
          </cell>
          <cell r="C1929">
            <v>2030</v>
          </cell>
          <cell r="D1929" t="str">
            <v xml:space="preserve">H </v>
          </cell>
        </row>
        <row r="1930">
          <cell r="A1930" t="str">
            <v xml:space="preserve">X7033A </v>
          </cell>
          <cell r="B1930" t="str">
            <v xml:space="preserve">OPT 512MB MEMORY FOR U10 </v>
          </cell>
          <cell r="C1930">
            <v>4053</v>
          </cell>
          <cell r="D1930" t="str">
            <v xml:space="preserve">H </v>
          </cell>
        </row>
        <row r="1931">
          <cell r="A1931" t="str">
            <v xml:space="preserve">X7035A </v>
          </cell>
          <cell r="B1931" t="str">
            <v xml:space="preserve">OPT 128MB MEMORY FOR SUNPCI </v>
          </cell>
          <cell r="C1931">
            <v>490</v>
          </cell>
          <cell r="D1931" t="str">
            <v xml:space="preserve">H </v>
          </cell>
        </row>
        <row r="1932">
          <cell r="A1932" t="str">
            <v xml:space="preserve">X7036A </v>
          </cell>
          <cell r="B1932" t="str">
            <v xml:space="preserve">OPT 64MB DRAM, 50NS, U5/U10 </v>
          </cell>
          <cell r="C1932">
            <v>553</v>
          </cell>
          <cell r="D1932" t="str">
            <v xml:space="preserve">H </v>
          </cell>
        </row>
        <row r="1933">
          <cell r="A1933" t="str">
            <v xml:space="preserve">X7037A </v>
          </cell>
          <cell r="B1933" t="str">
            <v xml:space="preserve">OPT 128MB DRAM, 50NS, U5/U10 </v>
          </cell>
          <cell r="C1933">
            <v>1050</v>
          </cell>
          <cell r="D1933" t="str">
            <v xml:space="preserve">H </v>
          </cell>
        </row>
        <row r="1934">
          <cell r="A1934" t="str">
            <v xml:space="preserve">X7038A </v>
          </cell>
          <cell r="B1934" t="str">
            <v xml:space="preserve">OPT 256MB DRAM, 50NS, U5/U10 </v>
          </cell>
          <cell r="C1934">
            <v>2030</v>
          </cell>
          <cell r="D1934" t="str">
            <v xml:space="preserve">H </v>
          </cell>
        </row>
        <row r="1935">
          <cell r="A1935" t="str">
            <v xml:space="preserve">X7039A </v>
          </cell>
          <cell r="B1935" t="str">
            <v xml:space="preserve">OPT 512MB DRAM, 50NS, U5/U10 </v>
          </cell>
          <cell r="C1935">
            <v>4053</v>
          </cell>
          <cell r="D1935" t="str">
            <v xml:space="preserve">H </v>
          </cell>
        </row>
        <row r="1936">
          <cell r="A1936" t="str">
            <v xml:space="preserve">X7040A </v>
          </cell>
          <cell r="B1936" t="str">
            <v xml:space="preserve">OPT A1000 MEMORY 64MB </v>
          </cell>
          <cell r="C1936">
            <v>3500</v>
          </cell>
          <cell r="D1936" t="str">
            <v xml:space="preserve">H </v>
          </cell>
        </row>
        <row r="1937">
          <cell r="A1937" t="str">
            <v xml:space="preserve">X7041A </v>
          </cell>
          <cell r="B1937" t="str">
            <v xml:space="preserve">Opt 64MB Memory for SunPCi </v>
          </cell>
          <cell r="C1937">
            <v>273</v>
          </cell>
          <cell r="D1937" t="str">
            <v xml:space="preserve">H </v>
          </cell>
        </row>
        <row r="1938">
          <cell r="A1938" t="str">
            <v xml:space="preserve">X7119A-K </v>
          </cell>
          <cell r="B1938" t="str">
            <v xml:space="preserve">19" COLOR MONITOR W/CABLE </v>
          </cell>
          <cell r="C1938">
            <v>1694</v>
          </cell>
          <cell r="D1938" t="str">
            <v>D</v>
          </cell>
        </row>
        <row r="1939">
          <cell r="A1939" t="str">
            <v xml:space="preserve">X7121A-K </v>
          </cell>
          <cell r="B1939" t="str">
            <v xml:space="preserve">21" COLOR MONITOR W/CABLE </v>
          </cell>
          <cell r="C1939">
            <v>1960</v>
          </cell>
          <cell r="D1939" t="str">
            <v>D</v>
          </cell>
        </row>
        <row r="1940">
          <cell r="A1940" t="str">
            <v xml:space="preserve">X7124A-K </v>
          </cell>
          <cell r="B1940" t="str">
            <v xml:space="preserve">24" WIDE SCREEN - KOREAN VER. </v>
          </cell>
          <cell r="C1940">
            <v>3333</v>
          </cell>
          <cell r="D1940" t="str">
            <v>D</v>
          </cell>
        </row>
        <row r="1941">
          <cell r="A1941" t="str">
            <v xml:space="preserve">X7126A-K </v>
          </cell>
          <cell r="B1941" t="str">
            <v xml:space="preserve">17" ENTRY COLOR MONITOR </v>
          </cell>
          <cell r="C1941">
            <v>800</v>
          </cell>
          <cell r="D1941" t="str">
            <v>D</v>
          </cell>
        </row>
        <row r="1942">
          <cell r="A1942" t="str">
            <v>X7136A</v>
          </cell>
          <cell r="B1942" t="str">
            <v xml:space="preserve">21" ENTRY COLOR MONITOR </v>
          </cell>
          <cell r="C1942">
            <v>1670</v>
          </cell>
          <cell r="D1942" t="str">
            <v>D</v>
          </cell>
        </row>
        <row r="1943">
          <cell r="A1943" t="str">
            <v xml:space="preserve">X901A </v>
          </cell>
          <cell r="B1943" t="str">
            <v xml:space="preserve">OPT CABLE SCSI 0.8M 68PIN </v>
          </cell>
          <cell r="C1943">
            <v>163</v>
          </cell>
          <cell r="D1943" t="str">
            <v xml:space="preserve">D </v>
          </cell>
        </row>
        <row r="1944">
          <cell r="A1944" t="str">
            <v xml:space="preserve">X902A </v>
          </cell>
          <cell r="B1944" t="str">
            <v xml:space="preserve">OPT CABLE SCSI 2M 68PIN </v>
          </cell>
          <cell r="C1944">
            <v>163</v>
          </cell>
          <cell r="D1944" t="str">
            <v xml:space="preserve">D </v>
          </cell>
        </row>
        <row r="1945">
          <cell r="A1945" t="str">
            <v xml:space="preserve">X903A </v>
          </cell>
          <cell r="B1945" t="str">
            <v xml:space="preserve">OPT CABLE SCSI 1.2M 50/68PIN </v>
          </cell>
          <cell r="C1945">
            <v>163</v>
          </cell>
          <cell r="D1945" t="str">
            <v xml:space="preserve">D </v>
          </cell>
        </row>
        <row r="1946">
          <cell r="A1946" t="str">
            <v xml:space="preserve">X904A </v>
          </cell>
          <cell r="B1946" t="str">
            <v xml:space="preserve">OPT CABLE SCSI 2M 50/68PIN </v>
          </cell>
          <cell r="C1946">
            <v>163</v>
          </cell>
          <cell r="D1946" t="str">
            <v xml:space="preserve">D </v>
          </cell>
        </row>
        <row r="1947">
          <cell r="A1947" t="str">
            <v xml:space="preserve">X907A </v>
          </cell>
          <cell r="B1947" t="str">
            <v xml:space="preserve">OPT CABLE SCSI 2M 50/68PIN </v>
          </cell>
          <cell r="C1947">
            <v>163</v>
          </cell>
          <cell r="D1947" t="str">
            <v xml:space="preserve">D </v>
          </cell>
        </row>
        <row r="1948">
          <cell r="A1948" t="str">
            <v xml:space="preserve">X952A </v>
          </cell>
          <cell r="B1948" t="str">
            <v xml:space="preserve">ENTERPRISE 4000 CASTER BASE </v>
          </cell>
          <cell r="C1948">
            <v>1190</v>
          </cell>
          <cell r="D1948" t="str">
            <v xml:space="preserve">A </v>
          </cell>
        </row>
        <row r="1949">
          <cell r="A1949" t="str">
            <v xml:space="preserve">X953A </v>
          </cell>
          <cell r="B1949" t="str">
            <v xml:space="preserve">ENTERPRISE 4000 LOCK MODULE </v>
          </cell>
          <cell r="C1949">
            <v>175</v>
          </cell>
          <cell r="D1949" t="str">
            <v xml:space="preserve">A </v>
          </cell>
        </row>
        <row r="1950">
          <cell r="A1950" t="str">
            <v xml:space="preserve">X954A </v>
          </cell>
          <cell r="B1950" t="str">
            <v xml:space="preserve">OPT INT PS/300W FOR EX000 </v>
          </cell>
          <cell r="C1950">
            <v>2520</v>
          </cell>
          <cell r="D1950" t="str">
            <v xml:space="preserve">A </v>
          </cell>
        </row>
        <row r="1951">
          <cell r="A1951" t="str">
            <v xml:space="preserve">X958A </v>
          </cell>
          <cell r="B1951" t="str">
            <v xml:space="preserve">OPT 2ND PERIPHERAL PS/184W </v>
          </cell>
          <cell r="C1951">
            <v>2100</v>
          </cell>
          <cell r="D1951" t="str">
            <v xml:space="preserve">A </v>
          </cell>
        </row>
        <row r="1952">
          <cell r="A1952" t="str">
            <v xml:space="preserve">X9601A </v>
          </cell>
          <cell r="B1952" t="str">
            <v xml:space="preserve">ENTRSE EXP. CAB. AIR BAFFLE </v>
          </cell>
          <cell r="C1952">
            <v>70</v>
          </cell>
          <cell r="D1952" t="str">
            <v xml:space="preserve">A </v>
          </cell>
        </row>
        <row r="1953">
          <cell r="A1953" t="str">
            <v xml:space="preserve">X9602A </v>
          </cell>
          <cell r="B1953" t="str">
            <v xml:space="preserve">Ex000 Cabinet Floor Brackets </v>
          </cell>
          <cell r="C1953">
            <v>560</v>
          </cell>
          <cell r="D1953" t="str">
            <v xml:space="preserve">A </v>
          </cell>
        </row>
        <row r="1954">
          <cell r="A1954" t="str">
            <v xml:space="preserve">X9604A </v>
          </cell>
          <cell r="B1954" t="str">
            <v xml:space="preserve">SERVER CASTERS OPTION </v>
          </cell>
          <cell r="C1954">
            <v>128</v>
          </cell>
          <cell r="D1954" t="str">
            <v xml:space="preserve">H </v>
          </cell>
        </row>
        <row r="1955">
          <cell r="A1955" t="str">
            <v xml:space="preserve">X9610A </v>
          </cell>
          <cell r="B1955" t="str">
            <v xml:space="preserve">68" ENTERPRISE EXPANSION CAB </v>
          </cell>
          <cell r="C1955">
            <v>12000</v>
          </cell>
          <cell r="D1955" t="str">
            <v xml:space="preserve">A </v>
          </cell>
        </row>
        <row r="1956">
          <cell r="A1956" t="str">
            <v xml:space="preserve">X9620A </v>
          </cell>
          <cell r="B1956" t="str">
            <v xml:space="preserve">OPT 2ND POWER SEQUENCER </v>
          </cell>
          <cell r="C1956">
            <v>1650</v>
          </cell>
          <cell r="D1956" t="str">
            <v xml:space="preserve">A </v>
          </cell>
        </row>
        <row r="1957">
          <cell r="A1957" t="str">
            <v xml:space="preserve">X9621A </v>
          </cell>
          <cell r="B1957" t="str">
            <v xml:space="preserve">RACK-MOUNT RAILS E4X00 </v>
          </cell>
          <cell r="C1957">
            <v>675</v>
          </cell>
          <cell r="D1957" t="str">
            <v xml:space="preserve">A </v>
          </cell>
        </row>
        <row r="1958">
          <cell r="A1958" t="str">
            <v xml:space="preserve">X9622A </v>
          </cell>
          <cell r="B1958" t="str">
            <v xml:space="preserve">9" AIR BAFFLE FOR ENT CABINET </v>
          </cell>
          <cell r="C1958">
            <v>75</v>
          </cell>
          <cell r="D1958" t="str">
            <v xml:space="preserve">A </v>
          </cell>
        </row>
        <row r="1959">
          <cell r="A1959" t="str">
            <v xml:space="preserve">X9623A </v>
          </cell>
          <cell r="B1959" t="str">
            <v xml:space="preserve">A5000 DOOR FOR E5500/E6500 </v>
          </cell>
          <cell r="C1959">
            <v>525</v>
          </cell>
          <cell r="D1959" t="str">
            <v xml:space="preserve">A </v>
          </cell>
        </row>
        <row r="1960">
          <cell r="A1960" t="str">
            <v xml:space="preserve">X9624A </v>
          </cell>
          <cell r="B1960" t="str">
            <v xml:space="preserve">A5000 DOOR 68" EXP CABINET </v>
          </cell>
          <cell r="C1960">
            <v>525</v>
          </cell>
          <cell r="D1960" t="str">
            <v xml:space="preserve">A </v>
          </cell>
        </row>
        <row r="1961">
          <cell r="A1961" t="str">
            <v xml:space="preserve">X9625A </v>
          </cell>
          <cell r="B1961" t="str">
            <v xml:space="preserve">6" AIR BAFFLE FOR ENT CABINET </v>
          </cell>
          <cell r="C1961">
            <v>65</v>
          </cell>
          <cell r="D1961" t="str">
            <v xml:space="preserve">A </v>
          </cell>
        </row>
        <row r="1962">
          <cell r="A1962" t="str">
            <v xml:space="preserve">X9626A </v>
          </cell>
          <cell r="B1962" t="str">
            <v xml:space="preserve">2ND SEQ. MOUNTING FOR E55/6500 </v>
          </cell>
          <cell r="C1962">
            <v>195</v>
          </cell>
          <cell r="D1962" t="str">
            <v xml:space="preserve">A </v>
          </cell>
        </row>
        <row r="1963">
          <cell r="A1963" t="str">
            <v xml:space="preserve">X9640A </v>
          </cell>
          <cell r="B1963" t="str">
            <v xml:space="preserve">OPT FLEXIPACK STORAGE TRAY SYS </v>
          </cell>
          <cell r="C1963">
            <v>520</v>
          </cell>
          <cell r="D1963" t="str">
            <v xml:space="preserve">A </v>
          </cell>
        </row>
        <row r="1964">
          <cell r="A1964" t="str">
            <v xml:space="preserve">X9641A </v>
          </cell>
          <cell r="B1964" t="str">
            <v xml:space="preserve">OPT FLEXIPACK STORAGE TRAY EXP </v>
          </cell>
          <cell r="C1964">
            <v>490</v>
          </cell>
          <cell r="D1964" t="str">
            <v xml:space="preserve">A </v>
          </cell>
        </row>
        <row r="1965">
          <cell r="A1965" t="str">
            <v xml:space="preserve">X9643A </v>
          </cell>
          <cell r="B1965" t="str">
            <v xml:space="preserve">RACKMOUNT KIT FOR L280 AL </v>
          </cell>
          <cell r="C1965">
            <v>560</v>
          </cell>
          <cell r="D1965" t="str">
            <v xml:space="preserve">A </v>
          </cell>
        </row>
        <row r="1966">
          <cell r="A1966" t="str">
            <v xml:space="preserve">X9645A </v>
          </cell>
          <cell r="B1966" t="str">
            <v xml:space="preserve">UNIPACK TRAY, WITH POWER CORDS </v>
          </cell>
          <cell r="C1966">
            <v>1400</v>
          </cell>
          <cell r="D1966" t="str">
            <v xml:space="preserve">A </v>
          </cell>
        </row>
        <row r="1967">
          <cell r="A1967" t="str">
            <v xml:space="preserve">X9652A </v>
          </cell>
          <cell r="B1967" t="str">
            <v xml:space="preserve">A7000 6 PACK ENCLOSURE KIT </v>
          </cell>
          <cell r="C1967">
            <v>0</v>
          </cell>
          <cell r="D1967" t="str">
            <v xml:space="preserve">D </v>
          </cell>
        </row>
        <row r="1968">
          <cell r="A1968" t="str">
            <v xml:space="preserve">X9653A </v>
          </cell>
          <cell r="B1968" t="str">
            <v xml:space="preserve">A1000/D1000 RACKMOUNT KIT </v>
          </cell>
          <cell r="C1968">
            <v>358</v>
          </cell>
          <cell r="D1968" t="str">
            <v xml:space="preserve">H </v>
          </cell>
        </row>
        <row r="1969">
          <cell r="A1969" t="str">
            <v xml:space="preserve">X9654A </v>
          </cell>
          <cell r="B1969" t="str">
            <v xml:space="preserve">A5000 SYS CAB MOUNT KIT </v>
          </cell>
          <cell r="C1969">
            <v>350</v>
          </cell>
          <cell r="D1969" t="str">
            <v xml:space="preserve">A </v>
          </cell>
        </row>
        <row r="1970">
          <cell r="A1970" t="str">
            <v xml:space="preserve">X9655A </v>
          </cell>
          <cell r="B1970" t="str">
            <v xml:space="preserve">A5000 EXP CAB MOUNT KIT </v>
          </cell>
          <cell r="C1970">
            <v>350</v>
          </cell>
          <cell r="D1970" t="str">
            <v xml:space="preserve">A </v>
          </cell>
        </row>
        <row r="1971">
          <cell r="A1971" t="str">
            <v xml:space="preserve">X965A </v>
          </cell>
          <cell r="B1971" t="str">
            <v xml:space="preserve">RACK MOUNT KIT </v>
          </cell>
          <cell r="C1971">
            <v>585</v>
          </cell>
          <cell r="D1971" t="str">
            <v xml:space="preserve">A </v>
          </cell>
        </row>
        <row r="1972">
          <cell r="A1972" t="str">
            <v xml:space="preserve">X9671A </v>
          </cell>
          <cell r="B1972" t="str">
            <v xml:space="preserve">E10000 FAN TRAY </v>
          </cell>
          <cell r="C1972">
            <v>2600</v>
          </cell>
          <cell r="D1972" t="str">
            <v xml:space="preserve">A </v>
          </cell>
        </row>
        <row r="1973">
          <cell r="A1973" t="str">
            <v xml:space="preserve">X9681A </v>
          </cell>
          <cell r="B1973" t="str">
            <v xml:space="preserve">E10000 POWER CONTROL </v>
          </cell>
          <cell r="C1973">
            <v>1600</v>
          </cell>
          <cell r="D1973" t="str">
            <v xml:space="preserve">A </v>
          </cell>
        </row>
        <row r="1974">
          <cell r="A1974" t="str">
            <v xml:space="preserve">X9682A </v>
          </cell>
          <cell r="B1974" t="str">
            <v xml:space="preserve">OPT POWER SUPPLY FOR E450 </v>
          </cell>
          <cell r="C1974">
            <v>1532</v>
          </cell>
          <cell r="D1974" t="str">
            <v xml:space="preserve">H </v>
          </cell>
        </row>
        <row r="1975">
          <cell r="A1975" t="str">
            <v xml:space="preserve">X9683A </v>
          </cell>
          <cell r="B1975" t="str">
            <v xml:space="preserve">POWER SUPPLY OPTION FOR E250 </v>
          </cell>
          <cell r="C1975">
            <v>904</v>
          </cell>
          <cell r="D1975" t="str">
            <v xml:space="preserve">H </v>
          </cell>
        </row>
        <row r="1976">
          <cell r="A1976" t="str">
            <v xml:space="preserve">X9687A </v>
          </cell>
          <cell r="B1976" t="str">
            <v xml:space="preserve">A5000 CHASSIS POWER SUPPLY </v>
          </cell>
          <cell r="C1976">
            <v>1400</v>
          </cell>
          <cell r="D1976" t="str">
            <v xml:space="preserve">A </v>
          </cell>
        </row>
        <row r="1977">
          <cell r="A1977" t="str">
            <v xml:space="preserve">X9688A </v>
          </cell>
          <cell r="B1977" t="str">
            <v xml:space="preserve">A7000 PWR CONDIT UNIT,8 KVA </v>
          </cell>
          <cell r="C1977">
            <v>28377</v>
          </cell>
          <cell r="D1977" t="str">
            <v xml:space="preserve">A </v>
          </cell>
        </row>
        <row r="1978">
          <cell r="A1978" t="str">
            <v xml:space="preserve">X9689A </v>
          </cell>
          <cell r="B1978" t="str">
            <v xml:space="preserve">OPT 2ND PERIPHERAL PS/195W </v>
          </cell>
          <cell r="C1978">
            <v>2250</v>
          </cell>
          <cell r="D1978" t="str">
            <v xml:space="preserve">A </v>
          </cell>
        </row>
        <row r="1979">
          <cell r="A1979" t="str">
            <v xml:space="preserve">X968A </v>
          </cell>
          <cell r="B1979" t="str">
            <v xml:space="preserve">ENTERPRISE 3000 FLR BRACKET </v>
          </cell>
          <cell r="C1979">
            <v>140</v>
          </cell>
          <cell r="D1979" t="str">
            <v xml:space="preserve">A </v>
          </cell>
        </row>
        <row r="1980">
          <cell r="A1980" t="str">
            <v xml:space="preserve">X9690A </v>
          </cell>
          <cell r="B1980" t="str">
            <v xml:space="preserve">E450 RACKMOUNTING KIT </v>
          </cell>
          <cell r="C1980">
            <v>1019</v>
          </cell>
          <cell r="D1980" t="str">
            <v xml:space="preserve">H </v>
          </cell>
        </row>
        <row r="1981">
          <cell r="A1981" t="str">
            <v xml:space="preserve">X9691A </v>
          </cell>
          <cell r="B1981" t="str">
            <v xml:space="preserve">E250 TOWER TO RACK CONVRSN KIT </v>
          </cell>
          <cell r="C1981">
            <v>774</v>
          </cell>
          <cell r="D1981" t="str">
            <v xml:space="preserve">H </v>
          </cell>
        </row>
        <row r="1982">
          <cell r="A1982" t="str">
            <v xml:space="preserve">X9696A </v>
          </cell>
          <cell r="B1982" t="str">
            <v xml:space="preserve">E250 RACK TO TOWER CONVRSN KIT </v>
          </cell>
          <cell r="C1982">
            <v>514</v>
          </cell>
          <cell r="D1982" t="str">
            <v xml:space="preserve">H </v>
          </cell>
        </row>
        <row r="1983">
          <cell r="A1983" t="str">
            <v xml:space="preserve">X973A </v>
          </cell>
          <cell r="B1983" t="str">
            <v xml:space="preserve">2 METER FIBRE CHANNEL CABLE </v>
          </cell>
          <cell r="C1983">
            <v>195</v>
          </cell>
          <cell r="D1983" t="str">
            <v xml:space="preserve">D </v>
          </cell>
        </row>
        <row r="1984">
          <cell r="A1984" t="str">
            <v xml:space="preserve">X978A </v>
          </cell>
          <cell r="B1984" t="str">
            <v xml:space="preserve">15 METER FIBRE CHANNEL CABLE </v>
          </cell>
          <cell r="C1984">
            <v>228</v>
          </cell>
          <cell r="D1984" t="str">
            <v xml:space="preserve">D </v>
          </cell>
        </row>
        <row r="1985">
          <cell r="A1985" t="str">
            <v xml:space="preserve">X979A </v>
          </cell>
          <cell r="B1985" t="str">
            <v xml:space="preserve">OPT CABLE DSCSI 12M </v>
          </cell>
          <cell r="C1985">
            <v>345</v>
          </cell>
          <cell r="D1985" t="str">
            <v xml:space="preserve">D </v>
          </cell>
        </row>
        <row r="1986">
          <cell r="A1986" t="str">
            <v xml:space="preserve">X9818A </v>
          </cell>
          <cell r="B1986" t="str">
            <v xml:space="preserve">OPT DOOR ASSEMBLY 72" CABINET </v>
          </cell>
          <cell r="C1986">
            <v>910</v>
          </cell>
          <cell r="D1986" t="str">
            <v xml:space="preserve">A </v>
          </cell>
        </row>
        <row r="1987">
          <cell r="A1987" t="str">
            <v xml:space="preserve">X9819A </v>
          </cell>
          <cell r="B1987" t="str">
            <v xml:space="preserve">OPT FAN ASSEMBLY 72" CABINET </v>
          </cell>
          <cell r="C1987">
            <v>1820</v>
          </cell>
          <cell r="D1987" t="str">
            <v xml:space="preserve">A </v>
          </cell>
        </row>
        <row r="1988">
          <cell r="A1988" t="str">
            <v xml:space="preserve">X985A </v>
          </cell>
          <cell r="B1988" t="str">
            <v xml:space="preserve">OPT CABLE SERIAL PORT SPLITTER </v>
          </cell>
          <cell r="C1988">
            <v>65</v>
          </cell>
          <cell r="D1988" t="str">
            <v xml:space="preserve">D </v>
          </cell>
        </row>
        <row r="1989">
          <cell r="A1989" t="str">
            <v xml:space="preserve">X991A </v>
          </cell>
          <cell r="B1989" t="str">
            <v xml:space="preserve">0.16m R/A SCSI cable/Netra st </v>
          </cell>
          <cell r="C1989">
            <v>175</v>
          </cell>
          <cell r="D1989" t="str">
            <v xml:space="preserve">A </v>
          </cell>
        </row>
        <row r="1990">
          <cell r="A1990" t="str">
            <v xml:space="preserve">X992A </v>
          </cell>
          <cell r="B1990" t="str">
            <v xml:space="preserve">2.0M EXT SCSI CABLE/NETRA ST </v>
          </cell>
          <cell r="C1990">
            <v>175</v>
          </cell>
          <cell r="D1990" t="str">
            <v xml:space="preserve">A </v>
          </cell>
        </row>
        <row r="1991">
          <cell r="A1991" t="str">
            <v xml:space="preserve">X993A </v>
          </cell>
          <cell r="B1991" t="str">
            <v xml:space="preserve">4.0m ext SCSI cable/Netra st </v>
          </cell>
          <cell r="C1991">
            <v>175</v>
          </cell>
          <cell r="D1991" t="str">
            <v xml:space="preserve">A </v>
          </cell>
        </row>
        <row r="1992">
          <cell r="A1992" t="str">
            <v xml:space="preserve">X994A </v>
          </cell>
          <cell r="B1992" t="str">
            <v xml:space="preserve">EMI shield/air filter/Netra st </v>
          </cell>
          <cell r="C1992">
            <v>139</v>
          </cell>
          <cell r="D1992" t="str">
            <v xml:space="preserve">A </v>
          </cell>
        </row>
        <row r="1993">
          <cell r="A1993" t="str">
            <v xml:space="preserve">X995A </v>
          </cell>
          <cell r="B1993" t="str">
            <v xml:space="preserve">DC plug conn./10-pack/Netra st </v>
          </cell>
          <cell r="C1993">
            <v>42</v>
          </cell>
          <cell r="D1993" t="str">
            <v xml:space="preserve">A </v>
          </cell>
        </row>
        <row r="1995">
          <cell r="A1995" t="str">
            <v xml:space="preserve">UNDEV-3.0.1-45-S </v>
          </cell>
          <cell r="B1995" t="str">
            <v>SPAC WSU 301, CD+KOREAN DOC</v>
          </cell>
          <cell r="C1995">
            <v>501</v>
          </cell>
          <cell r="D1995" t="str">
            <v>D</v>
          </cell>
        </row>
        <row r="1996">
          <cell r="A1996" t="str">
            <v xml:space="preserve">UNDEV-3.0.1-SL </v>
          </cell>
          <cell r="B1996" t="str">
            <v>SPAC WSU 301, CD+KOREAN DOC, SITELI</v>
          </cell>
          <cell r="C1996">
            <v>13000</v>
          </cell>
          <cell r="D1996" t="str">
            <v>D</v>
          </cell>
        </row>
        <row r="1997">
          <cell r="A1997" t="str">
            <v xml:space="preserve">UNX25-9.1-S </v>
          </cell>
          <cell r="B1997" t="str">
            <v>SPAC X.25 9.1 SLIMKIT</v>
          </cell>
          <cell r="C1997">
            <v>1190</v>
          </cell>
          <cell r="D1997" t="str">
            <v>D</v>
          </cell>
        </row>
        <row r="1998">
          <cell r="A1998" t="str">
            <v xml:space="preserve">UNSNM-DM-2.3-L </v>
          </cell>
          <cell r="B1998" t="str">
            <v>SPAC DOMAIN MGR 2.3 SOLARIS 2</v>
          </cell>
          <cell r="C1998">
            <v>2028</v>
          </cell>
          <cell r="D1998" t="str">
            <v>D</v>
          </cell>
        </row>
        <row r="1999">
          <cell r="A1999" t="str">
            <v xml:space="preserve">UNSNM-DM-2.3-CD </v>
          </cell>
          <cell r="B1999" t="str">
            <v>SPAC DOMAIN MGR 2.3 MEDIA</v>
          </cell>
          <cell r="C1999">
            <v>338</v>
          </cell>
          <cell r="D1999" t="str">
            <v>D</v>
          </cell>
        </row>
        <row r="2000">
          <cell r="A2000" t="str">
            <v>XT3ES-RH-44-1310</v>
          </cell>
          <cell r="B2000" t="str">
            <v>36GB FCAL 10Krpm Disk × 36EA</v>
          </cell>
          <cell r="C2000">
            <v>477800</v>
          </cell>
          <cell r="D2000" t="str">
            <v>A</v>
          </cell>
        </row>
        <row r="2001">
          <cell r="A2001" t="str">
            <v>XT3ES-RH-88-1310</v>
          </cell>
          <cell r="B2001" t="str">
            <v>18GB FCAL 10Krpm Disk × 72EA</v>
          </cell>
          <cell r="C2001">
            <v>755200</v>
          </cell>
          <cell r="D2001" t="str">
            <v>A</v>
          </cell>
        </row>
        <row r="2002">
          <cell r="A2002" t="str">
            <v>XT3ES-RR-22-327R5</v>
          </cell>
          <cell r="B2002" t="str">
            <v>18GB FCAL 10Krpm Disk × 18EA</v>
          </cell>
          <cell r="C2002">
            <v>189674</v>
          </cell>
          <cell r="D2002" t="str">
            <v>A</v>
          </cell>
        </row>
        <row r="2003">
          <cell r="A2003" t="str">
            <v>XT3ES-RR-22-655</v>
          </cell>
          <cell r="B2003" t="str">
            <v>36GB FCAL 10Krpm Disk × 18EA</v>
          </cell>
          <cell r="C2003">
            <v>227100</v>
          </cell>
          <cell r="D2003" t="str">
            <v>A</v>
          </cell>
        </row>
        <row r="2004">
          <cell r="A2004" t="str">
            <v>XT3ES-RK-44-1310</v>
          </cell>
          <cell r="B2004" t="str">
            <v>36GB FCAL 10Krpm Disk × 36EA</v>
          </cell>
          <cell r="C2004">
            <v>471022</v>
          </cell>
          <cell r="D2004" t="str">
            <v>A</v>
          </cell>
        </row>
        <row r="2005">
          <cell r="A2005" t="str">
            <v>VVMGS-304-9999</v>
          </cell>
          <cell r="B2005" t="str">
            <v>Veritas VM 3.0.4 for A5X00</v>
          </cell>
          <cell r="C2005">
            <v>0</v>
          </cell>
          <cell r="D2005" t="str">
            <v>B</v>
          </cell>
        </row>
        <row r="2006">
          <cell r="A2006" t="str">
            <v>VVMGS-999-DEU9</v>
          </cell>
          <cell r="B2006" t="str">
            <v>Veritas VM DEP-ENT Upgrade Lic</v>
          </cell>
          <cell r="C2006">
            <v>8400</v>
          </cell>
          <cell r="D2006" t="str">
            <v>B</v>
          </cell>
        </row>
        <row r="2007">
          <cell r="A2007" t="str">
            <v>VVMGS-999-ESU9</v>
          </cell>
          <cell r="B2007" t="str">
            <v>Veritas VM ENT-E10K Upgrade Lic</v>
          </cell>
          <cell r="C2007">
            <v>14000</v>
          </cell>
          <cell r="D2007" t="str">
            <v>B</v>
          </cell>
        </row>
        <row r="2008">
          <cell r="A2008" t="str">
            <v>SCMMS-210-9P99</v>
          </cell>
          <cell r="B2008" t="str">
            <v>StorEdge Component Manager</v>
          </cell>
          <cell r="C2008">
            <v>0</v>
          </cell>
          <cell r="D2008" t="str">
            <v>B</v>
          </cell>
        </row>
        <row r="2010">
          <cell r="A2010" t="str">
            <v>VNDCU-340-9999</v>
          </cell>
          <cell r="B2010" t="str">
            <v>NBU DC 3.4 UNIX Media Kit, Doc</v>
          </cell>
          <cell r="C2010">
            <v>280</v>
          </cell>
          <cell r="D2010" t="str">
            <v>D</v>
          </cell>
        </row>
        <row r="2011">
          <cell r="A2011" t="str">
            <v>VNDCU-999-S999</v>
          </cell>
          <cell r="B2011" t="str">
            <v>NBU D-Center LIC. ON UNIX, TIER 4</v>
          </cell>
          <cell r="C2011">
            <v>37800</v>
          </cell>
          <cell r="D2011" t="str">
            <v>B</v>
          </cell>
        </row>
        <row r="2012">
          <cell r="A2012" t="str">
            <v>VDCLS-999-D999</v>
          </cell>
          <cell r="B2012" t="str">
            <v>NBU D-Center CLIENT LIC. ON UNIX, TIER 2</v>
          </cell>
          <cell r="C2012">
            <v>1120</v>
          </cell>
          <cell r="D2012" t="str">
            <v>B</v>
          </cell>
        </row>
        <row r="2013">
          <cell r="A2013" t="str">
            <v>VNDTL-999-9999</v>
          </cell>
          <cell r="B2013" t="str">
            <v>NBU D-Center TAPE DRIVE SUPPORT LIC. PER DRIVE</v>
          </cell>
          <cell r="C2013">
            <v>4200</v>
          </cell>
          <cell r="D2013" t="str">
            <v>B</v>
          </cell>
        </row>
        <row r="2014">
          <cell r="A2014" t="str">
            <v>VDORU-999-S999</v>
          </cell>
          <cell r="B2014" t="str">
            <v>NBU D-Center DB AGENT LIC. FOR ORACLE, TIER 4</v>
          </cell>
          <cell r="C2014">
            <v>21000</v>
          </cell>
          <cell r="D2014" t="str">
            <v>B</v>
          </cell>
        </row>
        <row r="2015">
          <cell r="A2015" t="str">
            <v>VDSYU-999-S999</v>
          </cell>
          <cell r="B2015" t="str">
            <v>NBU D-Center DB AGENT LIC. FOR SYBASE, TIER 4</v>
          </cell>
          <cell r="C2015">
            <v>21000</v>
          </cell>
          <cell r="D2015" t="str">
            <v>B</v>
          </cell>
        </row>
        <row r="2016">
          <cell r="A2016" t="str">
            <v xml:space="preserve">BAK-DGN-IMP-4-PS   </v>
          </cell>
          <cell r="B2016" t="str">
            <v>NBU/SBU TIER 4 DESIGN/IMPLE.</v>
          </cell>
          <cell r="C2016">
            <v>36200</v>
          </cell>
          <cell r="D2016" t="str">
            <v>D</v>
          </cell>
        </row>
        <row r="2018">
          <cell r="A2018" t="str">
            <v>SG-XLIBL700-BASE</v>
          </cell>
          <cell r="B2018" t="str">
            <v>STOREDGE L700 BASE UNIT (396 SLOTS)</v>
          </cell>
          <cell r="C2018">
            <v>174000</v>
          </cell>
          <cell r="D2018" t="str">
            <v>A</v>
          </cell>
        </row>
        <row r="2019">
          <cell r="A2019" t="str">
            <v>SG-XLIB9840-DRV</v>
          </cell>
          <cell r="B2019" t="str">
            <v>STOREDGE 9840 TAPE DRIVE</v>
          </cell>
          <cell r="C2019">
            <v>50250</v>
          </cell>
          <cell r="D2019" t="str">
            <v>A</v>
          </cell>
        </row>
        <row r="2020">
          <cell r="A2020" t="str">
            <v>SG-XLIBL700-CAP</v>
          </cell>
          <cell r="B2020" t="str">
            <v>20 CARTRIDGE ACCESS PORT</v>
          </cell>
          <cell r="C2020">
            <v>7500</v>
          </cell>
          <cell r="D2020" t="str">
            <v>A</v>
          </cell>
        </row>
        <row r="2021">
          <cell r="A2021" t="str">
            <v>SG-XMEDCART-1MAG</v>
          </cell>
          <cell r="B2021" t="str">
            <v>MEDIA MAGAZINE</v>
          </cell>
          <cell r="C2021">
            <v>225</v>
          </cell>
          <cell r="D2021" t="str">
            <v>H</v>
          </cell>
        </row>
        <row r="2022">
          <cell r="A2022" t="str">
            <v>X1065A</v>
          </cell>
          <cell r="B2022" t="str">
            <v>SBUS ULTRA DIFF SCSI-2 HOST ADAPTER</v>
          </cell>
          <cell r="C2022">
            <v>1684</v>
          </cell>
          <cell r="D2022" t="str">
            <v>A</v>
          </cell>
        </row>
        <row r="2023">
          <cell r="A2023" t="str">
            <v>X979A</v>
          </cell>
          <cell r="B2023" t="str">
            <v>12M DIFF SCSI CABLE</v>
          </cell>
          <cell r="C2023">
            <v>345</v>
          </cell>
          <cell r="D2023" t="str">
            <v>D</v>
          </cell>
        </row>
        <row r="2025">
          <cell r="A2025" t="str">
            <v>SG-XMED9840-STRKIT</v>
          </cell>
          <cell r="B2025" t="str">
            <v>9840 MEDIA STARTER KIT (100 DATA MEDIA &amp; 5 CLEANING MEDIA)</v>
          </cell>
          <cell r="C2025">
            <v>16500</v>
          </cell>
          <cell r="D2025" t="str">
            <v>H</v>
          </cell>
        </row>
        <row r="2027">
          <cell r="A2027" t="str">
            <v>FT1800</v>
          </cell>
          <cell r="B2027" t="str">
            <v>FT1800 4CPU,4GB RAM,18.2GB*12,8 I/O Slot for PARE</v>
          </cell>
          <cell r="C2027">
            <v>1000000</v>
          </cell>
          <cell r="D2027" t="str">
            <v>D</v>
          </cell>
        </row>
        <row r="2028">
          <cell r="A2028" t="str">
            <v>ESCON</v>
          </cell>
          <cell r="B2028" t="str">
            <v>IBM ESCON HOST ADAPTER/SW DRIVE</v>
          </cell>
          <cell r="C2028">
            <v>13200</v>
          </cell>
          <cell r="D2028" t="str">
            <v>D</v>
          </cell>
        </row>
        <row r="2029">
          <cell r="A2029" t="str">
            <v>JNI</v>
          </cell>
          <cell r="B2029" t="str">
            <v>EMC DISK I/F FC-AL CARD</v>
          </cell>
          <cell r="C2029">
            <v>6000</v>
          </cell>
          <cell r="D2029" t="str">
            <v>D</v>
          </cell>
        </row>
        <row r="2030">
          <cell r="A2030" t="str">
            <v xml:space="preserve">ORACLE </v>
          </cell>
          <cell r="B2030" t="str">
            <v>ORACLE(OPS포함)</v>
          </cell>
          <cell r="C2030">
            <v>170000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</sheetDataSet>
  </externalBook>
</externalLink>
</file>

<file path=xl/externalLinks/externalLink76.xml><?xml version="1.0" encoding="utf-8"?>
<externalLink xmlns="http://schemas.openxmlformats.org/spreadsheetml/2006/main">
  <externalBook xmlns:r="http://schemas.openxmlformats.org/officeDocument/2006/relationships" r:id="rId1">
    <sheetNames>
      <sheetName val="조정금액결과표 (차수별)"/>
      <sheetName val="조사개요(지수)"/>
      <sheetName val="시중노임산출표"/>
      <sheetName val="일위대가표지"/>
      <sheetName val="일위대가"/>
      <sheetName val="조정금액결과표"/>
      <sheetName val="물가변동결과"/>
      <sheetName val="표지"/>
      <sheetName val="제출문"/>
      <sheetName val="목차(지수)"/>
      <sheetName val="총차"/>
      <sheetName val="물가변동"/>
      <sheetName val="비목군분류"/>
      <sheetName val="비목군집계표"/>
      <sheetName val="결과표"/>
      <sheetName val="지수조정율"/>
      <sheetName val="경비산출서"/>
      <sheetName val="조정금액"/>
      <sheetName val="자재단가"/>
      <sheetName val="부하계산서"/>
      <sheetName val="OSO아산"/>
    </sheetNames>
    <definedNames>
      <definedName name="복사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7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COL"/>
      <sheetName val="COL-T"/>
      <sheetName val="저판(버림100)"/>
      <sheetName val="기둥"/>
      <sheetName val="COPING"/>
      <sheetName val="토공 (1단)"/>
      <sheetName val="기둥부"/>
      <sheetName val="PIER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8.xml><?xml version="1.0" encoding="utf-8"?>
<externalLink xmlns="http://schemas.openxmlformats.org/spreadsheetml/2006/main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우각부보강"/>
      <sheetName val="노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79.xml><?xml version="1.0" encoding="utf-8"?>
<externalLink xmlns="http://schemas.openxmlformats.org/spreadsheetml/2006/main">
  <externalBook xmlns:r="http://schemas.openxmlformats.org/officeDocument/2006/relationships" r:id="rId1">
    <sheetNames>
      <sheetName val="DATE"/>
      <sheetName val="간지"/>
      <sheetName val="자재총괄"/>
      <sheetName val="시멘트레미콘구입량"/>
      <sheetName val="골재구입량"/>
      <sheetName val="총괄내역서"/>
      <sheetName val="표지"/>
      <sheetName val="총괄집계표"/>
      <sheetName val="재료집계표"/>
      <sheetName val="몰탈집계표"/>
      <sheetName val="포장집계표"/>
      <sheetName val="본선부집계"/>
      <sheetName val="TYPE별조서"/>
      <sheetName val="본선부산출"/>
      <sheetName val="진입부보도집계"/>
      <sheetName val="진입보도산출"/>
      <sheetName val="접속도로집계"/>
      <sheetName val="진입로집계"/>
      <sheetName val="진입로"/>
      <sheetName val="점자블럭집계"/>
      <sheetName val="점자블럭산출"/>
      <sheetName val="공제량집계"/>
      <sheetName val="공제량"/>
      <sheetName val="경계석총집계"/>
      <sheetName val="보차도수량집계"/>
      <sheetName val="보차도경계조서"/>
      <sheetName val="보차도산출"/>
      <sheetName val="도로경계석집계"/>
      <sheetName val="도로경계조서"/>
      <sheetName val="도로경계산출"/>
      <sheetName val="3구조물공간지"/>
      <sheetName val="1집계표간지"/>
      <sheetName val="구조물공집계표"/>
      <sheetName val="토공집계표"/>
      <sheetName val="2여과지"/>
      <sheetName val="여과지집계표"/>
      <sheetName val="여과지"/>
      <sheetName val="여과지토적표"/>
      <sheetName val="3배수지"/>
      <sheetName val="배수지집계표"/>
      <sheetName val="배수지"/>
      <sheetName val="배수지토적표"/>
      <sheetName val="4염소투입실"/>
      <sheetName val="염소투입실집계표"/>
      <sheetName val="염소투입실공사"/>
      <sheetName val="자재집계표"/>
      <sheetName val="주요자재집계표"/>
      <sheetName val="토공"/>
      <sheetName val="총괄토공집계"/>
      <sheetName val="시점부토공"/>
      <sheetName val="종점부토공"/>
      <sheetName val="교각토공"/>
      <sheetName val="총괄집계 "/>
      <sheetName val="총괄철근집계(1)"/>
      <sheetName val="총괄철근집계(2)"/>
      <sheetName val="구조물공"/>
      <sheetName val="본체집계"/>
      <sheetName val="본체철근집계"/>
      <sheetName val="날개벽철근집계 "/>
      <sheetName val="본체그림"/>
      <sheetName val="본체수량"/>
      <sheetName val="접속슬래브집계"/>
      <sheetName val="접속(시점)"/>
      <sheetName val="접속(종점)"/>
      <sheetName val="VXXXXX"/>
      <sheetName val="방음벽수량"/>
      <sheetName val="방음벽기초수량"/>
      <sheetName val="방음벽설치현황"/>
      <sheetName val="단위수량"/>
      <sheetName val="가설방음판넬"/>
      <sheetName val="가설방진망"/>
      <sheetName val="세륜세차시설"/>
      <sheetName val="가도수량집계"/>
      <sheetName val="가도토공"/>
      <sheetName val="가도포장수량집계표"/>
      <sheetName val="가포장조서"/>
      <sheetName val="가도단위수량"/>
      <sheetName val="가배수관"/>
      <sheetName val="골재덮개시설"/>
      <sheetName val="준공표지판집계"/>
      <sheetName val="경계표주집계(X)"/>
      <sheetName val="경계수량(X)"/>
      <sheetName val="경계표주단위수량(X)"/>
      <sheetName val="기존도로유지관리비"/>
      <sheetName val="식재공"/>
      <sheetName val="산림복구비"/>
      <sheetName val="가설건물"/>
      <sheetName val="가옥철거조서"/>
      <sheetName val="자재집계산출"/>
      <sheetName val="Sheet1"/>
      <sheetName val="1.토공집계"/>
      <sheetName val="2.관대집계표"/>
      <sheetName val="접합"/>
      <sheetName val="3.구조물공"/>
      <sheetName val="4.포장공"/>
      <sheetName val="5.부대공"/>
      <sheetName val="6.주요자재대"/>
      <sheetName val="7.폐기물집계"/>
      <sheetName val="지장물보호(수집)"/>
      <sheetName val="지장물산근"/>
      <sheetName val="지장물보호공단위수량"/>
      <sheetName val="1.토총"/>
      <sheetName val="토적"/>
      <sheetName val="가정오수"/>
      <sheetName val="2.관로집"/>
      <sheetName val="관부설"/>
      <sheetName val="가정연결"/>
      <sheetName val="3.구조물집계"/>
      <sheetName val="맨홀높이"/>
      <sheetName val="맨홀2"/>
      <sheetName val="관로"/>
      <sheetName val="가정연결관"/>
      <sheetName val="(1)가시설공"/>
      <sheetName val="(2)경고"/>
      <sheetName val="(3)기타"/>
      <sheetName val="7.폐기물"/>
      <sheetName val="토실"/>
      <sheetName val="VXXX"/>
      <sheetName val="Recovered_Sheet1"/>
      <sheetName val="관로공집계"/>
      <sheetName val="수밀검사조서"/>
      <sheetName val="본관조서(PVC)"/>
      <sheetName val="PVC접합개소 산출서"/>
      <sheetName val="PVC이중벽관D300집계"/>
      <sheetName val="PVC이중벽관D300집계-OPEN"/>
      <sheetName val="PVCDC300단위집계-OPEN"/>
      <sheetName val="PVCDC300단위수량-OPEN"/>
      <sheetName val="PVC이중벽관D300집계-가설흙막이"/>
      <sheetName val="PVCDC300단위집계-가설흙막이"/>
      <sheetName val="PVCDC300단위수량-가설흙막이"/>
      <sheetName val="전체맨홀집계"/>
      <sheetName val="원형1호맨홀집계표"/>
      <sheetName val="오수맨홀조서"/>
      <sheetName val="원형1맨홀(무근)집계표"/>
      <sheetName val="원형1호맨홀(철근)집계표"/>
      <sheetName val="오수원형1호맨홀단위집계"/>
      <sheetName val="오수원형맨홀1호"/>
      <sheetName val="원형1호맨홀(철근)단위수량집계"/>
      <sheetName val="원형1호맨홀(철근)단위수량"/>
      <sheetName val="일위대가"/>
      <sheetName val="조견표"/>
      <sheetName val="기계경비(일반)"/>
      <sheetName val="산출근거(마산, 만천, 가례)"/>
      <sheetName val="산출근거(남강)"/>
      <sheetName val="산출근거(가설도로 조성)"/>
      <sheetName val="산출근거(가설도로 성토다짐)"/>
      <sheetName val="산출근거(가설도로 살수)"/>
      <sheetName val="산출근거(가설도로 유지보수)"/>
      <sheetName val="세부내역"/>
      <sheetName val="데이타"/>
      <sheetName val="삭제및변경불가"/>
      <sheetName val="식재"/>
      <sheetName val="시설물"/>
      <sheetName val="식재출력용"/>
      <sheetName val="유지관리"/>
      <sheetName val="단가"/>
      <sheetName val="장비집계"/>
      <sheetName val="날개벽(시점좌측)"/>
      <sheetName val="토공 total"/>
      <sheetName val="우수받이"/>
      <sheetName val="Sheet1 (2)"/>
      <sheetName val="6PILE  (돌출)"/>
      <sheetName val="guard(mac)"/>
      <sheetName val="터파기및재료"/>
      <sheetName val="상부집계표"/>
      <sheetName val="집계표"/>
      <sheetName val="깨기 총괄"/>
      <sheetName val="배수공총괄 집계표(횡)"/>
      <sheetName val="보차도경계석집계표(종)"/>
      <sheetName val="보차도경계석 조서"/>
      <sheetName val="보차도경계석단위량"/>
      <sheetName val="경계석집계표(종)"/>
      <sheetName val="경계석"/>
      <sheetName val="경계석단위량"/>
      <sheetName val="배수집계표(종)"/>
      <sheetName val="종배수관"/>
      <sheetName val="빗물받이집계"/>
      <sheetName val="빗물받이조서"/>
      <sheetName val="빗물받이단위량"/>
      <sheetName val="맨홀집계표 "/>
      <sheetName val="맨홀조서"/>
      <sheetName val="맨홀단위량"/>
      <sheetName val="진주방향"/>
      <sheetName val="해평견적"/>
      <sheetName val="변수값"/>
      <sheetName val="중기상차"/>
      <sheetName val="AS복구"/>
      <sheetName val="중기터파기"/>
      <sheetName val="공사설명서"/>
      <sheetName val="자재단가(완)"/>
      <sheetName val="노임단가(완)"/>
      <sheetName val="일위대가_목록"/>
      <sheetName val="일위대가(노임수정(완), 자재 및 물린단산수정필요)"/>
      <sheetName val="2007기계경비산출표(완)"/>
      <sheetName val="단가산출_목록"/>
      <sheetName val="단가산출서"/>
      <sheetName val="시험비 단가"/>
      <sheetName val="내역서"/>
      <sheetName val="일반화물자동차운임"/>
      <sheetName val="수안보-MBR1"/>
      <sheetName val="고양관재"/>
      <sheetName val="내역"/>
      <sheetName val="공사개요"/>
      <sheetName val="계산서(곡선부)"/>
      <sheetName val="-치수표(곡선부)"/>
      <sheetName val="조명시설"/>
      <sheetName val="#REF"/>
      <sheetName val="bearing"/>
      <sheetName val="연동내역"/>
      <sheetName val="관접합및부설"/>
      <sheetName val="관급자재대"/>
      <sheetName val="구조물철거타공정이월"/>
      <sheetName val="수량산출"/>
      <sheetName val="관경고용테이프수집"/>
      <sheetName val="관경고용산근"/>
      <sheetName val="레미콘"/>
      <sheetName val="pe이중벽관"/>
      <sheetName val="pe이중벽관 (우수)"/>
      <sheetName val="D100관"/>
      <sheetName val="D16"/>
      <sheetName val="D20"/>
      <sheetName val="D25"/>
      <sheetName val="D50"/>
      <sheetName val="D75,D100"/>
      <sheetName val="가도공"/>
      <sheetName val="설계예산서"/>
      <sheetName val="예산내역서"/>
      <sheetName val="전차선로 물량표"/>
      <sheetName val="한강운반비"/>
      <sheetName val="자재"/>
      <sheetName val="단가일람"/>
      <sheetName val="조경일람"/>
      <sheetName val="내역서(전기)"/>
      <sheetName val="5.정산서"/>
      <sheetName val="기초입력 DATA"/>
      <sheetName val="SLAB"/>
      <sheetName val="수지표"/>
      <sheetName val="셀명"/>
      <sheetName val="공사"/>
      <sheetName val="차수별내역서"/>
      <sheetName val="입찰"/>
      <sheetName val="현경"/>
      <sheetName val="금액"/>
      <sheetName val="견적대비표"/>
      <sheetName val="자료"/>
      <sheetName val="교각1"/>
      <sheetName val="산출근거"/>
      <sheetName val="설계조건"/>
      <sheetName val="요율"/>
      <sheetName val="포장재료집계표"/>
      <sheetName val="데리네이타현황"/>
      <sheetName val="신당동집계표"/>
      <sheetName val="건축내역"/>
      <sheetName val="일위대가목차"/>
      <sheetName val="고압수량(철거)"/>
      <sheetName val="Sheet5"/>
      <sheetName val="원가"/>
      <sheetName val="증감내역서"/>
      <sheetName val="1-4-2.관(약)"/>
      <sheetName val="공통(20-91)"/>
      <sheetName val="맨홀수량산출"/>
      <sheetName val="우배수"/>
      <sheetName val="계산식"/>
      <sheetName val="부대내역"/>
      <sheetName val="토공연장"/>
      <sheetName val="8.석축단위(H=1.5M)"/>
      <sheetName val="총괄내역서(설계)"/>
      <sheetName val="FOB발"/>
      <sheetName val="BD"/>
      <sheetName val="집수정(600-700)"/>
      <sheetName val="Total"/>
      <sheetName val="설계명세서"/>
      <sheetName val="슬래브(유곡)"/>
      <sheetName val="8.PILE  (돌출)"/>
      <sheetName val="COPING"/>
      <sheetName val="토적표"/>
      <sheetName val="배수공수집"/>
      <sheetName val="실행대비"/>
      <sheetName val="JUCK"/>
      <sheetName val="2000,9월 일위"/>
      <sheetName val="공통단가"/>
      <sheetName val="단가조사"/>
      <sheetName val="코드표"/>
      <sheetName val="재료비"/>
      <sheetName val="운반비"/>
      <sheetName val="단가표"/>
      <sheetName val="일위대가표"/>
      <sheetName val="보차도경계석"/>
      <sheetName val="기초자료입력"/>
      <sheetName val="개비온집계"/>
      <sheetName val="개비온 단위"/>
      <sheetName val="건축내역서"/>
      <sheetName val="설비내역서"/>
      <sheetName val="전기내역서"/>
      <sheetName val="토목공사"/>
      <sheetName val="설계내역"/>
      <sheetName val="손익분석"/>
      <sheetName val="견적서을지"/>
      <sheetName val="SG"/>
      <sheetName val="식재인부"/>
      <sheetName val="비탈면보호공수량산출"/>
      <sheetName val="기본단가표"/>
      <sheetName val="T13(P68~72,78)"/>
      <sheetName val="용역비내역-진짜"/>
      <sheetName val="2003상반기노임기준"/>
      <sheetName val="nys"/>
      <sheetName val="충주"/>
      <sheetName val="P-산#1-1(WOWA1)"/>
      <sheetName val="4차원가계산서"/>
      <sheetName val="L형 옹벽"/>
      <sheetName val="설 계"/>
      <sheetName val="실행내역"/>
      <sheetName val="노임단가"/>
      <sheetName val="자재단가"/>
      <sheetName val="경비단가"/>
      <sheetName val="정부노임단가"/>
      <sheetName val="40단가산출서"/>
      <sheetName val="40집계"/>
      <sheetName val="안전시설(수집)"/>
      <sheetName val="안전시설"/>
      <sheetName val="원형1호맨홀토공수량"/>
      <sheetName val="일위대가 "/>
      <sheetName val="실행예산"/>
      <sheetName val="토사(PE)"/>
      <sheetName val="★도급내역(2공구)"/>
      <sheetName val="BOX"/>
      <sheetName val="개산공사비"/>
      <sheetName val="지급자재"/>
      <sheetName val="법면단"/>
      <sheetName val="자압"/>
      <sheetName val="조건"/>
      <sheetName val="L_RPTB02_01"/>
      <sheetName val="공사요율"/>
      <sheetName val="석축설면"/>
      <sheetName val="법면설면"/>
      <sheetName val="석축단"/>
      <sheetName val="법면수집"/>
      <sheetName val="DATA"/>
      <sheetName val="내역서갑지"/>
      <sheetName val="내역서을지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CODE"/>
      <sheetName val="동일대내"/>
      <sheetName val="노무비 근거"/>
      <sheetName val="Cost bd-&quot;A&quot;"/>
      <sheetName val="물가대비표"/>
      <sheetName val="단면가정"/>
      <sheetName val="단가조사서"/>
      <sheetName val="가점"/>
      <sheetName val="index"/>
      <sheetName val="etc"/>
      <sheetName val="대로근거"/>
      <sheetName val="중로근거"/>
      <sheetName val="일위대가(가설)"/>
      <sheetName val="설계예시"/>
      <sheetName val="일위산출"/>
      <sheetName val="중기조종사 단위단가"/>
      <sheetName val="아파트 내역"/>
      <sheetName val="노무"/>
      <sheetName val="도급"/>
      <sheetName val="b_balju"/>
      <sheetName val="세금자료"/>
      <sheetName val="물가자료"/>
      <sheetName val="말뚝지지력산정"/>
      <sheetName val="일반수량"/>
      <sheetName val="D"/>
      <sheetName val="고유코드_설계"/>
      <sheetName val="우각부보강"/>
      <sheetName val="설비"/>
      <sheetName val="배수장토목공사비"/>
      <sheetName val="ABUT수량-A1"/>
      <sheetName val="공사비증감"/>
      <sheetName val="상호참고자료"/>
      <sheetName val="공사기본내용입력"/>
      <sheetName val="발주처자료입력"/>
      <sheetName val="회사기본자료"/>
      <sheetName val="하자보증자료"/>
      <sheetName val="기술자관련자료"/>
      <sheetName val="깨기"/>
      <sheetName val="매입세율"/>
      <sheetName val="인건비"/>
      <sheetName val="단면A-A(TR)"/>
      <sheetName val="1.설계조건"/>
      <sheetName val="관경별내역서"/>
      <sheetName val="POOM_MOTO"/>
      <sheetName val="노임"/>
      <sheetName val="Macro(차단기)"/>
      <sheetName val="원가계산"/>
      <sheetName val="원가계산 (2)"/>
      <sheetName val="BID"/>
      <sheetName val="Sheet17"/>
      <sheetName val="70%"/>
      <sheetName val="노견단위수량"/>
      <sheetName val="산출내역서"/>
      <sheetName val="설계"/>
      <sheetName val="일위대가(건축)"/>
      <sheetName val="증감대비표(전체변경)"/>
      <sheetName val="원가계산서(공동+분담)"/>
      <sheetName val="원가계산서(공동)"/>
      <sheetName val="원가계산서(분담-지열)"/>
      <sheetName val="공종별증감대비표"/>
      <sheetName val="건축"/>
      <sheetName val="토목"/>
      <sheetName val="조경"/>
      <sheetName val="기계"/>
      <sheetName val="지열"/>
      <sheetName val="수로BOX"/>
      <sheetName val="맨홀수량집계"/>
      <sheetName val="3련 BOX"/>
      <sheetName val="입찰견적보고서"/>
      <sheetName val="지장물보호공"/>
      <sheetName val="사다리-C"/>
      <sheetName val="상수가스보호"/>
      <sheetName val="통신보호"/>
      <sheetName val="전주지지대"/>
      <sheetName val="L형측구(화강석)"/>
      <sheetName val="L형측구(콘크리트)"/>
      <sheetName val="관보호공단위수량표"/>
      <sheetName val="오수받이뚜껑단위수량"/>
      <sheetName val="석축"/>
      <sheetName val="차액보증"/>
      <sheetName val="슬래브"/>
      <sheetName val="조명율표"/>
      <sheetName val="차도조도계산"/>
      <sheetName val="을"/>
      <sheetName val="영동(D)"/>
      <sheetName val="값"/>
      <sheetName val="전기"/>
      <sheetName val="조건표"/>
      <sheetName val="산출"/>
      <sheetName val="파일의이용"/>
      <sheetName val="참고사항"/>
      <sheetName val="근로자자료입력"/>
      <sheetName val="SLAB&quot;1&quot;"/>
      <sheetName val="집수정단위수량600 "/>
      <sheetName val="S.중기사용료"/>
      <sheetName val="입력란"/>
      <sheetName val="총계"/>
      <sheetName val="공사비"/>
      <sheetName val="APT"/>
      <sheetName val="인천성심병원"/>
      <sheetName val="평가데이터"/>
      <sheetName val="CON'C"/>
      <sheetName val="Sheet2"/>
      <sheetName val="이토변실(A3-LINE)"/>
      <sheetName val="INPUT"/>
      <sheetName val="기본일위"/>
      <sheetName val="중기사용료"/>
      <sheetName val="기계경비(시간당)"/>
      <sheetName val="램머"/>
      <sheetName val="유입부"/>
      <sheetName val="외천교"/>
      <sheetName val="5.모델링"/>
      <sheetName val="전기일위대가"/>
      <sheetName val="개별직종노임단가(2003.9)"/>
      <sheetName val="잡비계산"/>
      <sheetName val="노임단가(2009.상)"/>
      <sheetName val="10.1 중기기초단가"/>
      <sheetName val="ilch"/>
      <sheetName val="MOTOR"/>
      <sheetName val="백호우계수"/>
      <sheetName val="단가대비표"/>
      <sheetName val="3.하중산정4.지지력"/>
      <sheetName val="상부공"/>
      <sheetName val="등급 별 단가표"/>
      <sheetName val="총괄집계_"/>
      <sheetName val="날개벽철근집계_"/>
      <sheetName val="PVC접합개소_산출서"/>
      <sheetName val="1_토공집계"/>
      <sheetName val="2_관대집계표"/>
      <sheetName val="3_구조물공"/>
      <sheetName val="4_포장공"/>
      <sheetName val="5_부대공"/>
      <sheetName val="6_주요자재대"/>
      <sheetName val="7_폐기물집계"/>
      <sheetName val="1_토총"/>
      <sheetName val="2_관로집"/>
      <sheetName val="3_구조물집계"/>
      <sheetName val="7_폐기물"/>
      <sheetName val="구체"/>
      <sheetName val="좌측날개벽"/>
      <sheetName val="우측날개벽"/>
      <sheetName val="단가비교표"/>
      <sheetName val="자압1"/>
      <sheetName val="기초단가"/>
      <sheetName val="이름정의"/>
      <sheetName val="초기화면"/>
      <sheetName val="1호맨홀토공"/>
      <sheetName val="인건비 "/>
      <sheetName val="내역갑지"/>
      <sheetName val="전선 및 전선관"/>
      <sheetName val="H-PILE수량집계"/>
      <sheetName val="단가및재료비"/>
      <sheetName val="마산방향"/>
      <sheetName val="마산방향철근집계"/>
      <sheetName val="7.PILE  (돌출)"/>
      <sheetName val="DATA1"/>
      <sheetName val="ITEM"/>
      <sheetName val="WORK"/>
      <sheetName val="제잡비계산"/>
      <sheetName val="데크수량집계표 (3)"/>
      <sheetName val="수량(숲생태관람데크)"/>
      <sheetName val="수량(암석원관람데크)"/>
      <sheetName val="수량(개비자관람데크)"/>
      <sheetName val="만병초관람데크"/>
      <sheetName val="난간A"/>
      <sheetName val="난간B"/>
      <sheetName val="습지원관람데크"/>
      <sheetName val="전망대"/>
      <sheetName val="전망데크"/>
      <sheetName val="데크산책로A"/>
      <sheetName val="데크산책로B"/>
      <sheetName val="데크산책로C"/>
      <sheetName val="관람데크A"/>
      <sheetName val="관람데크B"/>
      <sheetName val="관람데크C"/>
      <sheetName val="입구계단A"/>
      <sheetName val="입구계단B"/>
      <sheetName val="입구계단C"/>
      <sheetName val="입구계단D"/>
      <sheetName val="입구계단E"/>
      <sheetName val="암석원관람데크"/>
      <sheetName val="숲생태관람데크"/>
      <sheetName val="개비자관람데크"/>
      <sheetName val="99노임기준"/>
      <sheetName val="토공집계"/>
      <sheetName val="[고양관재.XLSŝ보차도경계석집계표(종)"/>
      <sheetName val="6-1. 관개량조서"/>
      <sheetName val="총괄 내역서"/>
      <sheetName val="빗물받이(910-510-410)"/>
      <sheetName val="S0"/>
      <sheetName val="우수"/>
      <sheetName val="1호맨홀가감수량"/>
      <sheetName val="가시설(TYPE-A)"/>
      <sheetName val="1-1평균터파기고(1)"/>
      <sheetName val="1호맨홀수량산출"/>
      <sheetName val="가시설단위수량"/>
      <sheetName val="SORCE1"/>
      <sheetName val="감시비교(자동제어비교)"/>
      <sheetName val="4.고용보험"/>
      <sheetName val="3.고용보험료산출근거"/>
      <sheetName val="부시수량"/>
      <sheetName val="판"/>
      <sheetName val="2.대외공문"/>
      <sheetName val="원가서"/>
      <sheetName val="투찰"/>
      <sheetName val="부하계산서"/>
      <sheetName val="교사기준면적(초등)"/>
      <sheetName val="산출근거(마산,_만천,_가례)"/>
      <sheetName val="산출근거(가설도로_조성)"/>
      <sheetName val="산출근거(가설도로_성토다짐)"/>
      <sheetName val="산출근거(가설도로_살수)"/>
      <sheetName val="산출근거(가설도로_유지보수)"/>
      <sheetName val="일위대가(노임수정(완),_자재_및_물린단산수정필요)"/>
      <sheetName val="시험비_단가"/>
      <sheetName val="배수공총괄_집계표(횡)"/>
      <sheetName val="보차도경계석_조서"/>
      <sheetName val="맨홀집계표_"/>
      <sheetName val="수량집계"/>
      <sheetName val="2000전체분"/>
      <sheetName val="2000년1차"/>
      <sheetName val="고상실행"/>
      <sheetName val="2.고용보험료산출근거"/>
      <sheetName val="직접인건비"/>
      <sheetName val="지구단위계획내역서"/>
      <sheetName val="내역서01"/>
      <sheetName val="5지구단위"/>
      <sheetName val="계수시트"/>
      <sheetName val="기계가격"/>
      <sheetName val="소비자가"/>
      <sheetName val="관경결정"/>
      <sheetName val="전등설비"/>
      <sheetName val="역T형"/>
      <sheetName val="전차선로_물량표"/>
      <sheetName val="1-4-2_관(약)"/>
      <sheetName val="고시단가"/>
      <sheetName val="철거산출근거"/>
      <sheetName val="2000.11월설계내역"/>
      <sheetName val="내역서단가산출용"/>
      <sheetName val="원가계산서"/>
      <sheetName val="내역서적용수량"/>
      <sheetName val="Sheet1_(2)"/>
      <sheetName val="pe이중벽관_(우수)"/>
      <sheetName val="토목검측서"/>
      <sheetName val="역T형(H=6.0) (2)"/>
      <sheetName val="위치조서"/>
      <sheetName val="국산화"/>
      <sheetName val="자재단가_사급"/>
      <sheetName val="중기적산목록"/>
      <sheetName val="산근터빈"/>
      <sheetName val="단위단가"/>
      <sheetName val="인부노임"/>
      <sheetName val="가감수량"/>
      <sheetName val="통관-유입(벌어짐)유출(도수)"/>
      <sheetName val="영업소산출근거"/>
      <sheetName val="쌍송교"/>
      <sheetName val="교각별철근수량집계표"/>
      <sheetName val="심사물량"/>
      <sheetName val="심사계산"/>
      <sheetName val="명세서"/>
      <sheetName val="예산서"/>
      <sheetName val="99노임단가"/>
      <sheetName val="접합 및 부설 "/>
      <sheetName val="1-1"/>
      <sheetName val="교각계산"/>
      <sheetName val="약품공급2"/>
      <sheetName val="부대tu"/>
      <sheetName val="이월도표"/>
      <sheetName val="추적+궁합"/>
      <sheetName val="로또정석"/>
      <sheetName val="최근21회정석"/>
      <sheetName val="당첨금"/>
      <sheetName val="로또그림"/>
      <sheetName val="로또용어"/>
      <sheetName val="로또abc"/>
      <sheetName val="로또10계명"/>
      <sheetName val="Sheet7"/>
      <sheetName val="Sheet6"/>
      <sheetName val="Sheet4"/>
      <sheetName val="Sheet3 (2)"/>
      <sheetName val="중부"/>
      <sheetName val="북부"/>
      <sheetName val="남부"/>
      <sheetName val="summary"/>
      <sheetName val="chart"/>
      <sheetName val="chart update"/>
      <sheetName val="남평1"/>
      <sheetName val="남평2"/>
      <sheetName val="남평3"/>
      <sheetName val="회동1"/>
      <sheetName val="회동2"/>
      <sheetName val="회동3"/>
      <sheetName val="회동4"/>
      <sheetName val="수목표준대가"/>
      <sheetName val="날개벽수량표"/>
      <sheetName val="환경평가"/>
      <sheetName val="인구"/>
      <sheetName val="Y-WORK"/>
      <sheetName val="공구"/>
      <sheetName val="설명"/>
      <sheetName val="4차공사"/>
      <sheetName val="수자재단위당"/>
      <sheetName val="EP0618"/>
      <sheetName val="수압시험수집"/>
      <sheetName val="수압시험산근"/>
      <sheetName val="2005(공무2)"/>
      <sheetName val="변수"/>
      <sheetName val="2.토목공사"/>
      <sheetName val="HVAC"/>
      <sheetName val="계장 품셈표"/>
      <sheetName val="5.2.6~7공사요율"/>
      <sheetName val="용수량(생활용수)"/>
      <sheetName val="EACT10"/>
      <sheetName val="산근"/>
      <sheetName val="목록"/>
      <sheetName val="수량BOQ"/>
      <sheetName val="COVER"/>
      <sheetName val="시가지우회도로공내역서"/>
      <sheetName val="7월11일"/>
      <sheetName val="BQ(실행)"/>
      <sheetName val="갑지"/>
      <sheetName val="송장"/>
      <sheetName val="철근정산"/>
      <sheetName val="골막이(야매)"/>
      <sheetName val="경  비 "/>
      <sheetName val="노무비"/>
      <sheetName val="공사명입력"/>
      <sheetName val="재료비단가"/>
      <sheetName val="투자비"/>
      <sheetName val="조성원가DATA"/>
      <sheetName val="사업비"/>
      <sheetName val="경산"/>
      <sheetName val="인건-측정"/>
      <sheetName val="일위목록"/>
      <sheetName val="신호등일위대가"/>
      <sheetName val="큰다리교깨기"/>
      <sheetName val="실행철강하도"/>
      <sheetName val="wall"/>
      <sheetName val="견적"/>
      <sheetName val="TOTAL_BOQ"/>
      <sheetName val="배수관집계"/>
      <sheetName val="단가산출내역(노임부분수정)"/>
      <sheetName val="중기일위대가"/>
      <sheetName val="포장공"/>
      <sheetName val="배수공1"/>
      <sheetName val="단가산출"/>
      <sheetName val="계약서"/>
      <sheetName val="준공평가"/>
      <sheetName val="화설내"/>
      <sheetName val="하중조건(평상시)"/>
      <sheetName val="수량총"/>
      <sheetName val="토공총"/>
      <sheetName val="97노임단가"/>
      <sheetName val="공종목록표"/>
      <sheetName val="LP-S"/>
      <sheetName val="공사비 증감 내역서"/>
      <sheetName val="진천방향"/>
      <sheetName val="3련_BOX"/>
      <sheetName val="1_토공집계1"/>
      <sheetName val="2_관대집계표1"/>
      <sheetName val="3_구조물공1"/>
      <sheetName val="4_포장공1"/>
      <sheetName val="5_부대공1"/>
    </sheetNames>
    <sheetDataSet>
      <sheetData sheetId="0" refreshError="1">
        <row r="24">
          <cell r="B24" t="str">
            <v>수평곡관</v>
          </cell>
          <cell r="C24" t="str">
            <v>D=100×11¼˚</v>
          </cell>
          <cell r="D24" t="str">
            <v xml:space="preserve"> ⊃</v>
          </cell>
          <cell r="E24">
            <v>10</v>
          </cell>
        </row>
        <row r="25">
          <cell r="B25" t="str">
            <v>수평곡관</v>
          </cell>
          <cell r="C25" t="str">
            <v>D=150×11¼˚</v>
          </cell>
          <cell r="D25" t="str">
            <v xml:space="preserve"> ⊃</v>
          </cell>
          <cell r="E25">
            <v>12</v>
          </cell>
        </row>
        <row r="26">
          <cell r="B26" t="str">
            <v>수평곡관</v>
          </cell>
          <cell r="C26" t="str">
            <v>D=100×11¼˚</v>
          </cell>
          <cell r="D26" t="str">
            <v xml:space="preserve"> ⊃</v>
          </cell>
          <cell r="E26">
            <v>17</v>
          </cell>
        </row>
        <row r="27">
          <cell r="B27" t="str">
            <v>수평곡관</v>
          </cell>
          <cell r="C27" t="str">
            <v>D=100×22½˚</v>
          </cell>
          <cell r="D27" t="str">
            <v xml:space="preserve"> ⊃</v>
          </cell>
          <cell r="E27">
            <v>20</v>
          </cell>
        </row>
        <row r="28">
          <cell r="B28" t="str">
            <v>수평곡관</v>
          </cell>
          <cell r="C28" t="str">
            <v>D=150×22½˚</v>
          </cell>
          <cell r="D28" t="str">
            <v xml:space="preserve"> ⊃</v>
          </cell>
          <cell r="E28">
            <v>4</v>
          </cell>
        </row>
        <row r="29">
          <cell r="B29" t="str">
            <v>수평곡관</v>
          </cell>
          <cell r="C29" t="str">
            <v>D=100×22½˚</v>
          </cell>
          <cell r="D29" t="str">
            <v xml:space="preserve"> ⊃</v>
          </cell>
          <cell r="E29">
            <v>5</v>
          </cell>
        </row>
        <row r="30">
          <cell r="B30" t="str">
            <v>수평곡관</v>
          </cell>
          <cell r="C30" t="str">
            <v>D=100×45˚</v>
          </cell>
          <cell r="D30" t="str">
            <v xml:space="preserve"> ⊃</v>
          </cell>
          <cell r="E30">
            <v>5</v>
          </cell>
        </row>
        <row r="31">
          <cell r="B31" t="str">
            <v>수평곡관</v>
          </cell>
          <cell r="C31" t="str">
            <v>D=150×45˚</v>
          </cell>
          <cell r="D31" t="str">
            <v xml:space="preserve"> ⊃</v>
          </cell>
          <cell r="E31">
            <v>5</v>
          </cell>
        </row>
        <row r="32">
          <cell r="B32" t="str">
            <v>수평곡관</v>
          </cell>
          <cell r="C32" t="str">
            <v>D=100×45˚</v>
          </cell>
          <cell r="D32" t="str">
            <v xml:space="preserve"> ⊃</v>
          </cell>
          <cell r="E32">
            <v>4</v>
          </cell>
        </row>
        <row r="33">
          <cell r="B33" t="str">
            <v>수평곡관</v>
          </cell>
          <cell r="C33" t="str">
            <v>D=100×90˚</v>
          </cell>
          <cell r="D33" t="str">
            <v xml:space="preserve"> ⊃</v>
          </cell>
          <cell r="E33">
            <v>6</v>
          </cell>
        </row>
        <row r="34">
          <cell r="B34" t="str">
            <v>수평곡관</v>
          </cell>
          <cell r="C34" t="str">
            <v>D=100×90˚</v>
          </cell>
          <cell r="D34" t="str">
            <v xml:space="preserve"> ⊃</v>
          </cell>
          <cell r="E34">
            <v>5</v>
          </cell>
        </row>
        <row r="35">
          <cell r="B35" t="str">
            <v>수평곡관</v>
          </cell>
          <cell r="C35" t="str">
            <v>D=100×90˚</v>
          </cell>
          <cell r="D35" t="str">
            <v xml:space="preserve"> ⊃</v>
          </cell>
          <cell r="E35">
            <v>55</v>
          </cell>
        </row>
        <row r="36">
          <cell r="B36" t="str">
            <v>소켓플랜지T형관</v>
          </cell>
          <cell r="C36" t="str">
            <v>D=100×100</v>
          </cell>
          <cell r="E36">
            <v>5</v>
          </cell>
        </row>
        <row r="37">
          <cell r="B37" t="str">
            <v>소켓플랜지T형관</v>
          </cell>
          <cell r="C37" t="str">
            <v>D=100×100</v>
          </cell>
          <cell r="E37">
            <v>5</v>
          </cell>
        </row>
        <row r="38">
          <cell r="B38" t="str">
            <v>소켓플랜지T형관</v>
          </cell>
          <cell r="C38" t="str">
            <v>D=100×100</v>
          </cell>
          <cell r="E38">
            <v>6</v>
          </cell>
        </row>
        <row r="39">
          <cell r="B39" t="str">
            <v>소켓T형관</v>
          </cell>
          <cell r="C39" t="str">
            <v>D=100×100</v>
          </cell>
          <cell r="E39">
            <v>4</v>
          </cell>
        </row>
        <row r="40">
          <cell r="B40" t="str">
            <v>소켓T형관</v>
          </cell>
          <cell r="C40" t="str">
            <v>D=100×100</v>
          </cell>
          <cell r="E40">
            <v>5</v>
          </cell>
        </row>
        <row r="41">
          <cell r="B41" t="str">
            <v>소켓T형관</v>
          </cell>
          <cell r="C41" t="str">
            <v>D=100×100</v>
          </cell>
          <cell r="E41">
            <v>8</v>
          </cell>
        </row>
        <row r="42">
          <cell r="B42" t="str">
            <v>이 음 관</v>
          </cell>
          <cell r="C42" t="str">
            <v>D=80</v>
          </cell>
          <cell r="E42">
            <v>9</v>
          </cell>
        </row>
        <row r="43">
          <cell r="B43" t="str">
            <v>이 음 관</v>
          </cell>
          <cell r="C43" t="str">
            <v>D=100</v>
          </cell>
          <cell r="E43">
            <v>10</v>
          </cell>
        </row>
        <row r="44">
          <cell r="B44" t="str">
            <v>이 음 관</v>
          </cell>
          <cell r="C44" t="str">
            <v>D=150</v>
          </cell>
          <cell r="E44">
            <v>12</v>
          </cell>
        </row>
        <row r="45">
          <cell r="B45" t="str">
            <v>이 음 관</v>
          </cell>
          <cell r="C45" t="str">
            <v>D=200</v>
          </cell>
          <cell r="E45">
            <v>18</v>
          </cell>
        </row>
        <row r="46">
          <cell r="B46" t="str">
            <v>이 음 관</v>
          </cell>
          <cell r="C46" t="str">
            <v>D=250</v>
          </cell>
          <cell r="E46">
            <v>25</v>
          </cell>
        </row>
        <row r="47">
          <cell r="B47" t="str">
            <v>이 음 관</v>
          </cell>
          <cell r="C47" t="str">
            <v>D=300</v>
          </cell>
          <cell r="E47">
            <v>34</v>
          </cell>
        </row>
        <row r="48">
          <cell r="B48" t="str">
            <v>플랜지관</v>
          </cell>
          <cell r="C48" t="str">
            <v>D=80</v>
          </cell>
          <cell r="E48">
            <v>7.9</v>
          </cell>
        </row>
        <row r="49">
          <cell r="B49" t="str">
            <v>플랜지관</v>
          </cell>
          <cell r="C49" t="str">
            <v>D=100</v>
          </cell>
          <cell r="E49">
            <v>9.6</v>
          </cell>
        </row>
        <row r="50">
          <cell r="B50" t="str">
            <v>플랜지관</v>
          </cell>
          <cell r="C50" t="str">
            <v>D=150</v>
          </cell>
          <cell r="E50">
            <v>15.6</v>
          </cell>
        </row>
        <row r="51">
          <cell r="B51" t="str">
            <v>플랜지관</v>
          </cell>
          <cell r="C51" t="str">
            <v>D=200</v>
          </cell>
          <cell r="E51">
            <v>22.5</v>
          </cell>
        </row>
        <row r="52">
          <cell r="B52" t="str">
            <v>플랜지관</v>
          </cell>
          <cell r="C52" t="str">
            <v>D=250</v>
          </cell>
          <cell r="E52">
            <v>31.5</v>
          </cell>
        </row>
        <row r="53">
          <cell r="B53" t="str">
            <v>플랜지관</v>
          </cell>
          <cell r="C53" t="str">
            <v>D=300</v>
          </cell>
          <cell r="E53">
            <v>41.5</v>
          </cell>
        </row>
        <row r="54">
          <cell r="B54" t="str">
            <v>제 수 변</v>
          </cell>
          <cell r="C54" t="str">
            <v>D=80</v>
          </cell>
          <cell r="E54">
            <v>42</v>
          </cell>
        </row>
        <row r="55">
          <cell r="B55" t="str">
            <v>제 수 변</v>
          </cell>
          <cell r="C55" t="str">
            <v>D=100</v>
          </cell>
          <cell r="E55">
            <v>50</v>
          </cell>
        </row>
        <row r="56">
          <cell r="B56" t="str">
            <v>제 수 변</v>
          </cell>
          <cell r="C56" t="str">
            <v>D=150</v>
          </cell>
          <cell r="E56">
            <v>90</v>
          </cell>
        </row>
        <row r="57">
          <cell r="B57" t="str">
            <v>제 수 변</v>
          </cell>
          <cell r="C57" t="str">
            <v>D=200</v>
          </cell>
          <cell r="E57">
            <v>140</v>
          </cell>
        </row>
        <row r="58">
          <cell r="B58" t="str">
            <v>제 수 변</v>
          </cell>
          <cell r="C58" t="str">
            <v>D=300</v>
          </cell>
          <cell r="E58">
            <v>280</v>
          </cell>
        </row>
        <row r="59">
          <cell r="B59" t="str">
            <v>공 기 변</v>
          </cell>
          <cell r="C59" t="str">
            <v>D=80</v>
          </cell>
          <cell r="E59">
            <v>94</v>
          </cell>
        </row>
        <row r="60">
          <cell r="B60" t="str">
            <v>공 기 변</v>
          </cell>
          <cell r="C60" t="str">
            <v>D=100</v>
          </cell>
          <cell r="E60">
            <v>110</v>
          </cell>
        </row>
        <row r="61">
          <cell r="B61" t="str">
            <v>단    관</v>
          </cell>
          <cell r="C61" t="str">
            <v>D=80</v>
          </cell>
          <cell r="E61">
            <v>13.5</v>
          </cell>
          <cell r="H61">
            <v>0.8</v>
          </cell>
          <cell r="I61" t="str">
            <v>×</v>
          </cell>
          <cell r="J61" t="str">
            <v>＋</v>
          </cell>
        </row>
        <row r="62">
          <cell r="B62" t="str">
            <v>플랜지단관</v>
          </cell>
          <cell r="C62" t="str">
            <v>D=100</v>
          </cell>
          <cell r="E62">
            <v>16.399999999999999</v>
          </cell>
          <cell r="H62">
            <v>0.8</v>
          </cell>
          <cell r="I62" t="str">
            <v>×</v>
          </cell>
          <cell r="J62" t="str">
            <v>＋</v>
          </cell>
        </row>
        <row r="63">
          <cell r="B63" t="str">
            <v>플랜지단관</v>
          </cell>
          <cell r="C63" t="str">
            <v>D=100</v>
          </cell>
          <cell r="E63">
            <v>16.399999999999999</v>
          </cell>
          <cell r="H63">
            <v>0.92</v>
          </cell>
          <cell r="I63" t="str">
            <v>×</v>
          </cell>
          <cell r="J63" t="str">
            <v>＋</v>
          </cell>
        </row>
        <row r="64">
          <cell r="B64" t="str">
            <v>플랜지단관</v>
          </cell>
          <cell r="C64" t="str">
            <v>D=100</v>
          </cell>
          <cell r="E64">
            <v>16.399999999999999</v>
          </cell>
          <cell r="H64">
            <v>-2</v>
          </cell>
          <cell r="I64" t="str">
            <v>×</v>
          </cell>
          <cell r="J64" t="str">
            <v>＋</v>
          </cell>
        </row>
        <row r="65">
          <cell r="B65" t="str">
            <v>플랜지단관</v>
          </cell>
          <cell r="C65" t="str">
            <v>D=100</v>
          </cell>
          <cell r="E65">
            <v>16.399999999999999</v>
          </cell>
          <cell r="H65">
            <v>-1</v>
          </cell>
          <cell r="I65" t="str">
            <v>×</v>
          </cell>
          <cell r="J65" t="str">
            <v>＋</v>
          </cell>
        </row>
        <row r="66">
          <cell r="B66" t="str">
            <v>플랜지단관</v>
          </cell>
          <cell r="C66" t="str">
            <v>D=100</v>
          </cell>
          <cell r="E66">
            <v>16.399999999999999</v>
          </cell>
          <cell r="H66">
            <v>0</v>
          </cell>
          <cell r="I66" t="str">
            <v>×</v>
          </cell>
          <cell r="J66" t="str">
            <v>＋</v>
          </cell>
        </row>
        <row r="67">
          <cell r="B67" t="str">
            <v>플랜지단관</v>
          </cell>
          <cell r="C67" t="str">
            <v>D=100</v>
          </cell>
          <cell r="E67">
            <v>16.399999999999999</v>
          </cell>
          <cell r="H67">
            <v>1</v>
          </cell>
          <cell r="I67" t="str">
            <v>×</v>
          </cell>
          <cell r="J67" t="str">
            <v>＋</v>
          </cell>
        </row>
        <row r="68">
          <cell r="B68" t="str">
            <v>플랜지단관</v>
          </cell>
          <cell r="C68" t="str">
            <v>D=100</v>
          </cell>
          <cell r="E68">
            <v>16.399999999999999</v>
          </cell>
          <cell r="H68">
            <v>2</v>
          </cell>
          <cell r="I68" t="str">
            <v>×</v>
          </cell>
          <cell r="J68" t="str">
            <v>＋</v>
          </cell>
        </row>
        <row r="69">
          <cell r="B69" t="str">
            <v>단    관</v>
          </cell>
          <cell r="C69" t="str">
            <v>D=125</v>
          </cell>
          <cell r="E69">
            <v>21</v>
          </cell>
          <cell r="H69">
            <v>3</v>
          </cell>
          <cell r="I69" t="str">
            <v>×</v>
          </cell>
          <cell r="J69" t="str">
            <v>＋</v>
          </cell>
        </row>
        <row r="70">
          <cell r="B70" t="str">
            <v>단    관</v>
          </cell>
          <cell r="C70" t="str">
            <v>D=150</v>
          </cell>
          <cell r="E70">
            <v>25.3</v>
          </cell>
          <cell r="H70">
            <v>4</v>
          </cell>
          <cell r="I70" t="str">
            <v>×</v>
          </cell>
          <cell r="J70" t="str">
            <v>＋</v>
          </cell>
        </row>
        <row r="71">
          <cell r="B71" t="str">
            <v>단    관</v>
          </cell>
          <cell r="C71" t="str">
            <v>D=200</v>
          </cell>
          <cell r="E71">
            <v>33.799999999999997</v>
          </cell>
          <cell r="H71">
            <v>5</v>
          </cell>
          <cell r="I71" t="str">
            <v>×</v>
          </cell>
          <cell r="J71" t="str">
            <v>＋</v>
          </cell>
        </row>
        <row r="72">
          <cell r="B72" t="str">
            <v>단    관</v>
          </cell>
          <cell r="C72" t="str">
            <v>D=250</v>
          </cell>
          <cell r="E72">
            <v>44.3</v>
          </cell>
          <cell r="H72">
            <v>6</v>
          </cell>
          <cell r="I72" t="str">
            <v>×</v>
          </cell>
          <cell r="J72" t="str">
            <v>＋</v>
          </cell>
        </row>
        <row r="73">
          <cell r="B73" t="str">
            <v>단    관</v>
          </cell>
          <cell r="C73" t="str">
            <v>D=300</v>
          </cell>
          <cell r="E73">
            <v>56.3</v>
          </cell>
          <cell r="H73">
            <v>7</v>
          </cell>
          <cell r="I73" t="str">
            <v>×</v>
          </cell>
          <cell r="J73" t="str">
            <v>＋</v>
          </cell>
        </row>
        <row r="74">
          <cell r="B74" t="str">
            <v>단    관</v>
          </cell>
          <cell r="C74" t="str">
            <v>D=350</v>
          </cell>
          <cell r="E74">
            <v>69.599999999999994</v>
          </cell>
          <cell r="H74">
            <v>8</v>
          </cell>
          <cell r="I74" t="str">
            <v>×</v>
          </cell>
          <cell r="J74" t="str">
            <v>＋</v>
          </cell>
        </row>
        <row r="75">
          <cell r="B75" t="str">
            <v>단    관</v>
          </cell>
          <cell r="C75" t="str">
            <v>D=400</v>
          </cell>
          <cell r="E75">
            <v>83.7</v>
          </cell>
          <cell r="H75">
            <v>9</v>
          </cell>
          <cell r="I75" t="str">
            <v>×</v>
          </cell>
          <cell r="J75" t="str">
            <v>＋</v>
          </cell>
        </row>
        <row r="76">
          <cell r="B76" t="str">
            <v>단    관</v>
          </cell>
          <cell r="C76" t="str">
            <v>D=450</v>
          </cell>
          <cell r="E76">
            <v>98.5</v>
          </cell>
          <cell r="H76">
            <v>10</v>
          </cell>
          <cell r="I76" t="str">
            <v>×</v>
          </cell>
          <cell r="J76" t="str">
            <v>＋</v>
          </cell>
        </row>
        <row r="77">
          <cell r="B77" t="str">
            <v>단    관</v>
          </cell>
          <cell r="C77" t="str">
            <v>D=500</v>
          </cell>
          <cell r="E77">
            <v>115.6</v>
          </cell>
          <cell r="H77">
            <v>11</v>
          </cell>
          <cell r="I77" t="str">
            <v>×</v>
          </cell>
          <cell r="J77" t="str">
            <v>＋</v>
          </cell>
        </row>
        <row r="78">
          <cell r="B78" t="str">
            <v>단    관</v>
          </cell>
          <cell r="C78" t="str">
            <v>D=600</v>
          </cell>
          <cell r="E78">
            <v>152</v>
          </cell>
          <cell r="H78">
            <v>12</v>
          </cell>
          <cell r="I78" t="str">
            <v>×</v>
          </cell>
          <cell r="J78" t="str">
            <v>＋</v>
          </cell>
        </row>
        <row r="79">
          <cell r="B79" t="str">
            <v>단    관</v>
          </cell>
          <cell r="C79" t="str">
            <v>D=700</v>
          </cell>
          <cell r="E79">
            <v>193</v>
          </cell>
          <cell r="H79">
            <v>13</v>
          </cell>
          <cell r="I79" t="str">
            <v>×</v>
          </cell>
          <cell r="J79" t="str">
            <v>＋</v>
          </cell>
        </row>
        <row r="80">
          <cell r="B80" t="str">
            <v>단    관</v>
          </cell>
          <cell r="C80" t="str">
            <v>D=800</v>
          </cell>
          <cell r="E80">
            <v>238.7</v>
          </cell>
          <cell r="H80">
            <v>14</v>
          </cell>
          <cell r="I80" t="str">
            <v>×</v>
          </cell>
          <cell r="J80" t="str">
            <v>＋</v>
          </cell>
        </row>
        <row r="81">
          <cell r="B81" t="str">
            <v>단    관</v>
          </cell>
          <cell r="C81" t="str">
            <v>D=900</v>
          </cell>
          <cell r="E81">
            <v>288.7</v>
          </cell>
          <cell r="H81">
            <v>15</v>
          </cell>
          <cell r="I81" t="str">
            <v>×</v>
          </cell>
          <cell r="J81" t="str">
            <v>＋</v>
          </cell>
        </row>
        <row r="82">
          <cell r="B82" t="str">
            <v>단    관</v>
          </cell>
          <cell r="C82" t="str">
            <v>D=1000</v>
          </cell>
          <cell r="E82">
            <v>343.2</v>
          </cell>
          <cell r="H82">
            <v>16</v>
          </cell>
          <cell r="I82" t="str">
            <v>×</v>
          </cell>
          <cell r="J82" t="str">
            <v>＋</v>
          </cell>
        </row>
        <row r="83">
          <cell r="B83" t="str">
            <v>단    관</v>
          </cell>
          <cell r="C83" t="str">
            <v>D=1100</v>
          </cell>
          <cell r="E83">
            <v>399.5</v>
          </cell>
          <cell r="H83">
            <v>17</v>
          </cell>
          <cell r="I83" t="str">
            <v>×</v>
          </cell>
          <cell r="J83" t="str">
            <v>＋</v>
          </cell>
        </row>
        <row r="84">
          <cell r="B84" t="str">
            <v>단    관</v>
          </cell>
          <cell r="C84" t="str">
            <v>D=1200</v>
          </cell>
          <cell r="E84">
            <v>465.9</v>
          </cell>
          <cell r="H84">
            <v>18</v>
          </cell>
          <cell r="I84" t="str">
            <v>×</v>
          </cell>
          <cell r="J84" t="str">
            <v>＋</v>
          </cell>
        </row>
        <row r="85">
          <cell r="B85" t="str">
            <v>없음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 refreshError="1"/>
      <sheetData sheetId="243" refreshError="1"/>
      <sheetData sheetId="244" refreshError="1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</sheetDataSet>
  </externalBook>
</externalLink>
</file>

<file path=xl/externalLinks/externalLink80.xml><?xml version="1.0" encoding="utf-8"?>
<externalLink xmlns="http://schemas.openxmlformats.org/spreadsheetml/2006/main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81.xml><?xml version="1.0" encoding="utf-8"?>
<externalLink xmlns="http://schemas.openxmlformats.org/spreadsheetml/2006/main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배수장토목공사비"/>
      <sheetName val="ABUT수량_A1"/>
      <sheetName val="부하계산서"/>
      <sheetName val="입찰안"/>
      <sheetName val="종배수관"/>
      <sheetName val="중산교"/>
      <sheetName val="총괄내역서"/>
      <sheetName val="6PILE  (돌출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82.xml><?xml version="1.0" encoding="utf-8"?>
<externalLink xmlns="http://schemas.openxmlformats.org/spreadsheetml/2006/main">
  <externalBook xmlns:r="http://schemas.openxmlformats.org/officeDocument/2006/relationships" r:id="rId1">
    <sheetNames>
      <sheetName val="타견적1"/>
      <sheetName val="타견적2"/>
      <sheetName val="타견적3"/>
      <sheetName val="견적대비표"/>
      <sheetName val="내역서"/>
      <sheetName val="단가대비표"/>
      <sheetName val="PANEL 중량산출"/>
      <sheetName val="중량산출"/>
      <sheetName val="수량산출"/>
      <sheetName val="단가비교표"/>
      <sheetName val="1안"/>
      <sheetName val="샘플표지"/>
      <sheetName val="N賃率-職"/>
      <sheetName val="과천MAIN"/>
      <sheetName val="일위"/>
      <sheetName val="노임"/>
      <sheetName val="매립"/>
      <sheetName val="I一般比"/>
      <sheetName val="원가 (2)"/>
      <sheetName val="ABUT수량-A1"/>
      <sheetName val="품목납기"/>
      <sheetName val="Sheet2"/>
      <sheetName val="신우"/>
      <sheetName val="J直材4"/>
      <sheetName val="TYPE-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A3">
            <v>3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83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갑지"/>
      <sheetName val="과천MAIN"/>
      <sheetName val="일위 (2)"/>
      <sheetName val="갑지 (2)"/>
      <sheetName val="산출근거서"/>
      <sheetName val="일위"/>
      <sheetName val="수량산출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4.xml><?xml version="1.0" encoding="utf-8"?>
<externalLink xmlns="http://schemas.openxmlformats.org/spreadsheetml/2006/main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수량산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85.xml><?xml version="1.0" encoding="utf-8"?>
<externalLink xmlns="http://schemas.openxmlformats.org/spreadsheetml/2006/main">
  <externalBook xmlns:r="http://schemas.openxmlformats.org/officeDocument/2006/relationships" r:id="rId1">
    <sheetNames>
      <sheetName val="통합"/>
      <sheetName val="기둥(원형)"/>
      <sheetName val="Sheet1 (2)"/>
    </sheetNames>
    <sheetDataSet>
      <sheetData sheetId="0">
        <row r="5">
          <cell r="M5">
            <v>5</v>
          </cell>
        </row>
      </sheetData>
      <sheetData sheetId="1" refreshError="1"/>
      <sheetData sheetId="2" refreshError="1"/>
    </sheetDataSet>
  </externalBook>
</externalLink>
</file>

<file path=xl/externalLinks/externalLink86.xml><?xml version="1.0" encoding="utf-8"?>
<externalLink xmlns="http://schemas.openxmlformats.org/spreadsheetml/2006/main">
  <externalBook xmlns:r="http://schemas.openxmlformats.org/officeDocument/2006/relationships" r:id="rId1">
    <sheetNames>
      <sheetName val="고성지구"/>
      <sheetName val="표지1"/>
      <sheetName val="표지"/>
      <sheetName val="간지"/>
      <sheetName val="사업설계심사서"/>
      <sheetName val="보완타당성검토서(1)"/>
      <sheetName val="보완타당성검토(2)"/>
      <sheetName val="수지예산서 (세로양식)"/>
      <sheetName val="수지예산서증감 (세로양식)"/>
      <sheetName val="년도별공사비사정 (세로)"/>
      <sheetName val="지급품조서"/>
      <sheetName val="공사비증감 (세로)"/>
      <sheetName val="공정계획서"/>
      <sheetName val="수지예산"/>
      <sheetName val="수지예산서증감"/>
      <sheetName val="년도별공사비사정"/>
      <sheetName val="관리비"/>
      <sheetName val="공사비증감"/>
      <sheetName val="보완증감액 (집계)"/>
      <sheetName val="보완증감액"/>
      <sheetName val="예산내역서"/>
      <sheetName val="총괄공사비"/>
      <sheetName val="지급자재비명세서(2)"/>
      <sheetName val="지급자재비(참고)"/>
      <sheetName val="지입자재비명세서(1)"/>
      <sheetName val="일위대가집계(AT)"/>
      <sheetName val="일위대가표(AT)"/>
      <sheetName val="단가산출집계(AT)"/>
      <sheetName val="단가산출서(AT)"/>
      <sheetName val="기계경비집계표(AT)"/>
      <sheetName val="중기경비산출(AT)"/>
      <sheetName val="건설기계가격표"/>
      <sheetName val="적용노임단가"/>
      <sheetName val="자재단가적용"/>
      <sheetName val="장비적용노임"/>
      <sheetName val="지급자재비명세서"/>
      <sheetName val="지입자재비명세서"/>
      <sheetName val="고성1호용수간선"/>
      <sheetName val="고성2호용수간선"/>
      <sheetName val="고성3호용수간선"/>
      <sheetName val="고성4호용수간선"/>
      <sheetName val="고성5호용수간선"/>
      <sheetName val="고성6호용수간선"/>
      <sheetName val="양화용수간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87.xml><?xml version="1.0" encoding="utf-8"?>
<externalLink xmlns="http://schemas.openxmlformats.org/spreadsheetml/2006/main">
  <externalBook xmlns:r="http://schemas.openxmlformats.org/officeDocument/2006/relationships" r:id="rId1">
    <sheetNames>
      <sheetName val="옹벽"/>
      <sheetName val="철근단면적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통합"/>
      <sheetName val="주형"/>
      <sheetName val="설계조건"/>
      <sheetName val="건설기계가격표"/>
      <sheetName val="중기경비산출(AT)"/>
    </sheetNames>
    <sheetDataSet>
      <sheetData sheetId="0" refreshError="1">
        <row r="3">
          <cell r="M3">
            <v>500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8.xml><?xml version="1.0" encoding="utf-8"?>
<externalLink xmlns="http://schemas.openxmlformats.org/spreadsheetml/2006/main">
  <externalBook xmlns:r="http://schemas.openxmlformats.org/officeDocument/2006/relationships" r:id="rId1">
    <sheetNames>
      <sheetName val="우수"/>
      <sheetName val="오수"/>
      <sheetName val="포장"/>
      <sheetName val="우수철근"/>
      <sheetName val="오수철근"/>
      <sheetName val="총수량 집계표"/>
      <sheetName val="총철근"/>
      <sheetName val="자재집게표 "/>
      <sheetName val="총수량집계표 "/>
      <sheetName val="총철근량집계표"/>
      <sheetName val="이음몰탈"/>
      <sheetName val="옹벽공 수량집계표"/>
      <sheetName val="철근집계표"/>
      <sheetName val="옹벽"/>
      <sheetName val="3.바닥판설계"/>
      <sheetName val="말뚝지지력산정"/>
    </sheetNames>
    <sheetDataSet>
      <sheetData sheetId="0" refreshError="1">
        <row r="1">
          <cell r="A1" t="str">
            <v>공       종</v>
          </cell>
          <cell r="B1" t="str">
            <v>규    격</v>
          </cell>
          <cell r="D1" t="str">
            <v>단위</v>
          </cell>
          <cell r="E1" t="str">
            <v xml:space="preserve">       맨              홀                     </v>
          </cell>
          <cell r="H1" t="str">
            <v>P.E 빗물받이</v>
          </cell>
          <cell r="I1" t="str">
            <v xml:space="preserve">P.E </v>
          </cell>
          <cell r="J1" t="str">
            <v>흄                         관</v>
          </cell>
          <cell r="N1" t="str">
            <v>D.C PIPE</v>
          </cell>
          <cell r="P1" t="str">
            <v>계</v>
          </cell>
        </row>
        <row r="2">
          <cell r="E2" t="str">
            <v>Φ900</v>
          </cell>
          <cell r="F2" t="str">
            <v>Φ1200</v>
          </cell>
          <cell r="G2" t="str">
            <v>Φ1500</v>
          </cell>
          <cell r="H2" t="str">
            <v>940x510x410</v>
          </cell>
          <cell r="I2" t="str">
            <v xml:space="preserve"> 홈통받이</v>
          </cell>
          <cell r="J2" t="str">
            <v>D450</v>
          </cell>
          <cell r="K2" t="str">
            <v>D500</v>
          </cell>
          <cell r="L2" t="str">
            <v>D600</v>
          </cell>
          <cell r="M2" t="str">
            <v>D700</v>
          </cell>
          <cell r="N2" t="str">
            <v>Φ150</v>
          </cell>
          <cell r="O2" t="str">
            <v>Φ250</v>
          </cell>
        </row>
        <row r="3">
          <cell r="A3" t="str">
            <v>수     량</v>
          </cell>
          <cell r="E3" t="str">
            <v>8EA</v>
          </cell>
          <cell r="F3" t="str">
            <v>15EA</v>
          </cell>
          <cell r="G3" t="str">
            <v>4EA</v>
          </cell>
          <cell r="H3" t="str">
            <v>74EA</v>
          </cell>
          <cell r="I3" t="str">
            <v>10 EA</v>
          </cell>
          <cell r="J3" t="str">
            <v>405.00 M</v>
          </cell>
          <cell r="K3" t="str">
            <v>117.5M</v>
          </cell>
          <cell r="L3" t="str">
            <v>132.5M</v>
          </cell>
          <cell r="M3" t="str">
            <v>140.00M</v>
          </cell>
          <cell r="N3" t="str">
            <v>106.00M</v>
          </cell>
          <cell r="O3" t="str">
            <v>593.00M</v>
          </cell>
        </row>
        <row r="4">
          <cell r="A4" t="str">
            <v>콘크리트</v>
          </cell>
          <cell r="B4" t="str">
            <v>σck=210㎏/㎠</v>
          </cell>
          <cell r="D4" t="str">
            <v>M3</v>
          </cell>
        </row>
        <row r="5">
          <cell r="B5" t="str">
            <v>σck=180㎏/㎠</v>
          </cell>
          <cell r="D5" t="str">
            <v>M3</v>
          </cell>
        </row>
        <row r="6">
          <cell r="B6" t="str">
            <v>σck=135㎏/㎠</v>
          </cell>
          <cell r="D6" t="str">
            <v>M3</v>
          </cell>
        </row>
        <row r="7">
          <cell r="A7" t="str">
            <v>거푸집</v>
          </cell>
          <cell r="B7" t="str">
            <v>P.E 10 회</v>
          </cell>
          <cell r="D7" t="str">
            <v>M2</v>
          </cell>
        </row>
        <row r="8">
          <cell r="B8" t="str">
            <v>목재 4 회</v>
          </cell>
          <cell r="D8" t="str">
            <v>M2</v>
          </cell>
        </row>
        <row r="9">
          <cell r="B9" t="str">
            <v>합판6회</v>
          </cell>
          <cell r="D9" t="str">
            <v>M2</v>
          </cell>
        </row>
        <row r="10">
          <cell r="A10" t="str">
            <v>흄    관</v>
          </cell>
          <cell r="B10" t="str">
            <v>D 450</v>
          </cell>
          <cell r="D10" t="str">
            <v>M</v>
          </cell>
        </row>
        <row r="11">
          <cell r="B11" t="str">
            <v>D 500</v>
          </cell>
          <cell r="D11" t="str">
            <v>M</v>
          </cell>
        </row>
        <row r="12">
          <cell r="B12" t="str">
            <v>D 600</v>
          </cell>
          <cell r="D12" t="str">
            <v>M</v>
          </cell>
        </row>
        <row r="13">
          <cell r="B13" t="str">
            <v>D 700</v>
          </cell>
          <cell r="D13" t="str">
            <v>M</v>
          </cell>
        </row>
        <row r="14">
          <cell r="A14" t="str">
            <v>토  공</v>
          </cell>
          <cell r="B14" t="str">
            <v>터 파 기</v>
          </cell>
          <cell r="D14" t="str">
            <v>M3</v>
          </cell>
        </row>
        <row r="15">
          <cell r="B15" t="str">
            <v>잔   토</v>
          </cell>
          <cell r="D15" t="str">
            <v>M3</v>
          </cell>
        </row>
        <row r="16">
          <cell r="B16" t="str">
            <v>되메우기</v>
          </cell>
          <cell r="D16" t="str">
            <v>M3</v>
          </cell>
        </row>
        <row r="17">
          <cell r="A17" t="str">
            <v>P.E 빗물받이</v>
          </cell>
          <cell r="B17" t="str">
            <v>940x510x410</v>
          </cell>
          <cell r="D17" t="str">
            <v>EA</v>
          </cell>
        </row>
        <row r="18">
          <cell r="A18" t="str">
            <v>빗물받이뚜껑</v>
          </cell>
          <cell r="B18" t="str">
            <v>495x395x50</v>
          </cell>
          <cell r="D18" t="str">
            <v>EA</v>
          </cell>
        </row>
        <row r="19">
          <cell r="A19" t="str">
            <v>사 다 리</v>
          </cell>
          <cell r="B19" t="str">
            <v>D19</v>
          </cell>
          <cell r="D19" t="str">
            <v>TON</v>
          </cell>
        </row>
        <row r="20">
          <cell r="A20" t="str">
            <v>홈통받이</v>
          </cell>
          <cell r="B20" t="str">
            <v>D 430</v>
          </cell>
          <cell r="D20" t="str">
            <v>EA</v>
          </cell>
        </row>
        <row r="21">
          <cell r="A21" t="str">
            <v>맨홀뚜껑</v>
          </cell>
          <cell r="B21" t="str">
            <v>주철제 Φ648</v>
          </cell>
          <cell r="D21" t="str">
            <v>EA</v>
          </cell>
        </row>
        <row r="22">
          <cell r="A22" t="str">
            <v>이음몰탈</v>
          </cell>
          <cell r="B22" t="str">
            <v>1 : 3</v>
          </cell>
          <cell r="D22" t="str">
            <v>M3</v>
          </cell>
        </row>
        <row r="23">
          <cell r="B23" t="str">
            <v>1 : 2</v>
          </cell>
          <cell r="D23" t="str">
            <v>M3</v>
          </cell>
        </row>
        <row r="24">
          <cell r="A24" t="str">
            <v>D.C PIPE</v>
          </cell>
          <cell r="B24" t="str">
            <v>Φ150M/M</v>
          </cell>
          <cell r="D24" t="str">
            <v>M</v>
          </cell>
        </row>
        <row r="25">
          <cell r="B25" t="str">
            <v>Φ250M/M</v>
          </cell>
          <cell r="D25" t="str">
            <v>M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89.xml><?xml version="1.0" encoding="utf-8"?>
<externalLink xmlns="http://schemas.openxmlformats.org/spreadsheetml/2006/main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우수"/>
      <sheetName val="옹벽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90.xml><?xml version="1.0" encoding="utf-8"?>
<externalLink xmlns="http://schemas.openxmlformats.org/spreadsheetml/2006/main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91.xml><?xml version="1.0" encoding="utf-8"?>
<externalLink xmlns="http://schemas.openxmlformats.org/spreadsheetml/2006/main">
  <externalBook xmlns:r="http://schemas.openxmlformats.org/officeDocument/2006/relationships" r:id="rId1">
    <sheetNames>
      <sheetName val="tggwan(mac)"/>
      <sheetName val="횡배수관토공단위(180)"/>
      <sheetName val="횡배수관토공단위(90)"/>
      <sheetName val="ABUT수량-A1"/>
    </sheetNames>
    <sheetDataSet>
      <sheetData sheetId="0">
        <row r="1">
          <cell r="A1" t="str">
            <v>tggwan</v>
          </cell>
        </row>
        <row r="2">
          <cell r="A2" t="b">
            <v>1</v>
          </cell>
        </row>
        <row r="3">
          <cell r="A3" t="b">
            <v>1</v>
          </cell>
        </row>
        <row r="4">
          <cell r="A4" t="b">
            <v>0</v>
          </cell>
        </row>
        <row r="5">
          <cell r="A5" t="b">
            <v>1</v>
          </cell>
        </row>
        <row r="6">
          <cell r="A6" t="b">
            <v>1</v>
          </cell>
        </row>
        <row r="7">
          <cell r="A7" t="b">
            <v>1</v>
          </cell>
        </row>
        <row r="8">
          <cell r="A8" t="b">
            <v>0</v>
          </cell>
        </row>
        <row r="9">
          <cell r="A9" t="b">
            <v>1</v>
          </cell>
        </row>
        <row r="10">
          <cell r="A10" t="b">
            <v>0</v>
          </cell>
        </row>
        <row r="11">
          <cell r="A11" t="b">
            <v>1</v>
          </cell>
        </row>
        <row r="12">
          <cell r="A12" t="b">
            <v>1</v>
          </cell>
        </row>
        <row r="13">
          <cell r="A13" t="b">
            <v>1</v>
          </cell>
        </row>
        <row r="14">
          <cell r="A14" t="b">
            <v>1</v>
          </cell>
        </row>
        <row r="15">
          <cell r="A15" t="b">
            <v>1</v>
          </cell>
        </row>
        <row r="16">
          <cell r="A16" t="b">
            <v>1</v>
          </cell>
        </row>
        <row r="17">
          <cell r="A17" t="b">
            <v>1</v>
          </cell>
        </row>
        <row r="18">
          <cell r="A18" t="b">
            <v>1</v>
          </cell>
        </row>
        <row r="19">
          <cell r="A19" t="b">
            <v>1</v>
          </cell>
        </row>
        <row r="20">
          <cell r="A20" t="b">
            <v>1</v>
          </cell>
        </row>
        <row r="21">
          <cell r="A21" t="b">
            <v>1</v>
          </cell>
        </row>
        <row r="22">
          <cell r="A22" t="b">
            <v>1</v>
          </cell>
        </row>
        <row r="23">
          <cell r="A23" t="b">
            <v>1</v>
          </cell>
        </row>
        <row r="24">
          <cell r="A24" t="b">
            <v>1</v>
          </cell>
        </row>
        <row r="25">
          <cell r="A25" t="b">
            <v>1</v>
          </cell>
        </row>
        <row r="26">
          <cell r="A26" t="b">
            <v>0</v>
          </cell>
        </row>
        <row r="27">
          <cell r="A27" t="b">
            <v>1</v>
          </cell>
        </row>
        <row r="28">
          <cell r="A28" t="b">
            <v>1</v>
          </cell>
        </row>
        <row r="29">
          <cell r="A29" t="b">
            <v>1</v>
          </cell>
        </row>
        <row r="30">
          <cell r="A30" t="b">
            <v>1</v>
          </cell>
        </row>
        <row r="31">
          <cell r="A31" t="b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92.xml><?xml version="1.0" encoding="utf-8"?>
<externalLink xmlns="http://schemas.openxmlformats.org/spreadsheetml/2006/main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93.xml><?xml version="1.0" encoding="utf-8"?>
<externalLink xmlns="http://schemas.openxmlformats.org/spreadsheetml/2006/main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tggwan(mac)"/>
      <sheetName val="우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94.xml><?xml version="1.0" encoding="utf-8"?>
<externalLink xmlns="http://schemas.openxmlformats.org/spreadsheetml/2006/main">
  <externalBook xmlns:r="http://schemas.openxmlformats.org/officeDocument/2006/relationships" r:id="rId1">
    <sheetNames>
      <sheetName val="대치판정"/>
      <sheetName val="1"/>
      <sheetName val="2"/>
      <sheetName val="성원"/>
      <sheetName val="신성을지"/>
      <sheetName val="심우갑"/>
      <sheetName val="심우을"/>
      <sheetName val="일위대가표"/>
      <sheetName val="단가조사"/>
      <sheetName val="ABUT수량-A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5.xml><?xml version="1.0" encoding="utf-8"?>
<externalLink xmlns="http://schemas.openxmlformats.org/spreadsheetml/2006/main">
  <externalBook xmlns:r="http://schemas.openxmlformats.org/officeDocument/2006/relationships" r:id="rId1">
    <sheetNames>
      <sheetName val="개략"/>
      <sheetName val="이치-각평"/>
      <sheetName val="이치각평내역서"/>
      <sheetName val="적용수량 (3)"/>
      <sheetName val="적용수량 (2)"/>
      <sheetName val="주요1"/>
      <sheetName val="시,모산출"/>
      <sheetName val="주요2"/>
      <sheetName val="이월"/>
      <sheetName val="부대공집계"/>
      <sheetName val="본선도색제거집계 (3)"/>
      <sheetName val="갈매기표지판연장"/>
      <sheetName val="갈매기집계"/>
      <sheetName val="갈매기설치"/>
      <sheetName val="표지판현황"/>
      <sheetName val="데리네이터수량 (4)"/>
      <sheetName val="데리네이터수량 (3)"/>
      <sheetName val="데리네이터수량 (2)"/>
      <sheetName val="데리네이터수량"/>
      <sheetName val="데리네이터현황 (2)"/>
      <sheetName val="데리네이터현황"/>
      <sheetName val="규제봉집계"/>
      <sheetName val="규제봉현황"/>
      <sheetName val="중앙표지병"/>
      <sheetName val="표지병단위 (2)"/>
      <sheetName val="표지병단위"/>
      <sheetName val="표지병집계 (3)"/>
      <sheetName val="표지병집계 (2)"/>
      <sheetName val="표지병집계"/>
      <sheetName val="가드레일설치"/>
      <sheetName val="가드레일설치 (2)"/>
      <sheetName val="가드레일집계 (2)"/>
      <sheetName val="가드레일집계 (3)"/>
      <sheetName val="가드레일집계"/>
      <sheetName val="폐기물"/>
      <sheetName val="과속조서"/>
      <sheetName val="과속단위"/>
      <sheetName val="과속집계"/>
      <sheetName val="과속수량산출"/>
      <sheetName val="간지"/>
      <sheetName val="노면집계"/>
      <sheetName val="표지판수량집계 (3)"/>
      <sheetName val="표지판수량집계 (2)"/>
      <sheetName val="표지판수량집계"/>
      <sheetName val="표지판조서 (2)"/>
      <sheetName val="표지판조서"/>
      <sheetName val="표지판기초 (2)"/>
      <sheetName val="도색수량집계"/>
      <sheetName val="차선도색수량집계"/>
      <sheetName val="차선도색설치조서"/>
      <sheetName val="노면표시수량집계"/>
      <sheetName val="노면표시설치조서"/>
      <sheetName val="안전지대수량집계"/>
      <sheetName val="안전지대설치조서"/>
      <sheetName val="횡단보도수량집계"/>
      <sheetName val="횡단보도설치조서"/>
      <sheetName val="차선도색산출근거"/>
      <sheetName val="간지-1"/>
      <sheetName val="tggwan(mac)"/>
      <sheetName val="ABUT수량-A1"/>
    </sheetNames>
    <sheetDataSet>
      <sheetData sheetId="0">
        <row r="2">
          <cell r="A2" t="str">
            <v>1.토   공</v>
          </cell>
          <cell r="C2" t="str">
            <v>식</v>
          </cell>
        </row>
        <row r="3">
          <cell r="A3" t="str">
            <v>1-1.기존구조물철거</v>
          </cell>
          <cell r="E3">
            <v>0</v>
          </cell>
        </row>
        <row r="4">
          <cell r="A4" t="str">
            <v>a.기존포장철거</v>
          </cell>
          <cell r="E4">
            <v>0</v>
          </cell>
        </row>
        <row r="5">
          <cell r="A5" t="str">
            <v>a-1.아스콘절단</v>
          </cell>
          <cell r="C5" t="str">
            <v>M</v>
          </cell>
          <cell r="D5">
            <v>3760</v>
          </cell>
          <cell r="E5">
            <v>1618</v>
          </cell>
          <cell r="F5">
            <v>6083680</v>
          </cell>
        </row>
        <row r="6">
          <cell r="A6" t="str">
            <v>a-2.아스팔트포장깨기</v>
          </cell>
          <cell r="B6" t="str">
            <v>기계90%+인력10%</v>
          </cell>
          <cell r="C6" t="str">
            <v>M3</v>
          </cell>
          <cell r="D6">
            <v>451</v>
          </cell>
          <cell r="E6">
            <v>19269</v>
          </cell>
          <cell r="F6">
            <v>8690319</v>
          </cell>
        </row>
        <row r="7">
          <cell r="A7" t="str">
            <v>b.기존구조물철거</v>
          </cell>
          <cell r="E7">
            <v>0</v>
          </cell>
          <cell r="F7">
            <v>0</v>
          </cell>
        </row>
        <row r="8">
          <cell r="A8" t="str">
            <v>b-1.콘크리트깨기</v>
          </cell>
          <cell r="B8" t="str">
            <v>무근30CM미만</v>
          </cell>
          <cell r="C8" t="str">
            <v>M3</v>
          </cell>
          <cell r="D8">
            <v>140</v>
          </cell>
          <cell r="E8">
            <v>27062</v>
          </cell>
          <cell r="F8">
            <v>3788680</v>
          </cell>
        </row>
        <row r="9">
          <cell r="A9" t="str">
            <v>b-2.콘크리트깨기</v>
          </cell>
          <cell r="B9" t="str">
            <v>철근30CM미만</v>
          </cell>
          <cell r="C9" t="str">
            <v>M3</v>
          </cell>
          <cell r="E9">
            <v>69440</v>
          </cell>
          <cell r="F9">
            <v>0</v>
          </cell>
        </row>
        <row r="10">
          <cell r="A10" t="str">
            <v>1-2.깍  기</v>
          </cell>
          <cell r="E10">
            <v>0</v>
          </cell>
          <cell r="F10">
            <v>0</v>
          </cell>
        </row>
        <row r="11">
          <cell r="A11" t="str">
            <v>a.흙깎기</v>
          </cell>
          <cell r="B11" t="str">
            <v>토 사</v>
          </cell>
          <cell r="C11" t="str">
            <v>M3</v>
          </cell>
          <cell r="E11">
            <v>812</v>
          </cell>
          <cell r="F11">
            <v>0</v>
          </cell>
        </row>
        <row r="12">
          <cell r="A12" t="str">
            <v>b.깍  기</v>
          </cell>
          <cell r="B12" t="str">
            <v>보조,동방층재</v>
          </cell>
          <cell r="C12" t="str">
            <v>M3</v>
          </cell>
          <cell r="E12">
            <v>1044</v>
          </cell>
          <cell r="F12">
            <v>0</v>
          </cell>
        </row>
        <row r="13">
          <cell r="A13" t="str">
            <v>1-3.노반준비공</v>
          </cell>
          <cell r="B13" t="str">
            <v>절토부</v>
          </cell>
          <cell r="C13" t="str">
            <v>M2</v>
          </cell>
          <cell r="E13">
            <v>197</v>
          </cell>
          <cell r="F13">
            <v>0</v>
          </cell>
        </row>
        <row r="14">
          <cell r="A14" t="str">
            <v>1-4.사토처리</v>
          </cell>
          <cell r="B14" t="str">
            <v>L=10KM</v>
          </cell>
          <cell r="C14" t="str">
            <v>M3</v>
          </cell>
          <cell r="E14">
            <v>5244</v>
          </cell>
          <cell r="F14">
            <v>0</v>
          </cell>
        </row>
        <row r="15">
          <cell r="A15" t="str">
            <v>2.배 수 공</v>
          </cell>
          <cell r="C15" t="str">
            <v>식</v>
          </cell>
          <cell r="F15">
            <v>0</v>
          </cell>
        </row>
        <row r="16">
          <cell r="A16" t="str">
            <v>2-1.구조물터파기</v>
          </cell>
          <cell r="B16" t="str">
            <v>토사,육상 0-6</v>
          </cell>
          <cell r="C16" t="str">
            <v>M3</v>
          </cell>
          <cell r="D16">
            <v>3356</v>
          </cell>
          <cell r="E16">
            <v>4779</v>
          </cell>
          <cell r="F16">
            <v>16038324</v>
          </cell>
        </row>
        <row r="17">
          <cell r="A17" t="str">
            <v>2-2.되메우기</v>
          </cell>
          <cell r="E17">
            <v>0</v>
          </cell>
          <cell r="F17">
            <v>0</v>
          </cell>
        </row>
        <row r="18">
          <cell r="A18" t="str">
            <v>a.되메우기및다짐</v>
          </cell>
          <cell r="B18" t="str">
            <v>인력30,기계70</v>
          </cell>
          <cell r="C18" t="str">
            <v>M3</v>
          </cell>
          <cell r="D18">
            <v>3356</v>
          </cell>
          <cell r="E18">
            <v>4057</v>
          </cell>
          <cell r="F18">
            <v>13615292</v>
          </cell>
        </row>
        <row r="19">
          <cell r="A19" t="str">
            <v>b.되메우기및다짐</v>
          </cell>
          <cell r="B19" t="str">
            <v>인력</v>
          </cell>
          <cell r="C19" t="str">
            <v>M3</v>
          </cell>
          <cell r="E19">
            <v>7215</v>
          </cell>
          <cell r="F19">
            <v>0</v>
          </cell>
        </row>
        <row r="20">
          <cell r="A20" t="str">
            <v>2-3.우수관로공</v>
          </cell>
          <cell r="E20">
            <v>0</v>
          </cell>
          <cell r="F20">
            <v>0</v>
          </cell>
        </row>
        <row r="21">
          <cell r="A21" t="str">
            <v>a.우수관로</v>
          </cell>
          <cell r="B21" t="str">
            <v>Φ1000MM-1련</v>
          </cell>
          <cell r="C21" t="str">
            <v>M</v>
          </cell>
          <cell r="E21">
            <v>40924</v>
          </cell>
          <cell r="F21">
            <v>0</v>
          </cell>
        </row>
        <row r="22">
          <cell r="A22" t="str">
            <v>b.우수관로</v>
          </cell>
          <cell r="B22" t="str">
            <v>Φ800MM-1련</v>
          </cell>
          <cell r="C22" t="str">
            <v>M</v>
          </cell>
          <cell r="D22">
            <v>940</v>
          </cell>
          <cell r="E22">
            <v>29376</v>
          </cell>
          <cell r="F22">
            <v>27613440</v>
          </cell>
        </row>
        <row r="23">
          <cell r="A23" t="str">
            <v>c.우수관로</v>
          </cell>
          <cell r="B23" t="str">
            <v>Φ300MM-1련</v>
          </cell>
          <cell r="C23" t="str">
            <v>M</v>
          </cell>
          <cell r="E23">
            <v>16871</v>
          </cell>
          <cell r="F23">
            <v>0</v>
          </cell>
        </row>
        <row r="24">
          <cell r="A24" t="str">
            <v>2-4.맨 홀 공</v>
          </cell>
          <cell r="D24" t="str">
            <v>16ea</v>
          </cell>
          <cell r="E24">
            <v>0</v>
          </cell>
          <cell r="F24">
            <v>16000000</v>
          </cell>
        </row>
        <row r="25">
          <cell r="A25" t="str">
            <v>a.콘크리트타설(무근)</v>
          </cell>
          <cell r="B25" t="str">
            <v>40-160-8</v>
          </cell>
          <cell r="C25" t="str">
            <v>M3</v>
          </cell>
          <cell r="E25">
            <v>18619</v>
          </cell>
          <cell r="F25">
            <v>0</v>
          </cell>
        </row>
        <row r="26">
          <cell r="A26" t="str">
            <v>b.콘크리트타설(철근)</v>
          </cell>
          <cell r="B26" t="str">
            <v>40-180-8</v>
          </cell>
          <cell r="C26" t="str">
            <v>M3</v>
          </cell>
          <cell r="E26">
            <v>20774</v>
          </cell>
          <cell r="F26">
            <v>0</v>
          </cell>
        </row>
        <row r="27">
          <cell r="A27" t="str">
            <v>c.콘크리트타설(철근)</v>
          </cell>
          <cell r="B27" t="str">
            <v>40-210-8</v>
          </cell>
          <cell r="C27" t="str">
            <v>M3</v>
          </cell>
          <cell r="E27">
            <v>20774</v>
          </cell>
          <cell r="F27">
            <v>0</v>
          </cell>
        </row>
        <row r="28">
          <cell r="A28" t="str">
            <v>d.원형거푸집 3회</v>
          </cell>
          <cell r="B28" t="str">
            <v>(0-7M)</v>
          </cell>
          <cell r="C28" t="str">
            <v>M2</v>
          </cell>
          <cell r="E28">
            <v>36739</v>
          </cell>
          <cell r="F28">
            <v>0</v>
          </cell>
        </row>
        <row r="29">
          <cell r="A29" t="str">
            <v>e.철근가공및조립</v>
          </cell>
          <cell r="B29" t="str">
            <v>보통</v>
          </cell>
          <cell r="C29" t="str">
            <v>TON</v>
          </cell>
          <cell r="E29">
            <v>320873</v>
          </cell>
          <cell r="F29">
            <v>0</v>
          </cell>
        </row>
        <row r="30">
          <cell r="A30" t="str">
            <v>f.사다리설치</v>
          </cell>
          <cell r="B30" t="str">
            <v>STS Φ22mm</v>
          </cell>
          <cell r="C30" t="str">
            <v>EA</v>
          </cell>
          <cell r="E30">
            <v>10938</v>
          </cell>
          <cell r="F30">
            <v>0</v>
          </cell>
        </row>
        <row r="31">
          <cell r="A31" t="str">
            <v>g.원형맨홀(주철제)</v>
          </cell>
          <cell r="B31" t="str">
            <v>ψ648㎜</v>
          </cell>
          <cell r="C31" t="str">
            <v>SET</v>
          </cell>
          <cell r="E31">
            <v>120000</v>
          </cell>
          <cell r="F31">
            <v>0</v>
          </cell>
        </row>
        <row r="32">
          <cell r="A32" t="str">
            <v>2-5.우수받이공</v>
          </cell>
          <cell r="E32">
            <v>0</v>
          </cell>
          <cell r="F32">
            <v>0</v>
          </cell>
        </row>
        <row r="33">
          <cell r="A33" t="str">
            <v>a.콘크리트타설(철근)</v>
          </cell>
          <cell r="B33" t="str">
            <v>40-210-8</v>
          </cell>
          <cell r="C33" t="str">
            <v>M3</v>
          </cell>
          <cell r="E33">
            <v>20774</v>
          </cell>
          <cell r="F33">
            <v>0</v>
          </cell>
        </row>
        <row r="34">
          <cell r="A34" t="str">
            <v>b.합판 거푸집</v>
          </cell>
          <cell r="B34" t="str">
            <v>4회사용</v>
          </cell>
          <cell r="C34" t="str">
            <v>M2</v>
          </cell>
          <cell r="E34">
            <v>13664</v>
          </cell>
          <cell r="F34">
            <v>0</v>
          </cell>
        </row>
        <row r="35">
          <cell r="A35" t="str">
            <v>c.철근가공및조립</v>
          </cell>
          <cell r="B35" t="str">
            <v>간단</v>
          </cell>
          <cell r="C35" t="str">
            <v>TON</v>
          </cell>
          <cell r="E35">
            <v>284297</v>
          </cell>
          <cell r="F35">
            <v>0</v>
          </cell>
        </row>
        <row r="36">
          <cell r="A36" t="str">
            <v>d.스틸그레이팅설치</v>
          </cell>
          <cell r="B36" t="str">
            <v>495*395*50</v>
          </cell>
          <cell r="C36" t="str">
            <v>개소</v>
          </cell>
          <cell r="E36">
            <v>34020</v>
          </cell>
          <cell r="F36">
            <v>0</v>
          </cell>
        </row>
        <row r="37">
          <cell r="A37" t="str">
            <v>3.포 장 공</v>
          </cell>
          <cell r="F37">
            <v>0</v>
          </cell>
        </row>
        <row r="38">
          <cell r="A38" t="str">
            <v>3-1.보조기층 포설및 다짐</v>
          </cell>
          <cell r="B38" t="str">
            <v>T=50CM</v>
          </cell>
          <cell r="C38" t="str">
            <v>M3</v>
          </cell>
          <cell r="D38">
            <v>1504</v>
          </cell>
          <cell r="E38">
            <v>8291</v>
          </cell>
          <cell r="F38">
            <v>12469664</v>
          </cell>
        </row>
        <row r="39">
          <cell r="A39" t="str">
            <v>3-2.프라임코팅</v>
          </cell>
          <cell r="B39" t="str">
            <v>MC-1,75 L/A</v>
          </cell>
          <cell r="C39" t="str">
            <v>a</v>
          </cell>
          <cell r="D39">
            <v>30.7</v>
          </cell>
          <cell r="E39">
            <v>31482</v>
          </cell>
          <cell r="F39">
            <v>966497.4</v>
          </cell>
        </row>
        <row r="40">
          <cell r="A40" t="str">
            <v>3-3.기층아스콘포설및다짐</v>
          </cell>
          <cell r="B40" t="str">
            <v>T=10CM,#467</v>
          </cell>
          <cell r="C40" t="str">
            <v>a</v>
          </cell>
          <cell r="D40">
            <v>31</v>
          </cell>
          <cell r="E40">
            <v>52589</v>
          </cell>
          <cell r="F40">
            <v>1630259</v>
          </cell>
        </row>
        <row r="41">
          <cell r="A41" t="str">
            <v>3-4.택코팅</v>
          </cell>
          <cell r="B41" t="str">
            <v>RSC-4,30L/A</v>
          </cell>
          <cell r="C41" t="str">
            <v>a</v>
          </cell>
          <cell r="D41">
            <v>31</v>
          </cell>
          <cell r="E41">
            <v>8753</v>
          </cell>
          <cell r="F41">
            <v>271343</v>
          </cell>
        </row>
        <row r="42">
          <cell r="A42" t="str">
            <v>3-5.표층아스콘포설및다짐</v>
          </cell>
          <cell r="B42" t="str">
            <v>T=5CM,#78</v>
          </cell>
          <cell r="C42" t="str">
            <v>a</v>
          </cell>
          <cell r="D42">
            <v>31</v>
          </cell>
          <cell r="E42">
            <v>49481</v>
          </cell>
          <cell r="F42">
            <v>1533911</v>
          </cell>
        </row>
        <row r="43">
          <cell r="A43" t="str">
            <v>4.부 대 공</v>
          </cell>
          <cell r="C43" t="str">
            <v>식</v>
          </cell>
          <cell r="F43">
            <v>0</v>
          </cell>
        </row>
        <row r="44">
          <cell r="A44" t="str">
            <v>4-1.교통표지판</v>
          </cell>
          <cell r="E44">
            <v>0</v>
          </cell>
          <cell r="F44">
            <v>0</v>
          </cell>
        </row>
        <row r="45">
          <cell r="A45" t="str">
            <v>a.삼각표지판</v>
          </cell>
          <cell r="B45" t="str">
            <v>1변 900</v>
          </cell>
          <cell r="C45" t="str">
            <v>EA</v>
          </cell>
          <cell r="E45">
            <v>116967</v>
          </cell>
          <cell r="F45">
            <v>0</v>
          </cell>
        </row>
        <row r="46">
          <cell r="A46" t="str">
            <v>b.이중삼각표지판</v>
          </cell>
          <cell r="B46" t="str">
            <v>1변 900</v>
          </cell>
          <cell r="C46" t="str">
            <v>EA</v>
          </cell>
          <cell r="E46">
            <v>159967</v>
          </cell>
          <cell r="F46">
            <v>0</v>
          </cell>
        </row>
        <row r="47">
          <cell r="A47" t="str">
            <v>c.오각표지판</v>
          </cell>
          <cell r="B47" t="str">
            <v>60*20*72</v>
          </cell>
          <cell r="C47" t="str">
            <v>EA</v>
          </cell>
          <cell r="E47">
            <v>94967</v>
          </cell>
          <cell r="F47">
            <v>0</v>
          </cell>
        </row>
        <row r="48">
          <cell r="A48" t="str">
            <v>4-2.차선도색</v>
          </cell>
          <cell r="E48">
            <v>0</v>
          </cell>
          <cell r="F48">
            <v>0</v>
          </cell>
        </row>
        <row r="49">
          <cell r="A49" t="str">
            <v>a.차선도색 (가열형)</v>
          </cell>
          <cell r="B49" t="str">
            <v>(백색/실선)</v>
          </cell>
          <cell r="C49" t="str">
            <v>M2</v>
          </cell>
          <cell r="D49">
            <v>423</v>
          </cell>
          <cell r="E49">
            <v>2374</v>
          </cell>
          <cell r="F49">
            <v>1004202</v>
          </cell>
        </row>
        <row r="50">
          <cell r="A50" t="str">
            <v>c.차선도색 (가열형)</v>
          </cell>
          <cell r="B50" t="str">
            <v>황색/실선</v>
          </cell>
          <cell r="C50" t="str">
            <v>M2</v>
          </cell>
          <cell r="E50">
            <v>2442</v>
          </cell>
          <cell r="F50">
            <v>0</v>
          </cell>
        </row>
        <row r="51">
          <cell r="A51" t="str">
            <v>4-3.차선규제봉(원상복귀형)SHR-847B</v>
          </cell>
          <cell r="B51" t="str">
            <v>D80x745x200mm</v>
          </cell>
          <cell r="C51" t="str">
            <v>개소</v>
          </cell>
          <cell r="E51">
            <v>110472</v>
          </cell>
          <cell r="F51">
            <v>0</v>
          </cell>
        </row>
        <row r="52">
          <cell r="A52" t="str">
            <v>4-4.도로표지병(양면)</v>
          </cell>
          <cell r="C52" t="str">
            <v>EA</v>
          </cell>
          <cell r="E52">
            <v>16319</v>
          </cell>
          <cell r="F52">
            <v>0</v>
          </cell>
        </row>
        <row r="53">
          <cell r="A53" t="str">
            <v>4-5.보차도경계석설치</v>
          </cell>
          <cell r="C53" t="str">
            <v>M</v>
          </cell>
          <cell r="E53">
            <v>21073</v>
          </cell>
          <cell r="F53">
            <v>0</v>
          </cell>
        </row>
        <row r="54">
          <cell r="A54" t="str">
            <v>4-6.도로경계석설치</v>
          </cell>
          <cell r="C54" t="str">
            <v>M</v>
          </cell>
          <cell r="E54">
            <v>8424</v>
          </cell>
          <cell r="F54">
            <v>0</v>
          </cell>
        </row>
        <row r="55">
          <cell r="A55" t="str">
            <v>4-7.보도 포장</v>
          </cell>
          <cell r="E55">
            <v>0</v>
          </cell>
          <cell r="F55">
            <v>0</v>
          </cell>
        </row>
        <row r="56">
          <cell r="A56" t="str">
            <v>a.소형 고압블럭포장</v>
          </cell>
          <cell r="C56" t="str">
            <v>M2</v>
          </cell>
          <cell r="E56">
            <v>8730</v>
          </cell>
          <cell r="F56">
            <v>0</v>
          </cell>
        </row>
        <row r="57">
          <cell r="A57" t="str">
            <v>b.고압점자블럭포설</v>
          </cell>
          <cell r="B57" t="str">
            <v>황색</v>
          </cell>
          <cell r="C57" t="str">
            <v>M2</v>
          </cell>
          <cell r="E57">
            <v>14779</v>
          </cell>
          <cell r="F57">
            <v>0</v>
          </cell>
        </row>
        <row r="58">
          <cell r="A58" t="str">
            <v>c.유도블럭포설</v>
          </cell>
          <cell r="B58" t="str">
            <v>황색</v>
          </cell>
          <cell r="C58" t="str">
            <v>M2</v>
          </cell>
          <cell r="E58">
            <v>14779</v>
          </cell>
          <cell r="F58">
            <v>0</v>
          </cell>
        </row>
        <row r="59">
          <cell r="A59" t="str">
            <v>4-8.교통안전시설</v>
          </cell>
          <cell r="E59">
            <v>0</v>
          </cell>
          <cell r="F59">
            <v>0</v>
          </cell>
        </row>
        <row r="60">
          <cell r="A60" t="str">
            <v>a.공사안내표지판</v>
          </cell>
          <cell r="B60" t="str">
            <v>1200x1700</v>
          </cell>
          <cell r="C60" t="str">
            <v>조</v>
          </cell>
          <cell r="E60">
            <v>217591</v>
          </cell>
          <cell r="F60">
            <v>0</v>
          </cell>
        </row>
        <row r="61">
          <cell r="A61" t="str">
            <v>b.도로용휀스</v>
          </cell>
          <cell r="B61" t="str">
            <v>2종 2200x2000x5" (용융도금)</v>
          </cell>
          <cell r="C61" t="str">
            <v>경간</v>
          </cell>
          <cell r="E61">
            <v>31100</v>
          </cell>
          <cell r="F61">
            <v>0</v>
          </cell>
        </row>
        <row r="62">
          <cell r="A62" t="str">
            <v>c.공사안전점멸등</v>
          </cell>
          <cell r="B62" t="str">
            <v>10m  220V</v>
          </cell>
          <cell r="C62" t="str">
            <v>조</v>
          </cell>
          <cell r="E62">
            <v>25000</v>
          </cell>
          <cell r="F62">
            <v>0</v>
          </cell>
        </row>
        <row r="63">
          <cell r="A63" t="str">
            <v>4-9.과속 방지턱</v>
          </cell>
          <cell r="B63" t="str">
            <v>L=3.6M</v>
          </cell>
          <cell r="C63" t="str">
            <v>조</v>
          </cell>
          <cell r="E63">
            <v>2250</v>
          </cell>
          <cell r="F63">
            <v>0</v>
          </cell>
        </row>
        <row r="64">
          <cell r="A64" t="str">
            <v>4-10.식 재 공</v>
          </cell>
          <cell r="E64">
            <v>0</v>
          </cell>
          <cell r="F64">
            <v>0</v>
          </cell>
        </row>
        <row r="65">
          <cell r="A65" t="str">
            <v>a.왕벗나무</v>
          </cell>
          <cell r="B65" t="str">
            <v>수고=4.0  흉고  =10</v>
          </cell>
          <cell r="C65" t="str">
            <v>주</v>
          </cell>
          <cell r="E65">
            <v>225500</v>
          </cell>
          <cell r="F65">
            <v>0</v>
          </cell>
        </row>
        <row r="66">
          <cell r="A66" t="str">
            <v>b.수목할증</v>
          </cell>
          <cell r="B66" t="str">
            <v>10%</v>
          </cell>
          <cell r="E66">
            <v>0</v>
          </cell>
          <cell r="F66">
            <v>0</v>
          </cell>
        </row>
        <row r="67">
          <cell r="A67" t="str">
            <v>c.토양개량재(부엽토)</v>
          </cell>
          <cell r="B67" t="str">
            <v>낙엽,토탄,계분,톱밥,왕사</v>
          </cell>
          <cell r="C67" t="str">
            <v>KG</v>
          </cell>
          <cell r="E67">
            <v>300</v>
          </cell>
          <cell r="F67">
            <v>0</v>
          </cell>
        </row>
        <row r="68">
          <cell r="A68" t="str">
            <v>d.왕벗나무식재</v>
          </cell>
          <cell r="C68" t="str">
            <v>주</v>
          </cell>
          <cell r="E68">
            <v>63994</v>
          </cell>
          <cell r="F68">
            <v>0</v>
          </cell>
        </row>
        <row r="69">
          <cell r="A69" t="str">
            <v>e.수목보호덮개설치</v>
          </cell>
          <cell r="C69" t="str">
            <v>개소</v>
          </cell>
          <cell r="E69">
            <v>85113</v>
          </cell>
          <cell r="F69">
            <v>0</v>
          </cell>
        </row>
        <row r="70">
          <cell r="A70" t="str">
            <v>f.수관 보호</v>
          </cell>
          <cell r="C70" t="str">
            <v>주</v>
          </cell>
          <cell r="E70">
            <v>18711</v>
          </cell>
          <cell r="F70">
            <v>0</v>
          </cell>
        </row>
        <row r="71">
          <cell r="A71" t="str">
            <v>4-11.가설사무실</v>
          </cell>
          <cell r="C71" t="str">
            <v>동</v>
          </cell>
          <cell r="E71">
            <v>4893623</v>
          </cell>
          <cell r="F71">
            <v>0</v>
          </cell>
        </row>
        <row r="72">
          <cell r="A72" t="str">
            <v>4-12.자재 운반</v>
          </cell>
          <cell r="E72">
            <v>0</v>
          </cell>
          <cell r="F72">
            <v>0</v>
          </cell>
        </row>
        <row r="73">
          <cell r="A73" t="str">
            <v>a.철근운반비</v>
          </cell>
          <cell r="C73" t="str">
            <v>TON</v>
          </cell>
          <cell r="E73">
            <v>8949</v>
          </cell>
          <cell r="F73">
            <v>0</v>
          </cell>
        </row>
        <row r="74">
          <cell r="A74" t="str">
            <v>b.시멘트운반비</v>
          </cell>
          <cell r="B74" t="str">
            <v>40KG/대</v>
          </cell>
          <cell r="C74" t="str">
            <v>대</v>
          </cell>
          <cell r="E74">
            <v>357</v>
          </cell>
          <cell r="F74">
            <v>0</v>
          </cell>
        </row>
        <row r="75">
          <cell r="A75" t="str">
            <v>c.보조기층운반</v>
          </cell>
          <cell r="B75" t="str">
            <v>L=18.5KM</v>
          </cell>
          <cell r="C75" t="str">
            <v>M3</v>
          </cell>
          <cell r="D75">
            <v>1564</v>
          </cell>
          <cell r="E75">
            <v>9893</v>
          </cell>
          <cell r="F75">
            <v>15472652</v>
          </cell>
        </row>
        <row r="76">
          <cell r="A76" t="str">
            <v>d.아스팔트운반</v>
          </cell>
          <cell r="B76" t="str">
            <v>L=10KM</v>
          </cell>
          <cell r="C76" t="str">
            <v>D</v>
          </cell>
          <cell r="D76">
            <v>18</v>
          </cell>
          <cell r="E76">
            <v>1789</v>
          </cell>
          <cell r="F76">
            <v>32202</v>
          </cell>
        </row>
        <row r="77">
          <cell r="A77" t="str">
            <v>e.모래운반</v>
          </cell>
          <cell r="B77" t="str">
            <v>L=18.5Km</v>
          </cell>
          <cell r="C77" t="str">
            <v>M3</v>
          </cell>
          <cell r="E77">
            <v>13012</v>
          </cell>
          <cell r="F77">
            <v>0</v>
          </cell>
        </row>
        <row r="78">
          <cell r="A78" t="str">
            <v>f.흄관운반비</v>
          </cell>
          <cell r="B78" t="str">
            <v>Φ300MM</v>
          </cell>
          <cell r="C78" t="str">
            <v>본</v>
          </cell>
          <cell r="E78">
            <v>1879</v>
          </cell>
          <cell r="F78">
            <v>0</v>
          </cell>
        </row>
        <row r="79">
          <cell r="A79" t="str">
            <v>g.흄관운반비</v>
          </cell>
          <cell r="B79" t="str">
            <v>Φ800MM</v>
          </cell>
          <cell r="C79" t="str">
            <v>본</v>
          </cell>
          <cell r="D79">
            <v>451</v>
          </cell>
          <cell r="E79">
            <v>10882</v>
          </cell>
          <cell r="F79">
            <v>4907782</v>
          </cell>
        </row>
        <row r="80">
          <cell r="A80" t="str">
            <v>h.흄관운반비</v>
          </cell>
          <cell r="B80" t="str">
            <v>Φ1000MM</v>
          </cell>
          <cell r="C80" t="str">
            <v>본</v>
          </cell>
          <cell r="E80">
            <v>17423</v>
          </cell>
          <cell r="F80">
            <v>0</v>
          </cell>
        </row>
        <row r="81">
          <cell r="A81" t="str">
            <v>4-13.중기운반비</v>
          </cell>
          <cell r="C81" t="str">
            <v>식</v>
          </cell>
          <cell r="E81">
            <v>864104</v>
          </cell>
          <cell r="F81">
            <v>0</v>
          </cell>
        </row>
        <row r="82">
          <cell r="A82" t="str">
            <v>4-14.PVC하수관연결</v>
          </cell>
          <cell r="B82" t="str">
            <v>ф100MM</v>
          </cell>
          <cell r="C82" t="str">
            <v>M</v>
          </cell>
          <cell r="E82">
            <v>2598</v>
          </cell>
          <cell r="F82">
            <v>0</v>
          </cell>
        </row>
        <row r="83">
          <cell r="A83" t="str">
            <v>4-15.상수도이설</v>
          </cell>
          <cell r="E83">
            <v>0</v>
          </cell>
          <cell r="F83">
            <v>0</v>
          </cell>
        </row>
        <row r="84">
          <cell r="A84" t="str">
            <v>a.K.P메카니칼조인트관부설및접합</v>
          </cell>
          <cell r="B84" t="str">
            <v>ф150MM</v>
          </cell>
          <cell r="C84" t="str">
            <v>M</v>
          </cell>
          <cell r="E84">
            <v>27764</v>
          </cell>
          <cell r="F84">
            <v>0</v>
          </cell>
        </row>
        <row r="85">
          <cell r="A85" t="str">
            <v>b.스테인레스강관접합및부설</v>
          </cell>
          <cell r="B85" t="str">
            <v>ф50MM</v>
          </cell>
          <cell r="C85" t="str">
            <v>M</v>
          </cell>
          <cell r="E85">
            <v>50268</v>
          </cell>
          <cell r="F85">
            <v>0</v>
          </cell>
        </row>
        <row r="86">
          <cell r="A86" t="str">
            <v>5.사급자재</v>
          </cell>
          <cell r="C86" t="str">
            <v>식</v>
          </cell>
          <cell r="F86">
            <v>0</v>
          </cell>
        </row>
        <row r="87">
          <cell r="A87" t="str">
            <v>5-1.레미콘</v>
          </cell>
          <cell r="E87">
            <v>0</v>
          </cell>
          <cell r="F87">
            <v>0</v>
          </cell>
        </row>
        <row r="88">
          <cell r="A88" t="str">
            <v>a.레미콘</v>
          </cell>
          <cell r="B88" t="str">
            <v>#57  25x210x12</v>
          </cell>
          <cell r="C88" t="str">
            <v>M3</v>
          </cell>
          <cell r="D88">
            <v>6</v>
          </cell>
          <cell r="E88">
            <v>40809.1</v>
          </cell>
          <cell r="F88">
            <v>244854.59999999998</v>
          </cell>
        </row>
        <row r="89">
          <cell r="A89" t="str">
            <v>b.레미콘</v>
          </cell>
          <cell r="B89" t="str">
            <v>#467 40x210x8</v>
          </cell>
          <cell r="C89" t="str">
            <v>M3</v>
          </cell>
          <cell r="D89">
            <v>38</v>
          </cell>
          <cell r="E89">
            <v>43330</v>
          </cell>
          <cell r="F89">
            <v>1646540</v>
          </cell>
        </row>
        <row r="90">
          <cell r="A90" t="str">
            <v>c.레미콘</v>
          </cell>
          <cell r="B90" t="str">
            <v>#467 40x180x8</v>
          </cell>
          <cell r="C90" t="str">
            <v>M3</v>
          </cell>
          <cell r="D90">
            <v>5</v>
          </cell>
          <cell r="E90">
            <v>39960</v>
          </cell>
          <cell r="F90">
            <v>199800</v>
          </cell>
        </row>
        <row r="91">
          <cell r="A91" t="str">
            <v>d.레미콘</v>
          </cell>
          <cell r="B91" t="str">
            <v>#467 40x160x8</v>
          </cell>
          <cell r="C91" t="str">
            <v>M3</v>
          </cell>
          <cell r="E91">
            <v>38510</v>
          </cell>
          <cell r="F91">
            <v>0</v>
          </cell>
        </row>
        <row r="92">
          <cell r="A92" t="str">
            <v>5-2.철  근</v>
          </cell>
          <cell r="E92">
            <v>0</v>
          </cell>
          <cell r="F92">
            <v>0</v>
          </cell>
        </row>
        <row r="93">
          <cell r="A93" t="str">
            <v>a.이형철근</v>
          </cell>
          <cell r="B93" t="str">
            <v>D19M/M,SD30A,30B</v>
          </cell>
          <cell r="C93" t="str">
            <v>TON</v>
          </cell>
          <cell r="E93">
            <v>239153</v>
          </cell>
          <cell r="F93">
            <v>0</v>
          </cell>
        </row>
        <row r="94">
          <cell r="A94" t="str">
            <v>b.이형철근</v>
          </cell>
          <cell r="B94" t="str">
            <v>D16M/M,SD30A,30B</v>
          </cell>
          <cell r="C94" t="str">
            <v>TON</v>
          </cell>
          <cell r="D94">
            <v>1</v>
          </cell>
          <cell r="E94">
            <v>239153</v>
          </cell>
          <cell r="F94">
            <v>239153</v>
          </cell>
        </row>
        <row r="95">
          <cell r="A95" t="str">
            <v>c.이형철근</v>
          </cell>
          <cell r="B95" t="str">
            <v>D13M/M,SD30A,30B</v>
          </cell>
          <cell r="C95" t="str">
            <v>TON</v>
          </cell>
          <cell r="E95">
            <v>243725</v>
          </cell>
          <cell r="F95">
            <v>0</v>
          </cell>
        </row>
        <row r="96">
          <cell r="A96" t="str">
            <v>5-3.아스팔트</v>
          </cell>
          <cell r="E96">
            <v>0</v>
          </cell>
          <cell r="F96">
            <v>0</v>
          </cell>
        </row>
        <row r="97">
          <cell r="A97" t="str">
            <v>a.아스팔트</v>
          </cell>
          <cell r="B97" t="str">
            <v>MC-1</v>
          </cell>
          <cell r="C97" t="str">
            <v>D/M</v>
          </cell>
          <cell r="D97">
            <v>13</v>
          </cell>
          <cell r="E97">
            <v>58000</v>
          </cell>
          <cell r="F97">
            <v>754000</v>
          </cell>
        </row>
        <row r="98">
          <cell r="A98" t="str">
            <v>b.아스팔트</v>
          </cell>
          <cell r="B98" t="str">
            <v>RS(C)-4</v>
          </cell>
          <cell r="C98" t="str">
            <v>D/M</v>
          </cell>
          <cell r="D98">
            <v>5</v>
          </cell>
          <cell r="E98">
            <v>52000</v>
          </cell>
          <cell r="F98">
            <v>260000</v>
          </cell>
        </row>
        <row r="99">
          <cell r="A99" t="str">
            <v>5-4.보조기층재</v>
          </cell>
          <cell r="C99" t="str">
            <v>M3</v>
          </cell>
          <cell r="D99">
            <v>1564</v>
          </cell>
          <cell r="E99">
            <v>8000</v>
          </cell>
          <cell r="F99">
            <v>12512000</v>
          </cell>
        </row>
        <row r="100">
          <cell r="A100" t="str">
            <v>5-5.모래</v>
          </cell>
          <cell r="C100" t="str">
            <v>M3</v>
          </cell>
          <cell r="E100">
            <v>7000</v>
          </cell>
          <cell r="F100">
            <v>0</v>
          </cell>
        </row>
        <row r="101">
          <cell r="A101" t="str">
            <v>5-6.보통시멘트</v>
          </cell>
          <cell r="B101" t="str">
            <v>40kg/대 (포장품)</v>
          </cell>
          <cell r="C101" t="str">
            <v>포대</v>
          </cell>
          <cell r="D101">
            <v>10</v>
          </cell>
          <cell r="E101">
            <v>2282</v>
          </cell>
          <cell r="F101">
            <v>22820</v>
          </cell>
        </row>
        <row r="102">
          <cell r="A102" t="str">
            <v>6. 건설폐기물처리수수료</v>
          </cell>
          <cell r="C102" t="str">
            <v>식</v>
          </cell>
          <cell r="F102">
            <v>0</v>
          </cell>
        </row>
        <row r="103">
          <cell r="A103" t="str">
            <v>폐기물처리비</v>
          </cell>
          <cell r="B103" t="str">
            <v>L=30KM</v>
          </cell>
          <cell r="C103" t="str">
            <v>M3</v>
          </cell>
          <cell r="D103">
            <v>591</v>
          </cell>
          <cell r="E103">
            <v>33876</v>
          </cell>
          <cell r="F103">
            <v>20020716</v>
          </cell>
        </row>
        <row r="104">
          <cell r="A104" t="str">
            <v>8. 관 급 자 재</v>
          </cell>
          <cell r="C104" t="str">
            <v>식</v>
          </cell>
          <cell r="F104">
            <v>0</v>
          </cell>
        </row>
        <row r="105">
          <cell r="A105" t="str">
            <v>7-1.아 스 콘</v>
          </cell>
          <cell r="E105">
            <v>0</v>
          </cell>
          <cell r="F105">
            <v>0</v>
          </cell>
        </row>
        <row r="106">
          <cell r="A106" t="str">
            <v>a.아스팔트콘크리트(아스콘)</v>
          </cell>
          <cell r="B106" t="str">
            <v>#78  표층용</v>
          </cell>
          <cell r="C106" t="str">
            <v>TON</v>
          </cell>
          <cell r="D106">
            <v>366</v>
          </cell>
          <cell r="E106">
            <v>31090</v>
          </cell>
          <cell r="F106">
            <v>11378940</v>
          </cell>
        </row>
        <row r="107">
          <cell r="A107" t="str">
            <v>b.아스팔트콘크리트(안정처리제)</v>
          </cell>
          <cell r="B107" t="str">
            <v>#467 기층용</v>
          </cell>
          <cell r="C107" t="str">
            <v>TON</v>
          </cell>
          <cell r="D107">
            <v>363</v>
          </cell>
          <cell r="E107">
            <v>28220</v>
          </cell>
          <cell r="F107">
            <v>10243860</v>
          </cell>
        </row>
        <row r="108">
          <cell r="A108" t="str">
            <v>조달 수수료</v>
          </cell>
          <cell r="B108" t="str">
            <v>0.8%</v>
          </cell>
          <cell r="E108">
            <v>0</v>
          </cell>
          <cell r="F108">
            <v>0</v>
          </cell>
        </row>
        <row r="109">
          <cell r="A109" t="str">
            <v>7-2.흄    관</v>
          </cell>
          <cell r="E109">
            <v>0</v>
          </cell>
          <cell r="F109">
            <v>0</v>
          </cell>
        </row>
        <row r="110">
          <cell r="A110" t="str">
            <v>a.원심력철근콘크리트관(보통2종)</v>
          </cell>
          <cell r="B110" t="str">
            <v>1000㎜</v>
          </cell>
          <cell r="C110" t="str">
            <v>M</v>
          </cell>
          <cell r="E110">
            <v>63256</v>
          </cell>
          <cell r="F110">
            <v>0</v>
          </cell>
        </row>
        <row r="111">
          <cell r="A111" t="str">
            <v>b.원심력철근콘크리트관(보통2종)</v>
          </cell>
          <cell r="B111" t="str">
            <v>800㎜</v>
          </cell>
          <cell r="C111" t="str">
            <v>M</v>
          </cell>
          <cell r="D111">
            <v>1128</v>
          </cell>
          <cell r="E111">
            <v>41608</v>
          </cell>
          <cell r="F111">
            <v>46933824</v>
          </cell>
        </row>
        <row r="112">
          <cell r="A112" t="str">
            <v>c.원심력철근콘크리트관(보통2종)</v>
          </cell>
          <cell r="B112" t="str">
            <v>300㎜</v>
          </cell>
          <cell r="C112" t="str">
            <v>M</v>
          </cell>
          <cell r="E112">
            <v>11832</v>
          </cell>
          <cell r="F112">
            <v>0</v>
          </cell>
        </row>
        <row r="113">
          <cell r="A113" t="str">
            <v>조달 수수료</v>
          </cell>
          <cell r="B113" t="str">
            <v>1%</v>
          </cell>
          <cell r="E113">
            <v>0</v>
          </cell>
          <cell r="F113">
            <v>0</v>
          </cell>
        </row>
        <row r="114">
          <cell r="A114" t="str">
            <v>7-3.경 계 석</v>
          </cell>
          <cell r="E114">
            <v>0</v>
          </cell>
          <cell r="F114">
            <v>0</v>
          </cell>
        </row>
        <row r="115">
          <cell r="A115" t="str">
            <v>a.보차도경계석(화강석)</v>
          </cell>
          <cell r="B115" t="str">
            <v>200x250x1000㎜ (직선)</v>
          </cell>
          <cell r="C115" t="str">
            <v>EA</v>
          </cell>
          <cell r="E115">
            <v>24980</v>
          </cell>
          <cell r="F115">
            <v>0</v>
          </cell>
        </row>
        <row r="116">
          <cell r="A116" t="str">
            <v>b.보차도경계석(화강석)</v>
          </cell>
          <cell r="B116" t="str">
            <v>200x250x1000㎜ (곡선)</v>
          </cell>
          <cell r="C116" t="str">
            <v>EA</v>
          </cell>
          <cell r="E116">
            <v>40500</v>
          </cell>
          <cell r="F116">
            <v>0</v>
          </cell>
        </row>
        <row r="117">
          <cell r="A117" t="str">
            <v>e.도로경계석(화강석)</v>
          </cell>
          <cell r="B117" t="str">
            <v>120x150x1000㎜</v>
          </cell>
          <cell r="C117" t="str">
            <v>EA</v>
          </cell>
          <cell r="E117">
            <v>20710</v>
          </cell>
          <cell r="F117">
            <v>0</v>
          </cell>
        </row>
        <row r="118">
          <cell r="A118" t="str">
            <v>조달 수수료</v>
          </cell>
          <cell r="B118" t="str">
            <v>1.0%</v>
          </cell>
          <cell r="E118">
            <v>0</v>
          </cell>
          <cell r="F118">
            <v>0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</sheetDataSet>
  </externalBook>
</externalLink>
</file>

<file path=xl/externalLinks/externalLink96.xml><?xml version="1.0" encoding="utf-8"?>
<externalLink xmlns="http://schemas.openxmlformats.org/spreadsheetml/2006/main">
  <externalBook xmlns:r="http://schemas.openxmlformats.org/officeDocument/2006/relationships" r:id="rId1">
    <sheetNames>
      <sheetName val="INPUTDATA"/>
      <sheetName val="OUTPUT1"/>
      <sheetName val="LOAD case"/>
      <sheetName val="Sheet3"/>
      <sheetName val="개략"/>
      <sheetName val="사업수지"/>
    </sheetNames>
    <sheetDataSet>
      <sheetData sheetId="0">
        <row r="66">
          <cell r="O66">
            <v>240</v>
          </cell>
        </row>
      </sheetData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97.xml><?xml version="1.0" encoding="utf-8"?>
<externalLink xmlns="http://schemas.openxmlformats.org/spreadsheetml/2006/main">
  <externalBook xmlns:r="http://schemas.openxmlformats.org/officeDocument/2006/relationships" r:id="rId1">
    <sheetNames>
      <sheetName val="가설건물"/>
      <sheetName val="시추조사비"/>
      <sheetName val="측량조사수량산출근거"/>
      <sheetName val="측량수량집계"/>
      <sheetName val="가도공"/>
      <sheetName val="precast"/>
      <sheetName val="감독차량비"/>
      <sheetName val="시험비(선정)"/>
      <sheetName val="시험비(관리)"/>
      <sheetName val="교통관리비"/>
      <sheetName val="가도표지판"/>
      <sheetName val="이치각평내역서"/>
      <sheetName val="적용수량 (3)"/>
      <sheetName val="적용수량 (2)"/>
      <sheetName val="주요1"/>
      <sheetName val="시,모산출"/>
      <sheetName val="주요2"/>
      <sheetName val="이월"/>
      <sheetName val="부대공집계"/>
      <sheetName val="본선도색제거집계 (3)"/>
      <sheetName val="갈매기표지판연장"/>
      <sheetName val="갈매기집계"/>
      <sheetName val="갈매기설치"/>
      <sheetName val="표지판현황"/>
      <sheetName val="데리네이터수량 (4)"/>
      <sheetName val="데리네이터수량 (3)"/>
      <sheetName val="데리네이터수량 (2)"/>
      <sheetName val="데리네이터수량"/>
      <sheetName val="데리네이터현황 (2)"/>
      <sheetName val="데리네이터현황"/>
      <sheetName val="규제봉집계"/>
      <sheetName val="규제봉현황"/>
      <sheetName val="중앙표지병"/>
      <sheetName val="표지병단위 (2)"/>
      <sheetName val="표지병단위"/>
      <sheetName val="표지병집계 (3)"/>
      <sheetName val="표지병집계 (2)"/>
      <sheetName val="표지병집계"/>
      <sheetName val="가드레일설치"/>
      <sheetName val="가드레일설치 (2)"/>
      <sheetName val="가드레일집계 (2)"/>
      <sheetName val="가드레일집계 (3)"/>
      <sheetName val="가드레일집계"/>
      <sheetName val="폐기물"/>
      <sheetName val="과속조서"/>
      <sheetName val="과속단위"/>
      <sheetName val="과속집계"/>
      <sheetName val="과속수량산출"/>
      <sheetName val="간지"/>
      <sheetName val="노면집계"/>
      <sheetName val="표지판수량집계 (3)"/>
      <sheetName val="표지판수량집계 (2)"/>
      <sheetName val="표지판수량집계"/>
      <sheetName val="표지판조서 (2)"/>
      <sheetName val="표지판조서"/>
      <sheetName val="표지판기초 (2)"/>
      <sheetName val="도색수량집계"/>
      <sheetName val="차선도색수량집계"/>
      <sheetName val="차선도색설치조서"/>
      <sheetName val="노면표시수량집계"/>
      <sheetName val="노면표시설치조서"/>
      <sheetName val="안전지대수량집계"/>
      <sheetName val="안전지대설치조서"/>
      <sheetName val="횡단보도수량집계"/>
      <sheetName val="횡단보도설치조서"/>
      <sheetName val="차선도색산출근거"/>
      <sheetName val="간지-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98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내역"/>
      <sheetName val="옹벽수량"/>
      <sheetName val="옹벽현"/>
      <sheetName val="표H3"/>
      <sheetName val="역L형(H=3.0)"/>
      <sheetName val="표H4"/>
      <sheetName val="역L형(H=4.0)"/>
      <sheetName val="표H45"/>
      <sheetName val="역T형(H=4.5)"/>
      <sheetName val="옹벽집"/>
      <sheetName val="대치판정"/>
      <sheetName val="진상-구조물공"/>
    </sheetNames>
    <sheetDataSet>
      <sheetData sheetId="0"/>
      <sheetData sheetId="1"/>
      <sheetData sheetId="2"/>
      <sheetData sheetId="3">
        <row r="23">
          <cell r="F23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99.xml><?xml version="1.0" encoding="utf-8"?>
<externalLink xmlns="http://schemas.openxmlformats.org/spreadsheetml/2006/main">
  <externalBook xmlns:r="http://schemas.openxmlformats.org/officeDocument/2006/relationships" r:id="rId1">
    <sheetNames>
      <sheetName val="자재집계표"/>
      <sheetName val="총수량집계표"/>
      <sheetName val="총철근량집계표"/>
      <sheetName val="토적집계표"/>
      <sheetName val="토적표"/>
      <sheetName val="토공집계표"/>
      <sheetName val="몰탈"/>
      <sheetName val="포장공수량집계표"/>
      <sheetName val="아스콘포장(T=52.5CM)"/>
      <sheetName val="고압블럭(T=6CM)"/>
      <sheetName val="보차도경계석(150-170-200)"/>
      <sheetName val="보도경계블럭"/>
      <sheetName val="L형측구"/>
      <sheetName val="감속턱"/>
      <sheetName val="차선도색(평행주차)"/>
      <sheetName val="차선도색(중앙선)"/>
      <sheetName val="차선도색(직각주차-5M)"/>
      <sheetName val="우수공수량집계표"/>
      <sheetName val="우수공철근량집계표"/>
      <sheetName val="우수공맨홀평균깊이"/>
      <sheetName val="우수공흄관평균깊이"/>
      <sheetName val="우수흄관(D300)"/>
      <sheetName val="흄관(D450)"/>
      <sheetName val="흄관(D500)"/>
      <sheetName val="흄관(D600)"/>
      <sheetName val="흄관(D700)"/>
      <sheetName val="우수맨홀(D900)"/>
      <sheetName val="우수맨홀(D1200)"/>
      <sheetName val="PIT평균깊이"/>
      <sheetName val="플륨관"/>
      <sheetName val="홈통받이"/>
      <sheetName val="홈통받이연락관"/>
      <sheetName val="빗물받이(910-510-410)"/>
      <sheetName val="빗물받이연락관"/>
      <sheetName val="PIT"/>
      <sheetName val="집수정(400-400)"/>
      <sheetName val="집수정(600-700)"/>
      <sheetName val="집수정연락관"/>
      <sheetName val="맹암거(D150)"/>
      <sheetName val="맹암거(D250)"/>
      <sheetName val="U형(300X300~500)"/>
      <sheetName val="우수관보호공(D300)"/>
      <sheetName val="우수관보호공(D450)"/>
      <sheetName val="오수공수량집계표"/>
      <sheetName val="오수공철근량집계표"/>
      <sheetName val="오수공맨홀평균깊이"/>
      <sheetName val="오수공흄관평균깊이"/>
      <sheetName val="오수맨홀(D900)"/>
      <sheetName val="오수받이(940-510-410)"/>
      <sheetName val="흄관(D300)"/>
      <sheetName val="오수관보호공(D300)"/>
      <sheetName val="오수받이연락관"/>
      <sheetName val="상수도공수량집계표"/>
      <sheetName val="상수도공철근량집계표"/>
      <sheetName val="제수변실(1.40-1.50)"/>
      <sheetName val="주철관(D200)"/>
      <sheetName val="공동구공철근량집계표"/>
      <sheetName val="공동구공수량집계표"/>
      <sheetName val="공동구공"/>
      <sheetName val="가도공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>
        <row r="4">
          <cell r="P4">
            <v>4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0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djdg"/>
      <sheetName val="집수정(600-700)"/>
    </sheetNames>
    <definedNames>
      <definedName name="수식입력매크로"/>
    </defined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101.xml><?xml version="1.0" encoding="utf-8"?>
<externalLink xmlns="http://schemas.openxmlformats.org/spreadsheetml/2006/main">
  <externalBook xmlns:r="http://schemas.openxmlformats.org/officeDocument/2006/relationships" r:id="rId1">
    <sheetNames>
      <sheetName val="N賃率-職"/>
      <sheetName val="옹벽현"/>
    </sheetNames>
    <sheetDataSet>
      <sheetData sheetId="0" refreshError="1"/>
      <sheetData sheetId="1" refreshError="1"/>
    </sheetDataSet>
  </externalBook>
</externalLink>
</file>

<file path=xl/externalLinks/externalLink102.xml><?xml version="1.0" encoding="utf-8"?>
<externalLink xmlns="http://schemas.openxmlformats.org/spreadsheetml/2006/main">
  <externalBook xmlns:r="http://schemas.openxmlformats.org/officeDocument/2006/relationships" r:id="rId1">
    <sheetNames>
      <sheetName val="목차"/>
      <sheetName val="목적"/>
      <sheetName val="전제"/>
      <sheetName val="계산기준"/>
      <sheetName val="간지"/>
      <sheetName val="간노비율(제조)"/>
      <sheetName val="노무명세"/>
      <sheetName val="적용경비"/>
      <sheetName val="경비1"/>
      <sheetName val="경비2"/>
      <sheetName val="적용일비"/>
      <sheetName val="일비1"/>
      <sheetName val="일비2"/>
      <sheetName val="손익"/>
      <sheetName val="제조"/>
      <sheetName val="기업경영"/>
      <sheetName val="적용율"/>
      <sheetName val="간노비율(설치)"/>
      <sheetName val="기타경비"/>
      <sheetName val="안전.산재"/>
      <sheetName val="일반.이윤"/>
      <sheetName val="수량산출"/>
      <sheetName val="N賃率-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3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주요자재집계표"/>
      <sheetName val="사,관급자재내역서"/>
      <sheetName val="콘크리트자재집계표"/>
      <sheetName val="철근,흄관자재집계표"/>
      <sheetName val="아스콘자재집계표"/>
      <sheetName val="토   공(간 지)"/>
      <sheetName val="토공내역서"/>
      <sheetName val="사토집계표"/>
      <sheetName val="토공량집계표"/>
      <sheetName val="구조물철거 (간지)"/>
      <sheetName val="구조물철거집계표"/>
      <sheetName val="구조물철거타공정이월"/>
      <sheetName val="배 수 공(간지)"/>
      <sheetName val="내역서적용수량(배수공)"/>
      <sheetName val="배수공수량집계표"/>
      <sheetName val="호 안 공 (간지)"/>
      <sheetName val="호안공집계표"/>
      <sheetName val="돌망태 설치현황"/>
      <sheetName val="돌망태단위수량 (H=9.0)"/>
      <sheetName val="돌망태단위수량(H=9.5)"/>
      <sheetName val="낙 차 공 (간지)"/>
      <sheetName val="낙 차 공"/>
      <sheetName val="종배수관몰탈단위수량산출"/>
      <sheetName val="구조물공(간지)"/>
      <sheetName val="가도공(간지)"/>
      <sheetName val="가도공수량집계"/>
      <sheetName val="가도공수량산출"/>
      <sheetName val="타공정이월수량(포장공)"/>
      <sheetName val="진 입 로 (간지)"/>
      <sheetName val="진입로집계표"/>
      <sheetName val="진입로산출수량"/>
      <sheetName val="부 대 공"/>
      <sheetName val="부대공내역서"/>
      <sheetName val="차선도색 (간지)"/>
      <sheetName val="차선도색수량산출집계"/>
      <sheetName val="차선도색설치현황"/>
      <sheetName val="차선도색단위수량"/>
      <sheetName val="THE END"/>
      <sheetName val="포장깨기산출"/>
      <sheetName val="포 장 공(간지)"/>
      <sheetName val="포장공내역서"/>
      <sheetName val="포장공내역서적용수량"/>
      <sheetName val="포장총괄집계표 "/>
      <sheetName val="차 도 부 (간지)"/>
      <sheetName val="포장집계표"/>
      <sheetName val="차도부포장수량현황"/>
      <sheetName val="포장연장현황"/>
      <sheetName val="포장부단위수량"/>
      <sheetName val="자재총괄표"/>
      <sheetName val="레미콘,철근집계"/>
      <sheetName val="흄관,아스콘구입량"/>
      <sheetName val="골재구입량 "/>
      <sheetName val="Sheet1 (2)"/>
      <sheetName val="토공총괄표"/>
      <sheetName val="타공종집계"/>
      <sheetName val="배수공내역서"/>
      <sheetName val="배수관,골재집계 (2공구)"/>
      <sheetName val="레미콘,철근집계표  (2공구)"/>
      <sheetName val="토공집계 (2공구)"/>
      <sheetName val="측구수량집계 (2공구)"/>
      <sheetName val="측구공연장조서 (2공구)"/>
      <sheetName val="측구단위수량 (2공구)"/>
      <sheetName val="집수정수량집계"/>
      <sheetName val="집수정단위수량"/>
      <sheetName val="집수정위치조서"/>
      <sheetName val="횡배수관수량집계표"/>
      <sheetName val="종배수관수량집계표"/>
      <sheetName val="면벽단위수량"/>
      <sheetName val="포장총괄"/>
      <sheetName val="포장집계"/>
      <sheetName val="포장증감"/>
      <sheetName val="석축포장증감단위"/>
      <sheetName val="보선포장집계"/>
      <sheetName val="본선포장다위"/>
      <sheetName val="진입도집계"/>
      <sheetName val="진입도로"/>
      <sheetName val="줄눈수량"/>
      <sheetName val="석축총괄"/>
      <sheetName val="석축집계"/>
      <sheetName val="석축평균고"/>
      <sheetName val="석축단위수량"/>
      <sheetName val="석축위치조서"/>
      <sheetName val="자재총괄"/>
      <sheetName val="시멘트산출"/>
      <sheetName val="시멘트레미콘구입량"/>
      <sheetName val="골재구입량"/>
      <sheetName val="포장수량집계"/>
      <sheetName val="수축줄눈수량"/>
      <sheetName val="포장수량"/>
      <sheetName val="토공수량집계"/>
      <sheetName val="타공종수량집계표"/>
      <sheetName val="토공수량"/>
      <sheetName val="배수수량집계"/>
      <sheetName val="배수수량산출"/>
      <sheetName val="월파벽집계"/>
      <sheetName val="월파벽"/>
      <sheetName val="깨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104.xml><?xml version="1.0" encoding="utf-8"?>
<externalLink xmlns="http://schemas.openxmlformats.org/spreadsheetml/2006/main">
  <externalBook xmlns:r="http://schemas.openxmlformats.org/officeDocument/2006/relationships" r:id="rId1">
    <sheetNames>
      <sheetName val="총괄내역"/>
      <sheetName val="재정비내역"/>
      <sheetName val="지적고시내역"/>
      <sheetName val="재정비직인"/>
      <sheetName val="지적고시직인"/>
      <sheetName val="Sheet2"/>
      <sheetName val="Sheet3"/>
      <sheetName val="수량산출"/>
      <sheetName val="옹벽현"/>
      <sheetName val="가로등내역서"/>
    </sheetNames>
    <sheetDataSet>
      <sheetData sheetId="0" refreshError="1"/>
      <sheetData sheetId="1">
        <row r="20">
          <cell r="F20">
            <v>295000000</v>
          </cell>
        </row>
      </sheetData>
      <sheetData sheetId="2">
        <row r="16">
          <cell r="F16">
            <v>613000000</v>
          </cell>
        </row>
      </sheetData>
      <sheetData sheetId="3">
        <row r="11">
          <cell r="J11">
            <v>14141729.6</v>
          </cell>
        </row>
        <row r="43">
          <cell r="J43">
            <v>33338598.799999997</v>
          </cell>
        </row>
        <row r="51">
          <cell r="J51">
            <v>5805011.8999999994</v>
          </cell>
        </row>
        <row r="59">
          <cell r="J59">
            <v>10294049.199999999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5.xml><?xml version="1.0" encoding="utf-8"?>
<externalLink xmlns="http://schemas.openxmlformats.org/spreadsheetml/2006/main">
  <externalBook xmlns:r="http://schemas.openxmlformats.org/officeDocument/2006/relationships" r:id="rId1">
    <sheetNames>
      <sheetName val="일위99년1월"/>
      <sheetName val="물가자료1월"/>
      <sheetName val="유통물가1월"/>
      <sheetName val="재료단가"/>
      <sheetName val="권양기 설치"/>
      <sheetName val="랙크바제작"/>
      <sheetName val="로라게이트 문틀설치"/>
      <sheetName val="로라게이트 문틀 제작"/>
      <sheetName val="메인로라"/>
      <sheetName val="문비설치"/>
      <sheetName val="문비제작"/>
      <sheetName val="일반문틀 설치"/>
      <sheetName val="일반문틀제작"/>
      <sheetName val="샌딩 에폭시 도장"/>
      <sheetName val="스텐문틀설치"/>
      <sheetName val="스텐문틀 제작"/>
      <sheetName val="일반도장"/>
      <sheetName val="잡철물 제작 설치"/>
      <sheetName val="잡철물 설치"/>
      <sheetName val="잡철물 제작"/>
      <sheetName val="사이드 로라"/>
      <sheetName val="스텐카바 제작설치"/>
      <sheetName val="스텐카바전동(2)"/>
      <sheetName val="스텐카바전동(3)"/>
      <sheetName val="스텐카바전동(5)"/>
      <sheetName val="스텐카바전동(7)"/>
      <sheetName val="바닥고무교체(m당)"/>
      <sheetName val="바닥고무교체(m당) (2)"/>
      <sheetName val="기어박스분해(5톤)"/>
      <sheetName val="코어천공"/>
      <sheetName val="단가"/>
      <sheetName val="구조물철거타공정이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B1" t="str">
            <v>문틀  설치 ( TON 당 )</v>
          </cell>
        </row>
        <row r="2">
          <cell r="A2" t="str">
            <v>공   종</v>
          </cell>
          <cell r="B2" t="str">
            <v>규  격</v>
          </cell>
          <cell r="C2" t="str">
            <v>수 량</v>
          </cell>
          <cell r="D2" t="str">
            <v>단위</v>
          </cell>
          <cell r="E2" t="str">
            <v>계</v>
          </cell>
          <cell r="F2" t="str">
            <v>노   무   비</v>
          </cell>
          <cell r="H2" t="str">
            <v>재   료   비</v>
          </cell>
          <cell r="J2" t="str">
            <v>경</v>
          </cell>
          <cell r="K2" t="str">
            <v>비</v>
          </cell>
          <cell r="L2" t="str">
            <v>비  고</v>
          </cell>
        </row>
        <row r="3">
          <cell r="F3" t="str">
            <v>단  가</v>
          </cell>
          <cell r="G3" t="str">
            <v>금  액</v>
          </cell>
          <cell r="H3" t="str">
            <v>단  가</v>
          </cell>
          <cell r="I3" t="str">
            <v>금  액</v>
          </cell>
          <cell r="J3" t="str">
            <v>단  가</v>
          </cell>
          <cell r="K3" t="str">
            <v>금  액</v>
          </cell>
        </row>
        <row r="4">
          <cell r="A4" t="str">
            <v>기계기사 1급</v>
          </cell>
          <cell r="C4">
            <v>3.9</v>
          </cell>
          <cell r="D4" t="str">
            <v>인</v>
          </cell>
          <cell r="E4">
            <v>335302</v>
          </cell>
          <cell r="F4">
            <v>85975</v>
          </cell>
          <cell r="G4">
            <v>335302</v>
          </cell>
        </row>
        <row r="5">
          <cell r="A5" t="str">
            <v>플랜트기계설치공</v>
          </cell>
          <cell r="C5">
            <v>3.96</v>
          </cell>
          <cell r="D5" t="str">
            <v>인</v>
          </cell>
          <cell r="E5">
            <v>328561</v>
          </cell>
          <cell r="F5">
            <v>82970</v>
          </cell>
          <cell r="G5">
            <v>328561</v>
          </cell>
        </row>
        <row r="6">
          <cell r="A6" t="str">
            <v>플랜트 용접공</v>
          </cell>
          <cell r="C6">
            <v>6.62</v>
          </cell>
          <cell r="D6" t="str">
            <v>인</v>
          </cell>
          <cell r="E6">
            <v>592437</v>
          </cell>
          <cell r="F6">
            <v>89492</v>
          </cell>
          <cell r="G6">
            <v>592437</v>
          </cell>
        </row>
        <row r="7">
          <cell r="A7" t="str">
            <v>산소 절단공</v>
          </cell>
          <cell r="C7">
            <v>1.78</v>
          </cell>
          <cell r="D7" t="str">
            <v>인</v>
          </cell>
          <cell r="E7">
            <v>117371</v>
          </cell>
          <cell r="F7">
            <v>65939</v>
          </cell>
          <cell r="G7">
            <v>117371</v>
          </cell>
        </row>
        <row r="8">
          <cell r="A8" t="str">
            <v>특 별  인 부</v>
          </cell>
          <cell r="C8">
            <v>13.06</v>
          </cell>
          <cell r="D8" t="str">
            <v>인</v>
          </cell>
          <cell r="E8">
            <v>702993</v>
          </cell>
          <cell r="F8">
            <v>53828</v>
          </cell>
          <cell r="G8">
            <v>702993</v>
          </cell>
        </row>
        <row r="9">
          <cell r="A9" t="str">
            <v>산        소</v>
          </cell>
          <cell r="B9" t="str">
            <v>6000ℓ</v>
          </cell>
          <cell r="C9">
            <v>0.69</v>
          </cell>
          <cell r="D9" t="str">
            <v>병</v>
          </cell>
          <cell r="E9">
            <v>4140</v>
          </cell>
          <cell r="H9">
            <v>6000</v>
          </cell>
          <cell r="I9">
            <v>4140</v>
          </cell>
        </row>
        <row r="10">
          <cell r="A10" t="str">
            <v>아 세 틸 렌</v>
          </cell>
          <cell r="B10" t="str">
            <v>2100ℓ</v>
          </cell>
          <cell r="C10">
            <v>0.2</v>
          </cell>
          <cell r="D10" t="str">
            <v>병</v>
          </cell>
          <cell r="E10">
            <v>2708</v>
          </cell>
          <cell r="H10">
            <v>13540</v>
          </cell>
          <cell r="I10">
            <v>2708</v>
          </cell>
        </row>
        <row r="11">
          <cell r="A11" t="str">
            <v>용  접  봉</v>
          </cell>
          <cell r="B11" t="str">
            <v>KSE 4313 4φ</v>
          </cell>
          <cell r="C11">
            <v>31.05</v>
          </cell>
          <cell r="D11" t="str">
            <v>kg</v>
          </cell>
          <cell r="E11">
            <v>20182</v>
          </cell>
          <cell r="H11">
            <v>650</v>
          </cell>
          <cell r="I11">
            <v>20182</v>
          </cell>
        </row>
        <row r="12">
          <cell r="A12" t="str">
            <v>계</v>
          </cell>
          <cell r="E12">
            <v>2103694</v>
          </cell>
          <cell r="G12">
            <v>2076664</v>
          </cell>
          <cell r="I12">
            <v>27030</v>
          </cell>
        </row>
      </sheetData>
      <sheetData sheetId="12" refreshError="1"/>
      <sheetData sheetId="13">
        <row r="1">
          <cell r="B1" t="str">
            <v>Sanding and Epoxy 도장 ( 1㎡당 )</v>
          </cell>
        </row>
        <row r="2">
          <cell r="A2" t="str">
            <v>공   종</v>
          </cell>
          <cell r="B2" t="str">
            <v>규  격</v>
          </cell>
          <cell r="C2" t="str">
            <v>수 량</v>
          </cell>
          <cell r="D2" t="str">
            <v>단위</v>
          </cell>
          <cell r="E2" t="str">
            <v>계</v>
          </cell>
          <cell r="F2" t="str">
            <v>노   무   비</v>
          </cell>
          <cell r="H2" t="str">
            <v>재   료   비</v>
          </cell>
          <cell r="J2" t="str">
            <v>경</v>
          </cell>
          <cell r="K2" t="str">
            <v>비</v>
          </cell>
          <cell r="L2" t="str">
            <v>비  고</v>
          </cell>
        </row>
        <row r="3">
          <cell r="F3" t="str">
            <v>단  가</v>
          </cell>
          <cell r="G3" t="str">
            <v>금  액</v>
          </cell>
          <cell r="H3" t="str">
            <v>단  가</v>
          </cell>
          <cell r="I3" t="str">
            <v>금  액</v>
          </cell>
          <cell r="J3" t="str">
            <v>단  가</v>
          </cell>
          <cell r="K3" t="str">
            <v>금  액</v>
          </cell>
        </row>
        <row r="4">
          <cell r="A4" t="str">
            <v xml:space="preserve">Sanding </v>
          </cell>
          <cell r="B4" t="str">
            <v>N.W.C</v>
          </cell>
          <cell r="C4">
            <v>1</v>
          </cell>
          <cell r="D4" t="str">
            <v>㎡</v>
          </cell>
          <cell r="E4">
            <v>15000</v>
          </cell>
          <cell r="K4">
            <v>15000</v>
          </cell>
        </row>
        <row r="5">
          <cell r="A5" t="str">
            <v>Zinc primer</v>
          </cell>
          <cell r="B5" t="str">
            <v>2회</v>
          </cell>
          <cell r="C5">
            <v>0.154</v>
          </cell>
          <cell r="D5" t="str">
            <v>ℓ</v>
          </cell>
          <cell r="E5">
            <v>1137</v>
          </cell>
          <cell r="H5">
            <v>7388</v>
          </cell>
          <cell r="I5">
            <v>1137</v>
          </cell>
        </row>
        <row r="6">
          <cell r="A6" t="str">
            <v>Tar epoxy</v>
          </cell>
          <cell r="B6" t="str">
            <v>2회</v>
          </cell>
          <cell r="C6">
            <v>0.53600000000000003</v>
          </cell>
          <cell r="D6" t="str">
            <v>ℓ</v>
          </cell>
          <cell r="E6">
            <v>1188</v>
          </cell>
          <cell r="H6">
            <v>2218</v>
          </cell>
          <cell r="I6">
            <v>1188</v>
          </cell>
        </row>
        <row r="7">
          <cell r="A7" t="str">
            <v>신      나</v>
          </cell>
          <cell r="B7" t="str">
            <v>Epoxy 용</v>
          </cell>
          <cell r="C7">
            <v>1.6E-2</v>
          </cell>
          <cell r="D7" t="str">
            <v>ℓ</v>
          </cell>
          <cell r="E7">
            <v>14</v>
          </cell>
          <cell r="H7">
            <v>916</v>
          </cell>
          <cell r="I7">
            <v>14</v>
          </cell>
        </row>
        <row r="8">
          <cell r="A8" t="str">
            <v>연  마  지</v>
          </cell>
          <cell r="C8">
            <v>0.15</v>
          </cell>
          <cell r="D8" t="str">
            <v>매</v>
          </cell>
          <cell r="E8">
            <v>15</v>
          </cell>
          <cell r="H8">
            <v>100</v>
          </cell>
          <cell r="I8">
            <v>15</v>
          </cell>
        </row>
        <row r="9">
          <cell r="A9" t="str">
            <v>넝      마</v>
          </cell>
          <cell r="C9">
            <v>0.01</v>
          </cell>
          <cell r="D9" t="str">
            <v>kg</v>
          </cell>
          <cell r="E9">
            <v>4</v>
          </cell>
          <cell r="H9">
            <v>450</v>
          </cell>
          <cell r="I9">
            <v>4</v>
          </cell>
        </row>
        <row r="10">
          <cell r="A10" t="str">
            <v>가  솔  린</v>
          </cell>
          <cell r="C10">
            <v>0.05</v>
          </cell>
          <cell r="D10" t="str">
            <v>ℓ</v>
          </cell>
          <cell r="E10">
            <v>37</v>
          </cell>
          <cell r="H10">
            <v>740</v>
          </cell>
          <cell r="I10">
            <v>37</v>
          </cell>
        </row>
        <row r="11">
          <cell r="A11" t="str">
            <v>도  장  공</v>
          </cell>
          <cell r="C11">
            <v>7.5999999999999998E-2</v>
          </cell>
          <cell r="D11" t="str">
            <v>인</v>
          </cell>
          <cell r="E11">
            <v>4572</v>
          </cell>
          <cell r="F11">
            <v>60159</v>
          </cell>
          <cell r="G11">
            <v>4572</v>
          </cell>
        </row>
        <row r="12">
          <cell r="A12" t="str">
            <v>기 구 손 료</v>
          </cell>
          <cell r="B12" t="str">
            <v>인건비의 2%</v>
          </cell>
          <cell r="E12">
            <v>91</v>
          </cell>
          <cell r="K12">
            <v>91</v>
          </cell>
        </row>
        <row r="13">
          <cell r="A13" t="str">
            <v>계</v>
          </cell>
          <cell r="E13">
            <v>22058</v>
          </cell>
          <cell r="G13">
            <v>4572</v>
          </cell>
          <cell r="I13">
            <v>2395</v>
          </cell>
          <cell r="K13">
            <v>15091</v>
          </cell>
        </row>
      </sheetData>
      <sheetData sheetId="14">
        <row r="1">
          <cell r="B1" t="str">
            <v>스텐 문틀  설치 ( TON 당 )</v>
          </cell>
        </row>
        <row r="2">
          <cell r="A2" t="str">
            <v>공   종</v>
          </cell>
          <cell r="B2" t="str">
            <v>규  격</v>
          </cell>
          <cell r="C2" t="str">
            <v>수 량</v>
          </cell>
          <cell r="D2" t="str">
            <v>단위</v>
          </cell>
          <cell r="E2" t="str">
            <v>계</v>
          </cell>
          <cell r="F2" t="str">
            <v>노   무   비</v>
          </cell>
          <cell r="H2" t="str">
            <v>재   료   비</v>
          </cell>
          <cell r="J2" t="str">
            <v>경</v>
          </cell>
          <cell r="K2" t="str">
            <v>비</v>
          </cell>
          <cell r="L2" t="str">
            <v>비  고</v>
          </cell>
        </row>
        <row r="3">
          <cell r="F3" t="str">
            <v>단  가</v>
          </cell>
          <cell r="G3" t="str">
            <v>금  액</v>
          </cell>
          <cell r="H3" t="str">
            <v>단  가</v>
          </cell>
          <cell r="I3" t="str">
            <v>금  액</v>
          </cell>
          <cell r="J3" t="str">
            <v>단  가</v>
          </cell>
          <cell r="K3" t="str">
            <v>금  액</v>
          </cell>
        </row>
        <row r="4">
          <cell r="A4" t="str">
            <v>기계기사 1급</v>
          </cell>
          <cell r="C4">
            <v>3.9</v>
          </cell>
          <cell r="D4" t="str">
            <v>인</v>
          </cell>
          <cell r="E4">
            <v>335302</v>
          </cell>
          <cell r="F4">
            <v>85975</v>
          </cell>
          <cell r="G4">
            <v>335302</v>
          </cell>
        </row>
        <row r="5">
          <cell r="A5" t="str">
            <v>플랜트기계설치공</v>
          </cell>
          <cell r="C5">
            <v>3.96</v>
          </cell>
          <cell r="D5" t="str">
            <v>인</v>
          </cell>
          <cell r="E5">
            <v>328561</v>
          </cell>
          <cell r="F5">
            <v>82970</v>
          </cell>
          <cell r="G5">
            <v>328561</v>
          </cell>
        </row>
        <row r="6">
          <cell r="A6" t="str">
            <v>플랜트 용접공</v>
          </cell>
          <cell r="C6">
            <v>6.62</v>
          </cell>
          <cell r="D6" t="str">
            <v>인</v>
          </cell>
          <cell r="E6">
            <v>592437</v>
          </cell>
          <cell r="F6">
            <v>89492</v>
          </cell>
          <cell r="G6">
            <v>592437</v>
          </cell>
        </row>
        <row r="7">
          <cell r="A7" t="str">
            <v>산소 절단공</v>
          </cell>
          <cell r="C7">
            <v>1.78</v>
          </cell>
          <cell r="D7" t="str">
            <v>인</v>
          </cell>
          <cell r="E7">
            <v>117371</v>
          </cell>
          <cell r="F7">
            <v>65939</v>
          </cell>
          <cell r="G7">
            <v>117371</v>
          </cell>
        </row>
        <row r="8">
          <cell r="A8" t="str">
            <v>특 별  인 부</v>
          </cell>
          <cell r="C8">
            <v>13.06</v>
          </cell>
          <cell r="D8" t="str">
            <v>인</v>
          </cell>
          <cell r="E8">
            <v>702993</v>
          </cell>
          <cell r="F8">
            <v>53828</v>
          </cell>
          <cell r="G8">
            <v>702993</v>
          </cell>
        </row>
        <row r="9">
          <cell r="A9" t="str">
            <v>산       소</v>
          </cell>
          <cell r="B9" t="str">
            <v>6000ℓ</v>
          </cell>
          <cell r="C9">
            <v>0.69</v>
          </cell>
          <cell r="D9" t="str">
            <v>병</v>
          </cell>
          <cell r="E9">
            <v>4140</v>
          </cell>
          <cell r="H9">
            <v>6000</v>
          </cell>
          <cell r="I9">
            <v>4140</v>
          </cell>
        </row>
        <row r="10">
          <cell r="A10" t="str">
            <v>아 세 틸 렌</v>
          </cell>
          <cell r="B10" t="str">
            <v>2100ℓ</v>
          </cell>
          <cell r="C10">
            <v>0.2</v>
          </cell>
          <cell r="D10" t="str">
            <v>병</v>
          </cell>
          <cell r="E10">
            <v>2708</v>
          </cell>
          <cell r="H10">
            <v>13540</v>
          </cell>
          <cell r="I10">
            <v>2708</v>
          </cell>
        </row>
        <row r="11">
          <cell r="A11" t="str">
            <v>용  접  봉</v>
          </cell>
          <cell r="B11" t="str">
            <v>KSE 4313 4φ</v>
          </cell>
          <cell r="C11">
            <v>16</v>
          </cell>
          <cell r="D11" t="str">
            <v>kg</v>
          </cell>
          <cell r="E11">
            <v>10400</v>
          </cell>
          <cell r="H11">
            <v>650</v>
          </cell>
          <cell r="I11">
            <v>10400</v>
          </cell>
        </row>
        <row r="12">
          <cell r="A12" t="str">
            <v>용  접  봉</v>
          </cell>
          <cell r="B12" t="str">
            <v>SUS 304</v>
          </cell>
          <cell r="C12">
            <v>15.05</v>
          </cell>
          <cell r="D12" t="str">
            <v>kg</v>
          </cell>
          <cell r="E12">
            <v>67273</v>
          </cell>
          <cell r="H12">
            <v>4470</v>
          </cell>
          <cell r="I12">
            <v>67273</v>
          </cell>
        </row>
        <row r="13">
          <cell r="A13" t="str">
            <v>계</v>
          </cell>
          <cell r="E13">
            <v>2161185</v>
          </cell>
          <cell r="G13">
            <v>2076664</v>
          </cell>
          <cell r="I13">
            <v>84521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06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수지예산(A4종)"/>
      <sheetName val="측,공,관,잡"/>
      <sheetName val="요율"/>
      <sheetName val="공사비총괄표"/>
      <sheetName val="배수장공사비총괄"/>
      <sheetName val="배수장공사비"/>
      <sheetName val="평야부공사비총괄"/>
      <sheetName val="배수로공사비(총)"/>
      <sheetName val="배수로(토공)"/>
      <sheetName val="배수로(구조물)"/>
      <sheetName val="매립공사비"/>
      <sheetName val="부대공사"/>
      <sheetName val="가설공사"/>
      <sheetName val="중기운반"/>
      <sheetName val="시험비"/>
      <sheetName val="지급자재대"/>
      <sheetName val="토목자재대(총)"/>
      <sheetName val="배수장자재대(토목)"/>
      <sheetName val="배수로자재대"/>
      <sheetName val="배수장자재대(건축) "/>
      <sheetName val="재정비직인"/>
      <sheetName val="재정비내역"/>
      <sheetName val="지적고시내역"/>
      <sheetName val="수량산출"/>
      <sheetName val="96보완계획7.12"/>
      <sheetName val="범례표"/>
      <sheetName val="가중치"/>
      <sheetName val="난이도"/>
      <sheetName val="라.공사비"/>
      <sheetName val="내역서"/>
      <sheetName val="다.도서인쇄비 "/>
      <sheetName val="총괄내역서"/>
      <sheetName val="단가"/>
      <sheetName val="시설물일위"/>
      <sheetName val="기초도면제작"/>
      <sheetName val="주출입구조사"/>
      <sheetName val="데이타"/>
      <sheetName val="식재인부"/>
      <sheetName val="내구공사비1"/>
      <sheetName val="관접합및부설"/>
      <sheetName val="08인건비 산거"/>
      <sheetName val="05산출내역서"/>
      <sheetName val="토목(대안)"/>
      <sheetName val="측량단가"/>
      <sheetName val="일위대가"/>
      <sheetName val="ABUT수량-A1"/>
      <sheetName val="안전시설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07.xml><?xml version="1.0" encoding="utf-8"?>
<externalLink xmlns="http://schemas.openxmlformats.org/spreadsheetml/2006/main">
  <externalBook xmlns:r="http://schemas.openxmlformats.org/officeDocument/2006/relationships" r:id="rId1">
    <sheetNames>
      <sheetName val="------"/>
      <sheetName val="laroux"/>
      <sheetName val="단가"/>
      <sheetName val="단가산출서"/>
      <sheetName val="단가산출서 (2)"/>
      <sheetName val="수량"/>
      <sheetName val="설계표지"/>
      <sheetName val="내역서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/>
      <sheetData sheetId="3">
        <row r="1">
          <cell r="N1">
            <v>11864</v>
          </cell>
        </row>
        <row r="2">
          <cell r="N2">
            <v>8198</v>
          </cell>
        </row>
        <row r="3">
          <cell r="N3">
            <v>6318</v>
          </cell>
        </row>
        <row r="5">
          <cell r="N5">
            <v>2228</v>
          </cell>
        </row>
        <row r="6">
          <cell r="N6">
            <v>55</v>
          </cell>
        </row>
        <row r="9">
          <cell r="N9">
            <v>54</v>
          </cell>
        </row>
        <row r="10">
          <cell r="N10">
            <v>11317</v>
          </cell>
        </row>
        <row r="11">
          <cell r="I11">
            <v>18254</v>
          </cell>
          <cell r="N11">
            <v>3834</v>
          </cell>
        </row>
        <row r="12">
          <cell r="N12">
            <v>3103</v>
          </cell>
        </row>
        <row r="15">
          <cell r="N15">
            <v>123</v>
          </cell>
        </row>
        <row r="16">
          <cell r="N16">
            <v>18629</v>
          </cell>
        </row>
        <row r="17">
          <cell r="N17">
            <v>6451</v>
          </cell>
        </row>
        <row r="18">
          <cell r="N18">
            <v>13016</v>
          </cell>
        </row>
        <row r="19">
          <cell r="N19">
            <v>11864</v>
          </cell>
        </row>
        <row r="20">
          <cell r="N20">
            <v>14109</v>
          </cell>
        </row>
        <row r="21">
          <cell r="N21">
            <v>16662</v>
          </cell>
        </row>
        <row r="22">
          <cell r="N22">
            <v>10641</v>
          </cell>
        </row>
        <row r="23">
          <cell r="N23">
            <v>6667</v>
          </cell>
        </row>
        <row r="24">
          <cell r="N24">
            <v>4337</v>
          </cell>
        </row>
        <row r="25">
          <cell r="N25">
            <v>11317</v>
          </cell>
        </row>
        <row r="26">
          <cell r="N26">
            <v>11767</v>
          </cell>
        </row>
        <row r="27">
          <cell r="N27">
            <v>5370</v>
          </cell>
        </row>
        <row r="28">
          <cell r="N28">
            <v>11864</v>
          </cell>
        </row>
        <row r="29">
          <cell r="N29">
            <v>6165</v>
          </cell>
        </row>
        <row r="30">
          <cell r="N30">
            <v>8981</v>
          </cell>
        </row>
        <row r="31">
          <cell r="N31">
            <v>11864</v>
          </cell>
        </row>
        <row r="32">
          <cell r="N32">
            <v>14934</v>
          </cell>
        </row>
        <row r="33">
          <cell r="N33">
            <v>13525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8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갑지"/>
      <sheetName val="설명서"/>
      <sheetName val="예정공정표 "/>
      <sheetName val="동원인원"/>
      <sheetName val="공정표"/>
      <sheetName val="총괄"/>
      <sheetName val="을지"/>
      <sheetName val="잡비근거"/>
      <sheetName val="잡비1"/>
      <sheetName val="잡비2"/>
      <sheetName val="순공1"/>
      <sheetName val="순공2"/>
      <sheetName val="내1"/>
      <sheetName val="내2"/>
      <sheetName val="내3"/>
      <sheetName val="내4"/>
      <sheetName val="내5"/>
      <sheetName val="내6"/>
      <sheetName val="내7"/>
      <sheetName val="안전"/>
      <sheetName val="사급"/>
      <sheetName val="폐기물처리"/>
      <sheetName val="관급 "/>
      <sheetName val="토적"/>
      <sheetName val="1.토  공"/>
      <sheetName val="토공수량총괄집계"/>
      <sheetName val="토공량조정"/>
      <sheetName val="토적표지"/>
      <sheetName val="수량입력"/>
      <sheetName val="토적계산"/>
      <sheetName val="누가토량"/>
      <sheetName val="2.배수공"/>
      <sheetName val="배수공총괄집계"/>
      <sheetName val="배수공수량집계(1)"/>
      <sheetName val="배수공수량집계(2)"/>
      <sheetName val="배수공수량집계(3)"/>
      <sheetName val="배수공 위치조서(1)"/>
      <sheetName val="3.포장공"/>
      <sheetName val="포장공총괄집계"/>
      <sheetName val="포장재료집계"/>
      <sheetName val="포장면적수량"/>
      <sheetName val="본선구간"/>
      <sheetName val="포장면적수량집게"/>
      <sheetName val="포장면적산출"/>
      <sheetName val="포장수량"/>
      <sheetName val="접속도로"/>
      <sheetName val="접속도로포장수량"/>
      <sheetName val="접속도로수량산출"/>
      <sheetName val="4.부대공"/>
      <sheetName val="5.사급표지"/>
      <sheetName val="자재집계표"/>
      <sheetName val="관급자집계표"/>
      <sheetName val="사급자집계표"/>
      <sheetName val="운반단가표"/>
      <sheetName val="운반거리표"/>
      <sheetName val="운반시간(골재)"/>
      <sheetName val="운반시간(토사)"/>
      <sheetName val="운반시간(폐기물)"/>
      <sheetName val="운반시간(암)"/>
      <sheetName val="구역화물"/>
      <sheetName val="성토운반"/>
      <sheetName val="잔토운반"/>
      <sheetName val="폐기물운반"/>
      <sheetName val="리핑암운반"/>
      <sheetName val="발파암운반"/>
      <sheetName val="모래운반"/>
      <sheetName val="자갈운반"/>
      <sheetName val="보조기층운반"/>
      <sheetName val="선택층운반"/>
      <sheetName val="트레일러20"/>
      <sheetName val="트레일러30"/>
      <sheetName val="트레일러60"/>
      <sheetName val="트럭크레인"/>
      <sheetName val="아스팔트뷰다3"/>
      <sheetName val="아스팔트뷰다38"/>
      <sheetName val="물탱크55"/>
      <sheetName val="라인마커"/>
      <sheetName val="그레이더"/>
      <sheetName val="로우더1.34"/>
      <sheetName val="로우더1.72"/>
      <sheetName val="sample"/>
      <sheetName val="단가산출서 (2)"/>
      <sheetName val="단가산출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D4" t="str">
            <v>도로</v>
          </cell>
        </row>
        <row r="6">
          <cell r="D6">
            <v>0</v>
          </cell>
          <cell r="E6">
            <v>0</v>
          </cell>
        </row>
        <row r="27">
          <cell r="H27">
            <v>0.14000000000000001</v>
          </cell>
        </row>
        <row r="29">
          <cell r="I29">
            <v>3.3000000000000002E-2</v>
          </cell>
        </row>
        <row r="30">
          <cell r="I30">
            <v>5.2999999999999999E-2</v>
          </cell>
        </row>
        <row r="49">
          <cell r="E49">
            <v>1.7899999999999999E-2</v>
          </cell>
        </row>
        <row r="56">
          <cell r="J56">
            <v>2.4799999999999999E-2</v>
          </cell>
          <cell r="K56">
            <v>1.8100000000000002E-2</v>
          </cell>
          <cell r="L56">
            <v>1.8800000000000001E-2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</sheetDataSet>
  </externalBook>
</externalLink>
</file>

<file path=xl/externalLinks/externalLink109.xml><?xml version="1.0" encoding="utf-8"?>
<externalLink xmlns="http://schemas.openxmlformats.org/spreadsheetml/2006/main">
  <externalBook xmlns:r="http://schemas.openxmlformats.org/officeDocument/2006/relationships" r:id="rId1">
    <sheetNames>
      <sheetName val="표지 "/>
      <sheetName val="총재료집계 "/>
      <sheetName val="본선집계"/>
      <sheetName val="관로포장내역 "/>
      <sheetName val="토적"/>
      <sheetName val="가정오,우수집계"/>
      <sheetName val="가정오수관 "/>
      <sheetName val="맨홀수량"/>
      <sheetName val="평균"/>
      <sheetName val="h별집계"/>
      <sheetName val="각형맨홀"/>
      <sheetName val="철근"/>
      <sheetName val="집계표"/>
      <sheetName val="개거및 box단위수량"/>
      <sheetName val="Sheet1"/>
      <sheetName val="요율"/>
      <sheetName val="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10.xml><?xml version="1.0" encoding="utf-8"?>
<externalLink xmlns="http://schemas.openxmlformats.org/spreadsheetml/2006/main">
  <externalBook xmlns:r="http://schemas.openxmlformats.org/officeDocument/2006/relationships" r:id="rId1">
    <sheetNames>
      <sheetName val="포장총집"/>
      <sheetName val="포장총집계"/>
      <sheetName val="포장집"/>
      <sheetName val="포장집계"/>
      <sheetName val="표준횡단"/>
      <sheetName val="확폭면적"/>
      <sheetName val="포장연장"/>
      <sheetName val="측구증감"/>
      <sheetName val="측구공제"/>
      <sheetName val="L형절포장공제"/>
      <sheetName val="L형성포장공제"/>
      <sheetName val="L형옹벽포장공제"/>
      <sheetName val="브럭체인"/>
      <sheetName val="접속수량집"/>
      <sheetName val="접속포장집"/>
      <sheetName val="접속산출 "/>
      <sheetName val="수방진입"/>
      <sheetName val="일위대가모듈"/>
      <sheetName val="일위대가집계표"/>
      <sheetName val="일위대가표"/>
      <sheetName val="DATA"/>
      <sheetName val="일위대가표지"/>
      <sheetName val="시행분집계"/>
      <sheetName val="일위대가시행분"/>
      <sheetName val="단가산출표지"/>
      <sheetName val="잡비근거"/>
      <sheetName val="청천내"/>
      <sheetName val="단가산출서"/>
    </sheetNames>
    <definedNames>
      <definedName name="수식입력매크로" refersTo="#REF!"/>
      <definedName name="일위규격매크로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11.xml><?xml version="1.0" encoding="utf-8"?>
<externalLink xmlns="http://schemas.openxmlformats.org/spreadsheetml/2006/main">
  <externalBook xmlns:r="http://schemas.openxmlformats.org/officeDocument/2006/relationships" r:id="rId1">
    <sheetNames>
      <sheetName val="****00"/>
      <sheetName val="PIPE"/>
      <sheetName val="을-1"/>
      <sheetName val="수량산출"/>
      <sheetName val="각형맨홀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112.xml><?xml version="1.0" encoding="utf-8"?>
<externalLink xmlns="http://schemas.openxmlformats.org/spreadsheetml/2006/main">
  <externalBook xmlns:r="http://schemas.openxmlformats.org/officeDocument/2006/relationships" r:id="rId1">
    <sheetNames>
      <sheetName val="setup"/>
      <sheetName val="Menu"/>
      <sheetName val="프로젝트개요"/>
      <sheetName val="개발단계"/>
      <sheetName val="개발규모"/>
      <sheetName val="간이법"/>
      <sheetName val="정규법"/>
      <sheetName val="보정계수"/>
      <sheetName val="직접경비"/>
      <sheetName val="개발비"/>
      <sheetName val="인력지원"/>
      <sheetName val="화성시 도시정보시스템 구축(도로 및 도로인터넷)"/>
    </sheetNames>
    <sheetDataSet>
      <sheetData sheetId="0">
        <row r="4">
          <cell r="Q4" t="str">
            <v>분석</v>
          </cell>
        </row>
        <row r="5">
          <cell r="Q5" t="str">
            <v>분석+설계</v>
          </cell>
        </row>
        <row r="6">
          <cell r="Q6" t="str">
            <v>분석+설계+구현</v>
          </cell>
        </row>
        <row r="7">
          <cell r="Q7" t="str">
            <v>분석+설계+구현+시험</v>
          </cell>
        </row>
        <row r="8">
          <cell r="Q8" t="str">
            <v>설계</v>
          </cell>
        </row>
        <row r="9">
          <cell r="Q9" t="str">
            <v>설계+구현</v>
          </cell>
        </row>
        <row r="10">
          <cell r="Q10" t="str">
            <v>설계+구현+시험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113.xml><?xml version="1.0" encoding="utf-8"?>
<externalLink xmlns="http://schemas.openxmlformats.org/spreadsheetml/2006/main">
  <externalBook xmlns:r="http://schemas.openxmlformats.org/officeDocument/2006/relationships" r:id="rId1">
    <sheetNames>
      <sheetName val="setup"/>
      <sheetName val="Menu"/>
      <sheetName val="프로젝트개요"/>
      <sheetName val="개발단계"/>
      <sheetName val="개발규모"/>
      <sheetName val="간이법"/>
      <sheetName val="정규법"/>
      <sheetName val="보정계수"/>
      <sheetName val="직접경비"/>
      <sheetName val="개발비"/>
      <sheetName val="인력지원"/>
    </sheetNames>
    <sheetDataSet>
      <sheetData sheetId="0">
        <row r="4">
          <cell r="Q4" t="str">
            <v>분석</v>
          </cell>
        </row>
        <row r="5">
          <cell r="Q5" t="str">
            <v>분석+설계</v>
          </cell>
        </row>
        <row r="6">
          <cell r="Q6" t="str">
            <v>분석+설계+구현</v>
          </cell>
        </row>
        <row r="7">
          <cell r="Q7" t="str">
            <v>분석+설계+구현+시험</v>
          </cell>
        </row>
        <row r="8">
          <cell r="Q8" t="str">
            <v>설계</v>
          </cell>
        </row>
        <row r="9">
          <cell r="Q9" t="str">
            <v>설계+구현</v>
          </cell>
        </row>
        <row r="10">
          <cell r="Q10" t="str">
            <v>설계+구현+시험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14.xml><?xml version="1.0" encoding="utf-8"?>
<externalLink xmlns="http://schemas.openxmlformats.org/spreadsheetml/2006/main">
  <externalBook xmlns:r="http://schemas.openxmlformats.org/officeDocument/2006/relationships" r:id="rId1">
    <sheetNames>
      <sheetName val="setup"/>
      <sheetName val="Menu"/>
      <sheetName val="프로젝트개요"/>
      <sheetName val="개발단계"/>
      <sheetName val="개발규모"/>
      <sheetName val="간이법"/>
      <sheetName val="정규법"/>
      <sheetName val="보정계수"/>
      <sheetName val="직접경비"/>
      <sheetName val="개발비"/>
      <sheetName val="인력지원"/>
    </sheetNames>
    <sheetDataSet>
      <sheetData sheetId="0" refreshError="1">
        <row r="3">
          <cell r="T3" t="str">
            <v>개발언어</v>
          </cell>
          <cell r="U3" t="str">
            <v>보정계수</v>
          </cell>
        </row>
        <row r="4">
          <cell r="T4" t="str">
            <v>Assembly</v>
          </cell>
          <cell r="U4">
            <v>1.9</v>
          </cell>
        </row>
        <row r="5">
          <cell r="T5" t="str">
            <v>기계어</v>
          </cell>
          <cell r="U5">
            <v>1.9</v>
          </cell>
        </row>
        <row r="6">
          <cell r="T6" t="str">
            <v>자연어</v>
          </cell>
          <cell r="U6">
            <v>1.9</v>
          </cell>
        </row>
        <row r="7">
          <cell r="T7" t="str">
            <v>C</v>
          </cell>
          <cell r="U7">
            <v>1.2</v>
          </cell>
        </row>
        <row r="8">
          <cell r="T8" t="str">
            <v>CHILL</v>
          </cell>
          <cell r="U8">
            <v>1.2</v>
          </cell>
        </row>
        <row r="9">
          <cell r="T9" t="str">
            <v>C++</v>
          </cell>
          <cell r="U9">
            <v>1.2</v>
          </cell>
        </row>
        <row r="10">
          <cell r="T10" t="str">
            <v>JAVA</v>
          </cell>
          <cell r="U10">
            <v>1.2</v>
          </cell>
        </row>
        <row r="11">
          <cell r="T11" t="str">
            <v>C#</v>
          </cell>
          <cell r="U11">
            <v>1.2</v>
          </cell>
        </row>
        <row r="12">
          <cell r="T12" t="str">
            <v>PROLOG</v>
          </cell>
          <cell r="U12">
            <v>1.2</v>
          </cell>
        </row>
        <row r="13">
          <cell r="T13" t="str">
            <v>UNIX Shell Scripts</v>
          </cell>
          <cell r="U13">
            <v>1.2</v>
          </cell>
        </row>
        <row r="14">
          <cell r="T14" t="str">
            <v>COBOL</v>
          </cell>
          <cell r="U14">
            <v>1</v>
          </cell>
        </row>
        <row r="15">
          <cell r="T15" t="str">
            <v>FORTRAN</v>
          </cell>
          <cell r="U15">
            <v>1</v>
          </cell>
        </row>
        <row r="16">
          <cell r="Q16" t="str">
            <v>업무처리용</v>
          </cell>
          <cell r="T16" t="str">
            <v>PL/1</v>
          </cell>
          <cell r="U16">
            <v>1</v>
          </cell>
        </row>
        <row r="17">
          <cell r="Q17" t="str">
            <v>과학기술용</v>
          </cell>
          <cell r="T17" t="str">
            <v>PASCAL</v>
          </cell>
          <cell r="U17">
            <v>1</v>
          </cell>
        </row>
        <row r="18">
          <cell r="Q18" t="str">
            <v>멀티미디어용</v>
          </cell>
          <cell r="T18" t="str">
            <v>Ada</v>
          </cell>
          <cell r="U18">
            <v>1</v>
          </cell>
        </row>
        <row r="19">
          <cell r="Q19" t="str">
            <v>지능정보용</v>
          </cell>
          <cell r="T19" t="str">
            <v>ABAP4</v>
          </cell>
          <cell r="U19">
            <v>0.8</v>
          </cell>
        </row>
        <row r="20">
          <cell r="Q20" t="str">
            <v>시스템용</v>
          </cell>
          <cell r="T20" t="str">
            <v>Delphi</v>
          </cell>
          <cell r="U20">
            <v>0.8</v>
          </cell>
        </row>
        <row r="21">
          <cell r="Q21" t="str">
            <v>통신제어용</v>
          </cell>
          <cell r="T21" t="str">
            <v>HTML</v>
          </cell>
          <cell r="U21">
            <v>0.8</v>
          </cell>
        </row>
        <row r="22">
          <cell r="Q22" t="str">
            <v>공정제어용</v>
          </cell>
          <cell r="T22" t="str">
            <v>Power Builder</v>
          </cell>
          <cell r="U22">
            <v>0.8</v>
          </cell>
        </row>
        <row r="23">
          <cell r="Q23" t="str">
            <v>지휘통제용</v>
          </cell>
          <cell r="T23" t="str">
            <v>Program Generator</v>
          </cell>
          <cell r="U23">
            <v>0.8</v>
          </cell>
        </row>
        <row r="24">
          <cell r="T24" t="str">
            <v>Query default</v>
          </cell>
          <cell r="U24">
            <v>0.8</v>
          </cell>
        </row>
        <row r="25">
          <cell r="T25" t="str">
            <v>Small Talk</v>
          </cell>
          <cell r="U25">
            <v>0.8</v>
          </cell>
        </row>
        <row r="26">
          <cell r="T26" t="str">
            <v>Visual Basic</v>
          </cell>
          <cell r="U26">
            <v>0.8</v>
          </cell>
        </row>
        <row r="27">
          <cell r="T27" t="str">
            <v>SQL</v>
          </cell>
          <cell r="U27">
            <v>0.8</v>
          </cell>
        </row>
        <row r="28">
          <cell r="T28" t="str">
            <v>Statistical default</v>
          </cell>
          <cell r="U28">
            <v>0.8</v>
          </cell>
        </row>
        <row r="29">
          <cell r="T29" t="str">
            <v>XML default</v>
          </cell>
          <cell r="U29">
            <v>0.8</v>
          </cell>
        </row>
        <row r="30">
          <cell r="T30" t="str">
            <v>Script default(JSP, ASP, PHP 등)</v>
          </cell>
          <cell r="U30">
            <v>0.8</v>
          </cell>
        </row>
        <row r="31">
          <cell r="T31" t="str">
            <v>EXCEL</v>
          </cell>
          <cell r="U31">
            <v>0.6</v>
          </cell>
        </row>
        <row r="32">
          <cell r="T32" t="str">
            <v>Spreadsheet default</v>
          </cell>
          <cell r="U32">
            <v>0.6</v>
          </cell>
        </row>
        <row r="33">
          <cell r="T33" t="str">
            <v>Screen painter default</v>
          </cell>
          <cell r="U33">
            <v>0.6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5.xml><?xml version="1.0" encoding="utf-8"?>
<externalLink xmlns="http://schemas.openxmlformats.org/spreadsheetml/2006/main">
  <externalBook xmlns:r="http://schemas.openxmlformats.org/officeDocument/2006/relationships" r:id="rId1">
    <sheetNames>
      <sheetName val="설계서표지"/>
      <sheetName val="과업지시서"/>
      <sheetName val="설계예산서표지"/>
      <sheetName val="갑지"/>
      <sheetName val="총괄설계내역서"/>
      <sheetName val="설계내역"/>
      <sheetName val="일위대가표(표지)"/>
      <sheetName val="일위대가"/>
      <sheetName val="산출근거(표지)"/>
      <sheetName val="준설단가"/>
      <sheetName val="산출근거(기본설계비)"/>
      <sheetName val="물량 및 단가산출기초(표지)"/>
      <sheetName val="물량기초(관거현황)"/>
      <sheetName val="관거보수 물량"/>
      <sheetName val="용역물량"/>
      <sheetName val="관거개량물량"/>
      <sheetName val="공사비(관거개량)"/>
      <sheetName val="공사비단가(굴착, 개량)"/>
      <sheetName val="공사비단가(비굴착)"/>
      <sheetName val="공사비(관거보수)"/>
      <sheetName val="산출기초(인건비)"/>
      <sheetName val="각형맨홀"/>
      <sheetName val="고시단가"/>
      <sheetName val="수량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116.xml><?xml version="1.0" encoding="utf-8"?>
<externalLink xmlns="http://schemas.openxmlformats.org/spreadsheetml/2006/main">
  <externalBook xmlns:r="http://schemas.openxmlformats.org/officeDocument/2006/relationships" r:id="rId1">
    <sheetNames>
      <sheetName val="공사개요"/>
      <sheetName val="견적사항요약"/>
      <sheetName val="공사비집계표"/>
      <sheetName val="협력업체"/>
      <sheetName val="초청현황"/>
      <sheetName val="견적대비"/>
      <sheetName val="외주견적의뢰"/>
      <sheetName val="외주견적내역"/>
      <sheetName val="머리말"/>
      <sheetName val="표지"/>
      <sheetName val="현설청취보고서"/>
      <sheetName val="목표원가 "/>
      <sheetName val="목표실행"/>
      <sheetName val="품의양식"/>
      <sheetName val="현장설명서"/>
      <sheetName val=" 부대초청 "/>
      <sheetName val="토공사대비표"/>
      <sheetName val="외주견적품의"/>
      <sheetName val="질의"/>
      <sheetName val="공문"/>
      <sheetName val="공 정 표"/>
      <sheetName val="보할공정표"/>
      <sheetName val="보할공정표1"/>
      <sheetName val="금융비"/>
      <sheetName val="공기산정"/>
      <sheetName val="공통가설"/>
      <sheetName val="모듈"/>
      <sheetName val="내역서1999.8최종"/>
      <sheetName val="일위대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</sheetDataSet>
  </externalBook>
</externalLink>
</file>

<file path=xl/externalLinks/externalLink117.xml><?xml version="1.0" encoding="utf-8"?>
<externalLink xmlns="http://schemas.openxmlformats.org/spreadsheetml/2006/main">
  <externalBook xmlns:r="http://schemas.openxmlformats.org/officeDocument/2006/relationships" r:id="rId1">
    <sheetNames>
      <sheetName val="철거수량총괄"/>
      <sheetName val="성남철거수량집계"/>
      <sheetName val="성남담장조적"/>
      <sheetName val="성남담장무근"/>
      <sheetName val="성남철문철거"/>
      <sheetName val="가양철거수량집계"/>
      <sheetName val="가양담장조적"/>
      <sheetName val="가양담장무근"/>
      <sheetName val="가양철문철거"/>
      <sheetName val="가양경계석및콘크리트포장"/>
      <sheetName val="용운체육공원"/>
      <sheetName val="단위수량"/>
      <sheetName val="문주"/>
      <sheetName val="침목계단(가양)"/>
      <sheetName val="침목계단(성남)"/>
      <sheetName val="입간판"/>
      <sheetName val="토공(성남)"/>
      <sheetName val="토공(가양)"/>
      <sheetName val="조명시설"/>
      <sheetName val="내역서1999.8최종"/>
      <sheetName val="열린교정및휴식공원조성공사(수량산출2003.3)2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8.xml><?xml version="1.0" encoding="utf-8"?>
<externalLink xmlns="http://schemas.openxmlformats.org/spreadsheetml/2006/main">
  <externalBook xmlns:r="http://schemas.openxmlformats.org/officeDocument/2006/relationships" r:id="rId1">
    <sheetNames>
      <sheetName val="설계예산서표지"/>
      <sheetName val="설계예산서총괄"/>
      <sheetName val="설계내역서"/>
      <sheetName val="일위대가표"/>
      <sheetName val="개략공사비추정"/>
      <sheetName val="산근2"/>
      <sheetName val="1.총괄"/>
      <sheetName val="2.총괄표"/>
      <sheetName val="3.직접인건비"/>
      <sheetName val="4.직접경비"/>
      <sheetName val="Sheet1"/>
      <sheetName val="기초단가"/>
      <sheetName val="일위대가"/>
      <sheetName val="조명시설"/>
      <sheetName val="제-노임"/>
      <sheetName val="제직재"/>
      <sheetName val="2.어플리케이션보정계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1">
          <cell r="B11">
            <v>93309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19.xml><?xml version="1.0" encoding="utf-8"?>
<externalLink xmlns="http://schemas.openxmlformats.org/spreadsheetml/2006/main">
  <externalBook xmlns:r="http://schemas.openxmlformats.org/officeDocument/2006/relationships" r:id="rId1">
    <sheetNames>
      <sheetName val="수지예산"/>
      <sheetName val="수지예산증감"/>
      <sheetName val="계획보완증감"/>
      <sheetName val="년도별공사비"/>
      <sheetName val="이동조서"/>
      <sheetName val="공사원가"/>
      <sheetName val="공사비명세서"/>
      <sheetName val="관급자재대"/>
      <sheetName val="사급자재대"/>
      <sheetName val="자재집계표"/>
      <sheetName val="재료집계표"/>
      <sheetName val="토적계산서"/>
      <sheetName val="재료계산서"/>
      <sheetName val="단가일람"/>
      <sheetName val="Sheet1"/>
      <sheetName val="노임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120.xml><?xml version="1.0" encoding="utf-8"?>
<externalLink xmlns="http://schemas.openxmlformats.org/spreadsheetml/2006/main">
  <externalBook xmlns:r="http://schemas.openxmlformats.org/officeDocument/2006/relationships" r:id="rId1">
    <sheetNames>
      <sheetName val="예산서"/>
      <sheetName val="내역서"/>
      <sheetName val="소요인력비교"/>
      <sheetName val="노임단가"/>
      <sheetName val="기초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1.xml><?xml version="1.0" encoding="utf-8"?>
<externalLink xmlns="http://schemas.openxmlformats.org/spreadsheetml/2006/main">
  <externalBook xmlns:r="http://schemas.openxmlformats.org/officeDocument/2006/relationships" r:id="rId1">
    <sheetNames>
      <sheetName val="심사출력"/>
      <sheetName val="심사물량"/>
      <sheetName val="심사계산"/>
      <sheetName val="setup"/>
    </sheetNames>
    <sheetDataSet>
      <sheetData sheetId="0" refreshError="1"/>
      <sheetData sheetId="1" refreshError="1">
        <row r="4">
          <cell r="C4">
            <v>93321</v>
          </cell>
        </row>
        <row r="6">
          <cell r="C6">
            <v>78613</v>
          </cell>
        </row>
        <row r="7">
          <cell r="C7">
            <v>58567</v>
          </cell>
        </row>
        <row r="9">
          <cell r="C9">
            <v>33750</v>
          </cell>
        </row>
      </sheetData>
      <sheetData sheetId="2" refreshError="1"/>
      <sheetData sheetId="3" refreshError="1"/>
    </sheetDataSet>
  </externalBook>
</externalLink>
</file>

<file path=xl/externalLinks/externalLink122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총괄표"/>
      <sheetName val="DB구축비용"/>
      <sheetName val="DB산출근거"/>
      <sheetName val="개발비용"/>
      <sheetName val="개발산출근거"/>
      <sheetName val="일위대가"/>
      <sheetName val="고시단가"/>
      <sheetName val="노임단가 (2)"/>
      <sheetName val="환경성검토산출근거"/>
      <sheetName val="심사물량"/>
      <sheetName val="심사계산"/>
      <sheetName val="직노"/>
      <sheetName val="실행내역"/>
      <sheetName val="노임단가"/>
      <sheetName val="Sheet1 (2)"/>
      <sheetName val="200"/>
      <sheetName val="장비집계"/>
      <sheetName val="산근1(인건비)"/>
      <sheetName val="setup"/>
      <sheetName val="노임단가 및 기계경비"/>
      <sheetName val="도로횡단-D300"/>
      <sheetName val="항공측량노임단가"/>
      <sheetName val="데리네이타현황"/>
      <sheetName val="기초단가"/>
      <sheetName val="산출근거"/>
      <sheetName val="2003상반기노임기준"/>
      <sheetName val="차수공개요"/>
      <sheetName val="참조"/>
      <sheetName val="일위대가표"/>
      <sheetName val="Sheet2"/>
      <sheetName val="100만평"/>
      <sheetName val="경산시기준점및좌표변환"/>
      <sheetName val="2.재료비"/>
      <sheetName val="12.보오링"/>
      <sheetName val="18.공내수압탄성자연"/>
      <sheetName val="간지"/>
      <sheetName val="데이타"/>
      <sheetName val="식재인부"/>
      <sheetName val="자재단가"/>
      <sheetName val="조명시설"/>
      <sheetName val="용역단가"/>
      <sheetName val="입력란"/>
      <sheetName val="97노임단가"/>
      <sheetName val="지급자재"/>
      <sheetName val="단가"/>
      <sheetName val="기계경비"/>
      <sheetName val="I一般比"/>
      <sheetName val="수량산출"/>
      <sheetName val="설계명세서"/>
      <sheetName val="덕전리"/>
      <sheetName val="상수구조화편집부표"/>
      <sheetName val="재료"/>
      <sheetName val="도로일위대가표"/>
      <sheetName val="입력변수"/>
      <sheetName val="단가산출(T)"/>
      <sheetName val="제품목록"/>
      <sheetName val="사용자입력"/>
      <sheetName val="Assumption"/>
      <sheetName val="data"/>
      <sheetName val="직접경비"/>
      <sheetName val="직접인건비"/>
      <sheetName val="인구"/>
      <sheetName val="환경평가"/>
      <sheetName val="코드표"/>
      <sheetName val="지형고시-내역"/>
      <sheetName val="지형고시-일위대가표"/>
      <sheetName val="지형고시-근거"/>
      <sheetName val="적성평가_내역서"/>
      <sheetName val="적성평가_일위대가표"/>
      <sheetName val="적성평가_수량산출서"/>
      <sheetName val="계획단위면적"/>
      <sheetName val="2014년 기술노임단가"/>
      <sheetName val="총괄내역서"/>
      <sheetName val="도시관리계획(변경)결정 내역서"/>
      <sheetName val="도시관리계획(변경)결정 일위대가표"/>
      <sheetName val="도시관리계획(변경)결정 소요인력산출근거"/>
      <sheetName val="지형도면고시"/>
      <sheetName val="지형고시근거"/>
      <sheetName val="교통성"/>
      <sheetName val="교통대가"/>
      <sheetName val="환경성"/>
      <sheetName val="환경대가"/>
      <sheetName val="재해"/>
      <sheetName val="재해대가"/>
      <sheetName val="재해산출근거"/>
      <sheetName val="#REF"/>
      <sheetName val="요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8">
          <cell r="F8">
            <v>121420</v>
          </cell>
        </row>
        <row r="9">
          <cell r="F9">
            <v>93309</v>
          </cell>
        </row>
        <row r="10">
          <cell r="F10">
            <v>77131</v>
          </cell>
        </row>
        <row r="11">
          <cell r="F11">
            <v>59569</v>
          </cell>
        </row>
        <row r="14">
          <cell r="F14">
            <v>44587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123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results"/>
      <sheetName val="data"/>
      <sheetName val="내역총괄"/>
      <sheetName val="직접인건비"/>
      <sheetName val="직접경비"/>
      <sheetName val="인력"/>
      <sheetName val="Sheet16"/>
      <sheetName val="노임단가"/>
      <sheetName val="고시단가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124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표지"/>
      <sheetName val="내역총괄"/>
      <sheetName val="목차"/>
      <sheetName val="직접인건비"/>
      <sheetName val="직접경비"/>
      <sheetName val="Module2"/>
      <sheetName val="Module1"/>
    </sheetNames>
    <sheetDataSet>
      <sheetData sheetId="0">
        <row r="5">
          <cell r="C5">
            <v>7</v>
          </cell>
          <cell r="D5">
            <v>4</v>
          </cell>
          <cell r="E5">
            <v>2</v>
          </cell>
          <cell r="F5">
            <v>5</v>
          </cell>
        </row>
        <row r="9">
          <cell r="C9">
            <v>138714</v>
          </cell>
          <cell r="D9">
            <v>1</v>
          </cell>
        </row>
        <row r="10">
          <cell r="C10">
            <v>118674</v>
          </cell>
          <cell r="D10">
            <v>1</v>
          </cell>
        </row>
        <row r="11">
          <cell r="C11">
            <v>96387</v>
          </cell>
          <cell r="D11">
            <v>1</v>
          </cell>
        </row>
        <row r="12">
          <cell r="C12">
            <v>69746</v>
          </cell>
          <cell r="D12">
            <v>1</v>
          </cell>
        </row>
      </sheetData>
      <sheetData sheetId="1"/>
      <sheetData sheetId="2"/>
      <sheetData sheetId="3"/>
      <sheetData sheetId="4">
        <row r="3">
          <cell r="F3">
            <v>57659192</v>
          </cell>
        </row>
      </sheetData>
      <sheetData sheetId="5">
        <row r="3">
          <cell r="F3">
            <v>32452700</v>
          </cell>
        </row>
      </sheetData>
      <sheetData sheetId="6"/>
      <sheetData sheetId="7"/>
    </sheetDataSet>
  </externalBook>
</externalLink>
</file>

<file path=xl/externalLinks/externalLink125.xml><?xml version="1.0" encoding="utf-8"?>
<externalLink xmlns="http://schemas.openxmlformats.org/spreadsheetml/2006/main">
  <externalBook xmlns:r="http://schemas.openxmlformats.org/officeDocument/2006/relationships" r:id="rId1">
    <sheetNames>
      <sheetName val="_"/>
      <sheetName val="총괄내역서"/>
      <sheetName val="설계예산서"/>
      <sheetName val="설계예산서 (2)"/>
      <sheetName val="투찰갑"/>
      <sheetName val="투찰내역"/>
      <sheetName val="◀|▶"/>
      <sheetName val="하도사항"/>
      <sheetName val="토공사"/>
      <sheetName val="토공사 (지역)"/>
      <sheetName val="철콘(지역)"/>
      <sheetName val="포장(지역)"/>
      <sheetName val="비계"/>
      <sheetName val="data"/>
      <sheetName val="직접경비"/>
      <sheetName val="직접인건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126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공종단가"/>
      <sheetName val="운반비단가"/>
      <sheetName val="재료비"/>
      <sheetName val="가공송전산출서"/>
      <sheetName val="토목분야산출서"/>
      <sheetName val="직종별노임"/>
      <sheetName val="노임변동률"/>
      <sheetName val="제목"/>
      <sheetName val="laroux"/>
      <sheetName val="증감대비"/>
      <sheetName val="직접경비"/>
      <sheetName val="직접인건비"/>
    </sheetNames>
    <sheetDataSet>
      <sheetData sheetId="0" refreshError="1"/>
      <sheetData sheetId="1">
        <row r="2">
          <cell r="C2" t="str">
            <v>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127.xml><?xml version="1.0" encoding="utf-8"?>
<externalLink xmlns="http://schemas.openxmlformats.org/spreadsheetml/2006/main">
  <externalBook xmlns:r="http://schemas.openxmlformats.org/officeDocument/2006/relationships" r:id="rId1">
    <sheetNames>
      <sheetName val="지촌덕평"/>
      <sheetName val="지잡비"/>
      <sheetName val="사업비"/>
      <sheetName val="발계비교"/>
      <sheetName val="발부비"/>
      <sheetName val="1덕평흑석"/>
      <sheetName val="1공잡비"/>
      <sheetName val="2흑석옥성"/>
      <sheetName val="2공잡비"/>
      <sheetName val="수의"/>
      <sheetName val="수잡비"/>
      <sheetName val="00"/>
      <sheetName val="문광당총"/>
      <sheetName val="문당총잡비"/>
      <sheetName val="11"/>
      <sheetName val="청천내"/>
      <sheetName val="청천잡"/>
      <sheetName val="DATE"/>
      <sheetName val="총괄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128.xml><?xml version="1.0" encoding="utf-8"?>
<externalLink xmlns="http://schemas.openxmlformats.org/spreadsheetml/2006/main">
  <externalBook xmlns:r="http://schemas.openxmlformats.org/officeDocument/2006/relationships" r:id="rId1">
    <sheetNames>
      <sheetName val="기계경비(시간당)"/>
      <sheetName val="램머"/>
      <sheetName val="경산"/>
      <sheetName val="청천내"/>
    </sheetNames>
    <sheetDataSet>
      <sheetData sheetId="0" refreshError="1">
        <row r="1">
          <cell r="C1" t="str">
            <v> </v>
          </cell>
          <cell r="D1" t="str">
            <v>기본단가</v>
          </cell>
        </row>
        <row r="2">
          <cell r="C2" t="str">
            <v>보통인부</v>
          </cell>
          <cell r="D2">
            <v>34900</v>
          </cell>
        </row>
        <row r="3">
          <cell r="C3" t="str">
            <v>운전사(기계)</v>
          </cell>
          <cell r="D3">
            <v>48000</v>
          </cell>
        </row>
        <row r="4">
          <cell r="C4" t="str">
            <v>중기운전기사</v>
          </cell>
          <cell r="D4">
            <v>52100</v>
          </cell>
        </row>
        <row r="5">
          <cell r="C5" t="str">
            <v>중기운전조수</v>
          </cell>
          <cell r="D5">
            <v>44100</v>
          </cell>
        </row>
        <row r="6">
          <cell r="C6" t="str">
            <v>중기조장</v>
          </cell>
          <cell r="D6">
            <v>57400</v>
          </cell>
        </row>
        <row r="7">
          <cell r="C7" t="str">
            <v>운전사(운반)</v>
          </cell>
          <cell r="D7">
            <v>44700</v>
          </cell>
        </row>
        <row r="8">
          <cell r="C8" t="str">
            <v>작업반장</v>
          </cell>
          <cell r="D8">
            <v>59200</v>
          </cell>
        </row>
        <row r="9">
          <cell r="C9" t="str">
            <v>특별인부</v>
          </cell>
          <cell r="D9">
            <v>55000</v>
          </cell>
        </row>
        <row r="10">
          <cell r="C10" t="str">
            <v>포장공</v>
          </cell>
          <cell r="D10">
            <v>68200</v>
          </cell>
        </row>
        <row r="11">
          <cell r="C11" t="str">
            <v>포설공</v>
          </cell>
          <cell r="D11">
            <v>66300</v>
          </cell>
        </row>
        <row r="12">
          <cell r="C12" t="str">
            <v>착암공</v>
          </cell>
          <cell r="D12">
            <v>52600</v>
          </cell>
        </row>
        <row r="13">
          <cell r="C13" t="str">
            <v>용접공</v>
          </cell>
          <cell r="D13">
            <v>65500</v>
          </cell>
        </row>
        <row r="16">
          <cell r="C16" t="str">
            <v>용접봉(115x3)</v>
          </cell>
          <cell r="D16">
            <v>870</v>
          </cell>
        </row>
        <row r="17">
          <cell r="C17" t="str">
            <v>산소(99%)</v>
          </cell>
          <cell r="D17">
            <v>0.28999999999999998</v>
          </cell>
        </row>
        <row r="18">
          <cell r="C18" t="str">
            <v>아세틸렌(99%)</v>
          </cell>
          <cell r="D18">
            <v>5500</v>
          </cell>
        </row>
        <row r="19">
          <cell r="C19" t="str">
            <v>휘발유</v>
          </cell>
          <cell r="D19">
            <v>756</v>
          </cell>
        </row>
        <row r="20">
          <cell r="C20" t="str">
            <v>경유</v>
          </cell>
          <cell r="D20">
            <v>331</v>
          </cell>
        </row>
        <row r="21">
          <cell r="C21" t="str">
            <v>환율</v>
          </cell>
          <cell r="D21">
            <v>847.9</v>
          </cell>
        </row>
        <row r="22">
          <cell r="C22" t="str">
            <v>치즐07</v>
          </cell>
          <cell r="D22">
            <v>200000</v>
          </cell>
        </row>
        <row r="23">
          <cell r="C23" t="str">
            <v>치즐04</v>
          </cell>
          <cell r="D23">
            <v>50000</v>
          </cell>
        </row>
        <row r="24">
          <cell r="C24" t="str">
            <v>치즐02</v>
          </cell>
          <cell r="D24">
            <v>50000</v>
          </cell>
        </row>
        <row r="25">
          <cell r="C25" t="str">
            <v>티스07</v>
          </cell>
          <cell r="D25">
            <v>42000</v>
          </cell>
        </row>
        <row r="26">
          <cell r="C26" t="str">
            <v>티스04</v>
          </cell>
          <cell r="D26">
            <v>25000</v>
          </cell>
        </row>
        <row r="27">
          <cell r="C27" t="str">
            <v>티스02</v>
          </cell>
          <cell r="D27">
            <v>12600</v>
          </cell>
        </row>
        <row r="28">
          <cell r="C28" t="str">
            <v>브레이드(300-400)</v>
          </cell>
          <cell r="D28">
            <v>178000</v>
          </cell>
        </row>
        <row r="29">
          <cell r="C29" t="str">
            <v>에어호스25mm</v>
          </cell>
          <cell r="D29">
            <v>62300</v>
          </cell>
        </row>
        <row r="30">
          <cell r="C30" t="str">
            <v>에어호스19mm</v>
          </cell>
          <cell r="D30">
            <v>77000</v>
          </cell>
        </row>
        <row r="31">
          <cell r="C31" t="str">
            <v>8톤트럭</v>
          </cell>
          <cell r="D31">
            <v>18208000</v>
          </cell>
        </row>
        <row r="32">
          <cell r="C32" t="str">
            <v>10.5톤트럭</v>
          </cell>
          <cell r="D32">
            <v>25725000</v>
          </cell>
        </row>
        <row r="33">
          <cell r="C33" t="str">
            <v>브레이카07</v>
          </cell>
          <cell r="D33">
            <v>14635</v>
          </cell>
          <cell r="E33" t="str">
            <v>환율</v>
          </cell>
        </row>
        <row r="34">
          <cell r="C34" t="str">
            <v>브레이카04</v>
          </cell>
          <cell r="D34">
            <v>6500000</v>
          </cell>
        </row>
        <row r="35">
          <cell r="C35" t="str">
            <v>브레이카02</v>
          </cell>
          <cell r="D35">
            <v>3500000</v>
          </cell>
        </row>
        <row r="36">
          <cell r="C36" t="str">
            <v>RSC-4</v>
          </cell>
          <cell r="D36">
            <v>185</v>
          </cell>
        </row>
        <row r="37">
          <cell r="C37" t="str">
            <v>MC-1</v>
          </cell>
          <cell r="D37">
            <v>190</v>
          </cell>
        </row>
        <row r="38">
          <cell r="C38" t="str">
            <v>백호우07</v>
          </cell>
          <cell r="D38">
            <v>60600000</v>
          </cell>
        </row>
        <row r="39">
          <cell r="C39" t="str">
            <v>백호우04</v>
          </cell>
          <cell r="D39">
            <v>39800000</v>
          </cell>
        </row>
        <row r="40">
          <cell r="C40" t="str">
            <v>백호우02</v>
          </cell>
          <cell r="D40">
            <v>18000000</v>
          </cell>
        </row>
        <row r="41">
          <cell r="C41" t="str">
            <v>램머(80Kg)</v>
          </cell>
          <cell r="D41">
            <v>900000</v>
          </cell>
        </row>
        <row r="42">
          <cell r="C42" t="str">
            <v>윈치부라인트럭(4.5톤)</v>
          </cell>
          <cell r="D42">
            <v>15120000</v>
          </cell>
        </row>
        <row r="43">
          <cell r="C43" t="str">
            <v>수동위치(1TON,15HP)</v>
          </cell>
          <cell r="D43">
            <v>900000</v>
          </cell>
        </row>
        <row r="44">
          <cell r="C44" t="str">
            <v>양수기펌프</v>
          </cell>
          <cell r="D44">
            <v>200000</v>
          </cell>
        </row>
        <row r="45">
          <cell r="C45" t="str">
            <v>엔진(디젤)</v>
          </cell>
          <cell r="D45">
            <v>264000</v>
          </cell>
        </row>
        <row r="46">
          <cell r="C46" t="str">
            <v>AS스프레이어(300)</v>
          </cell>
          <cell r="D46">
            <v>1400</v>
          </cell>
          <cell r="E46" t="str">
            <v>환율</v>
          </cell>
        </row>
        <row r="47">
          <cell r="C47" t="str">
            <v>머캐덤롤러(8-10)</v>
          </cell>
          <cell r="D47">
            <v>31223</v>
          </cell>
          <cell r="E47" t="str">
            <v>환율</v>
          </cell>
        </row>
        <row r="48">
          <cell r="C48" t="str">
            <v>물탱크</v>
          </cell>
          <cell r="D48">
            <v>13097</v>
          </cell>
          <cell r="E48" t="str">
            <v>환율</v>
          </cell>
        </row>
        <row r="49">
          <cell r="C49" t="str">
            <v>진동롤러(2.5)</v>
          </cell>
          <cell r="D49">
            <v>4500000</v>
          </cell>
        </row>
        <row r="50">
          <cell r="C50" t="str">
            <v>경운기(1000Kg)</v>
          </cell>
          <cell r="D50">
            <v>1301000</v>
          </cell>
        </row>
        <row r="51">
          <cell r="C51" t="str">
            <v>소형브레이카(25Kg)</v>
          </cell>
          <cell r="D51">
            <v>1130</v>
          </cell>
          <cell r="E51" t="str">
            <v>환율</v>
          </cell>
        </row>
        <row r="52">
          <cell r="C52" t="str">
            <v>에어호스(25mm)</v>
          </cell>
          <cell r="D52">
            <v>77000</v>
          </cell>
        </row>
        <row r="53">
          <cell r="C53" t="str">
            <v>공기압축기(3.5㎥/분)</v>
          </cell>
          <cell r="D53">
            <v>7624</v>
          </cell>
          <cell r="E53" t="str">
            <v>환율</v>
          </cell>
        </row>
        <row r="54">
          <cell r="C54" t="str">
            <v>공기압축기(7.1㎥/분)</v>
          </cell>
          <cell r="D54">
            <v>13496</v>
          </cell>
          <cell r="E54" t="str">
            <v>환율</v>
          </cell>
        </row>
        <row r="55">
          <cell r="C55" t="str">
            <v>15톤트럭</v>
          </cell>
          <cell r="D55">
            <v>42084000</v>
          </cell>
        </row>
        <row r="56">
          <cell r="C56" t="str">
            <v>수중모터펌프(150mm)</v>
          </cell>
          <cell r="D56">
            <v>1130000</v>
          </cell>
        </row>
        <row r="57">
          <cell r="C57" t="str">
            <v>발전기(25Kw)</v>
          </cell>
          <cell r="D57">
            <v>8300</v>
          </cell>
          <cell r="E57" t="str">
            <v>환율</v>
          </cell>
        </row>
        <row r="87">
          <cell r="H87">
            <v>118</v>
          </cell>
        </row>
        <row r="88">
          <cell r="H88">
            <v>9360</v>
          </cell>
        </row>
        <row r="92">
          <cell r="H92">
            <v>5080</v>
          </cell>
        </row>
        <row r="102">
          <cell r="H102">
            <v>4753</v>
          </cell>
        </row>
        <row r="103">
          <cell r="H103">
            <v>6805</v>
          </cell>
        </row>
        <row r="104">
          <cell r="H104">
            <v>9527</v>
          </cell>
        </row>
        <row r="105">
          <cell r="H105">
            <v>400</v>
          </cell>
        </row>
        <row r="109">
          <cell r="H109">
            <v>2559</v>
          </cell>
        </row>
        <row r="110">
          <cell r="H110">
            <v>6805</v>
          </cell>
        </row>
        <row r="111">
          <cell r="H111">
            <v>9527</v>
          </cell>
        </row>
        <row r="112">
          <cell r="H112">
            <v>400</v>
          </cell>
        </row>
        <row r="117">
          <cell r="H117">
            <v>13016</v>
          </cell>
        </row>
        <row r="121">
          <cell r="H121">
            <v>16683</v>
          </cell>
        </row>
        <row r="129">
          <cell r="H129">
            <v>4394</v>
          </cell>
        </row>
        <row r="133">
          <cell r="H133">
            <v>8549</v>
          </cell>
        </row>
        <row r="137">
          <cell r="H137">
            <v>16683</v>
          </cell>
        </row>
        <row r="141">
          <cell r="H141">
            <v>23356</v>
          </cell>
        </row>
        <row r="145">
          <cell r="H145">
            <v>3773</v>
          </cell>
        </row>
        <row r="146">
          <cell r="H146">
            <v>3723</v>
          </cell>
        </row>
        <row r="149">
          <cell r="H149">
            <v>3866</v>
          </cell>
        </row>
        <row r="153">
          <cell r="H153">
            <v>16683</v>
          </cell>
        </row>
        <row r="157">
          <cell r="H157">
            <v>23356</v>
          </cell>
        </row>
        <row r="161">
          <cell r="H161">
            <v>1597</v>
          </cell>
        </row>
        <row r="162">
          <cell r="H162">
            <v>1571</v>
          </cell>
        </row>
        <row r="165">
          <cell r="H165">
            <v>386</v>
          </cell>
        </row>
        <row r="166">
          <cell r="H166">
            <v>9360</v>
          </cell>
        </row>
        <row r="167">
          <cell r="H167">
            <v>13104</v>
          </cell>
        </row>
        <row r="170">
          <cell r="H170">
            <v>582</v>
          </cell>
        </row>
        <row r="240">
          <cell r="H240">
            <v>314</v>
          </cell>
        </row>
        <row r="243">
          <cell r="H243">
            <v>1310.3</v>
          </cell>
        </row>
        <row r="244">
          <cell r="H244">
            <v>10159</v>
          </cell>
        </row>
        <row r="245">
          <cell r="H245">
            <v>14223</v>
          </cell>
        </row>
        <row r="248">
          <cell r="H248">
            <v>2422</v>
          </cell>
        </row>
        <row r="251">
          <cell r="H251">
            <v>2319.5</v>
          </cell>
        </row>
        <row r="252">
          <cell r="H252">
            <v>10159</v>
          </cell>
        </row>
        <row r="253">
          <cell r="H253">
            <v>14223</v>
          </cell>
        </row>
        <row r="256">
          <cell r="H256">
            <v>3892</v>
          </cell>
        </row>
      </sheetData>
      <sheetData sheetId="1" refreshError="1">
        <row r="20">
          <cell r="D20">
            <v>174</v>
          </cell>
          <cell r="F20">
            <v>291</v>
          </cell>
          <cell r="J20">
            <v>291</v>
          </cell>
        </row>
        <row r="21">
          <cell r="D21">
            <v>2810</v>
          </cell>
          <cell r="F21">
            <v>4680</v>
          </cell>
          <cell r="J21">
            <v>6552</v>
          </cell>
        </row>
        <row r="22">
          <cell r="D22">
            <v>115</v>
          </cell>
          <cell r="F22">
            <v>193</v>
          </cell>
          <cell r="J22">
            <v>193</v>
          </cell>
        </row>
      </sheetData>
      <sheetData sheetId="2" refreshError="1"/>
      <sheetData sheetId="3" refreshError="1"/>
    </sheetDataSet>
  </externalBook>
</externalLink>
</file>

<file path=xl/externalLinks/externalLink129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VXXXXX"/>
      <sheetName val="000001"/>
      <sheetName val="노임단가"/>
      <sheetName val="재료비단가"/>
      <sheetName val="기계경비"/>
      <sheetName val="인원산출"/>
      <sheetName val="산출근거"/>
      <sheetName val="일위대가"/>
      <sheetName val="견적서"/>
      <sheetName val="N賃率-職"/>
      <sheetName val="I一般比"/>
      <sheetName val="지구단위계획"/>
      <sheetName val="심사물량"/>
      <sheetName val="심사계산"/>
      <sheetName val="공종단가"/>
      <sheetName val="제경비"/>
      <sheetName val="내역서"/>
      <sheetName val="고시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0.xml><?xml version="1.0" encoding="utf-8"?>
<externalLink xmlns="http://schemas.openxmlformats.org/spreadsheetml/2006/main">
  <externalBook xmlns:r="http://schemas.openxmlformats.org/officeDocument/2006/relationships" r:id="rId1">
    <sheetNames>
      <sheetName val="설계서"/>
      <sheetName val="변경사유서 (2)"/>
      <sheetName val="가로제목"/>
      <sheetName val="변경사유서"/>
      <sheetName val="(변경)총괄내역서"/>
      <sheetName val="도급공사비(변경)총괄표"/>
      <sheetName val="가로소목차"/>
      <sheetName val="1.설계설명서"/>
      <sheetName val="6.내역갑지"/>
      <sheetName val="제경비"/>
      <sheetName val="총괄내역서"/>
      <sheetName val="일위대가목록표"/>
      <sheetName val="산출근거-추가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31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VXXXXX"/>
      <sheetName val="000001"/>
      <sheetName val="노임단가"/>
      <sheetName val="재료비단가"/>
      <sheetName val="기계경비"/>
      <sheetName val="인원산출"/>
      <sheetName val="산출근거"/>
      <sheetName val="일위대가"/>
      <sheetName val="견적서"/>
      <sheetName val="N賃率-職"/>
      <sheetName val="I一般比"/>
      <sheetName val="지구단위계획"/>
      <sheetName val="제경비"/>
      <sheetName val="심사물량"/>
      <sheetName val="심사계산"/>
      <sheetName val="공종단가"/>
      <sheetName val="내역서"/>
      <sheetName val="고시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2.xml><?xml version="1.0" encoding="utf-8"?>
<externalLink xmlns="http://schemas.openxmlformats.org/spreadsheetml/2006/main">
  <externalBook xmlns:r="http://schemas.openxmlformats.org/officeDocument/2006/relationships" r:id="rId1">
    <sheetNames>
      <sheetName val="노임단가"/>
      <sheetName val="경비단가"/>
      <sheetName val="중기집계"/>
      <sheetName val="중기손료"/>
      <sheetName val="토   공 "/>
      <sheetName val="배수공"/>
      <sheetName val="교량공"/>
      <sheetName val="포장공"/>
      <sheetName val="부대공"/>
      <sheetName val="자재단가"/>
      <sheetName val="단가목록"/>
      <sheetName val="Sheet4"/>
      <sheetName val="Sheet5"/>
    </sheetNames>
    <sheetDataSet>
      <sheetData sheetId="0">
        <row r="8">
          <cell r="C8">
            <v>75306</v>
          </cell>
        </row>
        <row r="11">
          <cell r="C11">
            <v>72430</v>
          </cell>
        </row>
        <row r="12">
          <cell r="C12">
            <v>77839</v>
          </cell>
        </row>
        <row r="13">
          <cell r="C13">
            <v>73217</v>
          </cell>
        </row>
        <row r="19">
          <cell r="C19">
            <v>79467</v>
          </cell>
        </row>
        <row r="45">
          <cell r="C45">
            <v>69595</v>
          </cell>
        </row>
        <row r="46">
          <cell r="C46">
            <v>57292</v>
          </cell>
        </row>
        <row r="105">
          <cell r="C105">
            <v>58906</v>
          </cell>
        </row>
        <row r="118">
          <cell r="C118">
            <v>74016</v>
          </cell>
        </row>
        <row r="123">
          <cell r="C123">
            <v>77728</v>
          </cell>
        </row>
        <row r="136">
          <cell r="C136">
            <v>60249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33.xml><?xml version="1.0" encoding="utf-8"?>
<externalLink xmlns="http://schemas.openxmlformats.org/spreadsheetml/2006/main">
  <externalBook xmlns:r="http://schemas.openxmlformats.org/officeDocument/2006/relationships" r:id="rId1">
    <sheetNames>
      <sheetName val="공내역"/>
      <sheetName val="공잡비"/>
      <sheetName val="20청천덕평"/>
      <sheetName val="20청천잡"/>
      <sheetName val="2000전체분"/>
      <sheetName val="2000전체잡비"/>
      <sheetName val="2000년1차"/>
      <sheetName val="2000년1차잡비"/>
      <sheetName val="신규단가"/>
      <sheetName val="단가리스트"/>
      <sheetName val="입력"/>
      <sheetName val="Sheet1"/>
      <sheetName val="STANDARD"/>
      <sheetName val="배수토공"/>
      <sheetName val="배수철근"/>
      <sheetName val="배수콘크리트"/>
      <sheetName val="측구"/>
      <sheetName val="맹암조서"/>
      <sheetName val="산출근거"/>
      <sheetName val="산마루조서"/>
      <sheetName val="U형조서"/>
      <sheetName val="개거조서"/>
      <sheetName val="수로관조서"/>
      <sheetName val="종배집계"/>
      <sheetName val="종배조서"/>
      <sheetName val="면벽"/>
      <sheetName val="집수수량"/>
      <sheetName val="집수조서"/>
      <sheetName val="도수로1"/>
      <sheetName val="덮개"/>
      <sheetName val="절토도수"/>
      <sheetName val="성토도수"/>
      <sheetName val="도수조서"/>
      <sheetName val="분수관"/>
      <sheetName val="암거토공"/>
      <sheetName val="암거구체"/>
      <sheetName val="암거산출"/>
      <sheetName val="암거그림"/>
      <sheetName val="날개토공"/>
      <sheetName val="날개"/>
      <sheetName val="날개수량"/>
      <sheetName val="날개그림"/>
      <sheetName val="Sheet2"/>
      <sheetName val="00000000"/>
      <sheetName val="10000000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노임단가"/>
      <sheetName val="공사비증감"/>
      <sheetName val="호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</sheetDataSet>
  </externalBook>
</externalLink>
</file>

<file path=xl/externalLinks/externalLink134.xml><?xml version="1.0" encoding="utf-8"?>
<externalLink xmlns="http://schemas.openxmlformats.org/spreadsheetml/2006/main">
  <externalBook xmlns:r="http://schemas.openxmlformats.org/officeDocument/2006/relationships" r:id="rId1">
    <sheetNames>
      <sheetName val="사용자설명서"/>
      <sheetName val="물량조사"/>
      <sheetName val="입력변수"/>
      <sheetName val="설계111"/>
      <sheetName val="심사물량"/>
      <sheetName val="산출근거"/>
    </sheetNames>
    <sheetDataSet>
      <sheetData sheetId="0" refreshError="1"/>
      <sheetData sheetId="1" refreshError="1"/>
      <sheetData sheetId="2" refreshError="1">
        <row r="36">
          <cell r="D36">
            <v>1.1000000000000001</v>
          </cell>
        </row>
        <row r="37">
          <cell r="D37">
            <v>0.2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35.xml><?xml version="1.0" encoding="utf-8"?>
<externalLink xmlns="http://schemas.openxmlformats.org/spreadsheetml/2006/main">
  <externalBook xmlns:r="http://schemas.openxmlformats.org/officeDocument/2006/relationships" r:id="rId1">
    <sheetNames>
      <sheetName val="9509"/>
      <sheetName val="data"/>
      <sheetName val="2000년1차"/>
    </sheetNames>
    <sheetDataSet>
      <sheetData sheetId="0" refreshError="1">
        <row r="3">
          <cell r="A3">
            <v>1</v>
          </cell>
          <cell r="B3" t="str">
            <v>전선관</v>
          </cell>
          <cell r="C3" t="str">
            <v>ST  16C</v>
          </cell>
          <cell r="D3" t="str">
            <v>m</v>
          </cell>
          <cell r="G3">
            <v>741</v>
          </cell>
          <cell r="H3">
            <v>665</v>
          </cell>
          <cell r="Q3">
            <v>665</v>
          </cell>
          <cell r="R3">
            <v>0.1</v>
          </cell>
          <cell r="S3" t="str">
            <v>내선</v>
          </cell>
          <cell r="T3">
            <v>0.08</v>
          </cell>
          <cell r="U3" t="str">
            <v>내선</v>
          </cell>
          <cell r="V3">
            <v>5.6000000000000001E-2</v>
          </cell>
          <cell r="Y3" t="str">
            <v>지중매설 :70%</v>
          </cell>
        </row>
        <row r="4">
          <cell r="A4">
            <v>2</v>
          </cell>
          <cell r="B4" t="str">
            <v>전선관</v>
          </cell>
          <cell r="C4" t="str">
            <v>ST  22C</v>
          </cell>
          <cell r="D4" t="str">
            <v>m</v>
          </cell>
          <cell r="G4">
            <v>741</v>
          </cell>
          <cell r="H4">
            <v>852</v>
          </cell>
          <cell r="Q4">
            <v>852</v>
          </cell>
          <cell r="R4">
            <v>0.1</v>
          </cell>
          <cell r="S4" t="str">
            <v>내선</v>
          </cell>
          <cell r="T4">
            <v>0.11</v>
          </cell>
          <cell r="U4" t="str">
            <v>내선</v>
          </cell>
          <cell r="V4">
            <v>7.6999999999999999E-2</v>
          </cell>
          <cell r="Y4" t="str">
            <v>지중매설 :70%</v>
          </cell>
        </row>
        <row r="5">
          <cell r="A5">
            <v>3</v>
          </cell>
          <cell r="B5" t="str">
            <v>전선관</v>
          </cell>
          <cell r="C5" t="str">
            <v>ST  28C</v>
          </cell>
          <cell r="D5" t="str">
            <v>m</v>
          </cell>
          <cell r="G5">
            <v>741</v>
          </cell>
          <cell r="H5">
            <v>1112</v>
          </cell>
          <cell r="Q5">
            <v>1112</v>
          </cell>
          <cell r="R5">
            <v>0.1</v>
          </cell>
          <cell r="S5" t="str">
            <v>내선</v>
          </cell>
          <cell r="T5">
            <v>0.14000000000000001</v>
          </cell>
          <cell r="U5" t="str">
            <v>내선</v>
          </cell>
          <cell r="V5">
            <v>9.8000000000000004E-2</v>
          </cell>
          <cell r="Y5" t="str">
            <v>지중매설 :70%</v>
          </cell>
        </row>
        <row r="6">
          <cell r="A6">
            <v>4</v>
          </cell>
          <cell r="B6" t="str">
            <v>전선관</v>
          </cell>
          <cell r="C6" t="str">
            <v>ST  36C</v>
          </cell>
          <cell r="D6" t="str">
            <v>m</v>
          </cell>
          <cell r="G6">
            <v>741</v>
          </cell>
          <cell r="H6">
            <v>1365</v>
          </cell>
          <cell r="Q6">
            <v>1365</v>
          </cell>
          <cell r="R6">
            <v>0.1</v>
          </cell>
          <cell r="S6" t="str">
            <v>내선</v>
          </cell>
          <cell r="T6">
            <v>0.2</v>
          </cell>
          <cell r="U6" t="str">
            <v>내선</v>
          </cell>
          <cell r="V6">
            <v>0.14000000000000001</v>
          </cell>
          <cell r="Y6" t="str">
            <v>지중매설 :70%</v>
          </cell>
        </row>
        <row r="7">
          <cell r="A7">
            <v>5</v>
          </cell>
          <cell r="B7" t="str">
            <v>전선관</v>
          </cell>
          <cell r="C7" t="str">
            <v>ST  42C</v>
          </cell>
          <cell r="D7" t="str">
            <v>m</v>
          </cell>
          <cell r="G7">
            <v>741</v>
          </cell>
          <cell r="H7">
            <v>1582</v>
          </cell>
          <cell r="Q7">
            <v>1582</v>
          </cell>
          <cell r="R7">
            <v>0.1</v>
          </cell>
          <cell r="S7" t="str">
            <v>내선</v>
          </cell>
          <cell r="T7">
            <v>0.25</v>
          </cell>
          <cell r="U7" t="str">
            <v>내선</v>
          </cell>
          <cell r="V7">
            <v>0.17499999999999999</v>
          </cell>
          <cell r="Y7" t="str">
            <v>지중매설 :70%</v>
          </cell>
        </row>
        <row r="8">
          <cell r="A8">
            <v>6</v>
          </cell>
          <cell r="B8" t="str">
            <v>전선관</v>
          </cell>
          <cell r="C8" t="str">
            <v>ST  54C</v>
          </cell>
          <cell r="D8" t="str">
            <v>m</v>
          </cell>
          <cell r="G8">
            <v>741</v>
          </cell>
          <cell r="H8">
            <v>2206</v>
          </cell>
          <cell r="Q8">
            <v>2206</v>
          </cell>
          <cell r="R8">
            <v>0.1</v>
          </cell>
          <cell r="S8" t="str">
            <v>내선</v>
          </cell>
          <cell r="T8">
            <v>0.34</v>
          </cell>
          <cell r="U8" t="str">
            <v>내선</v>
          </cell>
          <cell r="V8">
            <v>0.23799999999999999</v>
          </cell>
          <cell r="Y8" t="str">
            <v>지중매설 :70%</v>
          </cell>
        </row>
        <row r="9">
          <cell r="A9">
            <v>7</v>
          </cell>
          <cell r="B9" t="str">
            <v>전선관</v>
          </cell>
          <cell r="C9" t="str">
            <v>ST  104C</v>
          </cell>
          <cell r="D9" t="str">
            <v>m</v>
          </cell>
          <cell r="G9">
            <v>741</v>
          </cell>
          <cell r="H9">
            <v>5020</v>
          </cell>
          <cell r="Q9">
            <v>5020</v>
          </cell>
          <cell r="R9">
            <v>0.1</v>
          </cell>
          <cell r="S9" t="str">
            <v>내선</v>
          </cell>
          <cell r="T9">
            <v>0.71</v>
          </cell>
          <cell r="U9" t="str">
            <v>내선</v>
          </cell>
          <cell r="V9">
            <v>0.497</v>
          </cell>
          <cell r="Y9" t="str">
            <v>지중매설 :70%</v>
          </cell>
        </row>
        <row r="10">
          <cell r="A10">
            <v>8</v>
          </cell>
          <cell r="Q10" t="str"/>
        </row>
        <row r="11">
          <cell r="A11">
            <v>9</v>
          </cell>
          <cell r="Q11" t="str"/>
        </row>
        <row r="12">
          <cell r="A12">
            <v>10</v>
          </cell>
          <cell r="B12" t="str">
            <v>전선관</v>
          </cell>
          <cell r="C12" t="str">
            <v>HI-PVC  16C</v>
          </cell>
          <cell r="D12" t="str">
            <v>m</v>
          </cell>
          <cell r="G12">
            <v>745</v>
          </cell>
          <cell r="H12">
            <v>279</v>
          </cell>
          <cell r="Q12">
            <v>279</v>
          </cell>
          <cell r="R12">
            <v>0.1</v>
          </cell>
          <cell r="S12" t="str">
            <v>내선</v>
          </cell>
          <cell r="T12">
            <v>0.05</v>
          </cell>
          <cell r="U12" t="str">
            <v>내선</v>
          </cell>
          <cell r="V12">
            <v>3.5000000000000003E-2</v>
          </cell>
          <cell r="Y12" t="str">
            <v>지중매설 :70%</v>
          </cell>
        </row>
        <row r="13">
          <cell r="A13">
            <v>11</v>
          </cell>
          <cell r="B13" t="str">
            <v>전선관</v>
          </cell>
          <cell r="C13" t="str">
            <v>HI-PVC  22C</v>
          </cell>
          <cell r="D13" t="str">
            <v>m</v>
          </cell>
          <cell r="G13">
            <v>745</v>
          </cell>
          <cell r="H13">
            <v>336</v>
          </cell>
          <cell r="Q13">
            <v>336</v>
          </cell>
          <cell r="R13">
            <v>0.1</v>
          </cell>
          <cell r="S13" t="str">
            <v>내선</v>
          </cell>
          <cell r="T13">
            <v>0.06</v>
          </cell>
          <cell r="U13" t="str">
            <v>내선</v>
          </cell>
          <cell r="V13">
            <v>4.2000000000000003E-2</v>
          </cell>
          <cell r="Y13" t="str">
            <v>지중매설 :70%</v>
          </cell>
        </row>
        <row r="14">
          <cell r="A14">
            <v>12</v>
          </cell>
          <cell r="B14" t="str">
            <v>전선관</v>
          </cell>
          <cell r="C14" t="str">
            <v>HI-PVC  28C</v>
          </cell>
          <cell r="D14" t="str">
            <v>m</v>
          </cell>
          <cell r="G14">
            <v>745</v>
          </cell>
          <cell r="H14">
            <v>650</v>
          </cell>
          <cell r="Q14">
            <v>650</v>
          </cell>
          <cell r="R14">
            <v>0.1</v>
          </cell>
          <cell r="S14" t="str">
            <v>내선</v>
          </cell>
          <cell r="T14">
            <v>0.08</v>
          </cell>
          <cell r="U14" t="str">
            <v>내선</v>
          </cell>
          <cell r="V14">
            <v>5.6000000000000001E-2</v>
          </cell>
          <cell r="Y14" t="str">
            <v>지중매설 :70%</v>
          </cell>
        </row>
        <row r="15">
          <cell r="A15">
            <v>13</v>
          </cell>
          <cell r="B15" t="str">
            <v>전선관</v>
          </cell>
          <cell r="C15" t="str">
            <v>HI-PVC  36C</v>
          </cell>
          <cell r="D15" t="str">
            <v>m</v>
          </cell>
          <cell r="G15">
            <v>745</v>
          </cell>
          <cell r="H15">
            <v>906</v>
          </cell>
          <cell r="Q15">
            <v>906</v>
          </cell>
          <cell r="R15">
            <v>0.1</v>
          </cell>
          <cell r="S15" t="str">
            <v>내선</v>
          </cell>
          <cell r="T15">
            <v>0.1</v>
          </cell>
          <cell r="U15" t="str">
            <v>내선</v>
          </cell>
          <cell r="V15">
            <v>7.0000000000000007E-2</v>
          </cell>
          <cell r="Y15" t="str">
            <v>지중매설 :70%</v>
          </cell>
        </row>
        <row r="16">
          <cell r="A16">
            <v>14</v>
          </cell>
          <cell r="B16" t="str">
            <v>전선관</v>
          </cell>
          <cell r="C16" t="str">
            <v>HI-PVC  42C</v>
          </cell>
          <cell r="D16" t="str">
            <v>m</v>
          </cell>
          <cell r="G16">
            <v>745</v>
          </cell>
          <cell r="H16">
            <v>1182</v>
          </cell>
          <cell r="Q16">
            <v>1182</v>
          </cell>
          <cell r="R16">
            <v>0.1</v>
          </cell>
          <cell r="S16" t="str">
            <v>내선</v>
          </cell>
          <cell r="T16">
            <v>0.13</v>
          </cell>
          <cell r="U16" t="str">
            <v>내선</v>
          </cell>
          <cell r="V16">
            <v>9.0999999999999998E-2</v>
          </cell>
          <cell r="Y16" t="str">
            <v>지중매설 :70%</v>
          </cell>
        </row>
        <row r="17">
          <cell r="A17">
            <v>15</v>
          </cell>
          <cell r="Q17" t="str"/>
        </row>
        <row r="18">
          <cell r="A18">
            <v>16</v>
          </cell>
          <cell r="Q18" t="str"/>
        </row>
        <row r="19">
          <cell r="A19">
            <v>17</v>
          </cell>
          <cell r="B19" t="str">
            <v>전선관</v>
          </cell>
          <cell r="C19" t="str">
            <v xml:space="preserve">PE  22C  </v>
          </cell>
          <cell r="D19" t="str">
            <v>m</v>
          </cell>
          <cell r="G19">
            <v>746</v>
          </cell>
          <cell r="H19">
            <v>200</v>
          </cell>
          <cell r="Q19">
            <v>200</v>
          </cell>
          <cell r="R19">
            <v>0.1</v>
          </cell>
          <cell r="U19" t="str">
            <v>배전</v>
          </cell>
          <cell r="V19">
            <v>7.8E-2</v>
          </cell>
        </row>
        <row r="20">
          <cell r="A20">
            <v>18</v>
          </cell>
          <cell r="B20" t="str">
            <v>전선관</v>
          </cell>
          <cell r="C20" t="str">
            <v>PE  28C</v>
          </cell>
          <cell r="D20" t="str">
            <v>m</v>
          </cell>
          <cell r="G20">
            <v>746</v>
          </cell>
          <cell r="H20">
            <v>330</v>
          </cell>
          <cell r="Q20">
            <v>330</v>
          </cell>
          <cell r="R20">
            <v>0.1</v>
          </cell>
          <cell r="U20" t="str">
            <v>배전</v>
          </cell>
          <cell r="V20">
            <v>7.8E-2</v>
          </cell>
        </row>
        <row r="21">
          <cell r="A21">
            <v>19</v>
          </cell>
          <cell r="B21" t="str">
            <v>전선관</v>
          </cell>
          <cell r="C21" t="str">
            <v>PE  36C</v>
          </cell>
          <cell r="D21" t="str">
            <v>m</v>
          </cell>
          <cell r="G21">
            <v>746</v>
          </cell>
          <cell r="H21">
            <v>490</v>
          </cell>
          <cell r="Q21">
            <v>490</v>
          </cell>
          <cell r="R21">
            <v>0.1</v>
          </cell>
          <cell r="U21" t="str">
            <v>배전</v>
          </cell>
          <cell r="V21">
            <v>7.8E-2</v>
          </cell>
        </row>
        <row r="22">
          <cell r="A22">
            <v>20</v>
          </cell>
          <cell r="B22" t="str">
            <v>전선관</v>
          </cell>
          <cell r="C22" t="str">
            <v>PE  42C</v>
          </cell>
          <cell r="D22" t="str">
            <v>m</v>
          </cell>
          <cell r="G22">
            <v>746</v>
          </cell>
          <cell r="H22">
            <v>570</v>
          </cell>
          <cell r="Q22">
            <v>570</v>
          </cell>
          <cell r="R22">
            <v>0.1</v>
          </cell>
          <cell r="U22" t="str">
            <v>배전</v>
          </cell>
          <cell r="V22">
            <v>7.8E-2</v>
          </cell>
        </row>
        <row r="23">
          <cell r="A23">
            <v>21</v>
          </cell>
          <cell r="Q23" t="str"/>
        </row>
        <row r="24">
          <cell r="A24">
            <v>22</v>
          </cell>
          <cell r="Q24" t="str"/>
        </row>
        <row r="25">
          <cell r="A25">
            <v>23</v>
          </cell>
          <cell r="B25" t="str">
            <v>전선관</v>
          </cell>
          <cell r="C25" t="str">
            <v xml:space="preserve">ELPφ30  </v>
          </cell>
          <cell r="D25" t="str">
            <v>m</v>
          </cell>
          <cell r="G25">
            <v>745</v>
          </cell>
          <cell r="H25">
            <v>330</v>
          </cell>
          <cell r="Q25">
            <v>330</v>
          </cell>
          <cell r="R25">
            <v>0.1</v>
          </cell>
          <cell r="U25" t="str">
            <v>배전</v>
          </cell>
          <cell r="V25">
            <v>1.2E-2</v>
          </cell>
          <cell r="W25" t="str">
            <v>보인</v>
          </cell>
          <cell r="X25">
            <v>2.9000000000000001E-2</v>
          </cell>
        </row>
        <row r="26">
          <cell r="A26">
            <v>24</v>
          </cell>
          <cell r="B26" t="str">
            <v>전선관</v>
          </cell>
          <cell r="C26" t="str">
            <v xml:space="preserve">ELPφ40  </v>
          </cell>
          <cell r="D26" t="str">
            <v>m</v>
          </cell>
          <cell r="G26">
            <v>745</v>
          </cell>
          <cell r="H26">
            <v>480</v>
          </cell>
          <cell r="Q26">
            <v>480</v>
          </cell>
          <cell r="R26">
            <v>0.1</v>
          </cell>
          <cell r="U26" t="str">
            <v>배전</v>
          </cell>
          <cell r="V26">
            <v>1.2E-2</v>
          </cell>
          <cell r="W26" t="str">
            <v>보인</v>
          </cell>
          <cell r="X26">
            <v>2.9000000000000001E-2</v>
          </cell>
        </row>
        <row r="27">
          <cell r="A27">
            <v>25</v>
          </cell>
          <cell r="B27" t="str">
            <v>전선관</v>
          </cell>
          <cell r="C27" t="str">
            <v xml:space="preserve">ELPφ50  </v>
          </cell>
          <cell r="D27" t="str">
            <v>m</v>
          </cell>
          <cell r="G27">
            <v>745</v>
          </cell>
          <cell r="H27">
            <v>600</v>
          </cell>
          <cell r="Q27">
            <v>600</v>
          </cell>
          <cell r="R27">
            <v>0.1</v>
          </cell>
          <cell r="U27" t="str">
            <v>배전</v>
          </cell>
          <cell r="V27">
            <v>1.2E-2</v>
          </cell>
          <cell r="W27" t="str">
            <v>보인</v>
          </cell>
          <cell r="X27">
            <v>2.9000000000000001E-2</v>
          </cell>
        </row>
        <row r="28">
          <cell r="A28">
            <v>26</v>
          </cell>
          <cell r="B28" t="str">
            <v>전선관</v>
          </cell>
          <cell r="C28" t="str">
            <v>ELPφ65</v>
          </cell>
          <cell r="D28" t="str">
            <v>m</v>
          </cell>
          <cell r="G28">
            <v>745</v>
          </cell>
          <cell r="H28">
            <v>900</v>
          </cell>
          <cell r="Q28">
            <v>900</v>
          </cell>
          <cell r="R28">
            <v>0.1</v>
          </cell>
          <cell r="U28" t="str">
            <v>배전</v>
          </cell>
          <cell r="V28">
            <v>1.4999999999999999E-2</v>
          </cell>
          <cell r="W28" t="str">
            <v>보인</v>
          </cell>
          <cell r="X28">
            <v>3.5000000000000003E-2</v>
          </cell>
        </row>
        <row r="29">
          <cell r="A29">
            <v>27</v>
          </cell>
          <cell r="B29" t="str">
            <v>전선관</v>
          </cell>
          <cell r="C29" t="str">
            <v>ELPφ80</v>
          </cell>
          <cell r="D29" t="str">
            <v>m</v>
          </cell>
          <cell r="G29">
            <v>745</v>
          </cell>
          <cell r="H29">
            <v>1300</v>
          </cell>
          <cell r="Q29">
            <v>1300</v>
          </cell>
          <cell r="R29">
            <v>0.1</v>
          </cell>
          <cell r="U29" t="str">
            <v>배전</v>
          </cell>
          <cell r="V29">
            <v>1.4999999999999999E-2</v>
          </cell>
          <cell r="W29" t="str">
            <v>보인</v>
          </cell>
          <cell r="X29">
            <v>3.5000000000000003E-2</v>
          </cell>
        </row>
        <row r="30">
          <cell r="A30">
            <v>28</v>
          </cell>
          <cell r="B30" t="str">
            <v>전선관</v>
          </cell>
          <cell r="C30" t="str">
            <v>ELPφ100</v>
          </cell>
          <cell r="D30" t="str">
            <v>m</v>
          </cell>
          <cell r="G30">
            <v>745</v>
          </cell>
          <cell r="H30">
            <v>1800</v>
          </cell>
          <cell r="Q30">
            <v>1800</v>
          </cell>
          <cell r="R30">
            <v>0.1</v>
          </cell>
          <cell r="U30" t="str">
            <v>배전</v>
          </cell>
          <cell r="V30">
            <v>1.7999999999999999E-2</v>
          </cell>
          <cell r="W30" t="str">
            <v>보인</v>
          </cell>
          <cell r="X30">
            <v>5.7000000000000002E-2</v>
          </cell>
        </row>
        <row r="31">
          <cell r="A31">
            <v>29</v>
          </cell>
          <cell r="B31" t="str">
            <v>전선관</v>
          </cell>
          <cell r="C31" t="str">
            <v>ELPφ125</v>
          </cell>
          <cell r="D31" t="str">
            <v>m</v>
          </cell>
          <cell r="G31">
            <v>745</v>
          </cell>
          <cell r="H31">
            <v>2700</v>
          </cell>
          <cell r="Q31">
            <v>2700</v>
          </cell>
          <cell r="R31">
            <v>0.1</v>
          </cell>
          <cell r="U31" t="str">
            <v>배전</v>
          </cell>
          <cell r="V31">
            <v>2.5000000000000001E-2</v>
          </cell>
          <cell r="W31" t="str">
            <v>보인</v>
          </cell>
          <cell r="X31">
            <v>7.6999999999999999E-2</v>
          </cell>
        </row>
        <row r="32">
          <cell r="A32">
            <v>30</v>
          </cell>
          <cell r="B32" t="str">
            <v>전선관</v>
          </cell>
          <cell r="C32" t="str">
            <v>ELPφ150</v>
          </cell>
          <cell r="D32" t="str">
            <v>m</v>
          </cell>
          <cell r="G32">
            <v>745</v>
          </cell>
          <cell r="H32">
            <v>3200</v>
          </cell>
          <cell r="Q32">
            <v>3200</v>
          </cell>
          <cell r="R32">
            <v>0.1</v>
          </cell>
          <cell r="U32" t="str">
            <v>배전</v>
          </cell>
          <cell r="V32">
            <v>0.03</v>
          </cell>
          <cell r="W32" t="str">
            <v>보인</v>
          </cell>
          <cell r="X32">
            <v>9.7000000000000003E-2</v>
          </cell>
        </row>
        <row r="33">
          <cell r="A33">
            <v>31</v>
          </cell>
          <cell r="B33" t="str">
            <v>전선관</v>
          </cell>
          <cell r="C33" t="str">
            <v>ELPφ175</v>
          </cell>
          <cell r="D33" t="str">
            <v>m</v>
          </cell>
          <cell r="G33">
            <v>745</v>
          </cell>
          <cell r="H33">
            <v>4800</v>
          </cell>
          <cell r="Q33">
            <v>4800</v>
          </cell>
          <cell r="R33">
            <v>0.1</v>
          </cell>
          <cell r="U33" t="str">
            <v>배전</v>
          </cell>
          <cell r="V33">
            <v>3.5999999999999997E-2</v>
          </cell>
          <cell r="W33" t="str">
            <v>보인</v>
          </cell>
          <cell r="X33">
            <v>0.11700000000000001</v>
          </cell>
        </row>
        <row r="34">
          <cell r="A34">
            <v>32</v>
          </cell>
          <cell r="B34" t="str">
            <v>전선관</v>
          </cell>
          <cell r="C34" t="str">
            <v>ELPφ200</v>
          </cell>
          <cell r="D34" t="str">
            <v>m</v>
          </cell>
          <cell r="G34">
            <v>745</v>
          </cell>
          <cell r="H34">
            <v>6400</v>
          </cell>
          <cell r="Q34">
            <v>6400</v>
          </cell>
          <cell r="R34">
            <v>0.1</v>
          </cell>
          <cell r="U34" t="str">
            <v>배전</v>
          </cell>
          <cell r="V34">
            <v>4.1000000000000002E-2</v>
          </cell>
          <cell r="W34" t="str">
            <v>보인</v>
          </cell>
          <cell r="X34">
            <v>0.129</v>
          </cell>
        </row>
        <row r="35">
          <cell r="A35">
            <v>33</v>
          </cell>
          <cell r="B35" t="str">
            <v>FLEXIBLE  TUBE 2종</v>
          </cell>
          <cell r="C35" t="str">
            <v>PLICA 방수 #38</v>
          </cell>
          <cell r="D35" t="str">
            <v>m</v>
          </cell>
          <cell r="G35">
            <v>743</v>
          </cell>
          <cell r="H35">
            <v>5560</v>
          </cell>
          <cell r="Q35">
            <v>5560</v>
          </cell>
          <cell r="R35">
            <v>0.1</v>
          </cell>
          <cell r="S35" t="str">
            <v>내선</v>
          </cell>
          <cell r="T35">
            <v>9.0999999999999998E-2</v>
          </cell>
        </row>
        <row r="36">
          <cell r="A36">
            <v>34</v>
          </cell>
          <cell r="B36" t="str">
            <v>FLEXIBLE  TUBE 2종</v>
          </cell>
          <cell r="C36" t="str">
            <v>PLICA 방수 #50</v>
          </cell>
          <cell r="D36" t="str">
            <v>m</v>
          </cell>
          <cell r="G36">
            <v>743</v>
          </cell>
          <cell r="H36">
            <v>8080</v>
          </cell>
          <cell r="Q36">
            <v>8080</v>
          </cell>
          <cell r="R36">
            <v>0.1</v>
          </cell>
          <cell r="S36" t="str">
            <v>내선</v>
          </cell>
          <cell r="T36">
            <v>0.13</v>
          </cell>
        </row>
        <row r="37">
          <cell r="A37">
            <v>35</v>
          </cell>
          <cell r="B37" t="str">
            <v>FLEXIBLE  TUBE 1종</v>
          </cell>
          <cell r="C37" t="str">
            <v>고장력비방수  15C</v>
          </cell>
          <cell r="D37" t="str">
            <v>m</v>
          </cell>
          <cell r="G37">
            <v>742</v>
          </cell>
          <cell r="H37">
            <v>930</v>
          </cell>
          <cell r="Q37">
            <v>930</v>
          </cell>
          <cell r="R37">
            <v>0.1</v>
          </cell>
          <cell r="S37" t="str">
            <v>내선</v>
          </cell>
          <cell r="T37">
            <v>3.9E-2</v>
          </cell>
        </row>
        <row r="38">
          <cell r="A38">
            <v>36</v>
          </cell>
          <cell r="B38" t="str">
            <v>FLEXIBLE  CONNECTOR</v>
          </cell>
          <cell r="C38" t="str">
            <v>PVC 15C-CD</v>
          </cell>
          <cell r="D38" t="str">
            <v>EA</v>
          </cell>
          <cell r="G38">
            <v>746</v>
          </cell>
          <cell r="H38">
            <v>90</v>
          </cell>
          <cell r="Q38">
            <v>90</v>
          </cell>
        </row>
        <row r="39">
          <cell r="A39">
            <v>37</v>
          </cell>
          <cell r="B39" t="str">
            <v>FLEXIBLE  TUBE 1종</v>
          </cell>
          <cell r="C39" t="str">
            <v>고장력방수  15C</v>
          </cell>
          <cell r="D39" t="str">
            <v>m</v>
          </cell>
          <cell r="G39">
            <v>742</v>
          </cell>
          <cell r="H39">
            <v>2000</v>
          </cell>
          <cell r="Q39">
            <v>2000</v>
          </cell>
          <cell r="R39">
            <v>0.1</v>
          </cell>
          <cell r="S39" t="str">
            <v>내선</v>
          </cell>
          <cell r="T39">
            <v>3.9E-2</v>
          </cell>
        </row>
        <row r="40">
          <cell r="A40">
            <v>38</v>
          </cell>
          <cell r="B40" t="str">
            <v>FLEXIBLE  CONNECTOR</v>
          </cell>
          <cell r="C40" t="str">
            <v>방수용콘넥타15C-황동</v>
          </cell>
          <cell r="D40" t="str">
            <v>EA</v>
          </cell>
          <cell r="G40">
            <v>742</v>
          </cell>
          <cell r="H40">
            <v>1370</v>
          </cell>
          <cell r="Q40">
            <v>1370</v>
          </cell>
        </row>
        <row r="41">
          <cell r="A41">
            <v>39</v>
          </cell>
          <cell r="B41" t="str">
            <v>FLEXIBLE  TUBE 1종</v>
          </cell>
          <cell r="C41" t="str">
            <v>고장력방수  17C</v>
          </cell>
          <cell r="D41" t="str">
            <v>m</v>
          </cell>
          <cell r="G41">
            <v>742</v>
          </cell>
          <cell r="H41">
            <v>2620</v>
          </cell>
          <cell r="Q41">
            <v>2620</v>
          </cell>
          <cell r="R41">
            <v>0.1</v>
          </cell>
          <cell r="S41" t="str">
            <v>내선</v>
          </cell>
          <cell r="T41">
            <v>4.9000000000000002E-2</v>
          </cell>
        </row>
        <row r="42">
          <cell r="A42">
            <v>40</v>
          </cell>
          <cell r="B42" t="str">
            <v>FLEXIBLE  CONNECTOR</v>
          </cell>
          <cell r="C42" t="str">
            <v>방수용콘넥타17C-황동</v>
          </cell>
          <cell r="D42" t="str">
            <v>EA</v>
          </cell>
          <cell r="G42">
            <v>742</v>
          </cell>
          <cell r="H42">
            <v>1890</v>
          </cell>
          <cell r="Q42">
            <v>1890</v>
          </cell>
        </row>
        <row r="43">
          <cell r="A43">
            <v>41</v>
          </cell>
          <cell r="B43" t="str">
            <v>FLEXIBLE  TUBE 1종</v>
          </cell>
          <cell r="C43" t="str">
            <v>고장력방수  24C</v>
          </cell>
          <cell r="D43" t="str">
            <v>m</v>
          </cell>
          <cell r="G43">
            <v>742</v>
          </cell>
          <cell r="H43">
            <v>3120</v>
          </cell>
          <cell r="Q43">
            <v>3120</v>
          </cell>
          <cell r="R43">
            <v>0.1</v>
          </cell>
          <cell r="S43" t="str">
            <v>내선</v>
          </cell>
          <cell r="T43">
            <v>6.3E-2</v>
          </cell>
        </row>
        <row r="44">
          <cell r="A44">
            <v>42</v>
          </cell>
          <cell r="B44" t="str">
            <v>FLEXIBLE  CONNECTOR</v>
          </cell>
          <cell r="C44" t="str">
            <v>방수용콘넥타24C-황동</v>
          </cell>
          <cell r="D44" t="str">
            <v>EA</v>
          </cell>
          <cell r="G44">
            <v>742</v>
          </cell>
          <cell r="H44">
            <v>2300</v>
          </cell>
          <cell r="Q44">
            <v>2300</v>
          </cell>
        </row>
        <row r="45">
          <cell r="A45">
            <v>43</v>
          </cell>
          <cell r="B45" t="str">
            <v>FLEXIBLE  TUBE 1종</v>
          </cell>
          <cell r="C45" t="str">
            <v>고장력방수  30C</v>
          </cell>
          <cell r="D45" t="str">
            <v>m</v>
          </cell>
          <cell r="G45">
            <v>742</v>
          </cell>
          <cell r="H45">
            <v>4700</v>
          </cell>
          <cell r="Q45">
            <v>4700</v>
          </cell>
          <cell r="R45">
            <v>0.1</v>
          </cell>
          <cell r="S45" t="str">
            <v>내선</v>
          </cell>
          <cell r="T45">
            <v>7.6999999999999999E-2</v>
          </cell>
        </row>
        <row r="46">
          <cell r="A46">
            <v>44</v>
          </cell>
          <cell r="B46" t="str">
            <v>FLEXIBLE  CONNECTOR</v>
          </cell>
          <cell r="C46" t="str">
            <v>방수용콘넥타30C-황동</v>
          </cell>
          <cell r="D46" t="str">
            <v>EA</v>
          </cell>
          <cell r="G46">
            <v>742</v>
          </cell>
          <cell r="H46">
            <v>3620</v>
          </cell>
          <cell r="Q46">
            <v>3620</v>
          </cell>
        </row>
        <row r="47">
          <cell r="A47">
            <v>45</v>
          </cell>
          <cell r="B47" t="str">
            <v>FLEXIBLE  TUBE 1종</v>
          </cell>
          <cell r="C47" t="str">
            <v>고장력방수  38C</v>
          </cell>
          <cell r="D47" t="str">
            <v>m</v>
          </cell>
          <cell r="G47">
            <v>742</v>
          </cell>
          <cell r="H47">
            <v>7500</v>
          </cell>
          <cell r="Q47">
            <v>7500</v>
          </cell>
          <cell r="R47">
            <v>0.1</v>
          </cell>
          <cell r="S47" t="str">
            <v>내선</v>
          </cell>
          <cell r="T47">
            <v>9.0999999999999998E-2</v>
          </cell>
        </row>
        <row r="48">
          <cell r="A48">
            <v>46</v>
          </cell>
          <cell r="B48" t="str">
            <v>FLEXIBLE  CONNECTOR</v>
          </cell>
          <cell r="C48" t="str">
            <v>방수용콘넥타38C-황동</v>
          </cell>
          <cell r="D48" t="str">
            <v>EA</v>
          </cell>
          <cell r="G48">
            <v>742</v>
          </cell>
          <cell r="H48">
            <v>5450</v>
          </cell>
          <cell r="Q48">
            <v>5450</v>
          </cell>
        </row>
        <row r="49">
          <cell r="A49">
            <v>47</v>
          </cell>
          <cell r="B49" t="str">
            <v>FLEXIBLE  TUBE 1종</v>
          </cell>
          <cell r="C49" t="str">
            <v>고장력방수 50C</v>
          </cell>
          <cell r="D49" t="str">
            <v>m</v>
          </cell>
          <cell r="G49">
            <v>742</v>
          </cell>
          <cell r="H49">
            <v>8800</v>
          </cell>
          <cell r="Q49">
            <v>8800</v>
          </cell>
          <cell r="R49">
            <v>0.1</v>
          </cell>
          <cell r="S49" t="str">
            <v>내선</v>
          </cell>
          <cell r="T49">
            <v>0.13</v>
          </cell>
        </row>
        <row r="50">
          <cell r="A50">
            <v>48</v>
          </cell>
          <cell r="B50" t="str">
            <v>FLEXIBLE  CONNECTOR</v>
          </cell>
          <cell r="C50" t="str">
            <v>방수용콘넥타50C-황동</v>
          </cell>
          <cell r="D50" t="str">
            <v>EA</v>
          </cell>
          <cell r="G50">
            <v>742</v>
          </cell>
          <cell r="H50">
            <v>7370</v>
          </cell>
          <cell r="Q50">
            <v>7370</v>
          </cell>
        </row>
        <row r="51">
          <cell r="A51">
            <v>49</v>
          </cell>
          <cell r="B51" t="str">
            <v>FLEXIBLE  TUBE 2종</v>
          </cell>
          <cell r="C51" t="str">
            <v>PLICA 방수 #15</v>
          </cell>
          <cell r="D51" t="str">
            <v>m</v>
          </cell>
          <cell r="G51">
            <v>743</v>
          </cell>
          <cell r="H51">
            <v>2370</v>
          </cell>
          <cell r="Q51">
            <v>2370</v>
          </cell>
          <cell r="R51">
            <v>0.1</v>
          </cell>
          <cell r="S51" t="str">
            <v>내선</v>
          </cell>
          <cell r="T51">
            <v>3.9E-2</v>
          </cell>
        </row>
        <row r="52">
          <cell r="A52">
            <v>50</v>
          </cell>
          <cell r="B52" t="str">
            <v>FLEXIBLE  TUBE 2종</v>
          </cell>
          <cell r="C52" t="str">
            <v>PLICA 방수 #17</v>
          </cell>
          <cell r="D52" t="str">
            <v>m</v>
          </cell>
          <cell r="G52">
            <v>743</v>
          </cell>
          <cell r="H52">
            <v>2650</v>
          </cell>
          <cell r="Q52">
            <v>2650</v>
          </cell>
          <cell r="R52">
            <v>0.1</v>
          </cell>
          <cell r="S52" t="str">
            <v>내선</v>
          </cell>
          <cell r="T52">
            <v>4.9000000000000002E-2</v>
          </cell>
        </row>
        <row r="53">
          <cell r="A53">
            <v>51</v>
          </cell>
          <cell r="B53" t="str">
            <v>FLEXIBLE  TUBE 2종</v>
          </cell>
          <cell r="C53" t="str">
            <v>PLICA 방수 #24</v>
          </cell>
          <cell r="D53" t="str">
            <v>m</v>
          </cell>
          <cell r="G53">
            <v>743</v>
          </cell>
          <cell r="H53">
            <v>3520</v>
          </cell>
          <cell r="Q53">
            <v>3520</v>
          </cell>
          <cell r="R53">
            <v>0.1</v>
          </cell>
          <cell r="S53" t="str">
            <v>내선</v>
          </cell>
          <cell r="T53">
            <v>6.3E-2</v>
          </cell>
        </row>
        <row r="54">
          <cell r="A54">
            <v>52</v>
          </cell>
          <cell r="B54" t="str">
            <v>FLEXIBLE  TUBE 2종</v>
          </cell>
          <cell r="C54" t="str">
            <v>PLICA 방수 #30</v>
          </cell>
          <cell r="D54" t="str">
            <v>EA</v>
          </cell>
          <cell r="G54">
            <v>743</v>
          </cell>
          <cell r="H54">
            <v>4560</v>
          </cell>
          <cell r="Q54">
            <v>4560</v>
          </cell>
          <cell r="R54">
            <v>0.1</v>
          </cell>
          <cell r="S54" t="str">
            <v>내선</v>
          </cell>
          <cell r="T54">
            <v>7.6999999999999999E-2</v>
          </cell>
        </row>
        <row r="55">
          <cell r="A55">
            <v>53</v>
          </cell>
          <cell r="B55" t="str">
            <v>노말 밴드</v>
          </cell>
          <cell r="C55" t="str">
            <v>ST  28C</v>
          </cell>
          <cell r="D55" t="str">
            <v>EA</v>
          </cell>
          <cell r="G55">
            <v>741</v>
          </cell>
          <cell r="H55">
            <v>1440</v>
          </cell>
          <cell r="Q55">
            <v>1440</v>
          </cell>
        </row>
        <row r="56">
          <cell r="A56">
            <v>54</v>
          </cell>
          <cell r="B56" t="str">
            <v>노말 밴드</v>
          </cell>
          <cell r="C56" t="str">
            <v>ST  36C</v>
          </cell>
          <cell r="D56" t="str">
            <v>EA</v>
          </cell>
          <cell r="G56">
            <v>741</v>
          </cell>
          <cell r="H56">
            <v>2240</v>
          </cell>
          <cell r="Q56">
            <v>2240</v>
          </cell>
        </row>
        <row r="57">
          <cell r="A57">
            <v>55</v>
          </cell>
          <cell r="B57" t="str">
            <v>노말 밴드</v>
          </cell>
          <cell r="C57" t="str">
            <v>ST  42C</v>
          </cell>
          <cell r="D57" t="str">
            <v>EA</v>
          </cell>
          <cell r="G57">
            <v>741</v>
          </cell>
          <cell r="H57">
            <v>2640</v>
          </cell>
          <cell r="Q57">
            <v>2640</v>
          </cell>
        </row>
        <row r="58">
          <cell r="A58">
            <v>56</v>
          </cell>
          <cell r="B58" t="str">
            <v>노말 밴드</v>
          </cell>
          <cell r="C58" t="str">
            <v>ST  54C</v>
          </cell>
          <cell r="D58" t="str">
            <v>EA</v>
          </cell>
          <cell r="G58">
            <v>741</v>
          </cell>
          <cell r="H58">
            <v>4000</v>
          </cell>
          <cell r="Q58">
            <v>4000</v>
          </cell>
        </row>
        <row r="59">
          <cell r="A59">
            <v>57</v>
          </cell>
          <cell r="B59" t="str">
            <v>노말 밴드</v>
          </cell>
          <cell r="C59" t="str">
            <v>ST  104C</v>
          </cell>
          <cell r="D59" t="str">
            <v>EA</v>
          </cell>
          <cell r="G59">
            <v>741</v>
          </cell>
          <cell r="H59">
            <v>18400</v>
          </cell>
          <cell r="Q59">
            <v>18400</v>
          </cell>
        </row>
        <row r="60">
          <cell r="A60">
            <v>58</v>
          </cell>
          <cell r="B60" t="str">
            <v>FLEXIBLE  CONNECTOR</v>
          </cell>
          <cell r="C60" t="str">
            <v>PLICA 방수 #24</v>
          </cell>
          <cell r="D60" t="str">
            <v>EA</v>
          </cell>
          <cell r="G60">
            <v>743</v>
          </cell>
          <cell r="H60">
            <v>1010</v>
          </cell>
          <cell r="Q60">
            <v>1010</v>
          </cell>
        </row>
        <row r="61">
          <cell r="A61">
            <v>59</v>
          </cell>
          <cell r="B61" t="str">
            <v>FLEXIBLE  CONNECTOR</v>
          </cell>
          <cell r="C61" t="str">
            <v>PLICA 방수 #30</v>
          </cell>
          <cell r="D61" t="str">
            <v>EA</v>
          </cell>
          <cell r="G61">
            <v>743</v>
          </cell>
          <cell r="H61">
            <v>1620</v>
          </cell>
          <cell r="Q61">
            <v>1620</v>
          </cell>
        </row>
        <row r="62">
          <cell r="A62">
            <v>60</v>
          </cell>
          <cell r="B62" t="str">
            <v>노말 밴드</v>
          </cell>
          <cell r="C62" t="str">
            <v>HI-PVC  28C</v>
          </cell>
          <cell r="D62" t="str">
            <v>EA</v>
          </cell>
          <cell r="G62">
            <v>745</v>
          </cell>
          <cell r="H62">
            <v>800</v>
          </cell>
          <cell r="Q62">
            <v>800</v>
          </cell>
        </row>
        <row r="63">
          <cell r="A63">
            <v>61</v>
          </cell>
          <cell r="B63" t="str">
            <v>노말 밴드</v>
          </cell>
          <cell r="C63" t="str">
            <v>HI-PVC  36C</v>
          </cell>
          <cell r="D63" t="str">
            <v>EA</v>
          </cell>
          <cell r="G63">
            <v>745</v>
          </cell>
          <cell r="H63">
            <v>900</v>
          </cell>
          <cell r="Q63">
            <v>900</v>
          </cell>
        </row>
        <row r="64">
          <cell r="A64">
            <v>62</v>
          </cell>
          <cell r="B64" t="str">
            <v>노말 밴드</v>
          </cell>
          <cell r="C64" t="str">
            <v>HI-PVC  42C</v>
          </cell>
          <cell r="D64" t="str">
            <v>EA</v>
          </cell>
          <cell r="G64">
            <v>745</v>
          </cell>
          <cell r="H64">
            <v>1200</v>
          </cell>
          <cell r="Q64">
            <v>1200</v>
          </cell>
        </row>
        <row r="65">
          <cell r="A65">
            <v>63</v>
          </cell>
          <cell r="Q65" t="str"/>
        </row>
        <row r="66">
          <cell r="A66">
            <v>64</v>
          </cell>
          <cell r="Q66" t="str"/>
        </row>
        <row r="67">
          <cell r="A67">
            <v>65</v>
          </cell>
          <cell r="B67" t="str">
            <v xml:space="preserve">전선 </v>
          </cell>
          <cell r="C67" t="str">
            <v>IV   1.6</v>
          </cell>
          <cell r="D67" t="str">
            <v>m</v>
          </cell>
          <cell r="G67">
            <v>714</v>
          </cell>
          <cell r="H67">
            <v>69</v>
          </cell>
          <cell r="Q67">
            <v>69</v>
          </cell>
          <cell r="R67">
            <v>0.1</v>
          </cell>
          <cell r="S67" t="str">
            <v>내선</v>
          </cell>
          <cell r="T67">
            <v>0.01</v>
          </cell>
          <cell r="U67" t="str">
            <v>내선</v>
          </cell>
          <cell r="V67">
            <v>8.0000000000000002E-3</v>
          </cell>
          <cell r="Y67" t="str">
            <v>바닥배선 :80%</v>
          </cell>
        </row>
        <row r="68">
          <cell r="A68">
            <v>66</v>
          </cell>
          <cell r="B68" t="str">
            <v xml:space="preserve">전선 </v>
          </cell>
          <cell r="C68" t="str">
            <v>IV   2.0</v>
          </cell>
          <cell r="D68" t="str">
            <v>m</v>
          </cell>
          <cell r="G68">
            <v>714</v>
          </cell>
          <cell r="H68">
            <v>103</v>
          </cell>
          <cell r="Q68">
            <v>103</v>
          </cell>
          <cell r="R68">
            <v>0.1</v>
          </cell>
          <cell r="S68" t="str">
            <v>내선</v>
          </cell>
          <cell r="T68">
            <v>0.01</v>
          </cell>
          <cell r="U68" t="str">
            <v>내선</v>
          </cell>
          <cell r="V68">
            <v>8.0000000000000002E-3</v>
          </cell>
          <cell r="Y68" t="str">
            <v>바닥배선 :80%</v>
          </cell>
        </row>
        <row r="69">
          <cell r="A69">
            <v>67</v>
          </cell>
          <cell r="B69" t="str">
            <v xml:space="preserve">전선 </v>
          </cell>
          <cell r="C69" t="str">
            <v>IV   5.5sq</v>
          </cell>
          <cell r="D69" t="str">
            <v>m</v>
          </cell>
          <cell r="G69">
            <v>714</v>
          </cell>
          <cell r="H69">
            <v>196</v>
          </cell>
          <cell r="Q69">
            <v>196</v>
          </cell>
          <cell r="R69">
            <v>0.1</v>
          </cell>
          <cell r="S69" t="str">
            <v>내선</v>
          </cell>
          <cell r="T69">
            <v>0.01</v>
          </cell>
          <cell r="U69" t="str">
            <v>내선</v>
          </cell>
          <cell r="V69">
            <v>8.0000000000000002E-3</v>
          </cell>
          <cell r="Y69" t="str">
            <v>바닥배선 :80%</v>
          </cell>
        </row>
        <row r="70">
          <cell r="A70">
            <v>68</v>
          </cell>
          <cell r="B70" t="str">
            <v xml:space="preserve">전선 </v>
          </cell>
          <cell r="C70" t="str">
            <v>IV   8sq</v>
          </cell>
          <cell r="D70" t="str">
            <v>m</v>
          </cell>
          <cell r="G70">
            <v>714</v>
          </cell>
          <cell r="H70">
            <v>277</v>
          </cell>
          <cell r="Q70">
            <v>277</v>
          </cell>
          <cell r="R70">
            <v>0.1</v>
          </cell>
          <cell r="S70" t="str">
            <v>내선</v>
          </cell>
          <cell r="T70">
            <v>0.02</v>
          </cell>
          <cell r="U70" t="str">
            <v>내선</v>
          </cell>
          <cell r="V70">
            <v>1.6E-2</v>
          </cell>
          <cell r="Y70" t="str">
            <v>바닥배선 :80%</v>
          </cell>
        </row>
        <row r="71">
          <cell r="A71">
            <v>69</v>
          </cell>
          <cell r="B71" t="str">
            <v xml:space="preserve">전선 </v>
          </cell>
          <cell r="C71" t="str">
            <v>IV   14sq</v>
          </cell>
          <cell r="D71" t="str">
            <v>m</v>
          </cell>
          <cell r="G71">
            <v>714</v>
          </cell>
          <cell r="H71">
            <v>543</v>
          </cell>
          <cell r="Q71">
            <v>543</v>
          </cell>
          <cell r="R71">
            <v>0.1</v>
          </cell>
          <cell r="S71" t="str">
            <v>내선</v>
          </cell>
          <cell r="T71">
            <v>0.02</v>
          </cell>
          <cell r="U71" t="str">
            <v>내선</v>
          </cell>
          <cell r="V71">
            <v>1.6E-2</v>
          </cell>
          <cell r="Y71" t="str">
            <v>바닥배선 :80%</v>
          </cell>
        </row>
        <row r="72">
          <cell r="A72">
            <v>70</v>
          </cell>
          <cell r="B72" t="str">
            <v xml:space="preserve">전선 </v>
          </cell>
          <cell r="C72" t="str">
            <v>IV   22sq</v>
          </cell>
          <cell r="D72" t="str">
            <v>m</v>
          </cell>
          <cell r="G72">
            <v>714</v>
          </cell>
          <cell r="H72">
            <v>830</v>
          </cell>
          <cell r="Q72">
            <v>830</v>
          </cell>
          <cell r="R72">
            <v>0.1</v>
          </cell>
          <cell r="S72" t="str">
            <v>내선</v>
          </cell>
          <cell r="T72">
            <v>3.1E-2</v>
          </cell>
          <cell r="U72" t="str">
            <v>내선</v>
          </cell>
          <cell r="V72">
            <v>2.5000000000000001E-2</v>
          </cell>
          <cell r="Y72" t="str">
            <v>바닥배선 :80%</v>
          </cell>
        </row>
        <row r="73">
          <cell r="A73">
            <v>71</v>
          </cell>
          <cell r="B73" t="str">
            <v xml:space="preserve">전선 </v>
          </cell>
          <cell r="C73" t="str">
            <v>IV   38sq</v>
          </cell>
          <cell r="D73" t="str">
            <v>m</v>
          </cell>
          <cell r="G73">
            <v>714</v>
          </cell>
          <cell r="H73">
            <v>1321</v>
          </cell>
          <cell r="Q73">
            <v>1321</v>
          </cell>
          <cell r="R73">
            <v>0.1</v>
          </cell>
          <cell r="S73" t="str">
            <v>내선</v>
          </cell>
          <cell r="T73">
            <v>3.1E-2</v>
          </cell>
          <cell r="U73" t="str">
            <v>내선</v>
          </cell>
          <cell r="V73">
            <v>2.5000000000000001E-2</v>
          </cell>
          <cell r="Y73" t="str">
            <v>바닥배선 :80%</v>
          </cell>
        </row>
        <row r="74">
          <cell r="A74">
            <v>72</v>
          </cell>
          <cell r="Q74" t="str"/>
        </row>
        <row r="75">
          <cell r="A75">
            <v>73</v>
          </cell>
          <cell r="Q75" t="str"/>
        </row>
        <row r="76">
          <cell r="A76">
            <v>74</v>
          </cell>
          <cell r="Q76" t="str"/>
        </row>
        <row r="77">
          <cell r="A77">
            <v>75</v>
          </cell>
          <cell r="B77" t="str">
            <v xml:space="preserve">전선 </v>
          </cell>
          <cell r="C77" t="str">
            <v>GV   2.0sq</v>
          </cell>
          <cell r="D77" t="str">
            <v>m</v>
          </cell>
          <cell r="G77">
            <v>715</v>
          </cell>
          <cell r="H77">
            <v>177</v>
          </cell>
          <cell r="Q77">
            <v>177</v>
          </cell>
          <cell r="R77">
            <v>0.1</v>
          </cell>
          <cell r="S77" t="str">
            <v>내선</v>
          </cell>
          <cell r="T77">
            <v>0.01</v>
          </cell>
          <cell r="U77" t="str">
            <v>내선</v>
          </cell>
          <cell r="V77">
            <v>8.0000000000000002E-3</v>
          </cell>
          <cell r="Y77" t="str">
            <v>바닥배선 :80%</v>
          </cell>
        </row>
        <row r="78">
          <cell r="A78">
            <v>76</v>
          </cell>
          <cell r="B78" t="str">
            <v xml:space="preserve">전선 </v>
          </cell>
          <cell r="C78" t="str">
            <v>GV   3.5sq</v>
          </cell>
          <cell r="D78" t="str">
            <v>m</v>
          </cell>
          <cell r="G78">
            <v>715</v>
          </cell>
          <cell r="H78">
            <v>239</v>
          </cell>
          <cell r="Q78">
            <v>239</v>
          </cell>
          <cell r="R78">
            <v>0.1</v>
          </cell>
          <cell r="S78" t="str">
            <v>내선</v>
          </cell>
          <cell r="T78">
            <v>0.01</v>
          </cell>
          <cell r="U78" t="str">
            <v>내선</v>
          </cell>
          <cell r="V78">
            <v>8.0000000000000002E-3</v>
          </cell>
          <cell r="Y78" t="str">
            <v>바닥배선 :80%</v>
          </cell>
        </row>
        <row r="79">
          <cell r="A79">
            <v>77</v>
          </cell>
          <cell r="B79" t="str">
            <v xml:space="preserve">전선 </v>
          </cell>
          <cell r="C79" t="str">
            <v>GV   5.5sq</v>
          </cell>
          <cell r="D79" t="str">
            <v>m</v>
          </cell>
          <cell r="G79">
            <v>715</v>
          </cell>
          <cell r="H79">
            <v>324</v>
          </cell>
          <cell r="Q79">
            <v>324</v>
          </cell>
          <cell r="R79">
            <v>0.1</v>
          </cell>
          <cell r="S79" t="str">
            <v>내선</v>
          </cell>
          <cell r="T79">
            <v>0.01</v>
          </cell>
          <cell r="U79" t="str">
            <v>내선</v>
          </cell>
          <cell r="V79">
            <v>8.0000000000000002E-3</v>
          </cell>
          <cell r="Y79" t="str">
            <v>바닥배선 :80%</v>
          </cell>
        </row>
        <row r="80">
          <cell r="A80">
            <v>78</v>
          </cell>
          <cell r="B80" t="str">
            <v xml:space="preserve">전선 </v>
          </cell>
          <cell r="C80" t="str">
            <v>GV   8sq</v>
          </cell>
          <cell r="D80" t="str">
            <v>m</v>
          </cell>
          <cell r="G80">
            <v>715</v>
          </cell>
          <cell r="H80">
            <v>495</v>
          </cell>
          <cell r="Q80">
            <v>495</v>
          </cell>
          <cell r="R80">
            <v>0.1</v>
          </cell>
          <cell r="S80" t="str">
            <v>내선</v>
          </cell>
          <cell r="T80">
            <v>0.02</v>
          </cell>
          <cell r="U80" t="str">
            <v>내선</v>
          </cell>
          <cell r="V80">
            <v>1.6E-2</v>
          </cell>
          <cell r="Y80" t="str">
            <v>바닥배선 :80%</v>
          </cell>
        </row>
        <row r="81">
          <cell r="A81">
            <v>79</v>
          </cell>
          <cell r="B81" t="str">
            <v xml:space="preserve">전선 </v>
          </cell>
          <cell r="C81" t="str">
            <v>GV   14sq</v>
          </cell>
          <cell r="D81" t="str">
            <v>m</v>
          </cell>
          <cell r="G81">
            <v>715</v>
          </cell>
          <cell r="H81">
            <v>835</v>
          </cell>
          <cell r="Q81">
            <v>835</v>
          </cell>
          <cell r="R81">
            <v>0.1</v>
          </cell>
          <cell r="S81" t="str">
            <v>내선</v>
          </cell>
          <cell r="T81">
            <v>0.02</v>
          </cell>
          <cell r="U81" t="str">
            <v>내선</v>
          </cell>
          <cell r="V81">
            <v>1.6E-2</v>
          </cell>
          <cell r="Y81" t="str">
            <v>바닥배선 :80%</v>
          </cell>
        </row>
        <row r="82">
          <cell r="A82">
            <v>80</v>
          </cell>
          <cell r="B82" t="str">
            <v xml:space="preserve">전선 </v>
          </cell>
          <cell r="C82" t="str">
            <v>GV   22sq</v>
          </cell>
          <cell r="D82" t="str">
            <v>m</v>
          </cell>
          <cell r="G82">
            <v>715</v>
          </cell>
          <cell r="H82">
            <v>1159</v>
          </cell>
          <cell r="Q82">
            <v>1159</v>
          </cell>
          <cell r="R82">
            <v>0.1</v>
          </cell>
          <cell r="S82" t="str">
            <v>내선</v>
          </cell>
          <cell r="T82">
            <v>3.1E-2</v>
          </cell>
          <cell r="U82" t="str">
            <v>내선</v>
          </cell>
          <cell r="V82">
            <v>2.5000000000000001E-2</v>
          </cell>
          <cell r="Y82" t="str">
            <v>바닥배선 :80%</v>
          </cell>
        </row>
        <row r="83">
          <cell r="A83">
            <v>81</v>
          </cell>
          <cell r="B83" t="str">
            <v xml:space="preserve">전선 </v>
          </cell>
          <cell r="C83" t="str">
            <v>GV   38sq</v>
          </cell>
          <cell r="D83" t="str">
            <v>m</v>
          </cell>
          <cell r="G83">
            <v>715</v>
          </cell>
          <cell r="H83">
            <v>1746</v>
          </cell>
          <cell r="Q83">
            <v>1746</v>
          </cell>
          <cell r="R83">
            <v>0.1</v>
          </cell>
          <cell r="S83" t="str">
            <v>내선</v>
          </cell>
          <cell r="T83">
            <v>3.1E-2</v>
          </cell>
          <cell r="U83" t="str">
            <v>내선</v>
          </cell>
          <cell r="V83">
            <v>2.5000000000000001E-2</v>
          </cell>
          <cell r="Y83" t="str">
            <v>바닥배선 :80%</v>
          </cell>
        </row>
        <row r="84">
          <cell r="A84">
            <v>82</v>
          </cell>
          <cell r="B84" t="str">
            <v xml:space="preserve">전선 </v>
          </cell>
          <cell r="C84" t="str">
            <v>GV   60sq</v>
          </cell>
          <cell r="D84" t="str">
            <v>m</v>
          </cell>
          <cell r="G84">
            <v>715</v>
          </cell>
          <cell r="H84">
            <v>2760</v>
          </cell>
          <cell r="Q84">
            <v>2760</v>
          </cell>
          <cell r="R84">
            <v>0.1</v>
          </cell>
          <cell r="S84" t="str">
            <v>내선</v>
          </cell>
          <cell r="T84">
            <v>5.1999999999999998E-2</v>
          </cell>
          <cell r="U84" t="str">
            <v>내선</v>
          </cell>
          <cell r="V84">
            <v>4.2000000000000003E-2</v>
          </cell>
          <cell r="Y84" t="str">
            <v>바닥배선 :80%</v>
          </cell>
        </row>
        <row r="85">
          <cell r="A85">
            <v>83</v>
          </cell>
          <cell r="B85" t="str">
            <v xml:space="preserve">전선 </v>
          </cell>
          <cell r="C85" t="str">
            <v>GV   100sq</v>
          </cell>
          <cell r="D85" t="str">
            <v>m</v>
          </cell>
          <cell r="G85">
            <v>715</v>
          </cell>
          <cell r="H85">
            <v>4112</v>
          </cell>
          <cell r="Q85">
            <v>4112</v>
          </cell>
          <cell r="R85">
            <v>0.1</v>
          </cell>
          <cell r="S85" t="str">
            <v>내선</v>
          </cell>
          <cell r="T85">
            <v>6.4000000000000001E-2</v>
          </cell>
          <cell r="U85" t="str">
            <v>내선</v>
          </cell>
          <cell r="V85">
            <v>5.0999999999999997E-2</v>
          </cell>
          <cell r="Y85" t="str">
            <v>바닥배선 :80%</v>
          </cell>
        </row>
        <row r="86">
          <cell r="A86">
            <v>84</v>
          </cell>
          <cell r="Q86" t="str"/>
        </row>
        <row r="87">
          <cell r="A87">
            <v>85</v>
          </cell>
          <cell r="Q87" t="str"/>
        </row>
        <row r="88">
          <cell r="A88">
            <v>86</v>
          </cell>
          <cell r="Q88" t="str"/>
        </row>
        <row r="89">
          <cell r="A89">
            <v>87</v>
          </cell>
          <cell r="B89" t="str">
            <v>동 피뢰침H:7.5M이하</v>
          </cell>
          <cell r="C89" t="str">
            <v>大14×430㎜</v>
          </cell>
          <cell r="D89" t="str">
            <v>EA</v>
          </cell>
          <cell r="G89">
            <v>800</v>
          </cell>
          <cell r="H89">
            <v>10800</v>
          </cell>
          <cell r="Q89">
            <v>10800</v>
          </cell>
          <cell r="S89" t="str">
            <v>내선</v>
          </cell>
          <cell r="T89">
            <v>0.89999999999999991</v>
          </cell>
          <cell r="U89" t="str">
            <v>내선</v>
          </cell>
          <cell r="V89">
            <v>1.5</v>
          </cell>
          <cell r="Y89" t="str">
            <v>발판좋은곳(철탑)60%</v>
          </cell>
        </row>
        <row r="90">
          <cell r="A90">
            <v>88</v>
          </cell>
          <cell r="B90" t="str">
            <v>동 피뢰침H:10M이하</v>
          </cell>
          <cell r="C90" t="str">
            <v>大14×430㎜</v>
          </cell>
          <cell r="D90" t="str">
            <v>EA</v>
          </cell>
          <cell r="G90">
            <v>800</v>
          </cell>
          <cell r="H90">
            <v>10800</v>
          </cell>
          <cell r="Q90">
            <v>10800</v>
          </cell>
          <cell r="S90" t="str">
            <v>내선</v>
          </cell>
          <cell r="T90">
            <v>1.1399999999999999</v>
          </cell>
          <cell r="U90" t="str">
            <v>내선</v>
          </cell>
          <cell r="V90">
            <v>1.9</v>
          </cell>
          <cell r="Y90" t="str">
            <v>*배선,접지물포함</v>
          </cell>
        </row>
        <row r="91">
          <cell r="A91">
            <v>89</v>
          </cell>
          <cell r="B91" t="str">
            <v>동 피뢰침H:15M이하</v>
          </cell>
          <cell r="C91" t="str">
            <v>大14×430㎜</v>
          </cell>
          <cell r="D91" t="str">
            <v>EA</v>
          </cell>
          <cell r="G91">
            <v>800</v>
          </cell>
          <cell r="H91">
            <v>10800</v>
          </cell>
          <cell r="Q91">
            <v>10800</v>
          </cell>
          <cell r="U91" t="str">
            <v>배전</v>
          </cell>
          <cell r="V91">
            <v>2.6</v>
          </cell>
          <cell r="Y91" t="str">
            <v>*전주설치는배전전공</v>
          </cell>
        </row>
        <row r="92">
          <cell r="A92">
            <v>90</v>
          </cell>
          <cell r="B92" t="str">
            <v>동 피뢰침H:20M이하</v>
          </cell>
          <cell r="C92" t="str">
            <v>大14×430㎜</v>
          </cell>
          <cell r="D92" t="str">
            <v>EA</v>
          </cell>
          <cell r="G92">
            <v>800</v>
          </cell>
          <cell r="H92">
            <v>10800</v>
          </cell>
          <cell r="Q92">
            <v>10800</v>
          </cell>
          <cell r="U92" t="str">
            <v>배전</v>
          </cell>
          <cell r="V92">
            <v>3.4</v>
          </cell>
          <cell r="Y92" t="str">
            <v>상동</v>
          </cell>
        </row>
        <row r="93">
          <cell r="A93">
            <v>91</v>
          </cell>
          <cell r="B93" t="str">
            <v>동 피뢰침H:7.5M이하</v>
          </cell>
          <cell r="C93" t="str">
            <v>中14×320㎜</v>
          </cell>
          <cell r="D93" t="str">
            <v>EA</v>
          </cell>
          <cell r="G93">
            <v>800</v>
          </cell>
          <cell r="H93">
            <v>9560</v>
          </cell>
          <cell r="Q93">
            <v>9560</v>
          </cell>
          <cell r="S93" t="str">
            <v>내선</v>
          </cell>
          <cell r="T93">
            <v>0.89999999999999991</v>
          </cell>
          <cell r="U93" t="str">
            <v>내선</v>
          </cell>
          <cell r="V93">
            <v>1.5</v>
          </cell>
          <cell r="Y93" t="str">
            <v>상동</v>
          </cell>
        </row>
        <row r="94">
          <cell r="A94">
            <v>92</v>
          </cell>
          <cell r="B94" t="str">
            <v>동 피뢰침H:10M이하</v>
          </cell>
          <cell r="C94" t="str">
            <v>中14×320㎜</v>
          </cell>
          <cell r="D94" t="str">
            <v>EA</v>
          </cell>
          <cell r="G94">
            <v>800</v>
          </cell>
          <cell r="H94">
            <v>9560</v>
          </cell>
          <cell r="Q94">
            <v>9560</v>
          </cell>
          <cell r="S94" t="str">
            <v>내선</v>
          </cell>
          <cell r="T94">
            <v>1.1399999999999999</v>
          </cell>
          <cell r="U94" t="str">
            <v>내선</v>
          </cell>
          <cell r="V94">
            <v>1.9</v>
          </cell>
          <cell r="Y94" t="str">
            <v>상동</v>
          </cell>
        </row>
        <row r="95">
          <cell r="A95">
            <v>93</v>
          </cell>
          <cell r="B95" t="str">
            <v>동 피뢰침H:15M이하</v>
          </cell>
          <cell r="C95" t="str">
            <v>中14×320㎜</v>
          </cell>
          <cell r="D95" t="str">
            <v>EA</v>
          </cell>
          <cell r="G95">
            <v>800</v>
          </cell>
          <cell r="H95">
            <v>9560</v>
          </cell>
          <cell r="Q95">
            <v>9560</v>
          </cell>
          <cell r="U95" t="str">
            <v>배전</v>
          </cell>
          <cell r="V95">
            <v>2.6</v>
          </cell>
          <cell r="Y95" t="str">
            <v>상동</v>
          </cell>
        </row>
        <row r="96">
          <cell r="A96">
            <v>94</v>
          </cell>
          <cell r="B96" t="str">
            <v>동 피뢰침H:20M이하</v>
          </cell>
          <cell r="C96" t="str">
            <v>中14×320㎜</v>
          </cell>
          <cell r="D96" t="str">
            <v>EA</v>
          </cell>
          <cell r="G96">
            <v>800</v>
          </cell>
          <cell r="H96">
            <v>9560</v>
          </cell>
          <cell r="Q96">
            <v>9560</v>
          </cell>
          <cell r="U96" t="str">
            <v>배전</v>
          </cell>
          <cell r="V96">
            <v>3.4</v>
          </cell>
          <cell r="Y96" t="str">
            <v>상동</v>
          </cell>
        </row>
        <row r="97">
          <cell r="A97">
            <v>95</v>
          </cell>
          <cell r="Q97" t="str"/>
        </row>
        <row r="98">
          <cell r="A98">
            <v>96</v>
          </cell>
          <cell r="B98" t="str">
            <v>접지봉</v>
          </cell>
          <cell r="C98" t="str">
            <v>φ14×1000㎜(동피복)</v>
          </cell>
          <cell r="D98" t="str">
            <v>EA</v>
          </cell>
          <cell r="G98">
            <v>800</v>
          </cell>
          <cell r="H98">
            <v>2700</v>
          </cell>
          <cell r="Q98">
            <v>2700</v>
          </cell>
          <cell r="S98" t="str">
            <v>내선</v>
          </cell>
          <cell r="T98">
            <v>0.2</v>
          </cell>
          <cell r="U98" t="str">
            <v>보인</v>
          </cell>
          <cell r="V98">
            <v>0.1</v>
          </cell>
        </row>
        <row r="99">
          <cell r="A99">
            <v>97</v>
          </cell>
          <cell r="B99" t="str">
            <v>접지봉</v>
          </cell>
          <cell r="C99" t="str">
            <v>φ16×1800㎜(동피복)</v>
          </cell>
          <cell r="D99" t="str">
            <v>EA</v>
          </cell>
          <cell r="G99">
            <v>800</v>
          </cell>
          <cell r="H99">
            <v>3820</v>
          </cell>
          <cell r="Q99">
            <v>3820</v>
          </cell>
          <cell r="S99" t="str">
            <v>내선</v>
          </cell>
          <cell r="T99">
            <v>0.2</v>
          </cell>
          <cell r="U99" t="str">
            <v>보인</v>
          </cell>
          <cell r="V99">
            <v>0.1</v>
          </cell>
        </row>
        <row r="100">
          <cell r="A100">
            <v>98</v>
          </cell>
          <cell r="B100" t="str">
            <v>접지봉</v>
          </cell>
          <cell r="C100" t="str">
            <v>φ18×2400㎜(동피복)</v>
          </cell>
          <cell r="D100" t="str">
            <v>EA</v>
          </cell>
          <cell r="G100">
            <v>800</v>
          </cell>
          <cell r="H100">
            <v>5280</v>
          </cell>
          <cell r="Q100">
            <v>5280</v>
          </cell>
          <cell r="S100" t="str">
            <v>내선</v>
          </cell>
          <cell r="T100">
            <v>0.2</v>
          </cell>
          <cell r="U100" t="str">
            <v>보인</v>
          </cell>
          <cell r="V100">
            <v>0.1</v>
          </cell>
        </row>
        <row r="101">
          <cell r="A101">
            <v>99</v>
          </cell>
          <cell r="B101" t="str">
            <v>접지봉</v>
          </cell>
          <cell r="C101" t="str">
            <v>φ16×1800㎜-3EA</v>
          </cell>
          <cell r="D101" t="str">
            <v>조</v>
          </cell>
          <cell r="Q101">
            <v>0</v>
          </cell>
          <cell r="S101" t="str">
            <v>내선</v>
          </cell>
          <cell r="T101">
            <v>0.45</v>
          </cell>
          <cell r="U101" t="str">
            <v>보인</v>
          </cell>
          <cell r="V101">
            <v>0.23</v>
          </cell>
        </row>
        <row r="102">
          <cell r="A102">
            <v>100</v>
          </cell>
          <cell r="Q102" t="str"/>
        </row>
        <row r="103">
          <cell r="A103">
            <v>101</v>
          </cell>
          <cell r="B103" t="str">
            <v xml:space="preserve">전선 </v>
          </cell>
          <cell r="C103" t="str">
            <v>HIV   1.2</v>
          </cell>
          <cell r="D103" t="str">
            <v>m</v>
          </cell>
          <cell r="G103">
            <v>714</v>
          </cell>
          <cell r="H103">
            <v>45</v>
          </cell>
          <cell r="Q103">
            <v>45</v>
          </cell>
          <cell r="R103">
            <v>0.1</v>
          </cell>
          <cell r="S103" t="str">
            <v>내선</v>
          </cell>
          <cell r="T103">
            <v>0.01</v>
          </cell>
        </row>
        <row r="104">
          <cell r="A104">
            <v>102</v>
          </cell>
          <cell r="B104" t="str">
            <v xml:space="preserve">전선 </v>
          </cell>
          <cell r="C104" t="str">
            <v>HIV   1.6</v>
          </cell>
          <cell r="D104" t="str">
            <v>m</v>
          </cell>
          <cell r="G104">
            <v>714</v>
          </cell>
          <cell r="H104">
            <v>73</v>
          </cell>
          <cell r="Q104">
            <v>73</v>
          </cell>
          <cell r="R104">
            <v>0.1</v>
          </cell>
          <cell r="S104" t="str">
            <v>내선</v>
          </cell>
          <cell r="T104">
            <v>0.01</v>
          </cell>
        </row>
        <row r="105">
          <cell r="A105">
            <v>103</v>
          </cell>
          <cell r="B105" t="str">
            <v xml:space="preserve">전선 </v>
          </cell>
          <cell r="C105" t="str">
            <v>HIV   2.0</v>
          </cell>
          <cell r="D105" t="str">
            <v>m</v>
          </cell>
          <cell r="G105">
            <v>714</v>
          </cell>
          <cell r="H105">
            <v>107</v>
          </cell>
          <cell r="Q105">
            <v>107</v>
          </cell>
          <cell r="R105">
            <v>0.1</v>
          </cell>
          <cell r="S105" t="str">
            <v>내선</v>
          </cell>
          <cell r="T105">
            <v>0.01</v>
          </cell>
        </row>
        <row r="106">
          <cell r="A106">
            <v>104</v>
          </cell>
          <cell r="B106" t="str">
            <v xml:space="preserve">전선 </v>
          </cell>
          <cell r="C106" t="str">
            <v>HIV   5.5sq</v>
          </cell>
          <cell r="D106" t="str">
            <v>m</v>
          </cell>
          <cell r="G106">
            <v>714</v>
          </cell>
          <cell r="H106">
            <v>209</v>
          </cell>
          <cell r="Q106">
            <v>209</v>
          </cell>
          <cell r="R106">
            <v>0.1</v>
          </cell>
          <cell r="S106" t="str">
            <v>내선</v>
          </cell>
          <cell r="T106">
            <v>0.01</v>
          </cell>
        </row>
        <row r="107">
          <cell r="A107">
            <v>105</v>
          </cell>
          <cell r="B107" t="str">
            <v xml:space="preserve">전선 </v>
          </cell>
          <cell r="C107" t="str">
            <v>HIV   8sq</v>
          </cell>
          <cell r="D107" t="str">
            <v>m</v>
          </cell>
          <cell r="G107">
            <v>714</v>
          </cell>
          <cell r="H107">
            <v>296</v>
          </cell>
          <cell r="Q107">
            <v>296</v>
          </cell>
          <cell r="R107">
            <v>0.1</v>
          </cell>
          <cell r="S107" t="str">
            <v>내선</v>
          </cell>
          <cell r="T107">
            <v>0.02</v>
          </cell>
        </row>
        <row r="108">
          <cell r="A108">
            <v>106</v>
          </cell>
          <cell r="B108" t="str">
            <v xml:space="preserve">전선 </v>
          </cell>
          <cell r="C108" t="str">
            <v>HIV   14sq</v>
          </cell>
          <cell r="D108" t="str">
            <v>m</v>
          </cell>
          <cell r="G108">
            <v>714</v>
          </cell>
          <cell r="H108">
            <v>583</v>
          </cell>
          <cell r="Q108">
            <v>583</v>
          </cell>
          <cell r="R108">
            <v>0.1</v>
          </cell>
          <cell r="S108" t="str">
            <v>내선</v>
          </cell>
          <cell r="T108">
            <v>0.02</v>
          </cell>
        </row>
        <row r="109">
          <cell r="A109">
            <v>107</v>
          </cell>
          <cell r="B109" t="str">
            <v xml:space="preserve">전선 </v>
          </cell>
          <cell r="C109" t="str">
            <v>HIV   22sq</v>
          </cell>
          <cell r="D109" t="str">
            <v>m</v>
          </cell>
          <cell r="G109">
            <v>714</v>
          </cell>
          <cell r="H109">
            <v>888</v>
          </cell>
          <cell r="Q109">
            <v>888</v>
          </cell>
          <cell r="R109">
            <v>0.1</v>
          </cell>
          <cell r="S109" t="str">
            <v>내선</v>
          </cell>
          <cell r="T109">
            <v>3.1E-2</v>
          </cell>
        </row>
        <row r="110">
          <cell r="A110">
            <v>108</v>
          </cell>
          <cell r="B110" t="str">
            <v xml:space="preserve">전선 </v>
          </cell>
          <cell r="C110" t="str">
            <v>HIV   38sq</v>
          </cell>
          <cell r="D110" t="str">
            <v>m</v>
          </cell>
          <cell r="G110">
            <v>714</v>
          </cell>
          <cell r="H110">
            <v>1414</v>
          </cell>
          <cell r="Q110">
            <v>1414</v>
          </cell>
          <cell r="R110">
            <v>0.1</v>
          </cell>
          <cell r="S110" t="str">
            <v>내선</v>
          </cell>
          <cell r="T110">
            <v>3.1E-2</v>
          </cell>
        </row>
        <row r="111">
          <cell r="A111">
            <v>109</v>
          </cell>
          <cell r="Q111" t="str"/>
        </row>
        <row r="112">
          <cell r="A112">
            <v>110</v>
          </cell>
          <cell r="Q112" t="str"/>
        </row>
        <row r="113">
          <cell r="A113">
            <v>111</v>
          </cell>
          <cell r="Q113" t="str"/>
        </row>
        <row r="114">
          <cell r="A114">
            <v>112</v>
          </cell>
          <cell r="B114" t="str">
            <v>전화선</v>
          </cell>
          <cell r="C114" t="str">
            <v>TIV 0.8/2C</v>
          </cell>
          <cell r="D114" t="str">
            <v>m</v>
          </cell>
          <cell r="G114">
            <v>731</v>
          </cell>
          <cell r="H114">
            <v>60</v>
          </cell>
          <cell r="Q114">
            <v>60</v>
          </cell>
          <cell r="R114">
            <v>0.1</v>
          </cell>
          <cell r="S114" t="str">
            <v>통내</v>
          </cell>
          <cell r="T114">
            <v>1.4999999999999999E-2</v>
          </cell>
        </row>
        <row r="115">
          <cell r="A115">
            <v>113</v>
          </cell>
          <cell r="B115" t="str">
            <v>전화선</v>
          </cell>
          <cell r="C115" t="str">
            <v>TIV 1.0/2C</v>
          </cell>
          <cell r="D115" t="str">
            <v>m</v>
          </cell>
          <cell r="G115">
            <v>731</v>
          </cell>
          <cell r="H115">
            <v>113</v>
          </cell>
          <cell r="Q115">
            <v>113</v>
          </cell>
          <cell r="R115">
            <v>0.1</v>
          </cell>
          <cell r="S115" t="str">
            <v>통내</v>
          </cell>
          <cell r="T115">
            <v>1.4999999999999999E-2</v>
          </cell>
        </row>
        <row r="116">
          <cell r="A116">
            <v>114</v>
          </cell>
          <cell r="B116" t="str">
            <v>전화선</v>
          </cell>
          <cell r="C116" t="str">
            <v>TIV 1.2/2C</v>
          </cell>
          <cell r="D116" t="str">
            <v>m</v>
          </cell>
          <cell r="G116">
            <v>731</v>
          </cell>
          <cell r="H116">
            <v>119</v>
          </cell>
          <cell r="Q116">
            <v>119</v>
          </cell>
          <cell r="R116">
            <v>0.1</v>
          </cell>
          <cell r="S116" t="str">
            <v>통내</v>
          </cell>
          <cell r="T116">
            <v>1.4999999999999999E-2</v>
          </cell>
        </row>
        <row r="117">
          <cell r="A117">
            <v>115</v>
          </cell>
          <cell r="Q117" t="str"/>
        </row>
        <row r="118">
          <cell r="A118">
            <v>116</v>
          </cell>
          <cell r="B118" t="str">
            <v xml:space="preserve"> 저압 케이블</v>
          </cell>
          <cell r="C118" t="str">
            <v>600V CV 2.0 sq/1C</v>
          </cell>
          <cell r="D118" t="str">
            <v>m</v>
          </cell>
          <cell r="G118">
            <v>718</v>
          </cell>
          <cell r="H118">
            <v>173</v>
          </cell>
          <cell r="Q118">
            <v>173</v>
          </cell>
          <cell r="R118">
            <v>0.05</v>
          </cell>
          <cell r="S118" t="str">
            <v>저케</v>
          </cell>
          <cell r="T118">
            <v>0.01</v>
          </cell>
          <cell r="U118" t="str">
            <v>저케</v>
          </cell>
          <cell r="V118">
            <v>5.0000000000000001E-3</v>
          </cell>
          <cell r="W118" t="str">
            <v>보인</v>
          </cell>
          <cell r="X118">
            <v>5.0000000000000001E-3</v>
          </cell>
          <cell r="Y118" t="str">
            <v xml:space="preserve">옥외에서    2열동시 :180%        3열동시 :260%        4열동시 :340%         *구내부설시 본품의50%가산    </v>
          </cell>
        </row>
        <row r="119">
          <cell r="A119">
            <v>117</v>
          </cell>
          <cell r="B119" t="str">
            <v xml:space="preserve"> 저압 케이블</v>
          </cell>
          <cell r="C119" t="str">
            <v>600V CV 3.5 sq/1C</v>
          </cell>
          <cell r="D119" t="str">
            <v>m</v>
          </cell>
          <cell r="G119">
            <v>718</v>
          </cell>
          <cell r="H119">
            <v>218</v>
          </cell>
          <cell r="Q119">
            <v>218</v>
          </cell>
          <cell r="R119">
            <v>0.05</v>
          </cell>
          <cell r="S119" t="str">
            <v>저케</v>
          </cell>
          <cell r="T119">
            <v>1.0999999999999999E-2</v>
          </cell>
          <cell r="U119" t="str">
            <v>저케</v>
          </cell>
          <cell r="V119">
            <v>5.0000000000000001E-3</v>
          </cell>
          <cell r="W119" t="str">
            <v>보인</v>
          </cell>
          <cell r="X119">
            <v>5.0000000000000001E-3</v>
          </cell>
          <cell r="Y119" t="str">
            <v xml:space="preserve"> :180%        3열동시 :260%        4열동시 :340%         *구내부설시 본품의51%가산</v>
          </cell>
        </row>
        <row r="120">
          <cell r="A120">
            <v>118</v>
          </cell>
          <cell r="B120" t="str">
            <v xml:space="preserve"> 저압 케이블</v>
          </cell>
          <cell r="C120" t="str">
            <v>600V CV 5.5 sq/1C</v>
          </cell>
          <cell r="D120" t="str">
            <v>m</v>
          </cell>
          <cell r="G120">
            <v>718</v>
          </cell>
          <cell r="H120">
            <v>316</v>
          </cell>
          <cell r="Q120">
            <v>316</v>
          </cell>
          <cell r="R120">
            <v>0.05</v>
          </cell>
          <cell r="S120" t="str">
            <v>저케</v>
          </cell>
          <cell r="T120">
            <v>1.2999999999999999E-2</v>
          </cell>
          <cell r="U120" t="str">
            <v>저케</v>
          </cell>
          <cell r="V120">
            <v>5.0000000000000001E-3</v>
          </cell>
          <cell r="W120" t="str">
            <v>보인</v>
          </cell>
          <cell r="X120">
            <v>5.0000000000000001E-3</v>
          </cell>
          <cell r="Y120" t="str">
            <v xml:space="preserve"> :260%        4열동시 :340%         *구내부설시 본품의52%가산</v>
          </cell>
        </row>
        <row r="121">
          <cell r="A121">
            <v>119</v>
          </cell>
          <cell r="B121" t="str">
            <v xml:space="preserve"> 저압 케이블</v>
          </cell>
          <cell r="C121" t="str">
            <v>600V CV 8sq/1C</v>
          </cell>
          <cell r="D121" t="str">
            <v>m</v>
          </cell>
          <cell r="G121">
            <v>718</v>
          </cell>
          <cell r="H121">
            <v>409</v>
          </cell>
          <cell r="Q121">
            <v>409</v>
          </cell>
          <cell r="R121">
            <v>0.05</v>
          </cell>
          <cell r="S121" t="str">
            <v>저케</v>
          </cell>
          <cell r="T121">
            <v>1.4E-2</v>
          </cell>
          <cell r="U121" t="str">
            <v>저케</v>
          </cell>
          <cell r="V121">
            <v>5.4999999999999997E-3</v>
          </cell>
          <cell r="W121" t="str">
            <v>보인</v>
          </cell>
          <cell r="X121">
            <v>5.4999999999999997E-3</v>
          </cell>
          <cell r="Y121" t="str">
            <v xml:space="preserve"> :340%         *구내부설시 본품의53%가산</v>
          </cell>
        </row>
        <row r="122">
          <cell r="A122">
            <v>120</v>
          </cell>
          <cell r="B122" t="str">
            <v xml:space="preserve"> 저압 케이블</v>
          </cell>
          <cell r="C122" t="str">
            <v>600V  CV  14sq/1C</v>
          </cell>
          <cell r="D122" t="str">
            <v>m</v>
          </cell>
          <cell r="G122">
            <v>718</v>
          </cell>
          <cell r="H122">
            <v>719</v>
          </cell>
          <cell r="Q122">
            <v>719</v>
          </cell>
          <cell r="R122">
            <v>0.05</v>
          </cell>
          <cell r="S122" t="str">
            <v>저케</v>
          </cell>
          <cell r="T122">
            <v>0.02</v>
          </cell>
          <cell r="U122" t="str">
            <v>저케</v>
          </cell>
          <cell r="V122">
            <v>5.4999999999999997E-3</v>
          </cell>
          <cell r="W122" t="str">
            <v>보인</v>
          </cell>
          <cell r="X122">
            <v>5.4999999999999997E-3</v>
          </cell>
          <cell r="Y122" t="str">
            <v>시 본품의50%가산</v>
          </cell>
        </row>
        <row r="123">
          <cell r="A123">
            <v>121</v>
          </cell>
          <cell r="B123" t="str">
            <v xml:space="preserve"> 저압 케이블</v>
          </cell>
          <cell r="C123" t="str">
            <v>600V  CV 22sq/1C</v>
          </cell>
          <cell r="D123" t="str">
            <v>m</v>
          </cell>
          <cell r="G123">
            <v>718</v>
          </cell>
          <cell r="H123">
            <v>949</v>
          </cell>
          <cell r="Q123">
            <v>949</v>
          </cell>
          <cell r="R123">
            <v>0.05</v>
          </cell>
          <cell r="S123" t="str">
            <v>저케</v>
          </cell>
          <cell r="T123">
            <v>2.5999999999999999E-2</v>
          </cell>
          <cell r="U123" t="str">
            <v>저케</v>
          </cell>
          <cell r="V123">
            <v>7.0000000000000001E-3</v>
          </cell>
          <cell r="W123" t="str">
            <v>보인</v>
          </cell>
          <cell r="X123">
            <v>5.4999999999999997E-3</v>
          </cell>
        </row>
        <row r="124">
          <cell r="A124">
            <v>122</v>
          </cell>
          <cell r="B124" t="str">
            <v xml:space="preserve"> 저압 케이블</v>
          </cell>
          <cell r="C124" t="str">
            <v>600V  CV 38sq/1C</v>
          </cell>
          <cell r="D124" t="str">
            <v>m</v>
          </cell>
          <cell r="G124">
            <v>718</v>
          </cell>
          <cell r="H124">
            <v>1461</v>
          </cell>
          <cell r="Q124">
            <v>1461</v>
          </cell>
          <cell r="R124">
            <v>0.05</v>
          </cell>
          <cell r="S124" t="str">
            <v>저케</v>
          </cell>
          <cell r="T124">
            <v>3.5999999999999997E-2</v>
          </cell>
          <cell r="U124" t="str">
            <v>저케</v>
          </cell>
          <cell r="V124">
            <v>7.4999999999999997E-3</v>
          </cell>
          <cell r="W124" t="str">
            <v>보인</v>
          </cell>
          <cell r="X124">
            <v>7.0000000000000001E-3</v>
          </cell>
        </row>
        <row r="125">
          <cell r="A125">
            <v>123</v>
          </cell>
          <cell r="B125" t="str">
            <v xml:space="preserve"> 저압 케이블</v>
          </cell>
          <cell r="C125" t="str">
            <v>600V  CV 60sq/1C</v>
          </cell>
          <cell r="D125" t="str">
            <v>m</v>
          </cell>
          <cell r="G125">
            <v>718</v>
          </cell>
          <cell r="H125">
            <v>2288</v>
          </cell>
          <cell r="Q125">
            <v>2288</v>
          </cell>
          <cell r="R125">
            <v>0.05</v>
          </cell>
          <cell r="S125" t="str">
            <v>저케</v>
          </cell>
          <cell r="T125">
            <v>4.9000000000000002E-2</v>
          </cell>
          <cell r="U125" t="str">
            <v>저케</v>
          </cell>
          <cell r="V125">
            <v>8.5000000000000006E-3</v>
          </cell>
          <cell r="W125" t="str">
            <v>보인</v>
          </cell>
          <cell r="X125">
            <v>8.5000000000000006E-3</v>
          </cell>
        </row>
        <row r="126">
          <cell r="A126">
            <v>124</v>
          </cell>
          <cell r="B126" t="str">
            <v xml:space="preserve"> 저압 케이블</v>
          </cell>
          <cell r="C126" t="str">
            <v>600V  CV 100sq/1C</v>
          </cell>
          <cell r="D126" t="str">
            <v>m</v>
          </cell>
          <cell r="G126">
            <v>718</v>
          </cell>
          <cell r="H126">
            <v>3735</v>
          </cell>
          <cell r="Q126">
            <v>3735</v>
          </cell>
          <cell r="R126">
            <v>0.05</v>
          </cell>
          <cell r="S126" t="str">
            <v>저케</v>
          </cell>
          <cell r="T126">
            <v>7.0999999999999994E-2</v>
          </cell>
          <cell r="U126" t="str">
            <v>저케</v>
          </cell>
          <cell r="V126">
            <v>1.15E-2</v>
          </cell>
          <cell r="W126" t="str">
            <v>보인</v>
          </cell>
          <cell r="X126">
            <v>1.0999999999999999E-2</v>
          </cell>
        </row>
        <row r="127">
          <cell r="A127">
            <v>125</v>
          </cell>
          <cell r="B127" t="str">
            <v xml:space="preserve"> 저압 케이블</v>
          </cell>
          <cell r="C127" t="str">
            <v>600V  CV 150sq/1C</v>
          </cell>
          <cell r="D127" t="str">
            <v>m</v>
          </cell>
          <cell r="G127">
            <v>718</v>
          </cell>
          <cell r="H127">
            <v>5445</v>
          </cell>
          <cell r="Q127">
            <v>5445</v>
          </cell>
          <cell r="R127">
            <v>0.05</v>
          </cell>
          <cell r="S127" t="str">
            <v>저케</v>
          </cell>
          <cell r="T127">
            <v>9.7000000000000003E-2</v>
          </cell>
          <cell r="U127" t="str">
            <v>저케</v>
          </cell>
          <cell r="V127">
            <v>1.4500000000000001E-2</v>
          </cell>
          <cell r="W127" t="str">
            <v>보인</v>
          </cell>
          <cell r="X127">
            <v>1.4500000000000001E-2</v>
          </cell>
        </row>
        <row r="128">
          <cell r="A128">
            <v>126</v>
          </cell>
          <cell r="B128" t="str">
            <v xml:space="preserve"> 저압 케이블</v>
          </cell>
          <cell r="C128" t="str">
            <v>600V  CV 200sq/1C</v>
          </cell>
          <cell r="D128" t="str">
            <v>m</v>
          </cell>
          <cell r="G128">
            <v>718</v>
          </cell>
          <cell r="H128">
            <v>8560</v>
          </cell>
          <cell r="Q128">
            <v>8560</v>
          </cell>
          <cell r="R128">
            <v>0.05</v>
          </cell>
          <cell r="S128" t="str">
            <v>저케</v>
          </cell>
          <cell r="T128">
            <v>0.11700000000000001</v>
          </cell>
          <cell r="U128" t="str">
            <v>저케</v>
          </cell>
          <cell r="V128">
            <v>1.7500000000000002E-2</v>
          </cell>
          <cell r="W128" t="str">
            <v>보인</v>
          </cell>
          <cell r="X128">
            <v>1.7000000000000001E-2</v>
          </cell>
        </row>
        <row r="129">
          <cell r="A129">
            <v>127</v>
          </cell>
          <cell r="B129" t="str">
            <v xml:space="preserve"> 저압 케이블</v>
          </cell>
          <cell r="C129" t="str">
            <v>600V  CV 250sq/1C</v>
          </cell>
          <cell r="D129" t="str">
            <v>m</v>
          </cell>
          <cell r="G129">
            <v>718</v>
          </cell>
          <cell r="H129">
            <v>9933</v>
          </cell>
          <cell r="Q129">
            <v>9933</v>
          </cell>
          <cell r="R129">
            <v>0.05</v>
          </cell>
          <cell r="S129" t="str">
            <v>저케</v>
          </cell>
          <cell r="T129">
            <v>0.14199999999999999</v>
          </cell>
          <cell r="U129" t="str">
            <v>저케</v>
          </cell>
          <cell r="V129">
            <v>2.5000000000000001E-2</v>
          </cell>
          <cell r="W129" t="str">
            <v>보인</v>
          </cell>
          <cell r="X129">
            <v>2.4500000000000001E-2</v>
          </cell>
        </row>
        <row r="130">
          <cell r="A130">
            <v>128</v>
          </cell>
          <cell r="Q130" t="str"/>
        </row>
        <row r="131">
          <cell r="A131">
            <v>129</v>
          </cell>
          <cell r="Q131" t="str"/>
        </row>
        <row r="132">
          <cell r="A132">
            <v>130</v>
          </cell>
          <cell r="B132" t="str">
            <v>저압 케이블</v>
          </cell>
          <cell r="C132" t="str">
            <v>600V EV 5.5 sq/1C</v>
          </cell>
          <cell r="D132" t="str">
            <v>m</v>
          </cell>
          <cell r="G132">
            <v>727</v>
          </cell>
          <cell r="H132">
            <v>251</v>
          </cell>
          <cell r="Q132">
            <v>251</v>
          </cell>
          <cell r="R132">
            <v>0.05</v>
          </cell>
          <cell r="S132" t="str">
            <v>저케</v>
          </cell>
          <cell r="T132">
            <v>1.2999999999999999E-2</v>
          </cell>
          <cell r="U132" t="str">
            <v>저케</v>
          </cell>
          <cell r="V132">
            <v>5.0000000000000001E-3</v>
          </cell>
          <cell r="W132" t="str">
            <v>보인</v>
          </cell>
          <cell r="X132">
            <v>5.0000000000000001E-3</v>
          </cell>
          <cell r="Y132" t="str">
            <v xml:space="preserve">옥외에서    2열동시 :180%        3열동시 :260%        4열동시 :340%         *구내부설시 본품의50%가산    </v>
          </cell>
        </row>
        <row r="133">
          <cell r="A133">
            <v>131</v>
          </cell>
          <cell r="B133" t="str">
            <v>저압 케이블</v>
          </cell>
          <cell r="C133" t="str">
            <v>600V EV 8sq/1C</v>
          </cell>
          <cell r="D133" t="str">
            <v>m</v>
          </cell>
          <cell r="G133">
            <v>727</v>
          </cell>
          <cell r="H133">
            <v>356</v>
          </cell>
          <cell r="Q133">
            <v>356</v>
          </cell>
          <cell r="R133">
            <v>0.05</v>
          </cell>
          <cell r="S133" t="str">
            <v>저케</v>
          </cell>
          <cell r="T133">
            <v>1.4E-2</v>
          </cell>
          <cell r="U133" t="str">
            <v>저케</v>
          </cell>
          <cell r="V133">
            <v>5.4999999999999997E-3</v>
          </cell>
          <cell r="W133" t="str">
            <v>보인</v>
          </cell>
          <cell r="X133">
            <v>5.4999999999999997E-3</v>
          </cell>
          <cell r="Y133" t="str">
            <v xml:space="preserve"> :180%        3열동시 :260%        4열동시 :340%         *구내부설시 본품의51%가산</v>
          </cell>
        </row>
        <row r="134">
          <cell r="A134">
            <v>132</v>
          </cell>
          <cell r="B134" t="str">
            <v>저압 케이블</v>
          </cell>
          <cell r="C134" t="str">
            <v>600V  EV  14sq/1C</v>
          </cell>
          <cell r="D134" t="str">
            <v>m</v>
          </cell>
          <cell r="G134">
            <v>727</v>
          </cell>
          <cell r="H134">
            <v>533</v>
          </cell>
          <cell r="Q134">
            <v>533</v>
          </cell>
          <cell r="R134">
            <v>0.05</v>
          </cell>
          <cell r="S134" t="str">
            <v>저케</v>
          </cell>
          <cell r="T134">
            <v>0.02</v>
          </cell>
          <cell r="U134" t="str">
            <v>저케</v>
          </cell>
          <cell r="V134">
            <v>5.4999999999999997E-3</v>
          </cell>
          <cell r="W134" t="str">
            <v>보인</v>
          </cell>
          <cell r="X134">
            <v>5.4999999999999997E-3</v>
          </cell>
          <cell r="Y134" t="str">
            <v xml:space="preserve"> :260%        4열동시 :340%         *구내부설시 본품의52%가산</v>
          </cell>
        </row>
        <row r="135">
          <cell r="A135">
            <v>133</v>
          </cell>
          <cell r="B135" t="str">
            <v>저압 케이블</v>
          </cell>
          <cell r="C135" t="str">
            <v>600V  EV 22sq/1C</v>
          </cell>
          <cell r="D135" t="str">
            <v>m</v>
          </cell>
          <cell r="G135">
            <v>727</v>
          </cell>
          <cell r="H135">
            <v>755</v>
          </cell>
          <cell r="Q135">
            <v>755</v>
          </cell>
          <cell r="R135">
            <v>0.05</v>
          </cell>
          <cell r="S135" t="str">
            <v>저케</v>
          </cell>
          <cell r="T135">
            <v>2.5999999999999999E-2</v>
          </cell>
          <cell r="U135" t="str">
            <v>저케</v>
          </cell>
          <cell r="V135">
            <v>7.0000000000000001E-3</v>
          </cell>
          <cell r="W135" t="str">
            <v>보인</v>
          </cell>
          <cell r="X135">
            <v>5.4999999999999997E-3</v>
          </cell>
          <cell r="Y135" t="str">
            <v xml:space="preserve"> :340%         *구내부설시 본품의53%가산</v>
          </cell>
        </row>
        <row r="136">
          <cell r="A136">
            <v>134</v>
          </cell>
          <cell r="B136" t="str">
            <v>저압 케이블</v>
          </cell>
          <cell r="C136" t="str">
            <v>600V  EV 38sq/1C</v>
          </cell>
          <cell r="D136" t="str">
            <v>m</v>
          </cell>
          <cell r="G136">
            <v>727</v>
          </cell>
          <cell r="H136">
            <v>1181</v>
          </cell>
          <cell r="Q136">
            <v>1181</v>
          </cell>
          <cell r="R136">
            <v>0.05</v>
          </cell>
          <cell r="S136" t="str">
            <v>저케</v>
          </cell>
          <cell r="T136">
            <v>3.5999999999999997E-2</v>
          </cell>
          <cell r="U136" t="str">
            <v>저케</v>
          </cell>
          <cell r="V136">
            <v>7.4999999999999997E-3</v>
          </cell>
          <cell r="W136" t="str">
            <v>보인</v>
          </cell>
          <cell r="X136">
            <v>7.0000000000000001E-3</v>
          </cell>
          <cell r="Y136" t="str">
            <v>시 본품의50%가산</v>
          </cell>
        </row>
        <row r="137">
          <cell r="A137">
            <v>135</v>
          </cell>
          <cell r="B137" t="str">
            <v>저압 케이블</v>
          </cell>
          <cell r="C137" t="str">
            <v>600V  EV 50sq/1C</v>
          </cell>
          <cell r="D137" t="str">
            <v>m</v>
          </cell>
          <cell r="G137">
            <v>727</v>
          </cell>
          <cell r="H137">
            <v>1626</v>
          </cell>
          <cell r="Q137">
            <v>1626</v>
          </cell>
          <cell r="R137">
            <v>0.05</v>
          </cell>
          <cell r="S137" t="str">
            <v>저케</v>
          </cell>
          <cell r="T137">
            <v>4.2999999999999997E-2</v>
          </cell>
          <cell r="U137" t="str">
            <v>저케</v>
          </cell>
          <cell r="V137">
            <v>8.5000000000000006E-3</v>
          </cell>
          <cell r="W137" t="str">
            <v>보인</v>
          </cell>
          <cell r="X137">
            <v>8.5000000000000006E-3</v>
          </cell>
        </row>
        <row r="138">
          <cell r="A138">
            <v>136</v>
          </cell>
          <cell r="B138" t="str">
            <v>저압 케이블</v>
          </cell>
          <cell r="C138" t="str">
            <v>600V  EV 60sq/1C</v>
          </cell>
          <cell r="D138" t="str">
            <v>m</v>
          </cell>
          <cell r="G138">
            <v>727</v>
          </cell>
          <cell r="H138">
            <v>1939</v>
          </cell>
          <cell r="Q138">
            <v>1939</v>
          </cell>
          <cell r="R138">
            <v>0.05</v>
          </cell>
          <cell r="S138" t="str">
            <v>저케</v>
          </cell>
          <cell r="T138">
            <v>4.9000000000000002E-2</v>
          </cell>
          <cell r="U138" t="str">
            <v>저케</v>
          </cell>
          <cell r="V138">
            <v>8.5000000000000006E-3</v>
          </cell>
          <cell r="W138" t="str">
            <v>보인</v>
          </cell>
          <cell r="X138">
            <v>8.5000000000000006E-3</v>
          </cell>
        </row>
        <row r="139">
          <cell r="A139">
            <v>137</v>
          </cell>
          <cell r="B139" t="str">
            <v>저압 케이블</v>
          </cell>
          <cell r="C139" t="str">
            <v>600V  EV 80sq/1C</v>
          </cell>
          <cell r="D139" t="str">
            <v>m</v>
          </cell>
          <cell r="G139">
            <v>727</v>
          </cell>
          <cell r="H139">
            <v>2494</v>
          </cell>
          <cell r="Q139">
            <v>2494</v>
          </cell>
          <cell r="R139">
            <v>0.05</v>
          </cell>
          <cell r="S139" t="str">
            <v>저케</v>
          </cell>
          <cell r="T139">
            <v>0.06</v>
          </cell>
          <cell r="U139" t="str">
            <v>저케</v>
          </cell>
          <cell r="V139">
            <v>1.15E-2</v>
          </cell>
          <cell r="W139" t="str">
            <v>보인</v>
          </cell>
          <cell r="X139">
            <v>1.0999999999999999E-2</v>
          </cell>
        </row>
        <row r="140">
          <cell r="A140">
            <v>138</v>
          </cell>
          <cell r="B140" t="str">
            <v>저압 케이블</v>
          </cell>
          <cell r="C140" t="str">
            <v>600V  EV 100sq/1C</v>
          </cell>
          <cell r="D140" t="str">
            <v>m</v>
          </cell>
          <cell r="G140">
            <v>727</v>
          </cell>
          <cell r="H140">
            <v>3160</v>
          </cell>
          <cell r="Q140">
            <v>3160</v>
          </cell>
          <cell r="R140">
            <v>0.05</v>
          </cell>
          <cell r="S140" t="str">
            <v>저케</v>
          </cell>
          <cell r="T140">
            <v>7.0999999999999994E-2</v>
          </cell>
          <cell r="U140" t="str">
            <v>저케</v>
          </cell>
          <cell r="V140">
            <v>1.15E-2</v>
          </cell>
          <cell r="W140" t="str">
            <v>보인</v>
          </cell>
          <cell r="X140">
            <v>1.0999999999999999E-2</v>
          </cell>
        </row>
        <row r="141">
          <cell r="A141">
            <v>139</v>
          </cell>
          <cell r="B141" t="str">
            <v>저압 케이블</v>
          </cell>
          <cell r="C141" t="str">
            <v>600V  EV 125sq/1C</v>
          </cell>
          <cell r="D141" t="str">
            <v>m</v>
          </cell>
          <cell r="G141">
            <v>727</v>
          </cell>
          <cell r="H141">
            <v>3881</v>
          </cell>
          <cell r="Q141">
            <v>3881</v>
          </cell>
          <cell r="R141">
            <v>0.05</v>
          </cell>
          <cell r="S141" t="str">
            <v>저케</v>
          </cell>
          <cell r="T141">
            <v>8.4000000000000005E-2</v>
          </cell>
          <cell r="U141" t="str">
            <v>저케</v>
          </cell>
          <cell r="V141">
            <v>1.4500000000000001E-2</v>
          </cell>
          <cell r="W141" t="str">
            <v>보인</v>
          </cell>
          <cell r="X141">
            <v>1.4500000000000001E-2</v>
          </cell>
        </row>
        <row r="142">
          <cell r="A142">
            <v>140</v>
          </cell>
          <cell r="B142" t="str">
            <v>저압 케이블</v>
          </cell>
          <cell r="C142" t="str">
            <v>600V  EV 150sq/1C</v>
          </cell>
          <cell r="D142" t="str">
            <v>m</v>
          </cell>
          <cell r="G142">
            <v>727</v>
          </cell>
          <cell r="H142">
            <v>4748</v>
          </cell>
          <cell r="Q142">
            <v>4748</v>
          </cell>
          <cell r="R142">
            <v>0.05</v>
          </cell>
          <cell r="S142" t="str">
            <v>저케</v>
          </cell>
          <cell r="T142">
            <v>9.7000000000000003E-2</v>
          </cell>
          <cell r="U142" t="str">
            <v>저케</v>
          </cell>
          <cell r="V142">
            <v>1.4500000000000001E-2</v>
          </cell>
          <cell r="W142" t="str">
            <v>보인</v>
          </cell>
          <cell r="X142">
            <v>1.4500000000000001E-2</v>
          </cell>
        </row>
        <row r="143">
          <cell r="A143">
            <v>141</v>
          </cell>
          <cell r="B143" t="str">
            <v>저압 케이블</v>
          </cell>
          <cell r="C143" t="str">
            <v>600V  EV 200sq/1C</v>
          </cell>
          <cell r="D143" t="str">
            <v>m</v>
          </cell>
          <cell r="G143">
            <v>727</v>
          </cell>
          <cell r="H143">
            <v>6086</v>
          </cell>
          <cell r="Q143">
            <v>6086</v>
          </cell>
          <cell r="R143">
            <v>0.05</v>
          </cell>
          <cell r="S143" t="str">
            <v>저케</v>
          </cell>
          <cell r="T143">
            <v>0.11700000000000001</v>
          </cell>
          <cell r="U143" t="str">
            <v>저케</v>
          </cell>
          <cell r="V143">
            <v>1.7500000000000002E-2</v>
          </cell>
          <cell r="W143" t="str">
            <v>보인</v>
          </cell>
          <cell r="X143">
            <v>1.7000000000000001E-2</v>
          </cell>
        </row>
        <row r="144">
          <cell r="A144">
            <v>142</v>
          </cell>
          <cell r="B144" t="str">
            <v>저압 케이블</v>
          </cell>
          <cell r="C144" t="str">
            <v>600V  EV 250sq/1C</v>
          </cell>
          <cell r="D144" t="str">
            <v>m</v>
          </cell>
          <cell r="G144">
            <v>727</v>
          </cell>
          <cell r="H144">
            <v>7801</v>
          </cell>
          <cell r="Q144">
            <v>7801</v>
          </cell>
          <cell r="R144">
            <v>0.05</v>
          </cell>
          <cell r="S144" t="str">
            <v>저케</v>
          </cell>
          <cell r="T144">
            <v>0.14199999999999999</v>
          </cell>
          <cell r="U144" t="str">
            <v>저케</v>
          </cell>
          <cell r="V144">
            <v>2.5000000000000001E-2</v>
          </cell>
          <cell r="W144" t="str">
            <v>보인</v>
          </cell>
          <cell r="X144">
            <v>2.4500000000000001E-2</v>
          </cell>
        </row>
        <row r="145">
          <cell r="A145">
            <v>143</v>
          </cell>
          <cell r="Q145" t="str"/>
        </row>
        <row r="146">
          <cell r="A146">
            <v>144</v>
          </cell>
          <cell r="Q146" t="str"/>
        </row>
        <row r="147">
          <cell r="A147">
            <v>145</v>
          </cell>
          <cell r="B147" t="str">
            <v>제어 케이블</v>
          </cell>
          <cell r="C147" t="str">
            <v>CVV  2.0sq/2C</v>
          </cell>
          <cell r="D147" t="str">
            <v>m</v>
          </cell>
          <cell r="G147">
            <v>716</v>
          </cell>
          <cell r="H147">
            <v>484</v>
          </cell>
          <cell r="Q147">
            <v>484</v>
          </cell>
          <cell r="R147">
            <v>0.05</v>
          </cell>
          <cell r="S147" t="str">
            <v>저케</v>
          </cell>
          <cell r="T147">
            <v>1.4E-2</v>
          </cell>
        </row>
        <row r="148">
          <cell r="A148">
            <v>146</v>
          </cell>
          <cell r="B148" t="str">
            <v>제어 케이블</v>
          </cell>
          <cell r="C148" t="str">
            <v>CVV  2.0sq/3C</v>
          </cell>
          <cell r="D148" t="str">
            <v>m</v>
          </cell>
          <cell r="G148">
            <v>716</v>
          </cell>
          <cell r="H148">
            <v>594</v>
          </cell>
          <cell r="Q148">
            <v>594</v>
          </cell>
          <cell r="R148">
            <v>0.05</v>
          </cell>
          <cell r="S148" t="str">
            <v>저케</v>
          </cell>
          <cell r="T148">
            <v>1.9E-2</v>
          </cell>
        </row>
        <row r="149">
          <cell r="A149">
            <v>147</v>
          </cell>
          <cell r="B149" t="str">
            <v>제어 케이블</v>
          </cell>
          <cell r="C149" t="str">
            <v>CVV  2.0sq/4C</v>
          </cell>
          <cell r="D149" t="str">
            <v>m</v>
          </cell>
          <cell r="G149">
            <v>716</v>
          </cell>
          <cell r="H149">
            <v>716</v>
          </cell>
          <cell r="Q149">
            <v>716</v>
          </cell>
          <cell r="R149">
            <v>0.05</v>
          </cell>
          <cell r="S149" t="str">
            <v>저케</v>
          </cell>
          <cell r="T149">
            <v>2.5999999999999999E-2</v>
          </cell>
        </row>
        <row r="150">
          <cell r="A150">
            <v>148</v>
          </cell>
          <cell r="B150" t="str">
            <v>제어 케이블</v>
          </cell>
          <cell r="C150" t="str">
            <v>CVV  2.0sq/5C</v>
          </cell>
          <cell r="D150" t="str">
            <v>m</v>
          </cell>
          <cell r="G150">
            <v>716</v>
          </cell>
          <cell r="H150">
            <v>656</v>
          </cell>
          <cell r="Q150">
            <v>656</v>
          </cell>
          <cell r="R150">
            <v>0.05</v>
          </cell>
          <cell r="S150" t="str">
            <v>저케</v>
          </cell>
          <cell r="T150">
            <v>3.2000000000000001E-2</v>
          </cell>
        </row>
        <row r="151">
          <cell r="A151">
            <v>149</v>
          </cell>
          <cell r="B151" t="str">
            <v>제어 케이블</v>
          </cell>
          <cell r="C151" t="str">
            <v>CVV  2.0sq/6C</v>
          </cell>
          <cell r="D151" t="str">
            <v>m</v>
          </cell>
          <cell r="G151">
            <v>716</v>
          </cell>
          <cell r="H151">
            <v>758</v>
          </cell>
          <cell r="Q151">
            <v>758</v>
          </cell>
          <cell r="R151">
            <v>0.05</v>
          </cell>
          <cell r="S151" t="str">
            <v>저케</v>
          </cell>
          <cell r="T151">
            <v>3.5000000000000003E-2</v>
          </cell>
        </row>
        <row r="152">
          <cell r="A152">
            <v>150</v>
          </cell>
          <cell r="B152" t="str">
            <v>제어 케이블</v>
          </cell>
          <cell r="C152" t="str">
            <v>CVV  2.0sq/7C</v>
          </cell>
          <cell r="D152" t="str">
            <v>m</v>
          </cell>
          <cell r="G152">
            <v>716</v>
          </cell>
          <cell r="H152">
            <v>810</v>
          </cell>
          <cell r="Q152">
            <v>810</v>
          </cell>
          <cell r="R152">
            <v>0.05</v>
          </cell>
          <cell r="S152" t="str">
            <v>저케</v>
          </cell>
          <cell r="T152">
            <v>3.9E-2</v>
          </cell>
        </row>
        <row r="153">
          <cell r="A153">
            <v>151</v>
          </cell>
          <cell r="B153" t="str">
            <v>제어 케이블</v>
          </cell>
          <cell r="C153" t="str">
            <v>CVV  2.0sq/8C</v>
          </cell>
          <cell r="D153" t="str">
            <v>m</v>
          </cell>
          <cell r="G153">
            <v>716</v>
          </cell>
          <cell r="H153">
            <v>1010</v>
          </cell>
          <cell r="Q153">
            <v>1010</v>
          </cell>
          <cell r="R153">
            <v>0.05</v>
          </cell>
          <cell r="S153" t="str">
            <v>저케</v>
          </cell>
          <cell r="T153">
            <v>4.2000000000000003E-2</v>
          </cell>
        </row>
        <row r="154">
          <cell r="A154">
            <v>152</v>
          </cell>
          <cell r="B154" t="str">
            <v>제어 케이블</v>
          </cell>
          <cell r="C154" t="str">
            <v>CVV  2.0sq/9C</v>
          </cell>
          <cell r="D154" t="str">
            <v>m</v>
          </cell>
          <cell r="G154">
            <v>716</v>
          </cell>
          <cell r="H154">
            <v>1100</v>
          </cell>
          <cell r="Q154">
            <v>1100</v>
          </cell>
          <cell r="R154">
            <v>0.05</v>
          </cell>
          <cell r="S154" t="str">
            <v>저케</v>
          </cell>
          <cell r="T154">
            <v>4.4999999999999998E-2</v>
          </cell>
        </row>
        <row r="155">
          <cell r="A155">
            <v>153</v>
          </cell>
          <cell r="B155" t="str">
            <v>제어 케이블</v>
          </cell>
          <cell r="C155" t="str">
            <v>CVV  2.0sq/10C</v>
          </cell>
          <cell r="D155" t="str">
            <v>m</v>
          </cell>
          <cell r="G155">
            <v>716</v>
          </cell>
          <cell r="H155">
            <v>1262</v>
          </cell>
          <cell r="Q155">
            <v>1262</v>
          </cell>
          <cell r="R155">
            <v>0.05</v>
          </cell>
          <cell r="S155" t="str">
            <v>저케</v>
          </cell>
          <cell r="T155">
            <v>4.8000000000000001E-2</v>
          </cell>
        </row>
        <row r="156">
          <cell r="A156">
            <v>154</v>
          </cell>
          <cell r="B156" t="str">
            <v>제어 케이블</v>
          </cell>
          <cell r="C156" t="str">
            <v>CVV  2.0sq/12C</v>
          </cell>
          <cell r="D156" t="str">
            <v>m</v>
          </cell>
          <cell r="G156">
            <v>716</v>
          </cell>
          <cell r="H156">
            <v>1400</v>
          </cell>
          <cell r="Q156">
            <v>1400</v>
          </cell>
          <cell r="R156">
            <v>0.05</v>
          </cell>
          <cell r="S156" t="str">
            <v>저케</v>
          </cell>
          <cell r="T156">
            <v>5.3999999999999999E-2</v>
          </cell>
        </row>
        <row r="157">
          <cell r="A157">
            <v>155</v>
          </cell>
          <cell r="B157" t="str">
            <v>제어 케이블</v>
          </cell>
          <cell r="C157" t="str">
            <v>CVV  2.0sq/15C</v>
          </cell>
          <cell r="D157" t="str">
            <v>m</v>
          </cell>
          <cell r="G157">
            <v>716</v>
          </cell>
          <cell r="H157">
            <v>1813</v>
          </cell>
          <cell r="Q157">
            <v>1813</v>
          </cell>
          <cell r="R157">
            <v>0.05</v>
          </cell>
          <cell r="S157" t="str">
            <v>저케</v>
          </cell>
          <cell r="T157">
            <v>6.3E-2</v>
          </cell>
        </row>
        <row r="158">
          <cell r="A158">
            <v>156</v>
          </cell>
          <cell r="B158" t="str">
            <v>제어 케이블</v>
          </cell>
          <cell r="C158" t="str">
            <v>CVV  2.0sq/19C</v>
          </cell>
          <cell r="D158" t="str">
            <v>m</v>
          </cell>
          <cell r="G158">
            <v>716</v>
          </cell>
          <cell r="H158">
            <v>2049</v>
          </cell>
          <cell r="Q158">
            <v>2049</v>
          </cell>
          <cell r="R158">
            <v>0.05</v>
          </cell>
          <cell r="S158" t="str">
            <v>저케</v>
          </cell>
          <cell r="T158">
            <v>7.1999999999999995E-2</v>
          </cell>
        </row>
        <row r="159">
          <cell r="A159">
            <v>157</v>
          </cell>
          <cell r="B159" t="str">
            <v>제어 케이블</v>
          </cell>
          <cell r="C159" t="str">
            <v>CVV  2.0sq/24C</v>
          </cell>
          <cell r="D159" t="str">
            <v>m</v>
          </cell>
          <cell r="G159">
            <v>716</v>
          </cell>
          <cell r="H159">
            <v>2590</v>
          </cell>
          <cell r="Q159">
            <v>2590</v>
          </cell>
          <cell r="R159">
            <v>0.05</v>
          </cell>
          <cell r="S159" t="str">
            <v>저케</v>
          </cell>
          <cell r="T159">
            <v>8.4000000000000005E-2</v>
          </cell>
        </row>
        <row r="160">
          <cell r="A160">
            <v>158</v>
          </cell>
          <cell r="B160" t="str">
            <v>제어 케이블</v>
          </cell>
          <cell r="C160" t="str">
            <v>CVV  2.0sq/27C</v>
          </cell>
          <cell r="D160" t="str">
            <v>m</v>
          </cell>
          <cell r="G160">
            <v>716</v>
          </cell>
          <cell r="H160">
            <v>2826</v>
          </cell>
          <cell r="Q160">
            <v>2826</v>
          </cell>
          <cell r="R160">
            <v>0.05</v>
          </cell>
          <cell r="S160" t="str">
            <v>저케</v>
          </cell>
          <cell r="T160">
            <v>9.0999999999999998E-2</v>
          </cell>
        </row>
        <row r="161">
          <cell r="A161">
            <v>159</v>
          </cell>
          <cell r="B161" t="str">
            <v>제어 케이블</v>
          </cell>
          <cell r="C161" t="str">
            <v>CVV  2.0sq/30C</v>
          </cell>
          <cell r="D161" t="str">
            <v>m</v>
          </cell>
          <cell r="G161">
            <v>716</v>
          </cell>
          <cell r="H161">
            <v>3163</v>
          </cell>
          <cell r="Q161">
            <v>3163</v>
          </cell>
          <cell r="R161">
            <v>0.05</v>
          </cell>
          <cell r="S161" t="str">
            <v>저케</v>
          </cell>
          <cell r="T161">
            <v>9.8000000000000004E-2</v>
          </cell>
        </row>
        <row r="162">
          <cell r="A162">
            <v>160</v>
          </cell>
          <cell r="Q162" t="str"/>
        </row>
        <row r="163">
          <cell r="A163">
            <v>161</v>
          </cell>
          <cell r="B163" t="str">
            <v>제어 케이블</v>
          </cell>
          <cell r="C163" t="str">
            <v>CVV-SB  2.0sq/2C</v>
          </cell>
          <cell r="D163" t="str">
            <v>m</v>
          </cell>
          <cell r="G163">
            <v>717</v>
          </cell>
          <cell r="H163">
            <v>754</v>
          </cell>
          <cell r="Q163">
            <v>754</v>
          </cell>
          <cell r="R163">
            <v>0.05</v>
          </cell>
          <cell r="S163" t="str">
            <v>저케</v>
          </cell>
          <cell r="T163">
            <v>1.4E-2</v>
          </cell>
        </row>
        <row r="164">
          <cell r="A164">
            <v>162</v>
          </cell>
          <cell r="B164" t="str">
            <v>제어 케이블</v>
          </cell>
          <cell r="C164" t="str">
            <v>CVV-SB  2.0sq/3C</v>
          </cell>
          <cell r="D164" t="str">
            <v>m</v>
          </cell>
          <cell r="G164">
            <v>717</v>
          </cell>
          <cell r="H164">
            <v>910</v>
          </cell>
          <cell r="Q164">
            <v>910</v>
          </cell>
          <cell r="R164">
            <v>0.05</v>
          </cell>
          <cell r="S164" t="str">
            <v>저케</v>
          </cell>
          <cell r="T164">
            <v>1.9E-2</v>
          </cell>
        </row>
        <row r="165">
          <cell r="A165">
            <v>163</v>
          </cell>
          <cell r="B165" t="str">
            <v>제어 케이블</v>
          </cell>
          <cell r="C165" t="str">
            <v>CVV-SB  2.0sq/4C</v>
          </cell>
          <cell r="D165" t="str">
            <v>m</v>
          </cell>
          <cell r="G165">
            <v>717</v>
          </cell>
          <cell r="H165">
            <v>1048</v>
          </cell>
          <cell r="Q165">
            <v>1048</v>
          </cell>
          <cell r="R165">
            <v>0.05</v>
          </cell>
          <cell r="S165" t="str">
            <v>저케</v>
          </cell>
          <cell r="T165">
            <v>2.5999999999999999E-2</v>
          </cell>
        </row>
        <row r="166">
          <cell r="A166">
            <v>164</v>
          </cell>
          <cell r="B166" t="str">
            <v>제어 케이블</v>
          </cell>
          <cell r="C166" t="str">
            <v>CVV-SB  2.0sq/5C</v>
          </cell>
          <cell r="D166" t="str">
            <v>m</v>
          </cell>
          <cell r="G166">
            <v>717</v>
          </cell>
          <cell r="H166">
            <v>1143</v>
          </cell>
          <cell r="Q166">
            <v>1143</v>
          </cell>
          <cell r="R166">
            <v>0.05</v>
          </cell>
          <cell r="S166" t="str">
            <v>저케</v>
          </cell>
          <cell r="T166">
            <v>3.2000000000000001E-2</v>
          </cell>
        </row>
        <row r="167">
          <cell r="A167">
            <v>165</v>
          </cell>
          <cell r="B167" t="str">
            <v>제어 케이블</v>
          </cell>
          <cell r="C167" t="str">
            <v>CVV-SB  2.0sq/6C</v>
          </cell>
          <cell r="D167" t="str">
            <v>m</v>
          </cell>
          <cell r="G167">
            <v>717</v>
          </cell>
          <cell r="H167">
            <v>1283</v>
          </cell>
          <cell r="Q167">
            <v>1283</v>
          </cell>
          <cell r="R167">
            <v>0.05</v>
          </cell>
          <cell r="S167" t="str">
            <v>저케</v>
          </cell>
          <cell r="T167">
            <v>3.5000000000000003E-2</v>
          </cell>
        </row>
        <row r="168">
          <cell r="A168">
            <v>166</v>
          </cell>
          <cell r="B168" t="str">
            <v>제어 케이블</v>
          </cell>
          <cell r="C168" t="str">
            <v>CVV-SB  2.0sq/7C</v>
          </cell>
          <cell r="D168" t="str">
            <v>m</v>
          </cell>
          <cell r="G168">
            <v>717</v>
          </cell>
          <cell r="H168">
            <v>1363</v>
          </cell>
          <cell r="Q168">
            <v>1363</v>
          </cell>
          <cell r="R168">
            <v>0.05</v>
          </cell>
          <cell r="S168" t="str">
            <v>저케</v>
          </cell>
          <cell r="T168">
            <v>3.9E-2</v>
          </cell>
        </row>
        <row r="169">
          <cell r="A169">
            <v>167</v>
          </cell>
          <cell r="B169" t="str">
            <v>제어 케이블</v>
          </cell>
          <cell r="C169" t="str">
            <v>CVV-SB  2.0sq/9C</v>
          </cell>
          <cell r="D169" t="str">
            <v>m</v>
          </cell>
          <cell r="G169">
            <v>717</v>
          </cell>
          <cell r="H169">
            <v>1584</v>
          </cell>
          <cell r="Q169">
            <v>1584</v>
          </cell>
          <cell r="R169">
            <v>0.05</v>
          </cell>
          <cell r="S169" t="str">
            <v>저케</v>
          </cell>
          <cell r="T169">
            <v>4.4999999999999998E-2</v>
          </cell>
        </row>
        <row r="170">
          <cell r="A170">
            <v>168</v>
          </cell>
          <cell r="B170" t="str">
            <v>제어 케이블</v>
          </cell>
          <cell r="C170" t="str">
            <v>CVV-SB  2.0sq/10C</v>
          </cell>
          <cell r="D170" t="str">
            <v>m</v>
          </cell>
          <cell r="G170">
            <v>717</v>
          </cell>
          <cell r="H170">
            <v>1734</v>
          </cell>
          <cell r="Q170">
            <v>1734</v>
          </cell>
          <cell r="R170">
            <v>0.05</v>
          </cell>
          <cell r="S170" t="str">
            <v>저케</v>
          </cell>
          <cell r="T170">
            <v>4.8000000000000001E-2</v>
          </cell>
        </row>
        <row r="171">
          <cell r="A171">
            <v>169</v>
          </cell>
          <cell r="B171" t="str">
            <v>제어 케이블</v>
          </cell>
          <cell r="C171" t="str">
            <v>CVV-SB  2.0sq/12C</v>
          </cell>
          <cell r="D171" t="str">
            <v>m</v>
          </cell>
          <cell r="G171">
            <v>717</v>
          </cell>
          <cell r="H171">
            <v>1899</v>
          </cell>
          <cell r="Q171">
            <v>1899</v>
          </cell>
          <cell r="R171">
            <v>0.05</v>
          </cell>
          <cell r="S171" t="str">
            <v>저케</v>
          </cell>
          <cell r="T171">
            <v>5.3999999999999999E-2</v>
          </cell>
        </row>
        <row r="172">
          <cell r="A172">
            <v>170</v>
          </cell>
          <cell r="B172" t="str">
            <v>제어 케이블</v>
          </cell>
          <cell r="C172" t="str">
            <v>CVV-SB  2.0sq/15C</v>
          </cell>
          <cell r="D172" t="str">
            <v>m</v>
          </cell>
          <cell r="G172">
            <v>717</v>
          </cell>
          <cell r="H172">
            <v>2278</v>
          </cell>
          <cell r="Q172">
            <v>2278</v>
          </cell>
          <cell r="R172">
            <v>0.05</v>
          </cell>
          <cell r="S172" t="str">
            <v>저케</v>
          </cell>
          <cell r="T172">
            <v>6.3E-2</v>
          </cell>
        </row>
        <row r="173">
          <cell r="A173">
            <v>171</v>
          </cell>
          <cell r="B173" t="str">
            <v>제어 케이블</v>
          </cell>
          <cell r="C173" t="str">
            <v>CVV-SB  2.0sq/17C</v>
          </cell>
          <cell r="D173" t="str">
            <v>m</v>
          </cell>
          <cell r="G173">
            <v>717</v>
          </cell>
          <cell r="H173">
            <v>2502</v>
          </cell>
          <cell r="Q173">
            <v>2502</v>
          </cell>
          <cell r="R173">
            <v>0.05</v>
          </cell>
          <cell r="S173" t="str">
            <v>저케</v>
          </cell>
          <cell r="T173">
            <v>6.9000000000000006E-2</v>
          </cell>
        </row>
        <row r="174">
          <cell r="A174">
            <v>172</v>
          </cell>
          <cell r="B174" t="str">
            <v>제어 케이블</v>
          </cell>
          <cell r="C174" t="str">
            <v>CVV-SB  2.0sq/19C</v>
          </cell>
          <cell r="D174" t="str">
            <v>m</v>
          </cell>
          <cell r="G174">
            <v>717</v>
          </cell>
          <cell r="H174">
            <v>2643</v>
          </cell>
          <cell r="Q174">
            <v>2643</v>
          </cell>
          <cell r="R174">
            <v>0.05</v>
          </cell>
          <cell r="S174" t="str">
            <v>저케</v>
          </cell>
          <cell r="T174">
            <v>7.1999999999999995E-2</v>
          </cell>
        </row>
        <row r="175">
          <cell r="A175">
            <v>173</v>
          </cell>
          <cell r="B175" t="str">
            <v>제어 케이블</v>
          </cell>
          <cell r="C175" t="str">
            <v>CVV-SB  2.0sq/22C</v>
          </cell>
          <cell r="D175" t="str">
            <v>m</v>
          </cell>
          <cell r="G175">
            <v>717</v>
          </cell>
          <cell r="H175">
            <v>3171</v>
          </cell>
          <cell r="Q175">
            <v>3171</v>
          </cell>
          <cell r="R175">
            <v>0.05</v>
          </cell>
          <cell r="S175" t="str">
            <v>저케</v>
          </cell>
          <cell r="T175">
            <v>7.9000000000000001E-2</v>
          </cell>
        </row>
        <row r="176">
          <cell r="A176">
            <v>174</v>
          </cell>
          <cell r="B176" t="str">
            <v>제어 케이블</v>
          </cell>
          <cell r="C176" t="str">
            <v>CVV-SB  2.0sq/24C</v>
          </cell>
          <cell r="D176" t="str">
            <v>m</v>
          </cell>
          <cell r="G176">
            <v>717</v>
          </cell>
          <cell r="H176">
            <v>3150</v>
          </cell>
          <cell r="Q176">
            <v>3150</v>
          </cell>
          <cell r="R176">
            <v>0.05</v>
          </cell>
          <cell r="S176" t="str">
            <v>저케</v>
          </cell>
          <cell r="T176">
            <v>8.4000000000000005E-2</v>
          </cell>
        </row>
        <row r="177">
          <cell r="A177">
            <v>175</v>
          </cell>
          <cell r="B177" t="str">
            <v>제어 케이블</v>
          </cell>
          <cell r="C177" t="str">
            <v>CVV-SB  2.0sq/29C</v>
          </cell>
          <cell r="D177" t="str">
            <v>m</v>
          </cell>
          <cell r="G177">
            <v>717</v>
          </cell>
          <cell r="H177">
            <v>3452</v>
          </cell>
          <cell r="Q177">
            <v>3452</v>
          </cell>
          <cell r="R177">
            <v>0.05</v>
          </cell>
          <cell r="S177" t="str">
            <v>저케</v>
          </cell>
          <cell r="T177">
            <v>9.5000000000000001E-2</v>
          </cell>
        </row>
        <row r="178">
          <cell r="A178">
            <v>176</v>
          </cell>
          <cell r="B178" t="str">
            <v>제어 케이블</v>
          </cell>
          <cell r="C178" t="str">
            <v>CVV-SB  2.0sq/30C</v>
          </cell>
          <cell r="D178" t="str">
            <v>m</v>
          </cell>
          <cell r="G178">
            <v>717</v>
          </cell>
          <cell r="H178">
            <v>3695</v>
          </cell>
          <cell r="Q178">
            <v>3695</v>
          </cell>
          <cell r="R178">
            <v>0.05</v>
          </cell>
          <cell r="S178" t="str">
            <v>저케</v>
          </cell>
          <cell r="T178">
            <v>9.8000000000000004E-2</v>
          </cell>
        </row>
        <row r="179">
          <cell r="A179">
            <v>177</v>
          </cell>
          <cell r="Q179" t="str"/>
        </row>
        <row r="180">
          <cell r="A180">
            <v>178</v>
          </cell>
          <cell r="B180" t="str">
            <v>통신 케이블</v>
          </cell>
          <cell r="C180" t="str">
            <v>CPEV 0.65/5P</v>
          </cell>
          <cell r="D180" t="str">
            <v>m</v>
          </cell>
          <cell r="G180">
            <v>730</v>
          </cell>
          <cell r="H180">
            <v>568</v>
          </cell>
          <cell r="Q180">
            <v>568</v>
          </cell>
          <cell r="R180">
            <v>0.05</v>
          </cell>
          <cell r="S180" t="str">
            <v>통케</v>
          </cell>
          <cell r="T180">
            <v>1.7999999999999999E-2</v>
          </cell>
          <cell r="Y180" t="str">
            <v>2열동시180%</v>
          </cell>
        </row>
        <row r="181">
          <cell r="A181">
            <v>179</v>
          </cell>
          <cell r="B181" t="str">
            <v>통신 케이블</v>
          </cell>
          <cell r="C181" t="str">
            <v>CPEV 0.65/10P</v>
          </cell>
          <cell r="D181" t="str">
            <v>m</v>
          </cell>
          <cell r="G181">
            <v>730</v>
          </cell>
          <cell r="H181">
            <v>713</v>
          </cell>
          <cell r="Q181">
            <v>713</v>
          </cell>
          <cell r="R181">
            <v>0.05</v>
          </cell>
          <cell r="S181" t="str">
            <v>통케</v>
          </cell>
          <cell r="T181">
            <v>1.7999999999999999E-2</v>
          </cell>
          <cell r="Y181" t="str">
            <v>3열동시240%</v>
          </cell>
        </row>
        <row r="182">
          <cell r="A182">
            <v>180</v>
          </cell>
          <cell r="B182" t="str">
            <v>통신 케이블</v>
          </cell>
          <cell r="C182" t="str">
            <v>CPEV 0.65/20P</v>
          </cell>
          <cell r="D182" t="str">
            <v>m</v>
          </cell>
          <cell r="G182">
            <v>730</v>
          </cell>
          <cell r="H182">
            <v>1053</v>
          </cell>
          <cell r="Q182">
            <v>1053</v>
          </cell>
          <cell r="R182">
            <v>0.05</v>
          </cell>
          <cell r="S182" t="str">
            <v>통케</v>
          </cell>
          <cell r="T182">
            <v>2.1999999999999999E-2</v>
          </cell>
          <cell r="Y182" t="str">
            <v>4열동시320%</v>
          </cell>
        </row>
        <row r="183">
          <cell r="A183">
            <v>181</v>
          </cell>
          <cell r="B183" t="str">
            <v>통신 케이블</v>
          </cell>
          <cell r="C183" t="str">
            <v>CPEV 0.65/30P</v>
          </cell>
          <cell r="D183" t="str">
            <v>m</v>
          </cell>
          <cell r="G183">
            <v>730</v>
          </cell>
          <cell r="H183">
            <v>1432</v>
          </cell>
          <cell r="Q183">
            <v>1432</v>
          </cell>
          <cell r="R183">
            <v>0.05</v>
          </cell>
          <cell r="S183" t="str">
            <v>통케</v>
          </cell>
          <cell r="T183">
            <v>2.3E-2</v>
          </cell>
        </row>
        <row r="184">
          <cell r="A184">
            <v>182</v>
          </cell>
          <cell r="Q184" t="str"/>
        </row>
        <row r="185">
          <cell r="A185">
            <v>183</v>
          </cell>
          <cell r="Q185" t="str"/>
        </row>
        <row r="186">
          <cell r="A186">
            <v>184</v>
          </cell>
          <cell r="B186" t="str">
            <v>동축 케이블</v>
          </cell>
          <cell r="C186" t="str">
            <v>ECX  5C-2V</v>
          </cell>
          <cell r="D186" t="str">
            <v>m</v>
          </cell>
          <cell r="G186">
            <v>730</v>
          </cell>
          <cell r="H186">
            <v>386</v>
          </cell>
          <cell r="Q186">
            <v>386</v>
          </cell>
          <cell r="R186">
            <v>0.05</v>
          </cell>
          <cell r="S186" t="str">
            <v>통설</v>
          </cell>
          <cell r="T186">
            <v>1.7999999999999999E-2</v>
          </cell>
        </row>
        <row r="187">
          <cell r="A187">
            <v>185</v>
          </cell>
          <cell r="B187" t="str">
            <v>동축 케이블</v>
          </cell>
          <cell r="C187" t="str">
            <v>ECX  7C-2V</v>
          </cell>
          <cell r="D187" t="str">
            <v>m</v>
          </cell>
          <cell r="G187">
            <v>730</v>
          </cell>
          <cell r="H187">
            <v>698</v>
          </cell>
          <cell r="Q187">
            <v>698</v>
          </cell>
          <cell r="R187">
            <v>0.05</v>
          </cell>
          <cell r="S187" t="str">
            <v>통설</v>
          </cell>
          <cell r="T187">
            <v>2.1999999999999999E-2</v>
          </cell>
        </row>
        <row r="188">
          <cell r="A188">
            <v>186</v>
          </cell>
          <cell r="B188" t="str">
            <v>동축 케이블</v>
          </cell>
          <cell r="C188" t="str">
            <v>ECX 10C-2V</v>
          </cell>
          <cell r="D188" t="str">
            <v>m</v>
          </cell>
          <cell r="G188">
            <v>730</v>
          </cell>
          <cell r="H188">
            <v>1432</v>
          </cell>
          <cell r="Q188">
            <v>1432</v>
          </cell>
          <cell r="R188">
            <v>0.05</v>
          </cell>
          <cell r="S188" t="str">
            <v>통설</v>
          </cell>
          <cell r="T188">
            <v>3.2000000000000001E-2</v>
          </cell>
        </row>
        <row r="189">
          <cell r="A189">
            <v>187</v>
          </cell>
          <cell r="Q189" t="str"/>
        </row>
        <row r="190">
          <cell r="A190">
            <v>188</v>
          </cell>
          <cell r="B190" t="str">
            <v>22.9KV 전력케이블</v>
          </cell>
          <cell r="C190" t="str">
            <v>CV/CN 60sq/1C</v>
          </cell>
          <cell r="D190" t="str">
            <v>m</v>
          </cell>
          <cell r="G190">
            <v>720</v>
          </cell>
          <cell r="H190">
            <v>7834</v>
          </cell>
          <cell r="Q190">
            <v>7834</v>
          </cell>
          <cell r="R190">
            <v>0.05</v>
          </cell>
          <cell r="S190" t="str">
            <v>특케</v>
          </cell>
          <cell r="T190">
            <v>8.09E-2</v>
          </cell>
          <cell r="Y190" t="str">
            <v>2심:140%</v>
          </cell>
        </row>
        <row r="191">
          <cell r="A191">
            <v>189</v>
          </cell>
          <cell r="B191" t="str">
            <v>22.9KV 전력케이블</v>
          </cell>
          <cell r="C191" t="str">
            <v>CV/CN 100sq/1C</v>
          </cell>
          <cell r="D191" t="str">
            <v>m</v>
          </cell>
          <cell r="G191">
            <v>720</v>
          </cell>
          <cell r="H191">
            <v>9219</v>
          </cell>
          <cell r="Q191">
            <v>9219</v>
          </cell>
          <cell r="R191">
            <v>0.05</v>
          </cell>
          <cell r="S191" t="str">
            <v>특케</v>
          </cell>
          <cell r="T191">
            <v>0.1172</v>
          </cell>
          <cell r="Y191" t="str">
            <v>3심:200%</v>
          </cell>
        </row>
        <row r="192">
          <cell r="A192">
            <v>190</v>
          </cell>
          <cell r="Q192" t="str"/>
          <cell r="Y192" t="str">
            <v>4심:260%</v>
          </cell>
        </row>
        <row r="193">
          <cell r="A193">
            <v>191</v>
          </cell>
          <cell r="Q193" t="str"/>
        </row>
        <row r="194">
          <cell r="A194">
            <v>192</v>
          </cell>
          <cell r="Q194" t="str"/>
        </row>
        <row r="195">
          <cell r="A195">
            <v>193</v>
          </cell>
          <cell r="B195" t="str">
            <v>케이블 헤드 60sq</v>
          </cell>
          <cell r="C195" t="str">
            <v>23KV/1C  1단말/KIT</v>
          </cell>
          <cell r="D195" t="str">
            <v>EA</v>
          </cell>
          <cell r="G195">
            <v>736</v>
          </cell>
          <cell r="H195">
            <v>67400</v>
          </cell>
          <cell r="Q195">
            <v>67400</v>
          </cell>
          <cell r="R195">
            <v>0.05</v>
          </cell>
          <cell r="S195" t="str">
            <v>특케</v>
          </cell>
          <cell r="T195">
            <v>1.05</v>
          </cell>
        </row>
        <row r="196">
          <cell r="A196">
            <v>194</v>
          </cell>
          <cell r="B196" t="str">
            <v>케이블 헤드 100sq</v>
          </cell>
          <cell r="C196" t="str">
            <v>23KV/1C  1단말/KIT</v>
          </cell>
          <cell r="D196" t="str">
            <v>EA</v>
          </cell>
          <cell r="G196">
            <v>736</v>
          </cell>
          <cell r="H196">
            <v>89500</v>
          </cell>
          <cell r="Q196">
            <v>89500</v>
          </cell>
          <cell r="R196">
            <v>0.05</v>
          </cell>
          <cell r="S196" t="str">
            <v>특케</v>
          </cell>
          <cell r="T196">
            <v>1.2</v>
          </cell>
        </row>
        <row r="197">
          <cell r="A197">
            <v>195</v>
          </cell>
          <cell r="Q197" t="str"/>
        </row>
        <row r="198">
          <cell r="A198">
            <v>196</v>
          </cell>
          <cell r="Q198" t="str"/>
        </row>
        <row r="199">
          <cell r="A199">
            <v>197</v>
          </cell>
          <cell r="Q199" t="str"/>
        </row>
        <row r="200">
          <cell r="A200">
            <v>198</v>
          </cell>
          <cell r="B200" t="str">
            <v>고압케이블</v>
          </cell>
          <cell r="C200" t="str">
            <v>3.3KV CV8sq/1C</v>
          </cell>
          <cell r="D200" t="str">
            <v>m</v>
          </cell>
          <cell r="G200">
            <v>719</v>
          </cell>
          <cell r="H200">
            <v>1182</v>
          </cell>
          <cell r="Q200">
            <v>1182</v>
          </cell>
          <cell r="R200">
            <v>0.05</v>
          </cell>
          <cell r="S200" t="str">
            <v>고케</v>
          </cell>
          <cell r="T200">
            <v>1.5400000000000002E-2</v>
          </cell>
        </row>
        <row r="201">
          <cell r="A201">
            <v>199</v>
          </cell>
          <cell r="B201" t="str">
            <v>고압케이블</v>
          </cell>
          <cell r="C201" t="str">
            <v>3.3KV CV14sq/1C</v>
          </cell>
          <cell r="D201" t="str">
            <v>m</v>
          </cell>
          <cell r="G201">
            <v>719</v>
          </cell>
          <cell r="H201">
            <v>1515</v>
          </cell>
          <cell r="Q201">
            <v>1515</v>
          </cell>
          <cell r="R201">
            <v>0.05</v>
          </cell>
          <cell r="S201" t="str">
            <v>고케</v>
          </cell>
          <cell r="T201">
            <v>2.2000000000000002E-2</v>
          </cell>
        </row>
        <row r="202">
          <cell r="A202">
            <v>200</v>
          </cell>
          <cell r="B202" t="str">
            <v>고압케이블</v>
          </cell>
          <cell r="C202" t="str">
            <v>3.3KV CV22sq/1C</v>
          </cell>
          <cell r="D202" t="str">
            <v>m</v>
          </cell>
          <cell r="G202">
            <v>719</v>
          </cell>
          <cell r="H202">
            <v>1825</v>
          </cell>
          <cell r="Q202">
            <v>1825</v>
          </cell>
          <cell r="R202">
            <v>0.05</v>
          </cell>
          <cell r="S202" t="str">
            <v>고케</v>
          </cell>
          <cell r="T202">
            <v>2.86E-2</v>
          </cell>
        </row>
        <row r="203">
          <cell r="A203">
            <v>201</v>
          </cell>
          <cell r="B203" t="str">
            <v>고압케이블</v>
          </cell>
          <cell r="C203" t="str">
            <v>3.3KV CV30sq/1C</v>
          </cell>
          <cell r="D203" t="str">
            <v>m</v>
          </cell>
          <cell r="G203">
            <v>719</v>
          </cell>
          <cell r="H203">
            <v>2201</v>
          </cell>
          <cell r="Q203">
            <v>2201</v>
          </cell>
          <cell r="R203">
            <v>0.05</v>
          </cell>
          <cell r="S203" t="str">
            <v>고케</v>
          </cell>
          <cell r="T203">
            <v>3.3000000000000002E-2</v>
          </cell>
        </row>
        <row r="204">
          <cell r="A204">
            <v>202</v>
          </cell>
          <cell r="B204" t="str">
            <v>고압케이블</v>
          </cell>
          <cell r="C204" t="str">
            <v>3.3KV CV38sq/1C</v>
          </cell>
          <cell r="D204" t="str">
            <v>m</v>
          </cell>
          <cell r="G204">
            <v>719</v>
          </cell>
          <cell r="H204">
            <v>2647</v>
          </cell>
          <cell r="Q204">
            <v>2647</v>
          </cell>
          <cell r="R204">
            <v>0.05</v>
          </cell>
          <cell r="S204" t="str">
            <v>고케</v>
          </cell>
          <cell r="T204">
            <v>3.9600000000000003E-2</v>
          </cell>
        </row>
        <row r="205">
          <cell r="A205">
            <v>203</v>
          </cell>
          <cell r="B205" t="str">
            <v>고압케이블</v>
          </cell>
          <cell r="C205" t="str">
            <v>3.3KV CV50sq/1C</v>
          </cell>
          <cell r="D205" t="str">
            <v>m</v>
          </cell>
          <cell r="G205">
            <v>719</v>
          </cell>
          <cell r="H205">
            <v>3260</v>
          </cell>
          <cell r="Q205">
            <v>3260</v>
          </cell>
          <cell r="R205">
            <v>0.05</v>
          </cell>
          <cell r="S205" t="str">
            <v>고케</v>
          </cell>
          <cell r="T205">
            <v>4.7300000000000002E-2</v>
          </cell>
        </row>
        <row r="206">
          <cell r="A206">
            <v>204</v>
          </cell>
          <cell r="B206" t="str">
            <v>고압케이블</v>
          </cell>
          <cell r="C206" t="str">
            <v>3.3KV CV60sq/1C</v>
          </cell>
          <cell r="D206" t="str">
            <v>m</v>
          </cell>
          <cell r="G206">
            <v>719</v>
          </cell>
          <cell r="H206">
            <v>3953</v>
          </cell>
          <cell r="Q206">
            <v>3953</v>
          </cell>
          <cell r="R206">
            <v>0.05</v>
          </cell>
          <cell r="S206" t="str">
            <v>고케</v>
          </cell>
          <cell r="T206">
            <v>5.3900000000000003E-2</v>
          </cell>
        </row>
        <row r="207">
          <cell r="A207">
            <v>205</v>
          </cell>
          <cell r="B207" t="str">
            <v>고압케이블</v>
          </cell>
          <cell r="C207" t="str">
            <v>3.3KV CV80sq/1C</v>
          </cell>
          <cell r="D207" t="str">
            <v>m</v>
          </cell>
          <cell r="G207">
            <v>719</v>
          </cell>
          <cell r="H207">
            <v>4347</v>
          </cell>
          <cell r="Q207">
            <v>4347</v>
          </cell>
          <cell r="R207">
            <v>0.05</v>
          </cell>
          <cell r="S207" t="str">
            <v>고케</v>
          </cell>
          <cell r="T207">
            <v>6.6000000000000003E-2</v>
          </cell>
        </row>
        <row r="208">
          <cell r="A208">
            <v>206</v>
          </cell>
          <cell r="B208" t="str">
            <v>고압케이블</v>
          </cell>
          <cell r="C208" t="str">
            <v>3.3KV CV100sq/1C</v>
          </cell>
          <cell r="D208" t="str">
            <v>m</v>
          </cell>
          <cell r="G208">
            <v>719</v>
          </cell>
          <cell r="H208">
            <v>5188</v>
          </cell>
          <cell r="Q208">
            <v>5188</v>
          </cell>
          <cell r="R208">
            <v>0.05</v>
          </cell>
          <cell r="S208" t="str">
            <v>고케</v>
          </cell>
          <cell r="T208">
            <v>7.8100000000000003E-2</v>
          </cell>
        </row>
        <row r="209">
          <cell r="A209">
            <v>207</v>
          </cell>
          <cell r="B209" t="str">
            <v>고압케이블</v>
          </cell>
          <cell r="C209" t="str">
            <v>3.3KV CV125sq/1C</v>
          </cell>
          <cell r="D209" t="str">
            <v>m</v>
          </cell>
          <cell r="G209">
            <v>719</v>
          </cell>
          <cell r="H209">
            <v>7110</v>
          </cell>
          <cell r="Q209">
            <v>7110</v>
          </cell>
          <cell r="R209">
            <v>0.05</v>
          </cell>
          <cell r="S209" t="str">
            <v>고케</v>
          </cell>
          <cell r="T209">
            <v>9.240000000000001E-2</v>
          </cell>
        </row>
        <row r="210">
          <cell r="A210">
            <v>208</v>
          </cell>
          <cell r="B210" t="str">
            <v>고압케이블</v>
          </cell>
          <cell r="C210" t="str">
            <v>3.3KV CV150sq/1C</v>
          </cell>
          <cell r="D210" t="str">
            <v>m</v>
          </cell>
          <cell r="G210">
            <v>719</v>
          </cell>
          <cell r="H210">
            <v>8415</v>
          </cell>
          <cell r="Q210">
            <v>8415</v>
          </cell>
          <cell r="R210">
            <v>0.05</v>
          </cell>
          <cell r="S210" t="str">
            <v>고케</v>
          </cell>
          <cell r="T210">
            <v>0.10670000000000002</v>
          </cell>
        </row>
        <row r="211">
          <cell r="A211">
            <v>209</v>
          </cell>
          <cell r="B211" t="str">
            <v>고압케이블</v>
          </cell>
          <cell r="C211" t="str">
            <v>3.3KV CV200sq/1C</v>
          </cell>
          <cell r="D211" t="str">
            <v>m</v>
          </cell>
          <cell r="G211">
            <v>719</v>
          </cell>
          <cell r="H211">
            <v>11412</v>
          </cell>
          <cell r="Q211">
            <v>11412</v>
          </cell>
          <cell r="R211">
            <v>0.05</v>
          </cell>
          <cell r="S211" t="str">
            <v>고케</v>
          </cell>
          <cell r="T211">
            <v>0.12870000000000001</v>
          </cell>
        </row>
        <row r="212">
          <cell r="A212">
            <v>210</v>
          </cell>
          <cell r="B212" t="str">
            <v>고압케이블</v>
          </cell>
          <cell r="C212" t="str">
            <v>3.3KV CV250sq/1C</v>
          </cell>
          <cell r="D212" t="str">
            <v>m</v>
          </cell>
          <cell r="G212">
            <v>719</v>
          </cell>
          <cell r="H212">
            <v>13970</v>
          </cell>
          <cell r="Q212">
            <v>13970</v>
          </cell>
          <cell r="R212">
            <v>0.05</v>
          </cell>
          <cell r="S212" t="str">
            <v>고케</v>
          </cell>
          <cell r="T212">
            <v>0.15620000000000001</v>
          </cell>
        </row>
        <row r="213">
          <cell r="A213">
            <v>211</v>
          </cell>
          <cell r="Q213" t="str"/>
        </row>
        <row r="214">
          <cell r="A214">
            <v>212</v>
          </cell>
          <cell r="Q214" t="str"/>
        </row>
        <row r="215">
          <cell r="A215">
            <v>213</v>
          </cell>
          <cell r="Q215" t="str"/>
        </row>
        <row r="216">
          <cell r="A216">
            <v>214</v>
          </cell>
          <cell r="B216" t="str">
            <v>케이블 헤드 8sq</v>
          </cell>
          <cell r="C216" t="str">
            <v>6.6KV/1C  1단말/KIT</v>
          </cell>
          <cell r="D216" t="str">
            <v>EA</v>
          </cell>
          <cell r="Q216">
            <v>0</v>
          </cell>
          <cell r="S216" t="str">
            <v>고케</v>
          </cell>
          <cell r="T216">
            <v>0.34</v>
          </cell>
        </row>
        <row r="217">
          <cell r="A217">
            <v>215</v>
          </cell>
          <cell r="B217" t="str">
            <v>케이블 헤드 14sq</v>
          </cell>
          <cell r="C217" t="str">
            <v>6.6KV/1C  1단말/KIT</v>
          </cell>
          <cell r="D217" t="str">
            <v>EA</v>
          </cell>
          <cell r="Q217">
            <v>0</v>
          </cell>
          <cell r="S217" t="str">
            <v>고케</v>
          </cell>
          <cell r="T217">
            <v>0.36</v>
          </cell>
        </row>
        <row r="218">
          <cell r="A218">
            <v>216</v>
          </cell>
          <cell r="B218" t="str">
            <v>케이블 헤드 22sq</v>
          </cell>
          <cell r="C218" t="str">
            <v>6.6KV/1C  1단말/KIT</v>
          </cell>
          <cell r="D218" t="str">
            <v>EA</v>
          </cell>
          <cell r="G218">
            <v>738</v>
          </cell>
          <cell r="H218">
            <v>22640</v>
          </cell>
          <cell r="Q218">
            <v>22640</v>
          </cell>
          <cell r="S218" t="str">
            <v>고케</v>
          </cell>
          <cell r="T218">
            <v>0.46</v>
          </cell>
        </row>
        <row r="219">
          <cell r="A219">
            <v>217</v>
          </cell>
          <cell r="B219" t="str">
            <v>케이블 헤드 30sq</v>
          </cell>
          <cell r="C219" t="str">
            <v>6.6KV/1C  1단말/KIT</v>
          </cell>
          <cell r="D219" t="str">
            <v>EA</v>
          </cell>
          <cell r="Q219">
            <v>0</v>
          </cell>
          <cell r="S219" t="str">
            <v>고케</v>
          </cell>
          <cell r="T219">
            <v>0.52</v>
          </cell>
        </row>
        <row r="220">
          <cell r="A220">
            <v>218</v>
          </cell>
          <cell r="B220" t="str">
            <v>케이블 헤드 38sq</v>
          </cell>
          <cell r="C220" t="str">
            <v>6.6KV/1C  1단말/KIT</v>
          </cell>
          <cell r="D220" t="str">
            <v>EA</v>
          </cell>
          <cell r="G220">
            <v>738</v>
          </cell>
          <cell r="H220">
            <v>22800</v>
          </cell>
          <cell r="Q220">
            <v>22800</v>
          </cell>
          <cell r="S220" t="str">
            <v>고케</v>
          </cell>
          <cell r="T220">
            <v>0.55000000000000004</v>
          </cell>
        </row>
        <row r="221">
          <cell r="A221">
            <v>219</v>
          </cell>
          <cell r="B221" t="str">
            <v>케이블 헤드 50sq</v>
          </cell>
          <cell r="C221" t="str">
            <v>6.6KV/1C  1단말/KIT</v>
          </cell>
          <cell r="D221" t="str">
            <v>EA</v>
          </cell>
          <cell r="Q221">
            <v>0</v>
          </cell>
          <cell r="S221" t="str">
            <v>고케</v>
          </cell>
          <cell r="T221">
            <v>0.6</v>
          </cell>
        </row>
        <row r="222">
          <cell r="A222">
            <v>220</v>
          </cell>
          <cell r="B222" t="str">
            <v>케이블 헤드 60sq</v>
          </cell>
          <cell r="C222" t="str">
            <v>6.6KV/1C  1단말/KIT</v>
          </cell>
          <cell r="D222" t="str">
            <v>EA</v>
          </cell>
          <cell r="G222">
            <v>738</v>
          </cell>
          <cell r="H222">
            <v>26000</v>
          </cell>
          <cell r="Q222">
            <v>26000</v>
          </cell>
          <cell r="S222" t="str">
            <v>고케</v>
          </cell>
          <cell r="T222">
            <v>0.67</v>
          </cell>
        </row>
        <row r="223">
          <cell r="A223">
            <v>221</v>
          </cell>
          <cell r="B223" t="str">
            <v>케이블 헤드 80sq</v>
          </cell>
          <cell r="C223" t="str">
            <v>6.6KV/1C  1단말/KIT</v>
          </cell>
          <cell r="D223" t="str">
            <v>EA</v>
          </cell>
          <cell r="Q223">
            <v>0</v>
          </cell>
          <cell r="S223" t="str">
            <v>고케</v>
          </cell>
          <cell r="T223">
            <v>0.72</v>
          </cell>
        </row>
        <row r="224">
          <cell r="A224">
            <v>222</v>
          </cell>
          <cell r="B224" t="str">
            <v>케이블 헤드 100sq</v>
          </cell>
          <cell r="C224" t="str">
            <v>6.6KV/1C  1단말/KIT</v>
          </cell>
          <cell r="D224" t="str">
            <v>EA</v>
          </cell>
          <cell r="G224">
            <v>738</v>
          </cell>
          <cell r="H224">
            <v>26700</v>
          </cell>
          <cell r="Q224">
            <v>26700</v>
          </cell>
          <cell r="S224" t="str">
            <v>고케</v>
          </cell>
          <cell r="T224">
            <v>0.76</v>
          </cell>
        </row>
        <row r="225">
          <cell r="A225">
            <v>223</v>
          </cell>
          <cell r="B225" t="str">
            <v>케이블 헤드 125sq</v>
          </cell>
          <cell r="C225" t="str">
            <v>6.6KV/1C  1단말/KIT</v>
          </cell>
          <cell r="D225" t="str">
            <v>EA</v>
          </cell>
          <cell r="Q225">
            <v>0</v>
          </cell>
          <cell r="S225" t="str">
            <v>고케</v>
          </cell>
          <cell r="T225">
            <v>0.85</v>
          </cell>
        </row>
        <row r="226">
          <cell r="A226">
            <v>224</v>
          </cell>
          <cell r="B226" t="str">
            <v>케이블 헤드 150sq</v>
          </cell>
          <cell r="C226" t="str">
            <v>6.6KV/1C  1단말/KIT</v>
          </cell>
          <cell r="D226" t="str">
            <v>EA</v>
          </cell>
          <cell r="G226">
            <v>738</v>
          </cell>
          <cell r="H226">
            <v>31800</v>
          </cell>
          <cell r="Q226">
            <v>31800</v>
          </cell>
          <cell r="S226" t="str">
            <v>고케</v>
          </cell>
          <cell r="T226">
            <v>0.95</v>
          </cell>
        </row>
        <row r="227">
          <cell r="A227">
            <v>225</v>
          </cell>
          <cell r="B227" t="str">
            <v>케이블 헤드 200sq</v>
          </cell>
          <cell r="C227" t="str">
            <v>6.6KV/1C  1단말/KIT</v>
          </cell>
          <cell r="D227" t="str">
            <v>EA</v>
          </cell>
          <cell r="G227">
            <v>738</v>
          </cell>
          <cell r="H227">
            <v>32600</v>
          </cell>
          <cell r="Q227">
            <v>32600</v>
          </cell>
          <cell r="S227" t="str">
            <v>고케</v>
          </cell>
          <cell r="T227">
            <v>1.03</v>
          </cell>
        </row>
        <row r="228">
          <cell r="A228">
            <v>226</v>
          </cell>
          <cell r="B228" t="str">
            <v>케이블 헤드 250sq</v>
          </cell>
          <cell r="C228" t="str">
            <v>6.6KV/1C  1단말/KIT</v>
          </cell>
          <cell r="D228" t="str">
            <v>EA</v>
          </cell>
          <cell r="G228">
            <v>738</v>
          </cell>
          <cell r="H228">
            <v>33400</v>
          </cell>
          <cell r="Q228">
            <v>33400</v>
          </cell>
          <cell r="S228" t="str">
            <v>고케</v>
          </cell>
          <cell r="T228">
            <v>1.18</v>
          </cell>
        </row>
        <row r="229">
          <cell r="A229">
            <v>227</v>
          </cell>
          <cell r="Q229" t="str"/>
        </row>
        <row r="230">
          <cell r="A230">
            <v>228</v>
          </cell>
          <cell r="Q230" t="str"/>
        </row>
        <row r="231">
          <cell r="A231">
            <v>229</v>
          </cell>
          <cell r="B231" t="str">
            <v>케이블헤드 지지금구</v>
          </cell>
          <cell r="C231" t="str">
            <v>상,하부용</v>
          </cell>
          <cell r="D231" t="str">
            <v>조</v>
          </cell>
          <cell r="G231">
            <v>828</v>
          </cell>
          <cell r="H231">
            <v>42000</v>
          </cell>
          <cell r="Q231">
            <v>42000</v>
          </cell>
          <cell r="U231" t="str">
            <v>배전</v>
          </cell>
          <cell r="V231">
            <v>0.45</v>
          </cell>
          <cell r="W231" t="str">
            <v>보인</v>
          </cell>
          <cell r="X231">
            <v>0.23</v>
          </cell>
        </row>
        <row r="232">
          <cell r="A232">
            <v>230</v>
          </cell>
          <cell r="B232" t="str">
            <v>전주용 입상관</v>
          </cell>
          <cell r="C232" t="str">
            <v>φ130×2m</v>
          </cell>
          <cell r="D232" t="str">
            <v>EA</v>
          </cell>
          <cell r="G232">
            <v>828</v>
          </cell>
          <cell r="H232">
            <v>17000</v>
          </cell>
          <cell r="Q232">
            <v>17000</v>
          </cell>
          <cell r="U232" t="str">
            <v>배전</v>
          </cell>
          <cell r="V232">
            <v>0.46</v>
          </cell>
          <cell r="W232" t="str">
            <v>보인</v>
          </cell>
          <cell r="X232">
            <v>0.17</v>
          </cell>
        </row>
        <row r="233">
          <cell r="A233">
            <v>231</v>
          </cell>
          <cell r="B233" t="str">
            <v>반경철관</v>
          </cell>
          <cell r="C233" t="str">
            <v>80×2×2400</v>
          </cell>
          <cell r="D233" t="str">
            <v>EA</v>
          </cell>
          <cell r="G233">
            <v>827</v>
          </cell>
          <cell r="H233">
            <v>9800</v>
          </cell>
          <cell r="Q233">
            <v>9800</v>
          </cell>
          <cell r="U233" t="str">
            <v>배관</v>
          </cell>
          <cell r="V233">
            <v>0.122</v>
          </cell>
        </row>
        <row r="234">
          <cell r="A234">
            <v>232</v>
          </cell>
          <cell r="B234" t="str">
            <v>반경철관 취부밴드</v>
          </cell>
          <cell r="D234" t="str">
            <v>EA</v>
          </cell>
          <cell r="G234">
            <v>827</v>
          </cell>
          <cell r="H234">
            <v>1200</v>
          </cell>
          <cell r="Q234">
            <v>1200</v>
          </cell>
        </row>
        <row r="235">
          <cell r="A235">
            <v>233</v>
          </cell>
          <cell r="B235" t="str">
            <v>입상관취부밴드</v>
          </cell>
          <cell r="D235" t="str">
            <v>EA</v>
          </cell>
          <cell r="G235">
            <v>827</v>
          </cell>
          <cell r="H235">
            <v>1200</v>
          </cell>
          <cell r="Q235">
            <v>1200</v>
          </cell>
        </row>
        <row r="236">
          <cell r="A236">
            <v>234</v>
          </cell>
          <cell r="Q236" t="str"/>
        </row>
        <row r="237">
          <cell r="A237">
            <v>235</v>
          </cell>
          <cell r="B237" t="str">
            <v>위샤 캡</v>
          </cell>
          <cell r="C237" t="str">
            <v>ST 36C</v>
          </cell>
          <cell r="D237" t="str">
            <v>EA</v>
          </cell>
          <cell r="G237">
            <v>741</v>
          </cell>
          <cell r="H237">
            <v>2480</v>
          </cell>
          <cell r="Q237">
            <v>2480</v>
          </cell>
          <cell r="S237" t="str">
            <v>내선</v>
          </cell>
          <cell r="T237">
            <v>0.03</v>
          </cell>
        </row>
        <row r="238">
          <cell r="A238">
            <v>236</v>
          </cell>
          <cell r="B238" t="str">
            <v>위샤 캡</v>
          </cell>
          <cell r="C238" t="str">
            <v>ST 42C</v>
          </cell>
          <cell r="D238" t="str">
            <v>EA</v>
          </cell>
          <cell r="G238">
            <v>741</v>
          </cell>
          <cell r="H238">
            <v>2770</v>
          </cell>
          <cell r="Q238">
            <v>2770</v>
          </cell>
          <cell r="S238" t="str">
            <v>내선</v>
          </cell>
          <cell r="T238">
            <v>0.03</v>
          </cell>
        </row>
        <row r="239">
          <cell r="A239">
            <v>237</v>
          </cell>
          <cell r="B239" t="str">
            <v>위샤 캡</v>
          </cell>
          <cell r="C239" t="str">
            <v>ST 54C</v>
          </cell>
          <cell r="D239" t="str">
            <v>EA</v>
          </cell>
          <cell r="G239">
            <v>741</v>
          </cell>
          <cell r="H239">
            <v>3440</v>
          </cell>
          <cell r="Q239">
            <v>3440</v>
          </cell>
          <cell r="S239" t="str">
            <v>내선</v>
          </cell>
          <cell r="T239">
            <v>0.04</v>
          </cell>
        </row>
        <row r="240">
          <cell r="A240">
            <v>238</v>
          </cell>
          <cell r="B240" t="str">
            <v>위샤 캡</v>
          </cell>
          <cell r="C240" t="str">
            <v>ST 104C</v>
          </cell>
          <cell r="D240" t="str">
            <v>EA</v>
          </cell>
          <cell r="G240">
            <v>741</v>
          </cell>
          <cell r="H240">
            <v>23910</v>
          </cell>
          <cell r="Q240">
            <v>23910</v>
          </cell>
          <cell r="S240" t="str">
            <v>내선</v>
          </cell>
          <cell r="T240">
            <v>0.04</v>
          </cell>
        </row>
        <row r="241">
          <cell r="A241">
            <v>239</v>
          </cell>
          <cell r="Q241" t="str"/>
        </row>
        <row r="242">
          <cell r="A242">
            <v>240</v>
          </cell>
          <cell r="Q242" t="str"/>
        </row>
        <row r="243">
          <cell r="A243">
            <v>241</v>
          </cell>
          <cell r="B243" t="str">
            <v>PULL BOX</v>
          </cell>
          <cell r="C243" t="str">
            <v>100×100×100</v>
          </cell>
          <cell r="D243" t="str">
            <v>EA</v>
          </cell>
          <cell r="G243">
            <v>746</v>
          </cell>
          <cell r="H243">
            <v>1600</v>
          </cell>
          <cell r="Q243">
            <v>1600</v>
          </cell>
          <cell r="S243" t="str">
            <v>내선</v>
          </cell>
          <cell r="T243">
            <v>0.35</v>
          </cell>
          <cell r="U243" t="str">
            <v>내선</v>
          </cell>
          <cell r="V243">
            <v>0.66</v>
          </cell>
          <cell r="Y243" t="str">
            <v>옥외는 벽면</v>
          </cell>
        </row>
        <row r="244">
          <cell r="A244">
            <v>242</v>
          </cell>
          <cell r="B244" t="str">
            <v>PULL BOX</v>
          </cell>
          <cell r="C244" t="str">
            <v>150×150×100</v>
          </cell>
          <cell r="D244" t="str">
            <v>EA</v>
          </cell>
          <cell r="G244">
            <v>746</v>
          </cell>
          <cell r="H244">
            <v>2000</v>
          </cell>
          <cell r="Q244">
            <v>2000</v>
          </cell>
          <cell r="S244" t="str">
            <v>내선</v>
          </cell>
          <cell r="T244">
            <v>0.35</v>
          </cell>
          <cell r="U244" t="str">
            <v>내선</v>
          </cell>
          <cell r="V244">
            <v>0.66</v>
          </cell>
          <cell r="Y244" t="str">
            <v>옥외는 벽면</v>
          </cell>
        </row>
        <row r="245">
          <cell r="A245">
            <v>243</v>
          </cell>
          <cell r="B245" t="str">
            <v>PULL BOX</v>
          </cell>
          <cell r="C245" t="str">
            <v>200×200×100</v>
          </cell>
          <cell r="D245" t="str">
            <v>EA</v>
          </cell>
          <cell r="G245">
            <v>746</v>
          </cell>
          <cell r="H245">
            <v>3100</v>
          </cell>
          <cell r="Q245">
            <v>3100</v>
          </cell>
          <cell r="S245" t="str">
            <v>내선</v>
          </cell>
          <cell r="T245">
            <v>0.35</v>
          </cell>
          <cell r="U245" t="str">
            <v>내선</v>
          </cell>
          <cell r="V245">
            <v>0.66</v>
          </cell>
          <cell r="Y245" t="str">
            <v>옥외는 벽면</v>
          </cell>
        </row>
        <row r="246">
          <cell r="A246">
            <v>244</v>
          </cell>
          <cell r="B246" t="str">
            <v>PULL BOX</v>
          </cell>
          <cell r="C246" t="str">
            <v>250×250×100</v>
          </cell>
          <cell r="D246" t="str">
            <v>EA</v>
          </cell>
          <cell r="G246">
            <v>746</v>
          </cell>
          <cell r="H246">
            <v>4650</v>
          </cell>
          <cell r="Q246">
            <v>4650</v>
          </cell>
          <cell r="S246" t="str">
            <v>내선</v>
          </cell>
          <cell r="T246">
            <v>0.35</v>
          </cell>
          <cell r="U246" t="str">
            <v>내선</v>
          </cell>
          <cell r="V246">
            <v>0.66</v>
          </cell>
          <cell r="Y246" t="str">
            <v>옥외는 벽면</v>
          </cell>
        </row>
        <row r="247">
          <cell r="A247">
            <v>245</v>
          </cell>
          <cell r="B247" t="str">
            <v>PULL BOX</v>
          </cell>
          <cell r="C247" t="str">
            <v>300×300×100</v>
          </cell>
          <cell r="D247" t="str">
            <v>EA</v>
          </cell>
          <cell r="G247">
            <v>746</v>
          </cell>
          <cell r="H247">
            <v>5000</v>
          </cell>
          <cell r="Q247">
            <v>5000</v>
          </cell>
          <cell r="S247" t="str">
            <v>내선</v>
          </cell>
          <cell r="T247">
            <v>0.35</v>
          </cell>
          <cell r="U247" t="str">
            <v>내선</v>
          </cell>
          <cell r="V247">
            <v>0.66</v>
          </cell>
          <cell r="Y247" t="str">
            <v>옥외는 벽면</v>
          </cell>
        </row>
        <row r="248">
          <cell r="A248">
            <v>246</v>
          </cell>
          <cell r="B248" t="str">
            <v>PULL BOX</v>
          </cell>
          <cell r="C248" t="str">
            <v>150×150×150</v>
          </cell>
          <cell r="D248" t="str">
            <v>EA</v>
          </cell>
          <cell r="G248">
            <v>746</v>
          </cell>
          <cell r="H248">
            <v>2350</v>
          </cell>
          <cell r="Q248">
            <v>2350</v>
          </cell>
          <cell r="S248" t="str">
            <v>내선</v>
          </cell>
          <cell r="T248">
            <v>0.35</v>
          </cell>
          <cell r="U248" t="str">
            <v>내선</v>
          </cell>
          <cell r="V248">
            <v>0.66</v>
          </cell>
          <cell r="Y248" t="str">
            <v>옥외는 벽면</v>
          </cell>
        </row>
        <row r="249">
          <cell r="A249">
            <v>247</v>
          </cell>
          <cell r="B249" t="str">
            <v>PULL BOX</v>
          </cell>
          <cell r="C249" t="str">
            <v>200×200×150</v>
          </cell>
          <cell r="D249" t="str">
            <v>EA</v>
          </cell>
          <cell r="G249">
            <v>746</v>
          </cell>
          <cell r="H249">
            <v>3900</v>
          </cell>
          <cell r="Q249">
            <v>3900</v>
          </cell>
          <cell r="S249" t="str">
            <v>내선</v>
          </cell>
          <cell r="T249">
            <v>0.35</v>
          </cell>
          <cell r="U249" t="str">
            <v>내선</v>
          </cell>
          <cell r="V249">
            <v>0.66</v>
          </cell>
          <cell r="Y249" t="str">
            <v>옥외는 벽면</v>
          </cell>
        </row>
        <row r="250">
          <cell r="A250">
            <v>248</v>
          </cell>
          <cell r="B250" t="str">
            <v>PULL BOX</v>
          </cell>
          <cell r="C250" t="str">
            <v>250×250×150</v>
          </cell>
          <cell r="D250" t="str">
            <v>EA</v>
          </cell>
          <cell r="G250">
            <v>746</v>
          </cell>
          <cell r="H250">
            <v>5000</v>
          </cell>
          <cell r="Q250">
            <v>5000</v>
          </cell>
          <cell r="S250" t="str">
            <v>내선</v>
          </cell>
          <cell r="T250">
            <v>0.35</v>
          </cell>
          <cell r="U250" t="str">
            <v>내선</v>
          </cell>
          <cell r="V250">
            <v>0.66</v>
          </cell>
          <cell r="Y250" t="str">
            <v>옥외는 벽면</v>
          </cell>
        </row>
        <row r="251">
          <cell r="A251">
            <v>249</v>
          </cell>
          <cell r="B251" t="str">
            <v>PULL BOX</v>
          </cell>
          <cell r="C251" t="str">
            <v>300×300×150</v>
          </cell>
          <cell r="D251" t="str">
            <v>EA</v>
          </cell>
          <cell r="G251">
            <v>746</v>
          </cell>
          <cell r="H251">
            <v>5750</v>
          </cell>
          <cell r="Q251">
            <v>5750</v>
          </cell>
          <cell r="S251" t="str">
            <v>내선</v>
          </cell>
          <cell r="T251">
            <v>0.35</v>
          </cell>
          <cell r="U251" t="str">
            <v>내선</v>
          </cell>
          <cell r="V251">
            <v>0.66</v>
          </cell>
          <cell r="Y251" t="str">
            <v>옥외는 벽면</v>
          </cell>
        </row>
        <row r="252">
          <cell r="A252">
            <v>250</v>
          </cell>
          <cell r="B252" t="str">
            <v>PULL BOX</v>
          </cell>
          <cell r="C252" t="str">
            <v>400×400×150</v>
          </cell>
          <cell r="D252" t="str">
            <v>EA</v>
          </cell>
          <cell r="G252">
            <v>746</v>
          </cell>
          <cell r="H252">
            <v>9350</v>
          </cell>
          <cell r="Q252">
            <v>9350</v>
          </cell>
          <cell r="S252" t="str">
            <v>내선</v>
          </cell>
          <cell r="T252">
            <v>0.35</v>
          </cell>
          <cell r="U252" t="str">
            <v>내선</v>
          </cell>
          <cell r="V252">
            <v>0.66</v>
          </cell>
          <cell r="Y252" t="str">
            <v>옥외는 벽면</v>
          </cell>
        </row>
        <row r="253">
          <cell r="A253">
            <v>251</v>
          </cell>
          <cell r="B253" t="str">
            <v>PULL BOX</v>
          </cell>
          <cell r="C253" t="str">
            <v>300×300×200</v>
          </cell>
          <cell r="D253" t="str">
            <v>EA</v>
          </cell>
          <cell r="G253">
            <v>746</v>
          </cell>
          <cell r="H253">
            <v>6500</v>
          </cell>
          <cell r="Q253">
            <v>6500</v>
          </cell>
          <cell r="S253" t="str">
            <v>내선</v>
          </cell>
          <cell r="T253">
            <v>0.35</v>
          </cell>
          <cell r="U253" t="str">
            <v>내선</v>
          </cell>
          <cell r="V253">
            <v>0.66</v>
          </cell>
          <cell r="Y253" t="str">
            <v>옥외는 벽면</v>
          </cell>
        </row>
        <row r="254">
          <cell r="A254">
            <v>252</v>
          </cell>
          <cell r="B254" t="str">
            <v>PULL BOX</v>
          </cell>
          <cell r="C254" t="str">
            <v>400×400×200</v>
          </cell>
          <cell r="D254" t="str">
            <v>EA</v>
          </cell>
          <cell r="G254">
            <v>746</v>
          </cell>
          <cell r="H254">
            <v>10200</v>
          </cell>
          <cell r="Q254">
            <v>10200</v>
          </cell>
          <cell r="S254" t="str">
            <v>내선</v>
          </cell>
          <cell r="T254">
            <v>0.66</v>
          </cell>
          <cell r="U254" t="str">
            <v>내선</v>
          </cell>
          <cell r="V254">
            <v>0.95</v>
          </cell>
          <cell r="Y254" t="str">
            <v>옥외는 벽면</v>
          </cell>
        </row>
        <row r="255">
          <cell r="A255">
            <v>253</v>
          </cell>
          <cell r="B255" t="str">
            <v>PULL BOX</v>
          </cell>
          <cell r="C255" t="str">
            <v>500×500×200</v>
          </cell>
          <cell r="D255" t="str">
            <v>EA</v>
          </cell>
          <cell r="G255">
            <v>746</v>
          </cell>
          <cell r="H255">
            <v>18200</v>
          </cell>
          <cell r="Q255">
            <v>18200</v>
          </cell>
          <cell r="S255" t="str">
            <v>내선</v>
          </cell>
          <cell r="T255">
            <v>0.66</v>
          </cell>
          <cell r="U255" t="str">
            <v>내선</v>
          </cell>
          <cell r="V255">
            <v>0.95</v>
          </cell>
          <cell r="Y255" t="str">
            <v>옥외는 벽면</v>
          </cell>
        </row>
        <row r="256">
          <cell r="A256">
            <v>254</v>
          </cell>
          <cell r="B256" t="str">
            <v>PULL BOX</v>
          </cell>
          <cell r="C256" t="str">
            <v>300×300×300</v>
          </cell>
          <cell r="D256" t="str">
            <v>EA</v>
          </cell>
          <cell r="G256">
            <v>746</v>
          </cell>
          <cell r="H256">
            <v>6500</v>
          </cell>
          <cell r="Q256">
            <v>6500</v>
          </cell>
          <cell r="S256" t="str">
            <v>내선</v>
          </cell>
          <cell r="T256">
            <v>0.66</v>
          </cell>
          <cell r="U256" t="str">
            <v>내선</v>
          </cell>
          <cell r="V256">
            <v>0.95</v>
          </cell>
          <cell r="Y256" t="str">
            <v>옥외는 벽면</v>
          </cell>
        </row>
        <row r="257">
          <cell r="A257">
            <v>255</v>
          </cell>
          <cell r="B257" t="str">
            <v>PULL BOX</v>
          </cell>
          <cell r="C257" t="str">
            <v>400×400×300</v>
          </cell>
          <cell r="D257" t="str">
            <v>EA</v>
          </cell>
          <cell r="G257">
            <v>746</v>
          </cell>
          <cell r="H257">
            <v>12100</v>
          </cell>
          <cell r="Q257">
            <v>12100</v>
          </cell>
          <cell r="S257" t="str">
            <v>내선</v>
          </cell>
          <cell r="T257">
            <v>0.66</v>
          </cell>
          <cell r="U257" t="str">
            <v>내선</v>
          </cell>
          <cell r="V257">
            <v>0.95</v>
          </cell>
          <cell r="Y257" t="str">
            <v>옥외는 벽면</v>
          </cell>
        </row>
        <row r="258">
          <cell r="A258">
            <v>256</v>
          </cell>
          <cell r="B258" t="str">
            <v>PULL BOX</v>
          </cell>
          <cell r="C258" t="str">
            <v>500×500×300</v>
          </cell>
          <cell r="D258" t="str">
            <v>EA</v>
          </cell>
          <cell r="G258">
            <v>746</v>
          </cell>
          <cell r="H258">
            <v>22000</v>
          </cell>
          <cell r="Q258">
            <v>22000</v>
          </cell>
          <cell r="S258" t="str">
            <v>내선</v>
          </cell>
          <cell r="T258">
            <v>0.66</v>
          </cell>
          <cell r="U258" t="str">
            <v>내선</v>
          </cell>
          <cell r="V258">
            <v>0.95</v>
          </cell>
          <cell r="Y258" t="str">
            <v>옥외는 벽면</v>
          </cell>
        </row>
        <row r="259">
          <cell r="A259">
            <v>257</v>
          </cell>
          <cell r="B259" t="str">
            <v>PULL BOX</v>
          </cell>
          <cell r="C259" t="str">
            <v>600×600×300</v>
          </cell>
          <cell r="D259" t="str">
            <v>EA</v>
          </cell>
          <cell r="G259">
            <v>746</v>
          </cell>
          <cell r="H259">
            <v>27500</v>
          </cell>
          <cell r="Q259">
            <v>27500</v>
          </cell>
          <cell r="S259" t="str">
            <v>내선</v>
          </cell>
          <cell r="T259">
            <v>0.66</v>
          </cell>
          <cell r="U259" t="str">
            <v>내선</v>
          </cell>
          <cell r="V259">
            <v>0.95</v>
          </cell>
          <cell r="Y259" t="str">
            <v>옥외는 벽면</v>
          </cell>
        </row>
        <row r="260">
          <cell r="A260">
            <v>258</v>
          </cell>
          <cell r="B260" t="str">
            <v>PULL BOX</v>
          </cell>
          <cell r="C260" t="str">
            <v>600×600×400</v>
          </cell>
          <cell r="D260" t="str">
            <v>EA</v>
          </cell>
          <cell r="G260">
            <v>746</v>
          </cell>
          <cell r="H260">
            <v>33000</v>
          </cell>
          <cell r="Q260">
            <v>33000</v>
          </cell>
          <cell r="S260" t="str">
            <v>내선</v>
          </cell>
          <cell r="T260">
            <v>0.66</v>
          </cell>
          <cell r="U260" t="str">
            <v>내선</v>
          </cell>
          <cell r="V260">
            <v>0.95</v>
          </cell>
          <cell r="Y260" t="str">
            <v>옥외는 벽면</v>
          </cell>
        </row>
        <row r="261">
          <cell r="A261">
            <v>259</v>
          </cell>
          <cell r="Q261" t="str"/>
        </row>
        <row r="262">
          <cell r="A262">
            <v>260</v>
          </cell>
          <cell r="Q262" t="str"/>
        </row>
        <row r="263">
          <cell r="A263">
            <v>261</v>
          </cell>
          <cell r="Q263" t="str"/>
        </row>
        <row r="264">
          <cell r="A264">
            <v>262</v>
          </cell>
          <cell r="Q264" t="str"/>
        </row>
        <row r="265">
          <cell r="A265">
            <v>263</v>
          </cell>
          <cell r="B265" t="str">
            <v>노출박스</v>
          </cell>
          <cell r="C265" t="str">
            <v>16C 1방출</v>
          </cell>
          <cell r="D265" t="str">
            <v>EA</v>
          </cell>
          <cell r="G265">
            <v>748</v>
          </cell>
          <cell r="H265">
            <v>2040</v>
          </cell>
          <cell r="Q265">
            <v>2040</v>
          </cell>
          <cell r="S265" t="str">
            <v>내선</v>
          </cell>
          <cell r="T265">
            <v>0.28999999999999998</v>
          </cell>
        </row>
        <row r="266">
          <cell r="A266">
            <v>264</v>
          </cell>
          <cell r="B266" t="str">
            <v>노출박스</v>
          </cell>
          <cell r="C266" t="str">
            <v>16C 2방출</v>
          </cell>
          <cell r="D266" t="str">
            <v>EA</v>
          </cell>
          <cell r="G266">
            <v>748</v>
          </cell>
          <cell r="H266">
            <v>2167</v>
          </cell>
          <cell r="Q266">
            <v>2167</v>
          </cell>
          <cell r="S266" t="str">
            <v>내선</v>
          </cell>
          <cell r="T266">
            <v>0.28999999999999998</v>
          </cell>
        </row>
        <row r="267">
          <cell r="A267">
            <v>265</v>
          </cell>
          <cell r="B267" t="str">
            <v>노출박스</v>
          </cell>
          <cell r="C267" t="str">
            <v>22C 1방출</v>
          </cell>
          <cell r="D267" t="str">
            <v>EA</v>
          </cell>
          <cell r="G267">
            <v>748</v>
          </cell>
          <cell r="H267">
            <v>2295</v>
          </cell>
          <cell r="Q267">
            <v>2295</v>
          </cell>
          <cell r="S267" t="str">
            <v>내선</v>
          </cell>
          <cell r="T267">
            <v>0.28999999999999998</v>
          </cell>
        </row>
        <row r="268">
          <cell r="A268">
            <v>266</v>
          </cell>
          <cell r="B268" t="str">
            <v>노출박스</v>
          </cell>
          <cell r="C268" t="str">
            <v>22C 2방출</v>
          </cell>
          <cell r="D268" t="str">
            <v>EA</v>
          </cell>
          <cell r="G268">
            <v>748</v>
          </cell>
          <cell r="H268">
            <v>2465</v>
          </cell>
          <cell r="Q268">
            <v>2465</v>
          </cell>
          <cell r="S268" t="str">
            <v>내선</v>
          </cell>
          <cell r="T268">
            <v>0.28999999999999998</v>
          </cell>
        </row>
        <row r="269">
          <cell r="A269">
            <v>267</v>
          </cell>
          <cell r="B269" t="str">
            <v>노출박스</v>
          </cell>
          <cell r="C269" t="str">
            <v>28C 1방출</v>
          </cell>
          <cell r="D269" t="str">
            <v>EA</v>
          </cell>
          <cell r="G269">
            <v>748</v>
          </cell>
          <cell r="H269">
            <v>3655</v>
          </cell>
          <cell r="Q269">
            <v>3655</v>
          </cell>
          <cell r="S269" t="str">
            <v>내선</v>
          </cell>
          <cell r="T269">
            <v>0.28999999999999998</v>
          </cell>
        </row>
        <row r="270">
          <cell r="A270">
            <v>268</v>
          </cell>
          <cell r="B270" t="str">
            <v>노출박스</v>
          </cell>
          <cell r="C270" t="str">
            <v>28C 2방출</v>
          </cell>
          <cell r="D270" t="str">
            <v>EA</v>
          </cell>
          <cell r="G270">
            <v>748</v>
          </cell>
          <cell r="H270">
            <v>3995</v>
          </cell>
          <cell r="Q270">
            <v>3995</v>
          </cell>
          <cell r="S270" t="str">
            <v>내선</v>
          </cell>
          <cell r="T270">
            <v>0.28999999999999998</v>
          </cell>
        </row>
        <row r="271">
          <cell r="A271">
            <v>269</v>
          </cell>
          <cell r="Q271" t="str"/>
        </row>
        <row r="272">
          <cell r="A272">
            <v>270</v>
          </cell>
          <cell r="Q272" t="str"/>
        </row>
        <row r="273">
          <cell r="A273">
            <v>271</v>
          </cell>
          <cell r="B273" t="str">
            <v>Outlet Box</v>
          </cell>
          <cell r="C273" t="str">
            <v>4각 천정</v>
          </cell>
          <cell r="D273" t="str">
            <v>EA</v>
          </cell>
          <cell r="G273">
            <v>748</v>
          </cell>
          <cell r="H273">
            <v>630</v>
          </cell>
          <cell r="Q273">
            <v>630</v>
          </cell>
          <cell r="S273" t="str">
            <v>내선</v>
          </cell>
          <cell r="T273">
            <v>0.12</v>
          </cell>
        </row>
        <row r="274">
          <cell r="A274">
            <v>272</v>
          </cell>
          <cell r="B274" t="str">
            <v>Outlet Box</v>
          </cell>
          <cell r="C274" t="str">
            <v>4각벽부</v>
          </cell>
          <cell r="D274" t="str">
            <v>EA</v>
          </cell>
          <cell r="G274">
            <v>748</v>
          </cell>
          <cell r="H274">
            <v>630</v>
          </cell>
          <cell r="Q274">
            <v>630</v>
          </cell>
          <cell r="S274" t="str">
            <v>내선</v>
          </cell>
          <cell r="T274">
            <v>0.2</v>
          </cell>
        </row>
        <row r="275">
          <cell r="A275">
            <v>273</v>
          </cell>
          <cell r="B275" t="str">
            <v>Outlet Box</v>
          </cell>
          <cell r="C275" t="str">
            <v xml:space="preserve">  8 각</v>
          </cell>
          <cell r="D275" t="str">
            <v>EA</v>
          </cell>
          <cell r="G275">
            <v>748</v>
          </cell>
          <cell r="H275">
            <v>540</v>
          </cell>
          <cell r="Q275">
            <v>540</v>
          </cell>
          <cell r="S275" t="str">
            <v>내선</v>
          </cell>
          <cell r="T275">
            <v>0.12</v>
          </cell>
        </row>
        <row r="276">
          <cell r="A276">
            <v>274</v>
          </cell>
          <cell r="B276" t="str">
            <v>Outlet Box</v>
          </cell>
          <cell r="C276" t="str">
            <v>SW</v>
          </cell>
          <cell r="D276" t="str">
            <v>EA</v>
          </cell>
          <cell r="G276">
            <v>748</v>
          </cell>
          <cell r="H276">
            <v>495</v>
          </cell>
          <cell r="Q276">
            <v>495</v>
          </cell>
          <cell r="S276" t="str">
            <v>내선</v>
          </cell>
          <cell r="T276">
            <v>0.2</v>
          </cell>
        </row>
        <row r="277">
          <cell r="A277">
            <v>275</v>
          </cell>
          <cell r="B277" t="str">
            <v>PVC  Outlet Box</v>
          </cell>
          <cell r="C277" t="str">
            <v xml:space="preserve">  8 각</v>
          </cell>
          <cell r="D277" t="str">
            <v>EA</v>
          </cell>
          <cell r="G277">
            <v>749</v>
          </cell>
          <cell r="H277">
            <v>670</v>
          </cell>
          <cell r="Q277">
            <v>670</v>
          </cell>
          <cell r="S277" t="str">
            <v>내선</v>
          </cell>
          <cell r="T277">
            <v>0.12</v>
          </cell>
        </row>
        <row r="278">
          <cell r="A278">
            <v>276</v>
          </cell>
          <cell r="B278" t="str">
            <v>PVC  Outlet Box</v>
          </cell>
          <cell r="C278" t="str">
            <v xml:space="preserve">  4 각</v>
          </cell>
          <cell r="D278" t="str">
            <v>EA</v>
          </cell>
          <cell r="G278">
            <v>749</v>
          </cell>
          <cell r="H278">
            <v>745</v>
          </cell>
          <cell r="Q278">
            <v>745</v>
          </cell>
          <cell r="S278" t="str">
            <v>내선</v>
          </cell>
          <cell r="T278">
            <v>0.12</v>
          </cell>
        </row>
        <row r="279">
          <cell r="A279">
            <v>277</v>
          </cell>
          <cell r="B279" t="str">
            <v>콘센트(접지극부 )</v>
          </cell>
          <cell r="C279" t="str">
            <v>1구 2P 15A 250V</v>
          </cell>
          <cell r="D279" t="str">
            <v>EA</v>
          </cell>
          <cell r="G279">
            <v>804</v>
          </cell>
          <cell r="H279">
            <v>1010</v>
          </cell>
          <cell r="Q279">
            <v>1010</v>
          </cell>
          <cell r="S279" t="str">
            <v>내선</v>
          </cell>
          <cell r="T279">
            <v>0.08</v>
          </cell>
        </row>
        <row r="280">
          <cell r="A280">
            <v>278</v>
          </cell>
          <cell r="B280" t="str">
            <v>콘센트(접지극부 )</v>
          </cell>
          <cell r="C280" t="str">
            <v>1구방폭 2P 15A 250V</v>
          </cell>
          <cell r="D280" t="str">
            <v>EA</v>
          </cell>
          <cell r="G280">
            <v>818</v>
          </cell>
          <cell r="H280">
            <v>67000</v>
          </cell>
          <cell r="Q280">
            <v>67000</v>
          </cell>
          <cell r="S280" t="str">
            <v>내선</v>
          </cell>
          <cell r="T280">
            <v>0.16</v>
          </cell>
        </row>
        <row r="281">
          <cell r="A281">
            <v>279</v>
          </cell>
          <cell r="B281" t="str">
            <v>콘센트(접지극부 )</v>
          </cell>
          <cell r="C281" t="str">
            <v>1구방수 2P 15A 250V</v>
          </cell>
          <cell r="D281" t="str">
            <v>EA</v>
          </cell>
          <cell r="G281">
            <v>804</v>
          </cell>
          <cell r="H281">
            <v>2500</v>
          </cell>
          <cell r="Q281">
            <v>2500</v>
          </cell>
          <cell r="S281" t="str">
            <v>내선</v>
          </cell>
          <cell r="T281">
            <v>0.08</v>
          </cell>
        </row>
        <row r="282">
          <cell r="A282">
            <v>280</v>
          </cell>
          <cell r="B282" t="str">
            <v>콘센트(접지극부 )</v>
          </cell>
          <cell r="C282" t="str">
            <v>2구 2P 15A 250V</v>
          </cell>
          <cell r="D282" t="str">
            <v>EA</v>
          </cell>
          <cell r="G282">
            <v>804</v>
          </cell>
          <cell r="H282">
            <v>1300</v>
          </cell>
          <cell r="Q282">
            <v>1300</v>
          </cell>
          <cell r="S282" t="str">
            <v>내선</v>
          </cell>
          <cell r="T282">
            <v>0.08</v>
          </cell>
        </row>
        <row r="283">
          <cell r="A283">
            <v>281</v>
          </cell>
          <cell r="B283" t="str">
            <v>콘센트(접지극부 )</v>
          </cell>
          <cell r="C283" t="str">
            <v>2구 2P 30A 250V</v>
          </cell>
          <cell r="D283" t="str">
            <v>EA</v>
          </cell>
          <cell r="G283">
            <v>806</v>
          </cell>
          <cell r="H283">
            <v>1452</v>
          </cell>
          <cell r="Q283">
            <v>1452</v>
          </cell>
          <cell r="S283" t="str">
            <v>내선</v>
          </cell>
          <cell r="T283">
            <v>0.08</v>
          </cell>
        </row>
        <row r="284">
          <cell r="A284">
            <v>282</v>
          </cell>
          <cell r="B284" t="str">
            <v>콘센트(접지극부 )</v>
          </cell>
          <cell r="C284" t="str">
            <v>3P 20A 250V</v>
          </cell>
          <cell r="D284" t="str">
            <v>EA</v>
          </cell>
          <cell r="G284">
            <v>806</v>
          </cell>
          <cell r="H284">
            <v>1074</v>
          </cell>
          <cell r="Q284">
            <v>1074</v>
          </cell>
          <cell r="S284" t="str">
            <v>내선</v>
          </cell>
          <cell r="T284">
            <v>9.5000000000000001E-2</v>
          </cell>
        </row>
        <row r="285">
          <cell r="A285">
            <v>283</v>
          </cell>
          <cell r="B285" t="str">
            <v>콘센트(접지극부 )</v>
          </cell>
          <cell r="C285" t="str">
            <v>3P 30A 250V</v>
          </cell>
          <cell r="D285" t="str">
            <v>EA</v>
          </cell>
          <cell r="Q285">
            <v>0</v>
          </cell>
          <cell r="S285" t="str">
            <v>내선</v>
          </cell>
          <cell r="T285">
            <v>0.14499999999999999</v>
          </cell>
        </row>
        <row r="286">
          <cell r="A286">
            <v>284</v>
          </cell>
          <cell r="Q286" t="str"/>
        </row>
        <row r="287">
          <cell r="A287">
            <v>285</v>
          </cell>
          <cell r="Q287" t="str"/>
        </row>
        <row r="288">
          <cell r="A288">
            <v>286</v>
          </cell>
          <cell r="B288" t="str">
            <v>전화용 콘센트</v>
          </cell>
          <cell r="C288" t="str">
            <v>체신부규격4P</v>
          </cell>
          <cell r="D288" t="str">
            <v>EA</v>
          </cell>
          <cell r="G288">
            <v>804</v>
          </cell>
          <cell r="H288">
            <v>620</v>
          </cell>
          <cell r="Q288">
            <v>620</v>
          </cell>
          <cell r="S288" t="str">
            <v>통내</v>
          </cell>
          <cell r="T288">
            <v>7.0000000000000007E-2</v>
          </cell>
        </row>
        <row r="289">
          <cell r="A289">
            <v>287</v>
          </cell>
          <cell r="B289" t="str">
            <v>TV유니트</v>
          </cell>
          <cell r="C289" t="str">
            <v>IN 75</v>
          </cell>
          <cell r="D289" t="str">
            <v>EA</v>
          </cell>
          <cell r="G289">
            <v>804</v>
          </cell>
          <cell r="H289">
            <v>1700</v>
          </cell>
          <cell r="Q289">
            <v>1700</v>
          </cell>
          <cell r="S289" t="str">
            <v>통내</v>
          </cell>
          <cell r="T289">
            <v>0.08</v>
          </cell>
        </row>
        <row r="290">
          <cell r="A290">
            <v>288</v>
          </cell>
          <cell r="Q290" t="str"/>
        </row>
        <row r="291">
          <cell r="A291">
            <v>289</v>
          </cell>
          <cell r="Q291" t="str"/>
        </row>
        <row r="292">
          <cell r="A292">
            <v>290</v>
          </cell>
          <cell r="B292" t="str">
            <v>텀블러SW</v>
          </cell>
          <cell r="C292" t="str">
            <v>1로 1구 램프</v>
          </cell>
          <cell r="D292" t="str">
            <v>EA</v>
          </cell>
          <cell r="G292">
            <v>804</v>
          </cell>
          <cell r="H292">
            <v>1080</v>
          </cell>
          <cell r="Q292">
            <v>1080</v>
          </cell>
          <cell r="S292" t="str">
            <v>내선</v>
          </cell>
          <cell r="T292">
            <v>6.5000000000000002E-2</v>
          </cell>
        </row>
        <row r="293">
          <cell r="A293">
            <v>291</v>
          </cell>
          <cell r="B293" t="str">
            <v>텀블러SW</v>
          </cell>
          <cell r="C293" t="str">
            <v>1로 1구  방폭2P 10A</v>
          </cell>
          <cell r="D293" t="str">
            <v>EA</v>
          </cell>
          <cell r="G293">
            <v>818</v>
          </cell>
          <cell r="H293">
            <v>38600</v>
          </cell>
          <cell r="Q293">
            <v>38600</v>
          </cell>
          <cell r="S293" t="str">
            <v>내선</v>
          </cell>
          <cell r="T293">
            <v>0.13</v>
          </cell>
        </row>
        <row r="294">
          <cell r="A294">
            <v>292</v>
          </cell>
          <cell r="B294" t="str">
            <v>텀블러SW</v>
          </cell>
          <cell r="C294" t="str">
            <v>1로 2구 램프</v>
          </cell>
          <cell r="D294" t="str">
            <v>EA</v>
          </cell>
          <cell r="G294">
            <v>804</v>
          </cell>
          <cell r="H294">
            <v>1840</v>
          </cell>
          <cell r="Q294">
            <v>1840</v>
          </cell>
          <cell r="S294" t="str">
            <v>내선</v>
          </cell>
          <cell r="T294">
            <v>8.5000000000000006E-2</v>
          </cell>
        </row>
        <row r="295">
          <cell r="A295">
            <v>293</v>
          </cell>
          <cell r="B295" t="str">
            <v>텀블러SW</v>
          </cell>
          <cell r="C295" t="str">
            <v>1로 3구 램프</v>
          </cell>
          <cell r="D295" t="str">
            <v>EA</v>
          </cell>
          <cell r="G295">
            <v>804</v>
          </cell>
          <cell r="H295">
            <v>2600</v>
          </cell>
          <cell r="Q295">
            <v>2600</v>
          </cell>
          <cell r="S295" t="str">
            <v>내선</v>
          </cell>
          <cell r="T295">
            <v>8.5000000000000006E-2</v>
          </cell>
        </row>
        <row r="296">
          <cell r="A296">
            <v>294</v>
          </cell>
          <cell r="B296" t="str">
            <v>텀블러SW</v>
          </cell>
          <cell r="C296" t="str">
            <v>3로 1구 램프</v>
          </cell>
          <cell r="D296" t="str">
            <v>EA</v>
          </cell>
          <cell r="G296">
            <v>804</v>
          </cell>
          <cell r="H296">
            <v>1210</v>
          </cell>
          <cell r="Q296">
            <v>1210</v>
          </cell>
          <cell r="S296" t="str">
            <v>내선</v>
          </cell>
          <cell r="T296">
            <v>8.5000000000000006E-2</v>
          </cell>
        </row>
        <row r="297">
          <cell r="A297">
            <v>295</v>
          </cell>
          <cell r="B297" t="str">
            <v>텀블러SW</v>
          </cell>
          <cell r="C297" t="str">
            <v>3로  2구</v>
          </cell>
          <cell r="D297" t="str">
            <v>EA</v>
          </cell>
          <cell r="G297">
            <v>804</v>
          </cell>
          <cell r="H297">
            <v>2100</v>
          </cell>
          <cell r="Q297">
            <v>2100</v>
          </cell>
          <cell r="S297" t="str">
            <v>내선</v>
          </cell>
          <cell r="T297">
            <v>0.10200000000000001</v>
          </cell>
        </row>
        <row r="298">
          <cell r="A298">
            <v>296</v>
          </cell>
          <cell r="B298" t="str">
            <v>텀블러SW</v>
          </cell>
          <cell r="C298" t="str">
            <v>4로 1구 램프</v>
          </cell>
          <cell r="D298" t="str">
            <v>EA</v>
          </cell>
          <cell r="G298">
            <v>804</v>
          </cell>
          <cell r="H298">
            <v>2020</v>
          </cell>
          <cell r="Q298">
            <v>2020</v>
          </cell>
          <cell r="S298" t="str">
            <v>내선</v>
          </cell>
          <cell r="T298">
            <v>0.1</v>
          </cell>
        </row>
        <row r="299">
          <cell r="A299">
            <v>297</v>
          </cell>
          <cell r="B299" t="str">
            <v>텀블러SW</v>
          </cell>
          <cell r="C299" t="str">
            <v>4로 2구 램프</v>
          </cell>
          <cell r="D299" t="str">
            <v>EA</v>
          </cell>
          <cell r="G299">
            <v>804</v>
          </cell>
          <cell r="H299">
            <v>3720</v>
          </cell>
          <cell r="Q299">
            <v>3720</v>
          </cell>
          <cell r="S299" t="str">
            <v>내선</v>
          </cell>
          <cell r="T299">
            <v>0.12</v>
          </cell>
        </row>
        <row r="300">
          <cell r="A300">
            <v>298</v>
          </cell>
          <cell r="Q300" t="str"/>
        </row>
        <row r="301">
          <cell r="A301">
            <v>299</v>
          </cell>
          <cell r="Q301" t="str"/>
        </row>
        <row r="302">
          <cell r="A302">
            <v>300</v>
          </cell>
          <cell r="B302" t="str">
            <v>등 기 구</v>
          </cell>
          <cell r="C302" t="str">
            <v>IL-60W 벽부</v>
          </cell>
          <cell r="D302" t="str">
            <v>EA</v>
          </cell>
          <cell r="G302">
            <v>816</v>
          </cell>
          <cell r="H302">
            <v>25500</v>
          </cell>
          <cell r="Q302">
            <v>25500</v>
          </cell>
          <cell r="S302" t="str">
            <v>내선</v>
          </cell>
          <cell r="T302">
            <v>0.15</v>
          </cell>
        </row>
        <row r="303">
          <cell r="A303">
            <v>301</v>
          </cell>
          <cell r="B303" t="str">
            <v>등 기 구</v>
          </cell>
          <cell r="C303" t="str">
            <v>IL-100W 벽부</v>
          </cell>
          <cell r="D303" t="str">
            <v>EA</v>
          </cell>
          <cell r="G303">
            <v>816</v>
          </cell>
          <cell r="H303">
            <v>25500</v>
          </cell>
          <cell r="Q303">
            <v>25500</v>
          </cell>
          <cell r="S303" t="str">
            <v>내선</v>
          </cell>
          <cell r="T303">
            <v>0.158</v>
          </cell>
        </row>
        <row r="304">
          <cell r="A304">
            <v>302</v>
          </cell>
          <cell r="B304" t="str">
            <v>등 기 구</v>
          </cell>
          <cell r="C304" t="str">
            <v>IL-200W 벽부</v>
          </cell>
          <cell r="D304" t="str">
            <v>EA</v>
          </cell>
          <cell r="G304">
            <v>816</v>
          </cell>
          <cell r="H304">
            <v>25500</v>
          </cell>
          <cell r="Q304">
            <v>25500</v>
          </cell>
          <cell r="S304" t="str">
            <v>내선</v>
          </cell>
          <cell r="T304">
            <v>0.158</v>
          </cell>
        </row>
        <row r="305">
          <cell r="A305">
            <v>303</v>
          </cell>
          <cell r="B305" t="str">
            <v>등 기 구</v>
          </cell>
          <cell r="C305" t="str">
            <v>IL-60W 천정매입</v>
          </cell>
          <cell r="D305" t="str">
            <v>EA</v>
          </cell>
          <cell r="G305">
            <v>816</v>
          </cell>
          <cell r="H305">
            <v>25500</v>
          </cell>
          <cell r="Q305">
            <v>25500</v>
          </cell>
          <cell r="S305" t="str">
            <v>내선</v>
          </cell>
          <cell r="T305">
            <v>0.245</v>
          </cell>
        </row>
        <row r="306">
          <cell r="A306">
            <v>304</v>
          </cell>
          <cell r="B306" t="str">
            <v>등 기 구</v>
          </cell>
          <cell r="C306" t="str">
            <v>IL-60W 천정직부</v>
          </cell>
          <cell r="D306" t="str">
            <v>EA</v>
          </cell>
          <cell r="G306">
            <v>816</v>
          </cell>
          <cell r="H306">
            <v>25500</v>
          </cell>
          <cell r="Q306">
            <v>25500</v>
          </cell>
          <cell r="S306" t="str">
            <v>내선</v>
          </cell>
          <cell r="T306">
            <v>0.18</v>
          </cell>
        </row>
        <row r="307">
          <cell r="A307">
            <v>305</v>
          </cell>
          <cell r="B307" t="str">
            <v>등 기 구</v>
          </cell>
          <cell r="C307" t="str">
            <v>IL-100W 천정직부</v>
          </cell>
          <cell r="D307" t="str">
            <v>EA</v>
          </cell>
          <cell r="G307">
            <v>816</v>
          </cell>
          <cell r="H307">
            <v>25500</v>
          </cell>
          <cell r="Q307">
            <v>25500</v>
          </cell>
          <cell r="S307" t="str">
            <v>내선</v>
          </cell>
          <cell r="T307">
            <v>0.19</v>
          </cell>
        </row>
        <row r="308">
          <cell r="A308">
            <v>306</v>
          </cell>
          <cell r="B308" t="str">
            <v>등 기 구</v>
          </cell>
          <cell r="C308" t="str">
            <v>비상등</v>
          </cell>
          <cell r="D308" t="str">
            <v>EA</v>
          </cell>
          <cell r="G308">
            <v>650</v>
          </cell>
          <cell r="H308">
            <v>95000</v>
          </cell>
          <cell r="Q308">
            <v>95000</v>
          </cell>
          <cell r="S308" t="str">
            <v>내선</v>
          </cell>
          <cell r="T308">
            <v>0.158</v>
          </cell>
        </row>
        <row r="309">
          <cell r="A309">
            <v>307</v>
          </cell>
          <cell r="Q309" t="str"/>
        </row>
        <row r="310">
          <cell r="A310">
            <v>308</v>
          </cell>
          <cell r="B310" t="str">
            <v>등 기 구</v>
          </cell>
          <cell r="C310" t="str">
            <v>FL 2/40삼각벽부</v>
          </cell>
          <cell r="D310" t="str">
            <v>EA</v>
          </cell>
          <cell r="G310">
            <v>811</v>
          </cell>
          <cell r="H310">
            <v>27500</v>
          </cell>
          <cell r="Q310">
            <v>27500</v>
          </cell>
          <cell r="S310" t="str">
            <v>내선</v>
          </cell>
          <cell r="T310">
            <v>0.36499999999999999</v>
          </cell>
        </row>
        <row r="311">
          <cell r="A311">
            <v>309</v>
          </cell>
          <cell r="B311" t="str">
            <v>등 기 구</v>
          </cell>
          <cell r="C311" t="str">
            <v>FL 2/20삼각직부</v>
          </cell>
          <cell r="D311" t="str">
            <v>EA</v>
          </cell>
          <cell r="G311">
            <v>811</v>
          </cell>
          <cell r="H311">
            <v>24000</v>
          </cell>
          <cell r="Q311">
            <v>24000</v>
          </cell>
          <cell r="S311" t="str">
            <v>내선</v>
          </cell>
          <cell r="T311">
            <v>0.19500000000000001</v>
          </cell>
        </row>
        <row r="312">
          <cell r="A312">
            <v>310</v>
          </cell>
          <cell r="B312" t="str">
            <v>등 기 구</v>
          </cell>
          <cell r="C312" t="str">
            <v>FL 2/40삼각직부</v>
          </cell>
          <cell r="D312" t="str">
            <v>EA</v>
          </cell>
          <cell r="G312">
            <v>811</v>
          </cell>
          <cell r="H312">
            <v>26500</v>
          </cell>
          <cell r="Q312">
            <v>26500</v>
          </cell>
          <cell r="S312" t="str">
            <v>내선</v>
          </cell>
          <cell r="T312">
            <v>0.30499999999999999</v>
          </cell>
        </row>
        <row r="313">
          <cell r="A313">
            <v>311</v>
          </cell>
          <cell r="B313" t="str">
            <v>등 기 구</v>
          </cell>
          <cell r="C313" t="str">
            <v>FL 1/40삼각직부</v>
          </cell>
          <cell r="D313" t="str">
            <v>EA</v>
          </cell>
          <cell r="G313">
            <v>811</v>
          </cell>
          <cell r="H313">
            <v>15500</v>
          </cell>
          <cell r="Q313">
            <v>15500</v>
          </cell>
          <cell r="S313" t="str">
            <v>내선</v>
          </cell>
          <cell r="T313">
            <v>0.245</v>
          </cell>
        </row>
        <row r="314">
          <cell r="A314">
            <v>312</v>
          </cell>
          <cell r="B314" t="str">
            <v>등 기 구(SUS)</v>
          </cell>
          <cell r="C314" t="str">
            <v>FL 1/40삼각직부</v>
          </cell>
          <cell r="D314" t="str">
            <v>EA</v>
          </cell>
          <cell r="K314" t="str">
            <v>신일조명</v>
          </cell>
          <cell r="L314">
            <v>23500</v>
          </cell>
          <cell r="Q314">
            <v>23500</v>
          </cell>
          <cell r="S314" t="str">
            <v>내선</v>
          </cell>
          <cell r="T314">
            <v>0.245</v>
          </cell>
        </row>
        <row r="315">
          <cell r="A315">
            <v>313</v>
          </cell>
          <cell r="B315" t="str">
            <v>등 기 구</v>
          </cell>
          <cell r="C315" t="str">
            <v>FL 2/20매입</v>
          </cell>
          <cell r="D315" t="str">
            <v>EA</v>
          </cell>
          <cell r="G315">
            <v>811</v>
          </cell>
          <cell r="H315">
            <v>28000</v>
          </cell>
          <cell r="Q315">
            <v>28000</v>
          </cell>
          <cell r="S315" t="str">
            <v>내선</v>
          </cell>
          <cell r="T315">
            <v>0.32</v>
          </cell>
        </row>
        <row r="316">
          <cell r="A316">
            <v>314</v>
          </cell>
          <cell r="B316" t="str">
            <v>등 기 구</v>
          </cell>
          <cell r="C316" t="str">
            <v>FL 4/20매입</v>
          </cell>
          <cell r="D316" t="str">
            <v>EA</v>
          </cell>
          <cell r="G316">
            <v>811</v>
          </cell>
          <cell r="H316">
            <v>49500</v>
          </cell>
          <cell r="Q316">
            <v>49500</v>
          </cell>
          <cell r="S316" t="str">
            <v>내선</v>
          </cell>
          <cell r="T316">
            <v>0.56999999999999995</v>
          </cell>
        </row>
        <row r="317">
          <cell r="A317">
            <v>315</v>
          </cell>
          <cell r="B317" t="str">
            <v>등 기 구</v>
          </cell>
          <cell r="C317" t="str">
            <v>FL 2/40매입</v>
          </cell>
          <cell r="D317" t="str">
            <v>EA</v>
          </cell>
          <cell r="G317">
            <v>811</v>
          </cell>
          <cell r="H317">
            <v>35000</v>
          </cell>
          <cell r="Q317">
            <v>35000</v>
          </cell>
          <cell r="S317" t="str">
            <v>내선</v>
          </cell>
          <cell r="T317">
            <v>0.48799999999999999</v>
          </cell>
        </row>
        <row r="318">
          <cell r="A318">
            <v>316</v>
          </cell>
          <cell r="B318" t="str">
            <v>등 기 구</v>
          </cell>
          <cell r="C318" t="str">
            <v>FL 2/20펜던트</v>
          </cell>
          <cell r="D318" t="str">
            <v>EA</v>
          </cell>
          <cell r="G318">
            <v>811</v>
          </cell>
          <cell r="H318">
            <v>24500</v>
          </cell>
          <cell r="Q318">
            <v>24500</v>
          </cell>
          <cell r="S318" t="str">
            <v>내선</v>
          </cell>
          <cell r="T318">
            <v>0.23499999999999999</v>
          </cell>
        </row>
        <row r="319">
          <cell r="A319">
            <v>317</v>
          </cell>
          <cell r="B319" t="str">
            <v>등 기 구</v>
          </cell>
          <cell r="C319" t="str">
            <v>FL 2/40펜던트</v>
          </cell>
          <cell r="D319" t="str">
            <v>EA</v>
          </cell>
          <cell r="G319">
            <v>811</v>
          </cell>
          <cell r="H319">
            <v>27500</v>
          </cell>
          <cell r="Q319">
            <v>27500</v>
          </cell>
          <cell r="S319" t="str">
            <v>내선</v>
          </cell>
          <cell r="T319">
            <v>0.36499999999999999</v>
          </cell>
        </row>
        <row r="320">
          <cell r="A320">
            <v>318</v>
          </cell>
          <cell r="B320" t="str">
            <v>등 기 구</v>
          </cell>
          <cell r="C320" t="str">
            <v>FL 1/40펜던트</v>
          </cell>
          <cell r="D320" t="str">
            <v>EA</v>
          </cell>
          <cell r="G320">
            <v>811</v>
          </cell>
          <cell r="H320">
            <v>16500</v>
          </cell>
          <cell r="Q320">
            <v>16500</v>
          </cell>
          <cell r="S320" t="str">
            <v>내선</v>
          </cell>
          <cell r="T320">
            <v>0.29499999999999998</v>
          </cell>
        </row>
        <row r="321">
          <cell r="A321">
            <v>319</v>
          </cell>
          <cell r="B321" t="str">
            <v>등 기 구</v>
          </cell>
          <cell r="C321" t="str">
            <v>FL 1/30W 천정직부</v>
          </cell>
          <cell r="D321" t="str">
            <v>EA</v>
          </cell>
          <cell r="Q321">
            <v>0</v>
          </cell>
          <cell r="S321" t="str">
            <v>내선</v>
          </cell>
          <cell r="T321">
            <v>0.16500000000000001</v>
          </cell>
        </row>
        <row r="322">
          <cell r="A322">
            <v>320</v>
          </cell>
          <cell r="B322" t="str">
            <v>등 기 구</v>
          </cell>
          <cell r="C322" t="str">
            <v>FL 1/30W매입</v>
          </cell>
          <cell r="D322" t="str">
            <v>EA</v>
          </cell>
          <cell r="Q322">
            <v>0</v>
          </cell>
          <cell r="S322" t="str">
            <v>내선</v>
          </cell>
          <cell r="T322">
            <v>0.26600000000000001</v>
          </cell>
        </row>
        <row r="323">
          <cell r="A323">
            <v>321</v>
          </cell>
          <cell r="B323" t="str">
            <v>등 기 구</v>
          </cell>
          <cell r="C323" t="str">
            <v>FL 2/30W매입</v>
          </cell>
          <cell r="D323" t="str">
            <v>EA</v>
          </cell>
          <cell r="Q323">
            <v>0</v>
          </cell>
          <cell r="S323" t="str">
            <v>내선</v>
          </cell>
          <cell r="T323">
            <v>0.36</v>
          </cell>
        </row>
        <row r="324">
          <cell r="A324">
            <v>322</v>
          </cell>
          <cell r="B324" t="str">
            <v>등 기 구</v>
          </cell>
          <cell r="C324" t="str">
            <v>FL 1/40W매입</v>
          </cell>
          <cell r="D324" t="str">
            <v>EA</v>
          </cell>
          <cell r="G324">
            <v>811</v>
          </cell>
          <cell r="H324">
            <v>26000</v>
          </cell>
          <cell r="Q324">
            <v>26000</v>
          </cell>
          <cell r="S324" t="str">
            <v>내선</v>
          </cell>
          <cell r="T324">
            <v>0.39900000000000002</v>
          </cell>
        </row>
        <row r="325">
          <cell r="A325">
            <v>323</v>
          </cell>
          <cell r="B325" t="str">
            <v>등 기 구</v>
          </cell>
          <cell r="C325" t="str">
            <v>FL 2/40방폭형</v>
          </cell>
          <cell r="D325" t="str">
            <v>EA</v>
          </cell>
          <cell r="G325">
            <v>818</v>
          </cell>
          <cell r="H325">
            <v>244000</v>
          </cell>
          <cell r="Q325">
            <v>244000</v>
          </cell>
          <cell r="S325" t="str">
            <v>내선</v>
          </cell>
          <cell r="T325">
            <v>0.73</v>
          </cell>
        </row>
        <row r="326">
          <cell r="A326">
            <v>324</v>
          </cell>
          <cell r="B326" t="str">
            <v>등 기 구(SUS)</v>
          </cell>
          <cell r="C326" t="str">
            <v>FL 1/40W매입</v>
          </cell>
          <cell r="D326" t="str">
            <v>EA</v>
          </cell>
          <cell r="K326" t="str">
            <v>신일조명</v>
          </cell>
          <cell r="L326">
            <v>34000</v>
          </cell>
          <cell r="Q326">
            <v>34000</v>
          </cell>
          <cell r="S326" t="str">
            <v>내선</v>
          </cell>
          <cell r="T326">
            <v>0.39900000000000002</v>
          </cell>
        </row>
        <row r="327">
          <cell r="A327">
            <v>325</v>
          </cell>
          <cell r="B327" t="str">
            <v>등 기 구(SUS)</v>
          </cell>
          <cell r="C327" t="str">
            <v>FL 1/40펜던트</v>
          </cell>
          <cell r="D327" t="str">
            <v>EA</v>
          </cell>
          <cell r="K327" t="str">
            <v>신일조명</v>
          </cell>
          <cell r="L327">
            <v>24500</v>
          </cell>
          <cell r="Q327">
            <v>24500</v>
          </cell>
          <cell r="S327" t="str">
            <v>내선</v>
          </cell>
          <cell r="T327">
            <v>0.29499999999999998</v>
          </cell>
        </row>
        <row r="328">
          <cell r="A328">
            <v>326</v>
          </cell>
          <cell r="B328" t="str">
            <v>램      프</v>
          </cell>
          <cell r="C328" t="str">
            <v>FL 10W  26㎜×330㎜</v>
          </cell>
          <cell r="D328" t="str">
            <v>EA</v>
          </cell>
          <cell r="G328">
            <v>807</v>
          </cell>
          <cell r="H328">
            <v>580</v>
          </cell>
          <cell r="Q328">
            <v>580</v>
          </cell>
        </row>
        <row r="329">
          <cell r="A329">
            <v>327</v>
          </cell>
          <cell r="B329" t="str">
            <v>램      프</v>
          </cell>
          <cell r="C329" t="str">
            <v>FL 20W  28㎜×590㎜</v>
          </cell>
          <cell r="D329" t="str">
            <v>EA</v>
          </cell>
          <cell r="G329">
            <v>807</v>
          </cell>
          <cell r="H329">
            <v>650</v>
          </cell>
          <cell r="Q329">
            <v>650</v>
          </cell>
        </row>
        <row r="330">
          <cell r="A330">
            <v>328</v>
          </cell>
          <cell r="B330" t="str">
            <v>램      프</v>
          </cell>
          <cell r="C330" t="str">
            <v>FL 30W  26㎜×893㎜</v>
          </cell>
          <cell r="D330" t="str">
            <v>EA</v>
          </cell>
          <cell r="G330">
            <v>807</v>
          </cell>
          <cell r="H330">
            <v>1450</v>
          </cell>
          <cell r="Q330">
            <v>1450</v>
          </cell>
        </row>
        <row r="331">
          <cell r="A331">
            <v>329</v>
          </cell>
          <cell r="B331" t="str">
            <v>램      프</v>
          </cell>
          <cell r="C331" t="str">
            <v>FL 40W  28㎜×1198㎜</v>
          </cell>
          <cell r="D331" t="str">
            <v>EA</v>
          </cell>
          <cell r="G331">
            <v>807</v>
          </cell>
          <cell r="H331">
            <v>980</v>
          </cell>
          <cell r="Q331">
            <v>980</v>
          </cell>
        </row>
        <row r="332">
          <cell r="A332">
            <v>330</v>
          </cell>
          <cell r="B332" t="str">
            <v>램      프</v>
          </cell>
          <cell r="C332" t="str">
            <v>FCL22W28.5㎜×216㎜</v>
          </cell>
          <cell r="D332" t="str">
            <v>EA</v>
          </cell>
          <cell r="G332">
            <v>807</v>
          </cell>
          <cell r="H332">
            <v>1300</v>
          </cell>
          <cell r="Q332">
            <v>1300</v>
          </cell>
        </row>
        <row r="333">
          <cell r="A333">
            <v>331</v>
          </cell>
          <cell r="B333" t="str">
            <v>램      프</v>
          </cell>
          <cell r="C333" t="str">
            <v>FCL30W28.5㎜×236㎜</v>
          </cell>
          <cell r="D333" t="str">
            <v>EA</v>
          </cell>
          <cell r="G333">
            <v>807</v>
          </cell>
          <cell r="H333">
            <v>1300</v>
          </cell>
          <cell r="Q333">
            <v>1300</v>
          </cell>
        </row>
        <row r="334">
          <cell r="A334">
            <v>332</v>
          </cell>
          <cell r="B334" t="str">
            <v>램      프</v>
          </cell>
          <cell r="C334" t="str">
            <v>FCL32W28.5㎜×312㎜</v>
          </cell>
          <cell r="D334" t="str">
            <v>EA</v>
          </cell>
          <cell r="G334">
            <v>807</v>
          </cell>
          <cell r="H334">
            <v>1800</v>
          </cell>
          <cell r="Q334">
            <v>1800</v>
          </cell>
        </row>
        <row r="335">
          <cell r="A335">
            <v>333</v>
          </cell>
          <cell r="B335" t="str">
            <v>램      프</v>
          </cell>
          <cell r="C335" t="str">
            <v>FCL40W28.5㎜×386㎜</v>
          </cell>
          <cell r="D335" t="str">
            <v>EA</v>
          </cell>
          <cell r="G335">
            <v>807</v>
          </cell>
          <cell r="H335">
            <v>2700</v>
          </cell>
          <cell r="Q335">
            <v>2700</v>
          </cell>
        </row>
        <row r="336">
          <cell r="A336">
            <v>334</v>
          </cell>
          <cell r="Q336" t="str"/>
        </row>
        <row r="337">
          <cell r="A337">
            <v>335</v>
          </cell>
          <cell r="Q337" t="str"/>
        </row>
        <row r="338">
          <cell r="A338">
            <v>336</v>
          </cell>
          <cell r="Q338" t="str"/>
        </row>
        <row r="339">
          <cell r="A339">
            <v>337</v>
          </cell>
          <cell r="B339" t="str">
            <v>램      프</v>
          </cell>
          <cell r="C339" t="str">
            <v>220V  IL 60W</v>
          </cell>
          <cell r="D339" t="str">
            <v>EA</v>
          </cell>
          <cell r="G339">
            <v>808</v>
          </cell>
          <cell r="H339">
            <v>220</v>
          </cell>
          <cell r="Q339">
            <v>220</v>
          </cell>
        </row>
        <row r="340">
          <cell r="A340">
            <v>338</v>
          </cell>
          <cell r="B340" t="str">
            <v>램      프</v>
          </cell>
          <cell r="C340" t="str">
            <v>220V  IL 100W</v>
          </cell>
          <cell r="D340" t="str">
            <v>EA</v>
          </cell>
          <cell r="G340">
            <v>808</v>
          </cell>
          <cell r="H340">
            <v>230</v>
          </cell>
          <cell r="Q340">
            <v>230</v>
          </cell>
        </row>
        <row r="341">
          <cell r="A341">
            <v>339</v>
          </cell>
          <cell r="B341" t="str">
            <v>램      프</v>
          </cell>
          <cell r="C341" t="str">
            <v>220V  IL 200W</v>
          </cell>
          <cell r="D341" t="str">
            <v>EA</v>
          </cell>
          <cell r="G341">
            <v>808</v>
          </cell>
          <cell r="H341">
            <v>380</v>
          </cell>
          <cell r="Q341">
            <v>380</v>
          </cell>
        </row>
        <row r="342">
          <cell r="A342">
            <v>340</v>
          </cell>
          <cell r="Q342" t="str"/>
        </row>
        <row r="343">
          <cell r="A343">
            <v>341</v>
          </cell>
          <cell r="Q343" t="str"/>
        </row>
        <row r="344">
          <cell r="A344">
            <v>342</v>
          </cell>
          <cell r="B344" t="str">
            <v>등 기 구</v>
          </cell>
          <cell r="C344" t="str">
            <v>MH 250W천정형</v>
          </cell>
          <cell r="D344" t="str">
            <v>EA</v>
          </cell>
          <cell r="G344">
            <v>810</v>
          </cell>
          <cell r="H344">
            <v>44000</v>
          </cell>
          <cell r="Q344">
            <v>44000</v>
          </cell>
          <cell r="S344" t="str">
            <v>내선</v>
          </cell>
          <cell r="T344">
            <v>0.495</v>
          </cell>
        </row>
        <row r="345">
          <cell r="A345">
            <v>343</v>
          </cell>
          <cell r="B345" t="str">
            <v>등 기 구</v>
          </cell>
          <cell r="C345" t="str">
            <v>MH 175W천정형</v>
          </cell>
          <cell r="D345" t="str">
            <v>EA</v>
          </cell>
          <cell r="G345">
            <v>810</v>
          </cell>
          <cell r="H345">
            <v>44000</v>
          </cell>
          <cell r="Q345">
            <v>44000</v>
          </cell>
          <cell r="S345" t="str">
            <v>내선</v>
          </cell>
          <cell r="T345">
            <v>0.44</v>
          </cell>
        </row>
        <row r="346">
          <cell r="A346">
            <v>344</v>
          </cell>
          <cell r="B346" t="str">
            <v>등 기 구</v>
          </cell>
          <cell r="C346" t="str">
            <v>MH 175W벽부형</v>
          </cell>
          <cell r="D346" t="str">
            <v>EA</v>
          </cell>
          <cell r="G346">
            <v>810</v>
          </cell>
          <cell r="H346">
            <v>45000</v>
          </cell>
          <cell r="Q346">
            <v>45000</v>
          </cell>
          <cell r="S346" t="str">
            <v>내선</v>
          </cell>
          <cell r="T346">
            <v>0.44</v>
          </cell>
        </row>
        <row r="347">
          <cell r="A347">
            <v>345</v>
          </cell>
          <cell r="Q347" t="str"/>
        </row>
        <row r="348">
          <cell r="A348">
            <v>346</v>
          </cell>
          <cell r="Q348" t="str"/>
        </row>
        <row r="349">
          <cell r="A349">
            <v>347</v>
          </cell>
          <cell r="Q349" t="str"/>
        </row>
        <row r="350">
          <cell r="A350">
            <v>348</v>
          </cell>
          <cell r="Q350" t="str"/>
        </row>
        <row r="351">
          <cell r="A351">
            <v>349</v>
          </cell>
          <cell r="B351" t="str">
            <v>메탈할라이드 램프</v>
          </cell>
          <cell r="C351" t="str">
            <v>MH 175W</v>
          </cell>
          <cell r="D351" t="str">
            <v>EA</v>
          </cell>
          <cell r="G351">
            <v>813</v>
          </cell>
          <cell r="H351">
            <v>15000</v>
          </cell>
          <cell r="Q351">
            <v>15000</v>
          </cell>
        </row>
        <row r="352">
          <cell r="A352">
            <v>350</v>
          </cell>
          <cell r="B352" t="str">
            <v>메탈할라이드 램프</v>
          </cell>
          <cell r="C352" t="str">
            <v>MH 250W</v>
          </cell>
          <cell r="D352" t="str">
            <v>EA</v>
          </cell>
          <cell r="G352">
            <v>813</v>
          </cell>
          <cell r="H352">
            <v>16000</v>
          </cell>
          <cell r="Q352">
            <v>16000</v>
          </cell>
        </row>
        <row r="353">
          <cell r="A353">
            <v>351</v>
          </cell>
          <cell r="Q353" t="str"/>
        </row>
        <row r="354">
          <cell r="A354">
            <v>352</v>
          </cell>
          <cell r="Q354" t="str"/>
        </row>
        <row r="355">
          <cell r="A355">
            <v>353</v>
          </cell>
          <cell r="Q355" t="str"/>
        </row>
        <row r="356">
          <cell r="A356">
            <v>354</v>
          </cell>
          <cell r="B356" t="str">
            <v>메탈할라이드 안정기</v>
          </cell>
          <cell r="C356" t="str">
            <v>220V/175W</v>
          </cell>
          <cell r="D356" t="str">
            <v>EA</v>
          </cell>
          <cell r="G356">
            <v>813</v>
          </cell>
          <cell r="H356">
            <v>22000</v>
          </cell>
          <cell r="Q356">
            <v>22000</v>
          </cell>
        </row>
        <row r="357">
          <cell r="A357">
            <v>355</v>
          </cell>
          <cell r="B357" t="str">
            <v>메탈할라이드 안정기</v>
          </cell>
          <cell r="C357" t="str">
            <v>220V/250W</v>
          </cell>
          <cell r="D357" t="str">
            <v>EA</v>
          </cell>
          <cell r="G357">
            <v>813</v>
          </cell>
          <cell r="H357">
            <v>25000</v>
          </cell>
          <cell r="Q357">
            <v>25000</v>
          </cell>
        </row>
        <row r="358">
          <cell r="A358">
            <v>356</v>
          </cell>
          <cell r="Q358" t="str"/>
        </row>
        <row r="359">
          <cell r="A359">
            <v>357</v>
          </cell>
          <cell r="Q359" t="str"/>
        </row>
        <row r="360">
          <cell r="A360">
            <v>358</v>
          </cell>
          <cell r="B360" t="str">
            <v>판넬</v>
          </cell>
          <cell r="D360" t="str">
            <v>면</v>
          </cell>
          <cell r="Q360">
            <v>0</v>
          </cell>
          <cell r="S360" t="str">
            <v>프전</v>
          </cell>
          <cell r="T360">
            <v>5.8</v>
          </cell>
          <cell r="U360" t="str">
            <v>보인</v>
          </cell>
          <cell r="V360">
            <v>1.9</v>
          </cell>
        </row>
        <row r="361">
          <cell r="A361">
            <v>359</v>
          </cell>
          <cell r="Q361" t="str"/>
        </row>
        <row r="362">
          <cell r="A362">
            <v>360</v>
          </cell>
          <cell r="B362" t="str">
            <v>전극식레벨</v>
          </cell>
          <cell r="C362" t="str">
            <v>3선 3극</v>
          </cell>
          <cell r="D362" t="str">
            <v>set</v>
          </cell>
          <cell r="G362">
            <v>794</v>
          </cell>
          <cell r="H362">
            <v>40000</v>
          </cell>
          <cell r="Q362">
            <v>40000</v>
          </cell>
          <cell r="S362" t="str">
            <v>내선</v>
          </cell>
          <cell r="T362">
            <v>0.8</v>
          </cell>
          <cell r="Y362" t="str">
            <v>공율은 전극봉지지기</v>
          </cell>
        </row>
        <row r="363">
          <cell r="A363">
            <v>361</v>
          </cell>
          <cell r="B363" t="str">
            <v>전극식레벨</v>
          </cell>
          <cell r="C363" t="str">
            <v>4선 4극</v>
          </cell>
          <cell r="D363" t="str">
            <v>set</v>
          </cell>
          <cell r="G363">
            <v>794</v>
          </cell>
          <cell r="H363">
            <v>85000</v>
          </cell>
          <cell r="Q363">
            <v>85000</v>
          </cell>
          <cell r="S363" t="str">
            <v>내선</v>
          </cell>
          <cell r="T363">
            <v>0.85</v>
          </cell>
          <cell r="Y363" t="str">
            <v>공율은 전극봉지지기</v>
          </cell>
        </row>
        <row r="364">
          <cell r="A364">
            <v>362</v>
          </cell>
          <cell r="B364" t="str">
            <v>전극식레벨</v>
          </cell>
          <cell r="C364" t="str">
            <v>5선 5극</v>
          </cell>
          <cell r="D364" t="str">
            <v>set</v>
          </cell>
          <cell r="G364">
            <v>794</v>
          </cell>
          <cell r="H364">
            <v>100000</v>
          </cell>
          <cell r="Q364">
            <v>100000</v>
          </cell>
          <cell r="S364" t="str">
            <v>내선</v>
          </cell>
          <cell r="T364">
            <v>1.1000000000000001</v>
          </cell>
          <cell r="Y364" t="str">
            <v>공율은 전극봉지지기</v>
          </cell>
        </row>
        <row r="365">
          <cell r="A365">
            <v>363</v>
          </cell>
          <cell r="Q365" t="str"/>
        </row>
        <row r="366">
          <cell r="A366">
            <v>364</v>
          </cell>
          <cell r="Q366" t="str"/>
        </row>
        <row r="367">
          <cell r="A367">
            <v>365</v>
          </cell>
          <cell r="B367" t="str">
            <v>AMP</v>
          </cell>
          <cell r="D367" t="str">
            <v>면</v>
          </cell>
          <cell r="Q367">
            <v>0</v>
          </cell>
          <cell r="S367" t="str">
            <v>통내</v>
          </cell>
          <cell r="T367">
            <v>9</v>
          </cell>
        </row>
        <row r="368">
          <cell r="A368">
            <v>366</v>
          </cell>
          <cell r="B368" t="str">
            <v>스피커</v>
          </cell>
          <cell r="C368" t="str">
            <v>3W  천정형</v>
          </cell>
          <cell r="D368" t="str">
            <v>EA</v>
          </cell>
          <cell r="G368">
            <v>838</v>
          </cell>
          <cell r="H368">
            <v>12000</v>
          </cell>
          <cell r="Q368">
            <v>12000</v>
          </cell>
          <cell r="S368" t="str">
            <v>통내</v>
          </cell>
          <cell r="T368">
            <v>0.45</v>
          </cell>
        </row>
        <row r="369">
          <cell r="A369">
            <v>367</v>
          </cell>
          <cell r="B369" t="str">
            <v>스피커</v>
          </cell>
          <cell r="C369" t="str">
            <v>3W 벽부형</v>
          </cell>
          <cell r="D369" t="str">
            <v>EA</v>
          </cell>
          <cell r="G369">
            <v>838</v>
          </cell>
          <cell r="H369">
            <v>12000</v>
          </cell>
          <cell r="Q369">
            <v>12000</v>
          </cell>
          <cell r="S369" t="str">
            <v>통내</v>
          </cell>
          <cell r="T369">
            <v>0.45</v>
          </cell>
        </row>
        <row r="370">
          <cell r="A370">
            <v>368</v>
          </cell>
          <cell r="B370" t="str">
            <v>스피커</v>
          </cell>
          <cell r="C370" t="str">
            <v>20W옥외칼럼형</v>
          </cell>
          <cell r="D370" t="str">
            <v>EA</v>
          </cell>
          <cell r="G370">
            <v>838</v>
          </cell>
          <cell r="H370">
            <v>40000</v>
          </cell>
          <cell r="Q370">
            <v>40000</v>
          </cell>
          <cell r="S370" t="str">
            <v>통내</v>
          </cell>
          <cell r="T370">
            <v>1</v>
          </cell>
        </row>
        <row r="371">
          <cell r="A371">
            <v>369</v>
          </cell>
          <cell r="B371" t="str">
            <v>스피커</v>
          </cell>
          <cell r="C371" t="str">
            <v xml:space="preserve">HORN형 10W  </v>
          </cell>
          <cell r="D371" t="str">
            <v>EA</v>
          </cell>
          <cell r="G371">
            <v>835</v>
          </cell>
          <cell r="H371">
            <v>35200</v>
          </cell>
          <cell r="Q371">
            <v>35200</v>
          </cell>
          <cell r="S371" t="str">
            <v>통내</v>
          </cell>
          <cell r="T371">
            <v>0.6</v>
          </cell>
        </row>
        <row r="372">
          <cell r="A372">
            <v>370</v>
          </cell>
          <cell r="B372" t="str">
            <v>스피커</v>
          </cell>
          <cell r="C372" t="str">
            <v xml:space="preserve">HORN형 30W  </v>
          </cell>
          <cell r="D372" t="str">
            <v>EA</v>
          </cell>
          <cell r="G372">
            <v>835</v>
          </cell>
          <cell r="H372">
            <v>46200</v>
          </cell>
          <cell r="Q372">
            <v>46200</v>
          </cell>
          <cell r="S372" t="str">
            <v>통내</v>
          </cell>
          <cell r="T372">
            <v>1</v>
          </cell>
        </row>
        <row r="373">
          <cell r="A373">
            <v>371</v>
          </cell>
          <cell r="Q373" t="str"/>
        </row>
        <row r="374">
          <cell r="A374">
            <v>372</v>
          </cell>
          <cell r="Q374" t="str"/>
        </row>
        <row r="375">
          <cell r="A375">
            <v>373</v>
          </cell>
          <cell r="B375" t="str">
            <v>인터폰</v>
          </cell>
          <cell r="C375" t="str">
            <v>전자연립식20회로</v>
          </cell>
          <cell r="D375" t="str">
            <v>EA</v>
          </cell>
          <cell r="G375">
            <v>861</v>
          </cell>
          <cell r="H375">
            <v>36000</v>
          </cell>
          <cell r="Q375">
            <v>36000</v>
          </cell>
          <cell r="S375" t="str">
            <v>통내</v>
          </cell>
          <cell r="T375">
            <v>1</v>
          </cell>
          <cell r="U375" t="str">
            <v>통설</v>
          </cell>
          <cell r="V375">
            <v>2</v>
          </cell>
        </row>
        <row r="376">
          <cell r="A376">
            <v>374</v>
          </cell>
          <cell r="Q376" t="str"/>
        </row>
        <row r="377">
          <cell r="A377">
            <v>375</v>
          </cell>
          <cell r="Q377" t="str"/>
        </row>
        <row r="378">
          <cell r="A378">
            <v>376</v>
          </cell>
          <cell r="B378" t="str">
            <v>차동식 스포트감지기</v>
          </cell>
          <cell r="C378" t="str">
            <v>2종</v>
          </cell>
          <cell r="D378" t="str">
            <v>EA</v>
          </cell>
          <cell r="G378">
            <v>650</v>
          </cell>
          <cell r="H378">
            <v>5000</v>
          </cell>
          <cell r="Q378">
            <v>5000</v>
          </cell>
          <cell r="S378" t="str">
            <v>내선</v>
          </cell>
          <cell r="T378">
            <v>0.14300000000000002</v>
          </cell>
        </row>
        <row r="379">
          <cell r="A379">
            <v>377</v>
          </cell>
          <cell r="B379" t="str">
            <v>광전식 연감지기</v>
          </cell>
          <cell r="C379" t="str">
            <v>비축적형</v>
          </cell>
          <cell r="D379" t="str">
            <v>EA</v>
          </cell>
          <cell r="G379">
            <v>650</v>
          </cell>
          <cell r="H379">
            <v>20000</v>
          </cell>
          <cell r="Q379">
            <v>20000</v>
          </cell>
          <cell r="S379" t="str">
            <v>내선</v>
          </cell>
          <cell r="T379">
            <v>0.14300000000000002</v>
          </cell>
        </row>
        <row r="380">
          <cell r="A380">
            <v>378</v>
          </cell>
          <cell r="B380" t="str">
            <v>정온식감지기</v>
          </cell>
          <cell r="C380" t="str">
            <v>1종</v>
          </cell>
          <cell r="D380" t="str">
            <v>EA</v>
          </cell>
          <cell r="G380">
            <v>650</v>
          </cell>
          <cell r="H380">
            <v>5000</v>
          </cell>
          <cell r="Q380">
            <v>5000</v>
          </cell>
          <cell r="S380" t="str">
            <v>내선</v>
          </cell>
          <cell r="T380">
            <v>0.14300000000000002</v>
          </cell>
        </row>
        <row r="381">
          <cell r="A381">
            <v>379</v>
          </cell>
          <cell r="B381" t="str">
            <v>유도등</v>
          </cell>
          <cell r="C381" t="str">
            <v>통로유도등</v>
          </cell>
          <cell r="D381" t="str">
            <v>EA</v>
          </cell>
          <cell r="G381">
            <v>650</v>
          </cell>
          <cell r="H381">
            <v>27000</v>
          </cell>
          <cell r="Q381">
            <v>27000</v>
          </cell>
          <cell r="S381" t="str">
            <v>내선</v>
          </cell>
          <cell r="T381">
            <v>0.79500000000000004</v>
          </cell>
        </row>
        <row r="382">
          <cell r="A382">
            <v>380</v>
          </cell>
          <cell r="B382" t="str">
            <v>유도등</v>
          </cell>
          <cell r="C382" t="str">
            <v>피난구유도등</v>
          </cell>
          <cell r="D382" t="str">
            <v>EA</v>
          </cell>
          <cell r="G382">
            <v>650</v>
          </cell>
          <cell r="H382">
            <v>25000</v>
          </cell>
          <cell r="Q382">
            <v>25000</v>
          </cell>
          <cell r="S382" t="str">
            <v>내선</v>
          </cell>
          <cell r="T382">
            <v>0.13500000000000001</v>
          </cell>
        </row>
        <row r="383">
          <cell r="A383">
            <v>381</v>
          </cell>
          <cell r="B383" t="str">
            <v>수동발신기</v>
          </cell>
          <cell r="D383" t="str">
            <v>EA</v>
          </cell>
          <cell r="G383">
            <v>650</v>
          </cell>
          <cell r="H383">
            <v>3500</v>
          </cell>
          <cell r="Q383">
            <v>3500</v>
          </cell>
          <cell r="S383" t="str">
            <v>내선</v>
          </cell>
          <cell r="T383">
            <v>0.3</v>
          </cell>
        </row>
        <row r="384">
          <cell r="A384">
            <v>382</v>
          </cell>
          <cell r="B384" t="str">
            <v>경종</v>
          </cell>
          <cell r="D384" t="str">
            <v>EA</v>
          </cell>
          <cell r="G384">
            <v>650</v>
          </cell>
          <cell r="H384">
            <v>5500</v>
          </cell>
          <cell r="Q384">
            <v>5500</v>
          </cell>
          <cell r="S384" t="str">
            <v>내선</v>
          </cell>
          <cell r="T384">
            <v>0.15</v>
          </cell>
        </row>
        <row r="385">
          <cell r="A385">
            <v>383</v>
          </cell>
          <cell r="B385" t="str">
            <v>표시등</v>
          </cell>
          <cell r="D385" t="str">
            <v>EA</v>
          </cell>
          <cell r="G385">
            <v>650</v>
          </cell>
          <cell r="H385">
            <v>1200</v>
          </cell>
          <cell r="Q385">
            <v>1200</v>
          </cell>
          <cell r="S385" t="str">
            <v>내선</v>
          </cell>
          <cell r="T385">
            <v>0.2</v>
          </cell>
        </row>
        <row r="386">
          <cell r="A386">
            <v>384</v>
          </cell>
          <cell r="B386" t="str">
            <v>속보세트 함</v>
          </cell>
          <cell r="D386" t="str">
            <v>EA</v>
          </cell>
          <cell r="K386" t="str">
            <v>동방전자</v>
          </cell>
          <cell r="L386">
            <v>6000</v>
          </cell>
          <cell r="Q386">
            <v>6000</v>
          </cell>
          <cell r="S386" t="str">
            <v>내선</v>
          </cell>
          <cell r="T386">
            <v>0.66</v>
          </cell>
        </row>
        <row r="387">
          <cell r="A387">
            <v>385</v>
          </cell>
          <cell r="Q387" t="str"/>
        </row>
        <row r="388">
          <cell r="A388">
            <v>386</v>
          </cell>
          <cell r="Q388" t="str"/>
        </row>
        <row r="389">
          <cell r="A389">
            <v>387</v>
          </cell>
          <cell r="B389" t="str">
            <v>수신기</v>
          </cell>
          <cell r="C389" t="str">
            <v>P형1급   10회로용</v>
          </cell>
          <cell r="D389" t="str">
            <v>set</v>
          </cell>
          <cell r="K389" t="str">
            <v>대우소방</v>
          </cell>
          <cell r="L389">
            <v>280000</v>
          </cell>
          <cell r="M389" t="str">
            <v>대일소방</v>
          </cell>
          <cell r="N389">
            <v>315000</v>
          </cell>
          <cell r="O389" t="str">
            <v>국민소방설비</v>
          </cell>
          <cell r="P389">
            <v>318000</v>
          </cell>
          <cell r="Q389">
            <v>280000</v>
          </cell>
          <cell r="S389" t="str">
            <v>내선</v>
          </cell>
          <cell r="T389">
            <v>9</v>
          </cell>
        </row>
        <row r="390">
          <cell r="A390">
            <v>388</v>
          </cell>
          <cell r="B390" t="str">
            <v>부표시기</v>
          </cell>
          <cell r="C390" t="str">
            <v xml:space="preserve"> 10회로용</v>
          </cell>
          <cell r="D390" t="str">
            <v>대</v>
          </cell>
          <cell r="G390">
            <v>650</v>
          </cell>
          <cell r="H390">
            <v>255000</v>
          </cell>
          <cell r="Q390">
            <v>255000</v>
          </cell>
          <cell r="S390" t="str">
            <v>내선</v>
          </cell>
          <cell r="T390">
            <v>4</v>
          </cell>
        </row>
        <row r="391">
          <cell r="A391">
            <v>389</v>
          </cell>
          <cell r="B391" t="str">
            <v>스프링쿨러수동조작함</v>
          </cell>
          <cell r="D391" t="str">
            <v>EA</v>
          </cell>
          <cell r="G391">
            <v>650</v>
          </cell>
          <cell r="H391">
            <v>30000</v>
          </cell>
          <cell r="Q391">
            <v>30000</v>
          </cell>
          <cell r="S391" t="str">
            <v>내선</v>
          </cell>
          <cell r="T391">
            <v>0.66</v>
          </cell>
        </row>
        <row r="392">
          <cell r="A392">
            <v>390</v>
          </cell>
          <cell r="B392" t="str">
            <v>전자 싸이렌</v>
          </cell>
          <cell r="D392" t="str">
            <v>EA</v>
          </cell>
          <cell r="G392">
            <v>650</v>
          </cell>
          <cell r="H392">
            <v>30000</v>
          </cell>
          <cell r="Q392">
            <v>30000</v>
          </cell>
          <cell r="S392" t="str">
            <v>통내</v>
          </cell>
          <cell r="T392">
            <v>1.6</v>
          </cell>
        </row>
        <row r="393">
          <cell r="A393">
            <v>391</v>
          </cell>
          <cell r="Q393" t="str"/>
        </row>
        <row r="394">
          <cell r="A394">
            <v>392</v>
          </cell>
          <cell r="Q394" t="str"/>
        </row>
        <row r="395">
          <cell r="A395">
            <v>393</v>
          </cell>
          <cell r="Q395" t="str"/>
        </row>
        <row r="396">
          <cell r="A396">
            <v>394</v>
          </cell>
          <cell r="B396" t="str">
            <v>가로등점멸기</v>
          </cell>
          <cell r="C396" t="str">
            <v>상시/격등</v>
          </cell>
          <cell r="D396" t="str">
            <v>대</v>
          </cell>
          <cell r="G396">
            <v>821</v>
          </cell>
          <cell r="H396">
            <v>3280000</v>
          </cell>
          <cell r="Q396">
            <v>3280000</v>
          </cell>
          <cell r="S396" t="str">
            <v>프전</v>
          </cell>
          <cell r="T396">
            <v>5.8</v>
          </cell>
          <cell r="U396" t="str">
            <v>보인</v>
          </cell>
          <cell r="V396">
            <v>1.9</v>
          </cell>
        </row>
        <row r="397">
          <cell r="A397">
            <v>395</v>
          </cell>
          <cell r="B397" t="str">
            <v>차광막</v>
          </cell>
          <cell r="D397" t="str">
            <v>대</v>
          </cell>
          <cell r="G397">
            <v>821</v>
          </cell>
          <cell r="H397">
            <v>150000</v>
          </cell>
          <cell r="Q397">
            <v>150000</v>
          </cell>
        </row>
        <row r="398">
          <cell r="A398">
            <v>396</v>
          </cell>
          <cell r="Q398" t="str"/>
        </row>
        <row r="399">
          <cell r="A399">
            <v>397</v>
          </cell>
          <cell r="B399" t="str">
            <v>가로등주</v>
          </cell>
          <cell r="C399" t="str">
            <v>8각테퍼7m폴1등용</v>
          </cell>
          <cell r="D399" t="str">
            <v>본</v>
          </cell>
          <cell r="G399">
            <v>825</v>
          </cell>
          <cell r="H399">
            <v>143000</v>
          </cell>
          <cell r="Q399">
            <v>143000</v>
          </cell>
          <cell r="S399" t="str">
            <v>내선</v>
          </cell>
          <cell r="T399">
            <v>2.52</v>
          </cell>
        </row>
        <row r="400">
          <cell r="A400">
            <v>398</v>
          </cell>
          <cell r="B400" t="str">
            <v>가로등주</v>
          </cell>
          <cell r="C400" t="str">
            <v>8각테퍼7m폴2등용</v>
          </cell>
          <cell r="D400" t="str">
            <v>본</v>
          </cell>
          <cell r="Q400">
            <v>0</v>
          </cell>
          <cell r="S400" t="str">
            <v>내선</v>
          </cell>
          <cell r="T400">
            <v>2.9</v>
          </cell>
        </row>
        <row r="401">
          <cell r="A401">
            <v>399</v>
          </cell>
          <cell r="B401" t="str">
            <v>가로등주</v>
          </cell>
          <cell r="C401" t="str">
            <v>8각테퍼8m폴1등용</v>
          </cell>
          <cell r="D401" t="str">
            <v>본</v>
          </cell>
          <cell r="G401">
            <v>825</v>
          </cell>
          <cell r="H401">
            <v>152000</v>
          </cell>
          <cell r="Q401">
            <v>152000</v>
          </cell>
          <cell r="S401" t="str">
            <v>내선</v>
          </cell>
          <cell r="T401">
            <v>2.76</v>
          </cell>
        </row>
        <row r="402">
          <cell r="A402">
            <v>400</v>
          </cell>
          <cell r="B402" t="str">
            <v>가로등주</v>
          </cell>
          <cell r="C402" t="str">
            <v>8각테퍼8m폴2등용</v>
          </cell>
          <cell r="D402" t="str">
            <v>본</v>
          </cell>
          <cell r="Q402">
            <v>0</v>
          </cell>
          <cell r="S402" t="str">
            <v>내선</v>
          </cell>
          <cell r="T402">
            <v>3.08</v>
          </cell>
        </row>
        <row r="403">
          <cell r="A403">
            <v>401</v>
          </cell>
          <cell r="B403" t="str">
            <v>가로등주</v>
          </cell>
          <cell r="C403" t="str">
            <v>8각테퍼8.5m폴1등용</v>
          </cell>
          <cell r="D403" t="str">
            <v>본</v>
          </cell>
          <cell r="G403">
            <v>825</v>
          </cell>
          <cell r="H403">
            <v>157000</v>
          </cell>
          <cell r="K403" t="str">
            <v>조일조명(10/28)</v>
          </cell>
          <cell r="L403">
            <v>195000</v>
          </cell>
          <cell r="Q403">
            <v>157000</v>
          </cell>
          <cell r="S403" t="str">
            <v>내선</v>
          </cell>
          <cell r="T403">
            <v>3.13</v>
          </cell>
        </row>
        <row r="404">
          <cell r="A404">
            <v>402</v>
          </cell>
          <cell r="B404" t="str">
            <v>가로등주</v>
          </cell>
          <cell r="C404" t="str">
            <v>8각테퍼8.5m폴2등용</v>
          </cell>
          <cell r="D404" t="str">
            <v>본</v>
          </cell>
          <cell r="Q404">
            <v>0</v>
          </cell>
          <cell r="S404" t="str">
            <v>내선</v>
          </cell>
          <cell r="T404">
            <v>3.37</v>
          </cell>
        </row>
        <row r="405">
          <cell r="A405">
            <v>403</v>
          </cell>
          <cell r="B405" t="str">
            <v>가로등주</v>
          </cell>
          <cell r="C405" t="str">
            <v>8각테퍼9m폴1등용</v>
          </cell>
          <cell r="D405" t="str">
            <v>본</v>
          </cell>
          <cell r="G405">
            <v>825</v>
          </cell>
          <cell r="H405">
            <v>200000</v>
          </cell>
          <cell r="Q405">
            <v>200000</v>
          </cell>
          <cell r="S405" t="str">
            <v>내선</v>
          </cell>
          <cell r="T405">
            <v>3.13</v>
          </cell>
        </row>
        <row r="406">
          <cell r="A406">
            <v>404</v>
          </cell>
          <cell r="B406" t="str">
            <v>가로등주</v>
          </cell>
          <cell r="C406" t="str">
            <v>8각테퍼9m폴2등용</v>
          </cell>
          <cell r="D406" t="str">
            <v>본</v>
          </cell>
          <cell r="Q406">
            <v>0</v>
          </cell>
          <cell r="S406" t="str">
            <v>내선</v>
          </cell>
          <cell r="T406">
            <v>3.37</v>
          </cell>
        </row>
        <row r="407">
          <cell r="A407">
            <v>405</v>
          </cell>
          <cell r="B407" t="str">
            <v>가로등주</v>
          </cell>
          <cell r="C407" t="str">
            <v>8각테퍼10m폴1등용</v>
          </cell>
          <cell r="D407" t="str">
            <v>본</v>
          </cell>
          <cell r="G407">
            <v>825</v>
          </cell>
          <cell r="H407">
            <v>211000</v>
          </cell>
          <cell r="Q407">
            <v>211000</v>
          </cell>
          <cell r="S407" t="str">
            <v>내선</v>
          </cell>
          <cell r="T407">
            <v>3.49</v>
          </cell>
        </row>
        <row r="408">
          <cell r="A408">
            <v>406</v>
          </cell>
          <cell r="B408" t="str">
            <v>가로등주</v>
          </cell>
          <cell r="C408" t="str">
            <v>8각테퍼10m폴2등용</v>
          </cell>
          <cell r="D408" t="str">
            <v>본</v>
          </cell>
          <cell r="Q408">
            <v>0</v>
          </cell>
          <cell r="S408" t="str">
            <v>내선</v>
          </cell>
          <cell r="T408">
            <v>3.7</v>
          </cell>
        </row>
        <row r="409">
          <cell r="A409">
            <v>407</v>
          </cell>
          <cell r="B409" t="str">
            <v>가로등주</v>
          </cell>
          <cell r="C409" t="str">
            <v>8각테퍼11m폴1등용</v>
          </cell>
          <cell r="D409" t="str">
            <v>본</v>
          </cell>
          <cell r="G409">
            <v>825</v>
          </cell>
          <cell r="H409">
            <v>225000</v>
          </cell>
          <cell r="Q409">
            <v>225000</v>
          </cell>
          <cell r="S409" t="str">
            <v>내선</v>
          </cell>
          <cell r="T409">
            <v>4.1900000000000004</v>
          </cell>
        </row>
        <row r="410">
          <cell r="A410">
            <v>408</v>
          </cell>
          <cell r="B410" t="str">
            <v>가로등주</v>
          </cell>
          <cell r="C410" t="str">
            <v>8각테퍼11m폴2등용</v>
          </cell>
          <cell r="D410" t="str">
            <v>본</v>
          </cell>
          <cell r="Q410">
            <v>0</v>
          </cell>
          <cell r="S410" t="str">
            <v>내선</v>
          </cell>
          <cell r="T410">
            <v>4.4000000000000004</v>
          </cell>
        </row>
        <row r="411">
          <cell r="A411">
            <v>409</v>
          </cell>
          <cell r="B411" t="str">
            <v>가로등주</v>
          </cell>
          <cell r="C411" t="str">
            <v>주철 10m폴2등용</v>
          </cell>
          <cell r="D411" t="str">
            <v>본</v>
          </cell>
          <cell r="K411" t="str">
            <v>(주) 보명</v>
          </cell>
          <cell r="L411">
            <v>1284000</v>
          </cell>
          <cell r="Q411">
            <v>1284000</v>
          </cell>
          <cell r="S411" t="str">
            <v>내선</v>
          </cell>
          <cell r="T411">
            <v>3.7</v>
          </cell>
        </row>
        <row r="412">
          <cell r="A412">
            <v>410</v>
          </cell>
          <cell r="B412" t="str">
            <v>가로등 NH등기구</v>
          </cell>
          <cell r="C412" t="str">
            <v>세종로대형</v>
          </cell>
          <cell r="D412" t="str">
            <v>EA</v>
          </cell>
          <cell r="G412">
            <v>810</v>
          </cell>
          <cell r="H412">
            <v>63000</v>
          </cell>
          <cell r="Q412">
            <v>63000</v>
          </cell>
        </row>
        <row r="413">
          <cell r="A413">
            <v>411</v>
          </cell>
          <cell r="B413" t="str">
            <v>가로등 NH등기구</v>
          </cell>
          <cell r="C413" t="str">
            <v>세종로소형</v>
          </cell>
          <cell r="D413" t="str">
            <v>EA</v>
          </cell>
          <cell r="G413">
            <v>810</v>
          </cell>
          <cell r="H413">
            <v>54000</v>
          </cell>
          <cell r="Q413">
            <v>54000</v>
          </cell>
        </row>
        <row r="414">
          <cell r="A414">
            <v>412</v>
          </cell>
          <cell r="B414" t="str">
            <v>고압나트륨등기구</v>
          </cell>
          <cell r="C414" t="str">
            <v xml:space="preserve">NH250W  </v>
          </cell>
          <cell r="D414" t="str">
            <v>EA</v>
          </cell>
          <cell r="G414">
            <v>810</v>
          </cell>
          <cell r="H414">
            <v>63000</v>
          </cell>
          <cell r="Q414">
            <v>63000</v>
          </cell>
          <cell r="S414" t="str">
            <v>내선</v>
          </cell>
          <cell r="T414">
            <v>0.495</v>
          </cell>
        </row>
        <row r="415">
          <cell r="A415">
            <v>413</v>
          </cell>
          <cell r="B415" t="str">
            <v>고압나트륨등기구</v>
          </cell>
          <cell r="C415" t="str">
            <v>NH400W</v>
          </cell>
          <cell r="D415" t="str">
            <v>EA</v>
          </cell>
          <cell r="G415">
            <v>810</v>
          </cell>
          <cell r="H415">
            <v>63000</v>
          </cell>
          <cell r="Q415">
            <v>63000</v>
          </cell>
          <cell r="S415" t="str">
            <v>내선</v>
          </cell>
          <cell r="T415">
            <v>0.53</v>
          </cell>
        </row>
        <row r="416">
          <cell r="A416">
            <v>414</v>
          </cell>
          <cell r="B416" t="str">
            <v>터널등기구(AL판)</v>
          </cell>
          <cell r="C416" t="str">
            <v>NXT 35W</v>
          </cell>
          <cell r="D416" t="str">
            <v>EA</v>
          </cell>
          <cell r="G416">
            <v>810</v>
          </cell>
          <cell r="H416">
            <v>67500</v>
          </cell>
          <cell r="Q416">
            <v>67500</v>
          </cell>
          <cell r="S416" t="str">
            <v>내선</v>
          </cell>
          <cell r="T416">
            <v>0.38</v>
          </cell>
        </row>
        <row r="417">
          <cell r="A417">
            <v>415</v>
          </cell>
          <cell r="B417" t="str">
            <v>터널등기구(AL판)</v>
          </cell>
          <cell r="C417" t="str">
            <v>NXT 90W</v>
          </cell>
          <cell r="D417" t="str">
            <v>EA</v>
          </cell>
          <cell r="G417">
            <v>810</v>
          </cell>
          <cell r="H417">
            <v>88000</v>
          </cell>
          <cell r="Q417">
            <v>88000</v>
          </cell>
          <cell r="S417" t="str">
            <v>내선</v>
          </cell>
          <cell r="T417">
            <v>0.38</v>
          </cell>
        </row>
        <row r="418">
          <cell r="A418">
            <v>416</v>
          </cell>
          <cell r="B418" t="str">
            <v>터널등기구(AL판)</v>
          </cell>
          <cell r="C418" t="str">
            <v>NXT 135W</v>
          </cell>
          <cell r="D418" t="str">
            <v>EA</v>
          </cell>
          <cell r="G418">
            <v>810</v>
          </cell>
          <cell r="H418">
            <v>113000</v>
          </cell>
          <cell r="Q418">
            <v>113000</v>
          </cell>
          <cell r="S418" t="str">
            <v>내선</v>
          </cell>
          <cell r="T418">
            <v>0.44</v>
          </cell>
        </row>
        <row r="419">
          <cell r="A419">
            <v>417</v>
          </cell>
          <cell r="B419" t="str">
            <v>터널등기구(AL판)</v>
          </cell>
          <cell r="C419" t="str">
            <v>NXT 180W</v>
          </cell>
          <cell r="D419" t="str">
            <v>EA</v>
          </cell>
          <cell r="G419">
            <v>810</v>
          </cell>
          <cell r="H419">
            <v>135000</v>
          </cell>
          <cell r="Q419">
            <v>135000</v>
          </cell>
          <cell r="S419" t="str">
            <v>내선</v>
          </cell>
          <cell r="T419">
            <v>0.44</v>
          </cell>
        </row>
        <row r="420">
          <cell r="A420">
            <v>418</v>
          </cell>
          <cell r="B420" t="str">
            <v>내압방폭백열등</v>
          </cell>
          <cell r="C420" t="str">
            <v>IL 220V/200W</v>
          </cell>
          <cell r="D420" t="str">
            <v>EA</v>
          </cell>
          <cell r="G420">
            <v>818</v>
          </cell>
          <cell r="H420">
            <v>90450</v>
          </cell>
          <cell r="Q420">
            <v>90450</v>
          </cell>
          <cell r="S420" t="str">
            <v>내선</v>
          </cell>
          <cell r="T420">
            <v>0.38</v>
          </cell>
        </row>
        <row r="421">
          <cell r="A421">
            <v>419</v>
          </cell>
          <cell r="Q421" t="str"/>
        </row>
        <row r="422">
          <cell r="A422">
            <v>420</v>
          </cell>
          <cell r="Q422" t="str"/>
        </row>
        <row r="423">
          <cell r="A423">
            <v>421</v>
          </cell>
          <cell r="B423" t="str">
            <v>고압나트륨램프</v>
          </cell>
          <cell r="C423" t="str">
            <v>NH  150W</v>
          </cell>
          <cell r="D423" t="str">
            <v>EA</v>
          </cell>
          <cell r="G423">
            <v>814</v>
          </cell>
          <cell r="H423">
            <v>12000</v>
          </cell>
          <cell r="Q423">
            <v>12000</v>
          </cell>
        </row>
        <row r="424">
          <cell r="A424">
            <v>422</v>
          </cell>
          <cell r="B424" t="str">
            <v>고압나트륨램프</v>
          </cell>
          <cell r="C424" t="str">
            <v>NH  250W</v>
          </cell>
          <cell r="D424" t="str">
            <v>EA</v>
          </cell>
          <cell r="G424">
            <v>814</v>
          </cell>
          <cell r="H424">
            <v>12500</v>
          </cell>
          <cell r="Q424">
            <v>12500</v>
          </cell>
        </row>
        <row r="425">
          <cell r="A425">
            <v>423</v>
          </cell>
          <cell r="B425" t="str">
            <v>고압나트륨램프</v>
          </cell>
          <cell r="C425" t="str">
            <v>NH  400W</v>
          </cell>
          <cell r="D425" t="str">
            <v>EA</v>
          </cell>
          <cell r="G425">
            <v>814</v>
          </cell>
          <cell r="H425">
            <v>16000</v>
          </cell>
          <cell r="Q425">
            <v>16000</v>
          </cell>
        </row>
        <row r="426">
          <cell r="A426">
            <v>424</v>
          </cell>
          <cell r="Q426" t="str"/>
        </row>
        <row r="427">
          <cell r="A427">
            <v>425</v>
          </cell>
          <cell r="Q427" t="str"/>
        </row>
        <row r="428">
          <cell r="A428">
            <v>426</v>
          </cell>
          <cell r="B428" t="str">
            <v>고압나트륨안정기</v>
          </cell>
          <cell r="C428" t="str">
            <v>220V/150W</v>
          </cell>
          <cell r="D428" t="str">
            <v>EA</v>
          </cell>
          <cell r="G428">
            <v>814</v>
          </cell>
          <cell r="H428">
            <v>18000</v>
          </cell>
          <cell r="Q428">
            <v>18000</v>
          </cell>
        </row>
        <row r="429">
          <cell r="A429">
            <v>427</v>
          </cell>
          <cell r="B429" t="str">
            <v>고압나트륨안정기</v>
          </cell>
          <cell r="C429" t="str">
            <v>220V/250W</v>
          </cell>
          <cell r="D429" t="str">
            <v>EA</v>
          </cell>
          <cell r="G429">
            <v>814</v>
          </cell>
          <cell r="H429">
            <v>22000</v>
          </cell>
          <cell r="Q429">
            <v>22000</v>
          </cell>
        </row>
        <row r="430">
          <cell r="A430">
            <v>428</v>
          </cell>
          <cell r="B430" t="str">
            <v>고압나트륨안정기</v>
          </cell>
          <cell r="C430" t="str">
            <v>220V/400W</v>
          </cell>
          <cell r="D430" t="str">
            <v>EA</v>
          </cell>
          <cell r="G430">
            <v>814</v>
          </cell>
          <cell r="H430">
            <v>24000</v>
          </cell>
          <cell r="Q430">
            <v>24000</v>
          </cell>
        </row>
        <row r="431">
          <cell r="A431">
            <v>429</v>
          </cell>
          <cell r="Q431" t="str"/>
        </row>
        <row r="432">
          <cell r="A432">
            <v>430</v>
          </cell>
          <cell r="Q432" t="str"/>
        </row>
        <row r="433">
          <cell r="A433">
            <v>431</v>
          </cell>
          <cell r="B433" t="str">
            <v>저압나트륨램프</v>
          </cell>
          <cell r="C433" t="str">
            <v>NXT 36W</v>
          </cell>
          <cell r="D433" t="str">
            <v>EA</v>
          </cell>
          <cell r="G433">
            <v>814</v>
          </cell>
          <cell r="H433">
            <v>28000</v>
          </cell>
          <cell r="Q433">
            <v>28000</v>
          </cell>
        </row>
        <row r="434">
          <cell r="A434">
            <v>432</v>
          </cell>
          <cell r="B434" t="str">
            <v>저압나트륨램프</v>
          </cell>
          <cell r="C434" t="str">
            <v>NXT 66W</v>
          </cell>
          <cell r="D434" t="str">
            <v>EA</v>
          </cell>
          <cell r="G434">
            <v>814</v>
          </cell>
          <cell r="H434">
            <v>32000</v>
          </cell>
          <cell r="Q434">
            <v>32000</v>
          </cell>
        </row>
        <row r="435">
          <cell r="A435">
            <v>433</v>
          </cell>
          <cell r="B435" t="str">
            <v>저압나트륨램프</v>
          </cell>
          <cell r="C435" t="str">
            <v>NXT 91W</v>
          </cell>
          <cell r="D435" t="str">
            <v>EA</v>
          </cell>
          <cell r="G435">
            <v>814</v>
          </cell>
          <cell r="H435">
            <v>38000</v>
          </cell>
          <cell r="Q435">
            <v>38000</v>
          </cell>
        </row>
        <row r="436">
          <cell r="A436">
            <v>434</v>
          </cell>
          <cell r="B436" t="str">
            <v>저압나트륨램프</v>
          </cell>
          <cell r="C436" t="str">
            <v>NXT 131W</v>
          </cell>
          <cell r="D436" t="str">
            <v>EA</v>
          </cell>
          <cell r="G436">
            <v>814</v>
          </cell>
          <cell r="H436">
            <v>50000</v>
          </cell>
          <cell r="Q436">
            <v>50000</v>
          </cell>
        </row>
        <row r="437">
          <cell r="A437">
            <v>435</v>
          </cell>
          <cell r="Q437" t="str"/>
        </row>
        <row r="438">
          <cell r="A438">
            <v>436</v>
          </cell>
          <cell r="Q438" t="str"/>
        </row>
        <row r="439">
          <cell r="A439">
            <v>437</v>
          </cell>
          <cell r="B439" t="str">
            <v>저압나트륨안정기</v>
          </cell>
          <cell r="C439" t="str">
            <v>NXT 36W</v>
          </cell>
          <cell r="D439" t="str">
            <v>EA</v>
          </cell>
          <cell r="G439">
            <v>814</v>
          </cell>
          <cell r="H439">
            <v>29000</v>
          </cell>
          <cell r="Q439">
            <v>29000</v>
          </cell>
        </row>
        <row r="440">
          <cell r="A440">
            <v>438</v>
          </cell>
          <cell r="B440" t="str">
            <v>저압나트륨안정기</v>
          </cell>
          <cell r="C440" t="str">
            <v>NXT 66W</v>
          </cell>
          <cell r="D440" t="str">
            <v>EA</v>
          </cell>
          <cell r="G440">
            <v>814</v>
          </cell>
          <cell r="H440">
            <v>32000</v>
          </cell>
          <cell r="Q440">
            <v>32000</v>
          </cell>
        </row>
        <row r="441">
          <cell r="A441">
            <v>439</v>
          </cell>
          <cell r="B441" t="str">
            <v>저압나트륨안정기</v>
          </cell>
          <cell r="C441" t="str">
            <v>NXT 91W</v>
          </cell>
          <cell r="D441" t="str">
            <v>EA</v>
          </cell>
          <cell r="G441">
            <v>814</v>
          </cell>
          <cell r="H441">
            <v>35000</v>
          </cell>
          <cell r="Q441">
            <v>35000</v>
          </cell>
        </row>
        <row r="442">
          <cell r="A442">
            <v>440</v>
          </cell>
          <cell r="B442" t="str">
            <v>저압나트륨안정기</v>
          </cell>
          <cell r="C442" t="str">
            <v>NXT 131W</v>
          </cell>
          <cell r="D442" t="str">
            <v>EA</v>
          </cell>
          <cell r="G442">
            <v>814</v>
          </cell>
          <cell r="H442">
            <v>38000</v>
          </cell>
          <cell r="Q442">
            <v>38000</v>
          </cell>
        </row>
        <row r="443">
          <cell r="A443">
            <v>441</v>
          </cell>
          <cell r="Q443" t="str"/>
        </row>
        <row r="444">
          <cell r="A444">
            <v>442</v>
          </cell>
          <cell r="Q444" t="str"/>
        </row>
        <row r="445">
          <cell r="A445">
            <v>443</v>
          </cell>
          <cell r="Q445" t="str"/>
        </row>
        <row r="446">
          <cell r="A446">
            <v>444</v>
          </cell>
          <cell r="B446" t="str">
            <v>STRAIGHT TRAY(H.D.G)</v>
          </cell>
          <cell r="C446" t="str">
            <v>150W×100H</v>
          </cell>
          <cell r="D446" t="str">
            <v>m</v>
          </cell>
          <cell r="G446">
            <v>753</v>
          </cell>
          <cell r="H446">
            <v>8700</v>
          </cell>
          <cell r="Q446">
            <v>8700</v>
          </cell>
          <cell r="S446" t="str">
            <v>내선</v>
          </cell>
          <cell r="T446">
            <v>0.22500000000000001</v>
          </cell>
          <cell r="Y446" t="str">
            <v>4m이상: 20%증</v>
          </cell>
        </row>
        <row r="447">
          <cell r="A447">
            <v>445</v>
          </cell>
          <cell r="B447" t="str">
            <v>STRAIGHT TRAY(H.D.G)</v>
          </cell>
          <cell r="C447" t="str">
            <v>150W×150H</v>
          </cell>
          <cell r="D447" t="str">
            <v>m</v>
          </cell>
          <cell r="G447">
            <v>753</v>
          </cell>
          <cell r="H447">
            <v>11600</v>
          </cell>
          <cell r="Q447">
            <v>11600</v>
          </cell>
          <cell r="S447" t="str">
            <v>내선</v>
          </cell>
          <cell r="T447">
            <v>0.22500000000000001</v>
          </cell>
        </row>
        <row r="448">
          <cell r="A448">
            <v>446</v>
          </cell>
          <cell r="B448" t="str">
            <v>STRAIGHT TRAY(H.D.G)</v>
          </cell>
          <cell r="C448" t="str">
            <v>200W×100H</v>
          </cell>
          <cell r="D448" t="str">
            <v>m</v>
          </cell>
          <cell r="G448">
            <v>753</v>
          </cell>
          <cell r="H448">
            <v>9000</v>
          </cell>
          <cell r="Q448">
            <v>9000</v>
          </cell>
          <cell r="S448" t="str">
            <v>내선</v>
          </cell>
          <cell r="T448">
            <v>0.22500000000000001</v>
          </cell>
        </row>
        <row r="449">
          <cell r="A449">
            <v>447</v>
          </cell>
          <cell r="B449" t="str">
            <v>STRAIGHT TRAY(H.D.G)</v>
          </cell>
          <cell r="C449" t="str">
            <v>200W×150H</v>
          </cell>
          <cell r="D449" t="str">
            <v>m</v>
          </cell>
          <cell r="G449">
            <v>753</v>
          </cell>
          <cell r="H449">
            <v>11900</v>
          </cell>
          <cell r="Q449">
            <v>11900</v>
          </cell>
          <cell r="S449" t="str">
            <v>내선</v>
          </cell>
          <cell r="T449">
            <v>0.22500000000000001</v>
          </cell>
        </row>
        <row r="450">
          <cell r="A450">
            <v>448</v>
          </cell>
          <cell r="B450" t="str">
            <v>STRAIGHT TRAY(H.D.G)</v>
          </cell>
          <cell r="C450" t="str">
            <v>300W×100H</v>
          </cell>
          <cell r="D450" t="str">
            <v>m</v>
          </cell>
          <cell r="G450">
            <v>753</v>
          </cell>
          <cell r="H450">
            <v>9600</v>
          </cell>
          <cell r="Q450">
            <v>9600</v>
          </cell>
          <cell r="S450" t="str">
            <v>내선</v>
          </cell>
          <cell r="T450">
            <v>0.28499999999999998</v>
          </cell>
        </row>
        <row r="451">
          <cell r="A451">
            <v>449</v>
          </cell>
          <cell r="B451" t="str">
            <v>STRAIGHT TRAY(H.D.G)</v>
          </cell>
          <cell r="C451" t="str">
            <v>300W×150H</v>
          </cell>
          <cell r="D451" t="str">
            <v>m</v>
          </cell>
          <cell r="G451">
            <v>753</v>
          </cell>
          <cell r="H451">
            <v>12600</v>
          </cell>
          <cell r="Q451">
            <v>12600</v>
          </cell>
          <cell r="S451" t="str">
            <v>내선</v>
          </cell>
          <cell r="T451">
            <v>0.28499999999999998</v>
          </cell>
        </row>
        <row r="452">
          <cell r="A452">
            <v>450</v>
          </cell>
          <cell r="B452" t="str">
            <v>STRAIGHT TRAY(H.D.G)</v>
          </cell>
          <cell r="C452" t="str">
            <v>400W×100H</v>
          </cell>
          <cell r="D452" t="str">
            <v>m</v>
          </cell>
          <cell r="G452">
            <v>753</v>
          </cell>
          <cell r="H452">
            <v>10200</v>
          </cell>
          <cell r="Q452">
            <v>10200</v>
          </cell>
          <cell r="S452" t="str">
            <v>내선</v>
          </cell>
          <cell r="T452">
            <v>0.33500000000000002</v>
          </cell>
        </row>
        <row r="453">
          <cell r="A453">
            <v>451</v>
          </cell>
          <cell r="B453" t="str">
            <v>STRAIGHT TRAY(H.D.G)</v>
          </cell>
          <cell r="C453" t="str">
            <v>400W×150H</v>
          </cell>
          <cell r="D453" t="str">
            <v>m</v>
          </cell>
          <cell r="G453">
            <v>753</v>
          </cell>
          <cell r="H453">
            <v>13200</v>
          </cell>
          <cell r="Q453">
            <v>13200</v>
          </cell>
          <cell r="S453" t="str">
            <v>내선</v>
          </cell>
          <cell r="T453">
            <v>0.33500000000000002</v>
          </cell>
        </row>
        <row r="454">
          <cell r="A454">
            <v>452</v>
          </cell>
          <cell r="B454" t="str">
            <v>STRAIGHT TRAY(H.D.G)</v>
          </cell>
          <cell r="C454" t="str">
            <v>500W×100H</v>
          </cell>
          <cell r="D454" t="str">
            <v>m</v>
          </cell>
          <cell r="G454">
            <v>753</v>
          </cell>
          <cell r="H454">
            <v>10800</v>
          </cell>
          <cell r="Q454">
            <v>10800</v>
          </cell>
          <cell r="S454" t="str">
            <v>내선</v>
          </cell>
          <cell r="T454">
            <v>0.44500000000000001</v>
          </cell>
        </row>
        <row r="455">
          <cell r="A455">
            <v>453</v>
          </cell>
          <cell r="B455" t="str">
            <v>STRAIGHT TRAY(H.D.G)</v>
          </cell>
          <cell r="C455" t="str">
            <v>500W×150H</v>
          </cell>
          <cell r="D455" t="str">
            <v>m</v>
          </cell>
          <cell r="G455">
            <v>753</v>
          </cell>
          <cell r="H455">
            <v>13800</v>
          </cell>
          <cell r="Q455">
            <v>13800</v>
          </cell>
          <cell r="S455" t="str">
            <v>내선</v>
          </cell>
          <cell r="T455">
            <v>0.44500000000000001</v>
          </cell>
        </row>
        <row r="456">
          <cell r="A456">
            <v>454</v>
          </cell>
          <cell r="B456" t="str">
            <v>STRAIGHT TRAY(H.D.G)</v>
          </cell>
          <cell r="C456" t="str">
            <v>600W×100H</v>
          </cell>
          <cell r="D456" t="str">
            <v>m</v>
          </cell>
          <cell r="G456">
            <v>753</v>
          </cell>
          <cell r="H456">
            <v>11500</v>
          </cell>
          <cell r="Q456">
            <v>11500</v>
          </cell>
          <cell r="S456" t="str">
            <v>내선</v>
          </cell>
          <cell r="T456">
            <v>0.52</v>
          </cell>
        </row>
        <row r="457">
          <cell r="A457">
            <v>455</v>
          </cell>
          <cell r="B457" t="str">
            <v>STRAIGHT TRAY(H.D.G)</v>
          </cell>
          <cell r="C457" t="str">
            <v>600W×150H</v>
          </cell>
          <cell r="D457" t="str">
            <v>m</v>
          </cell>
          <cell r="G457">
            <v>753</v>
          </cell>
          <cell r="H457">
            <v>14400</v>
          </cell>
          <cell r="Q457">
            <v>14400</v>
          </cell>
          <cell r="S457" t="str">
            <v>내선</v>
          </cell>
          <cell r="T457">
            <v>0.52</v>
          </cell>
        </row>
        <row r="458">
          <cell r="A458">
            <v>456</v>
          </cell>
          <cell r="Q458" t="str"/>
        </row>
        <row r="459">
          <cell r="A459">
            <v>457</v>
          </cell>
          <cell r="B459" t="str">
            <v>HOR-ELBOW (H.D.G)</v>
          </cell>
          <cell r="C459" t="str">
            <v>150W×100H</v>
          </cell>
          <cell r="D459" t="str">
            <v>EA</v>
          </cell>
          <cell r="G459">
            <v>753</v>
          </cell>
          <cell r="H459">
            <v>10300</v>
          </cell>
          <cell r="Q459">
            <v>10300</v>
          </cell>
          <cell r="S459" t="str">
            <v>내선</v>
          </cell>
          <cell r="T459">
            <v>0.22500000000000001</v>
          </cell>
        </row>
        <row r="460">
          <cell r="A460">
            <v>458</v>
          </cell>
          <cell r="B460" t="str">
            <v>HOR-ELBOW (H.D.G)</v>
          </cell>
          <cell r="C460" t="str">
            <v>150W×150H</v>
          </cell>
          <cell r="D460" t="str">
            <v>EA</v>
          </cell>
          <cell r="G460">
            <v>753</v>
          </cell>
          <cell r="H460">
            <v>13700</v>
          </cell>
          <cell r="Q460">
            <v>13700</v>
          </cell>
          <cell r="S460" t="str">
            <v>내선</v>
          </cell>
          <cell r="T460">
            <v>0.22500000000000001</v>
          </cell>
        </row>
        <row r="461">
          <cell r="A461">
            <v>459</v>
          </cell>
          <cell r="B461" t="str">
            <v>HOR-ELBOW (H.D.G)</v>
          </cell>
          <cell r="C461" t="str">
            <v>200W×100H</v>
          </cell>
          <cell r="D461" t="str">
            <v>EA</v>
          </cell>
          <cell r="G461">
            <v>753</v>
          </cell>
          <cell r="H461">
            <v>11100</v>
          </cell>
          <cell r="Q461">
            <v>11100</v>
          </cell>
          <cell r="S461" t="str">
            <v>내선</v>
          </cell>
          <cell r="T461">
            <v>0.22500000000000001</v>
          </cell>
        </row>
        <row r="462">
          <cell r="A462">
            <v>460</v>
          </cell>
          <cell r="B462" t="str">
            <v>HOR-ELBOW (H.D.G)</v>
          </cell>
          <cell r="C462" t="str">
            <v>200W×150H</v>
          </cell>
          <cell r="D462" t="str">
            <v>EA</v>
          </cell>
          <cell r="G462">
            <v>753</v>
          </cell>
          <cell r="H462">
            <v>14700</v>
          </cell>
          <cell r="Q462">
            <v>14700</v>
          </cell>
          <cell r="S462" t="str">
            <v>내선</v>
          </cell>
          <cell r="T462">
            <v>0.22500000000000001</v>
          </cell>
        </row>
        <row r="463">
          <cell r="A463">
            <v>461</v>
          </cell>
          <cell r="B463" t="str">
            <v>HOR-ELBOW (H.D.G)</v>
          </cell>
          <cell r="C463" t="str">
            <v>300W×100H</v>
          </cell>
          <cell r="D463" t="str">
            <v>EA</v>
          </cell>
          <cell r="G463">
            <v>753</v>
          </cell>
          <cell r="H463">
            <v>12800</v>
          </cell>
          <cell r="Q463">
            <v>12800</v>
          </cell>
          <cell r="S463" t="str">
            <v>내선</v>
          </cell>
          <cell r="T463">
            <v>0.28499999999999998</v>
          </cell>
        </row>
        <row r="464">
          <cell r="A464">
            <v>462</v>
          </cell>
          <cell r="B464" t="str">
            <v>HOR-ELBOW (H.D.G)</v>
          </cell>
          <cell r="C464" t="str">
            <v>300W×150H</v>
          </cell>
          <cell r="D464" t="str">
            <v>EA</v>
          </cell>
          <cell r="G464">
            <v>753</v>
          </cell>
          <cell r="H464">
            <v>16800</v>
          </cell>
          <cell r="Q464">
            <v>16800</v>
          </cell>
          <cell r="S464" t="str">
            <v>내선</v>
          </cell>
          <cell r="T464">
            <v>0.28499999999999998</v>
          </cell>
        </row>
        <row r="465">
          <cell r="A465">
            <v>463</v>
          </cell>
          <cell r="B465" t="str">
            <v>HOR-ELBOW (H.D.G)</v>
          </cell>
          <cell r="C465" t="str">
            <v>400W×100H</v>
          </cell>
          <cell r="D465" t="str">
            <v>EA</v>
          </cell>
          <cell r="G465">
            <v>753</v>
          </cell>
          <cell r="H465">
            <v>14500</v>
          </cell>
          <cell r="Q465">
            <v>14500</v>
          </cell>
          <cell r="S465" t="str">
            <v>내선</v>
          </cell>
          <cell r="T465">
            <v>0.33500000000000002</v>
          </cell>
        </row>
        <row r="466">
          <cell r="A466">
            <v>464</v>
          </cell>
          <cell r="B466" t="str">
            <v>HOR-ELBOW (H.D.G)</v>
          </cell>
          <cell r="C466" t="str">
            <v>400W×150H</v>
          </cell>
          <cell r="D466" t="str">
            <v>EA</v>
          </cell>
          <cell r="G466">
            <v>753</v>
          </cell>
          <cell r="H466">
            <v>18800</v>
          </cell>
          <cell r="Q466">
            <v>18800</v>
          </cell>
          <cell r="S466" t="str">
            <v>내선</v>
          </cell>
          <cell r="T466">
            <v>0.33500000000000002</v>
          </cell>
        </row>
        <row r="467">
          <cell r="A467">
            <v>465</v>
          </cell>
          <cell r="B467" t="str">
            <v>HOR-ELBOW (H.D.G)</v>
          </cell>
          <cell r="C467" t="str">
            <v>500W×100H</v>
          </cell>
          <cell r="D467" t="str">
            <v>EA</v>
          </cell>
          <cell r="G467">
            <v>753</v>
          </cell>
          <cell r="H467">
            <v>16200</v>
          </cell>
          <cell r="Q467">
            <v>16200</v>
          </cell>
          <cell r="S467" t="str">
            <v>내선</v>
          </cell>
          <cell r="T467">
            <v>0.44500000000000001</v>
          </cell>
        </row>
        <row r="468">
          <cell r="A468">
            <v>466</v>
          </cell>
          <cell r="B468" t="str">
            <v>HOR-ELBOW (H.D.G)</v>
          </cell>
          <cell r="C468" t="str">
            <v>500W×150H</v>
          </cell>
          <cell r="D468" t="str">
            <v>EA</v>
          </cell>
          <cell r="G468">
            <v>753</v>
          </cell>
          <cell r="H468">
            <v>20800</v>
          </cell>
          <cell r="Q468">
            <v>20800</v>
          </cell>
          <cell r="S468" t="str">
            <v>내선</v>
          </cell>
          <cell r="T468">
            <v>0.44500000000000001</v>
          </cell>
        </row>
        <row r="469">
          <cell r="A469">
            <v>467</v>
          </cell>
          <cell r="B469" t="str">
            <v>HOR-ELBOW (H.D.G)</v>
          </cell>
          <cell r="C469" t="str">
            <v>600W×100H</v>
          </cell>
          <cell r="D469" t="str">
            <v>EA</v>
          </cell>
          <cell r="G469">
            <v>753</v>
          </cell>
          <cell r="H469">
            <v>17900</v>
          </cell>
          <cell r="Q469">
            <v>17900</v>
          </cell>
          <cell r="S469" t="str">
            <v>내선</v>
          </cell>
          <cell r="T469">
            <v>0.52</v>
          </cell>
        </row>
        <row r="470">
          <cell r="A470">
            <v>468</v>
          </cell>
          <cell r="B470" t="str">
            <v>HOR-ELBOW (H.D.G)</v>
          </cell>
          <cell r="C470" t="str">
            <v>600W×150H</v>
          </cell>
          <cell r="D470" t="str">
            <v>EA</v>
          </cell>
          <cell r="G470">
            <v>753</v>
          </cell>
          <cell r="H470">
            <v>22800</v>
          </cell>
          <cell r="Q470">
            <v>22800</v>
          </cell>
          <cell r="S470" t="str">
            <v>내선</v>
          </cell>
          <cell r="T470">
            <v>0.52</v>
          </cell>
        </row>
        <row r="471">
          <cell r="A471">
            <v>469</v>
          </cell>
          <cell r="Q471" t="str"/>
        </row>
        <row r="472">
          <cell r="A472">
            <v>470</v>
          </cell>
          <cell r="B472" t="str">
            <v>VER-ELBOW (H.D.G)</v>
          </cell>
          <cell r="C472" t="str">
            <v>150W×100H</v>
          </cell>
          <cell r="D472" t="str">
            <v>EA</v>
          </cell>
          <cell r="G472">
            <v>753</v>
          </cell>
          <cell r="H472">
            <v>10700</v>
          </cell>
          <cell r="Q472">
            <v>10700</v>
          </cell>
          <cell r="S472" t="str">
            <v>내선</v>
          </cell>
          <cell r="T472">
            <v>0.22500000000000001</v>
          </cell>
        </row>
        <row r="473">
          <cell r="A473">
            <v>471</v>
          </cell>
          <cell r="B473" t="str">
            <v>VER-ELBOW (H.D.G)</v>
          </cell>
          <cell r="C473" t="str">
            <v>150W×150H</v>
          </cell>
          <cell r="D473" t="str">
            <v>EA</v>
          </cell>
          <cell r="G473">
            <v>753</v>
          </cell>
          <cell r="H473">
            <v>15500</v>
          </cell>
          <cell r="Q473">
            <v>15500</v>
          </cell>
          <cell r="S473" t="str">
            <v>내선</v>
          </cell>
          <cell r="T473">
            <v>0.22500000000000001</v>
          </cell>
        </row>
        <row r="474">
          <cell r="A474">
            <v>472</v>
          </cell>
          <cell r="B474" t="str">
            <v>VER-ELBOW (H.D.G)</v>
          </cell>
          <cell r="C474" t="str">
            <v>200W×100H</v>
          </cell>
          <cell r="D474" t="str">
            <v>EA</v>
          </cell>
          <cell r="G474">
            <v>753</v>
          </cell>
          <cell r="H474">
            <v>11100</v>
          </cell>
          <cell r="Q474">
            <v>11100</v>
          </cell>
          <cell r="S474" t="str">
            <v>내선</v>
          </cell>
          <cell r="T474">
            <v>0.22500000000000001</v>
          </cell>
        </row>
        <row r="475">
          <cell r="A475">
            <v>473</v>
          </cell>
          <cell r="B475" t="str">
            <v>VER-ELBOW (H.D.G)</v>
          </cell>
          <cell r="C475" t="str">
            <v>200W×150H</v>
          </cell>
          <cell r="D475" t="str">
            <v>EA</v>
          </cell>
          <cell r="G475">
            <v>753</v>
          </cell>
          <cell r="H475">
            <v>15900</v>
          </cell>
          <cell r="Q475">
            <v>15900</v>
          </cell>
          <cell r="S475" t="str">
            <v>내선</v>
          </cell>
          <cell r="T475">
            <v>0.22500000000000001</v>
          </cell>
        </row>
        <row r="476">
          <cell r="A476">
            <v>474</v>
          </cell>
          <cell r="B476" t="str">
            <v>VER-ELBOW (H.D.G)</v>
          </cell>
          <cell r="C476" t="str">
            <v>300W×100H</v>
          </cell>
          <cell r="D476" t="str">
            <v>EA</v>
          </cell>
          <cell r="G476">
            <v>753</v>
          </cell>
          <cell r="H476">
            <v>12000</v>
          </cell>
          <cell r="Q476">
            <v>12000</v>
          </cell>
          <cell r="S476" t="str">
            <v>내선</v>
          </cell>
          <cell r="T476">
            <v>0.28499999999999998</v>
          </cell>
        </row>
        <row r="477">
          <cell r="A477">
            <v>475</v>
          </cell>
          <cell r="B477" t="str">
            <v>VER-ELBOW (H.D.G)</v>
          </cell>
          <cell r="C477" t="str">
            <v>300W×150H</v>
          </cell>
          <cell r="D477" t="str">
            <v>EA</v>
          </cell>
          <cell r="G477">
            <v>753</v>
          </cell>
          <cell r="H477">
            <v>16800</v>
          </cell>
          <cell r="Q477">
            <v>16800</v>
          </cell>
          <cell r="S477" t="str">
            <v>내선</v>
          </cell>
          <cell r="T477">
            <v>0.28499999999999998</v>
          </cell>
        </row>
        <row r="478">
          <cell r="A478">
            <v>476</v>
          </cell>
          <cell r="B478" t="str">
            <v>VER-ELBOW (H.D.G)</v>
          </cell>
          <cell r="C478" t="str">
            <v>400W×100H</v>
          </cell>
          <cell r="D478" t="str">
            <v>EA</v>
          </cell>
          <cell r="G478">
            <v>753</v>
          </cell>
          <cell r="H478">
            <v>12900</v>
          </cell>
          <cell r="Q478">
            <v>12900</v>
          </cell>
          <cell r="S478" t="str">
            <v>내선</v>
          </cell>
          <cell r="T478">
            <v>0.33500000000000002</v>
          </cell>
        </row>
        <row r="479">
          <cell r="A479">
            <v>477</v>
          </cell>
          <cell r="B479" t="str">
            <v>VER-ELBOW (H.D.G)</v>
          </cell>
          <cell r="C479" t="str">
            <v>400W×150H</v>
          </cell>
          <cell r="D479" t="str">
            <v>EA</v>
          </cell>
          <cell r="G479">
            <v>753</v>
          </cell>
          <cell r="H479">
            <v>17600</v>
          </cell>
          <cell r="Q479">
            <v>17600</v>
          </cell>
          <cell r="S479" t="str">
            <v>내선</v>
          </cell>
          <cell r="T479">
            <v>0.33500000000000002</v>
          </cell>
        </row>
        <row r="480">
          <cell r="A480">
            <v>478</v>
          </cell>
          <cell r="B480" t="str">
            <v>VER-ELBOW (H.D.G)</v>
          </cell>
          <cell r="C480" t="str">
            <v>500W×100H</v>
          </cell>
          <cell r="D480" t="str">
            <v>EA</v>
          </cell>
          <cell r="G480">
            <v>753</v>
          </cell>
          <cell r="H480">
            <v>13700</v>
          </cell>
          <cell r="Q480">
            <v>13700</v>
          </cell>
          <cell r="S480" t="str">
            <v>내선</v>
          </cell>
          <cell r="T480">
            <v>0.44500000000000001</v>
          </cell>
        </row>
        <row r="481">
          <cell r="A481">
            <v>479</v>
          </cell>
          <cell r="B481" t="str">
            <v>VER-ELBOW (H.D.G)</v>
          </cell>
          <cell r="C481" t="str">
            <v>500W×150H</v>
          </cell>
          <cell r="D481" t="str">
            <v>EA</v>
          </cell>
          <cell r="G481">
            <v>753</v>
          </cell>
          <cell r="H481">
            <v>18500</v>
          </cell>
          <cell r="Q481">
            <v>18500</v>
          </cell>
          <cell r="S481" t="str">
            <v>내선</v>
          </cell>
          <cell r="T481">
            <v>0.44500000000000001</v>
          </cell>
        </row>
        <row r="482">
          <cell r="A482">
            <v>480</v>
          </cell>
          <cell r="B482" t="str">
            <v>VER-ELBOW (H.D.G)</v>
          </cell>
          <cell r="C482" t="str">
            <v>600W×100H</v>
          </cell>
          <cell r="D482" t="str">
            <v>EA</v>
          </cell>
          <cell r="G482">
            <v>753</v>
          </cell>
          <cell r="H482">
            <v>14600</v>
          </cell>
          <cell r="Q482">
            <v>14600</v>
          </cell>
          <cell r="S482" t="str">
            <v>내선</v>
          </cell>
          <cell r="T482">
            <v>0.52</v>
          </cell>
        </row>
        <row r="483">
          <cell r="A483">
            <v>481</v>
          </cell>
          <cell r="B483" t="str">
            <v>VER-ELBOW (H.D.G)</v>
          </cell>
          <cell r="C483" t="str">
            <v>600W×150H</v>
          </cell>
          <cell r="D483" t="str">
            <v>EA</v>
          </cell>
          <cell r="G483">
            <v>753</v>
          </cell>
          <cell r="H483">
            <v>19300</v>
          </cell>
          <cell r="Q483">
            <v>19300</v>
          </cell>
          <cell r="S483" t="str">
            <v>내선</v>
          </cell>
          <cell r="T483">
            <v>0.52</v>
          </cell>
        </row>
        <row r="484">
          <cell r="A484">
            <v>482</v>
          </cell>
          <cell r="Q484" t="str"/>
        </row>
        <row r="485">
          <cell r="A485">
            <v>483</v>
          </cell>
          <cell r="B485" t="str">
            <v>HOR-TEE (H.D.G)</v>
          </cell>
          <cell r="C485" t="str">
            <v>150W×100H</v>
          </cell>
          <cell r="D485" t="str">
            <v>EA</v>
          </cell>
          <cell r="G485">
            <v>753</v>
          </cell>
          <cell r="H485">
            <v>17500</v>
          </cell>
          <cell r="Q485">
            <v>17500</v>
          </cell>
          <cell r="S485" t="str">
            <v>내선</v>
          </cell>
          <cell r="T485">
            <v>0.22500000000000001</v>
          </cell>
        </row>
        <row r="486">
          <cell r="A486">
            <v>484</v>
          </cell>
          <cell r="B486" t="str">
            <v>HOR-TEE (H.D.G)</v>
          </cell>
          <cell r="C486" t="str">
            <v>150W×150H</v>
          </cell>
          <cell r="D486" t="str">
            <v>EA</v>
          </cell>
          <cell r="G486">
            <v>753</v>
          </cell>
          <cell r="H486">
            <v>22600</v>
          </cell>
          <cell r="Q486">
            <v>22600</v>
          </cell>
          <cell r="S486" t="str">
            <v>내선</v>
          </cell>
          <cell r="T486">
            <v>0.22500000000000001</v>
          </cell>
        </row>
        <row r="487">
          <cell r="A487">
            <v>485</v>
          </cell>
          <cell r="B487" t="str">
            <v>HOR-TEE (H.D.G)</v>
          </cell>
          <cell r="C487" t="str">
            <v>200W×100H</v>
          </cell>
          <cell r="D487" t="str">
            <v>EA</v>
          </cell>
          <cell r="G487">
            <v>753</v>
          </cell>
          <cell r="H487">
            <v>18500</v>
          </cell>
          <cell r="Q487">
            <v>18500</v>
          </cell>
          <cell r="S487" t="str">
            <v>내선</v>
          </cell>
          <cell r="T487">
            <v>0.22500000000000001</v>
          </cell>
        </row>
        <row r="488">
          <cell r="A488">
            <v>486</v>
          </cell>
          <cell r="B488" t="str">
            <v>HOR-TEE (H.D.G)</v>
          </cell>
          <cell r="C488" t="str">
            <v>200W×150H</v>
          </cell>
          <cell r="D488" t="str">
            <v>EA</v>
          </cell>
          <cell r="G488">
            <v>753</v>
          </cell>
          <cell r="H488">
            <v>23600</v>
          </cell>
          <cell r="Q488">
            <v>23600</v>
          </cell>
          <cell r="S488" t="str">
            <v>내선</v>
          </cell>
          <cell r="T488">
            <v>0.22500000000000001</v>
          </cell>
        </row>
        <row r="489">
          <cell r="A489">
            <v>487</v>
          </cell>
          <cell r="B489" t="str">
            <v>HOR-TEE (H.D.G)</v>
          </cell>
          <cell r="C489" t="str">
            <v>300W×100H</v>
          </cell>
          <cell r="D489" t="str">
            <v>EA</v>
          </cell>
          <cell r="G489">
            <v>753</v>
          </cell>
          <cell r="H489">
            <v>20300</v>
          </cell>
          <cell r="Q489">
            <v>20300</v>
          </cell>
          <cell r="S489" t="str">
            <v>내선</v>
          </cell>
          <cell r="T489">
            <v>0.28499999999999998</v>
          </cell>
        </row>
        <row r="490">
          <cell r="A490">
            <v>488</v>
          </cell>
          <cell r="B490" t="str">
            <v>HOR-TEE (H.D.G)</v>
          </cell>
          <cell r="C490" t="str">
            <v>300W×150H</v>
          </cell>
          <cell r="D490" t="str">
            <v>EA</v>
          </cell>
          <cell r="G490">
            <v>753</v>
          </cell>
          <cell r="H490">
            <v>25600</v>
          </cell>
          <cell r="Q490">
            <v>25600</v>
          </cell>
          <cell r="S490" t="str">
            <v>내선</v>
          </cell>
          <cell r="T490">
            <v>0.28499999999999998</v>
          </cell>
        </row>
        <row r="491">
          <cell r="A491">
            <v>489</v>
          </cell>
          <cell r="B491" t="str">
            <v>HOR-TEE (H.D.G)</v>
          </cell>
          <cell r="C491" t="str">
            <v>400W×100H</v>
          </cell>
          <cell r="D491" t="str">
            <v>EA</v>
          </cell>
          <cell r="G491">
            <v>753</v>
          </cell>
          <cell r="H491">
            <v>23000</v>
          </cell>
          <cell r="Q491">
            <v>23000</v>
          </cell>
          <cell r="S491" t="str">
            <v>내선</v>
          </cell>
          <cell r="T491">
            <v>0.33500000000000002</v>
          </cell>
        </row>
        <row r="492">
          <cell r="A492">
            <v>490</v>
          </cell>
          <cell r="B492" t="str">
            <v>HOR-TEE (H.D.G)</v>
          </cell>
          <cell r="C492" t="str">
            <v>400W×150H</v>
          </cell>
          <cell r="D492" t="str">
            <v>EA</v>
          </cell>
          <cell r="G492">
            <v>753</v>
          </cell>
          <cell r="H492">
            <v>28500</v>
          </cell>
          <cell r="Q492">
            <v>28500</v>
          </cell>
          <cell r="S492" t="str">
            <v>내선</v>
          </cell>
          <cell r="T492">
            <v>0.33500000000000002</v>
          </cell>
        </row>
        <row r="493">
          <cell r="A493">
            <v>491</v>
          </cell>
          <cell r="B493" t="str">
            <v>HOR-TEE (H.D.G)</v>
          </cell>
          <cell r="C493" t="str">
            <v>500W×100H</v>
          </cell>
          <cell r="D493" t="str">
            <v>EA</v>
          </cell>
          <cell r="G493">
            <v>753</v>
          </cell>
          <cell r="H493">
            <v>25000</v>
          </cell>
          <cell r="Q493">
            <v>25000</v>
          </cell>
          <cell r="S493" t="str">
            <v>내선</v>
          </cell>
          <cell r="T493">
            <v>0.44500000000000001</v>
          </cell>
        </row>
        <row r="494">
          <cell r="A494">
            <v>492</v>
          </cell>
          <cell r="B494" t="str">
            <v>HOR-TEE (H.D.G)</v>
          </cell>
          <cell r="C494" t="str">
            <v>500W×150H</v>
          </cell>
          <cell r="D494" t="str">
            <v>EA</v>
          </cell>
          <cell r="G494">
            <v>753</v>
          </cell>
          <cell r="H494">
            <v>30800</v>
          </cell>
          <cell r="Q494">
            <v>30800</v>
          </cell>
          <cell r="S494" t="str">
            <v>내선</v>
          </cell>
          <cell r="T494">
            <v>0.44500000000000001</v>
          </cell>
        </row>
        <row r="495">
          <cell r="A495">
            <v>493</v>
          </cell>
          <cell r="B495" t="str">
            <v>HOR-TEE (H.D.G)</v>
          </cell>
          <cell r="C495" t="str">
            <v>600W×100H</v>
          </cell>
          <cell r="D495" t="str">
            <v>EA</v>
          </cell>
          <cell r="G495">
            <v>753</v>
          </cell>
          <cell r="H495">
            <v>27000</v>
          </cell>
          <cell r="Q495">
            <v>27000</v>
          </cell>
          <cell r="S495" t="str">
            <v>내선</v>
          </cell>
          <cell r="T495">
            <v>0.52</v>
          </cell>
        </row>
        <row r="496">
          <cell r="A496">
            <v>494</v>
          </cell>
          <cell r="B496" t="str">
            <v>HOR-TEE (H.D.G)</v>
          </cell>
          <cell r="C496" t="str">
            <v>600W×150H</v>
          </cell>
          <cell r="D496" t="str">
            <v>EA</v>
          </cell>
          <cell r="G496">
            <v>753</v>
          </cell>
          <cell r="H496">
            <v>33100</v>
          </cell>
          <cell r="Q496">
            <v>33100</v>
          </cell>
          <cell r="S496" t="str">
            <v>내선</v>
          </cell>
          <cell r="T496">
            <v>0.52</v>
          </cell>
        </row>
        <row r="497">
          <cell r="A497">
            <v>495</v>
          </cell>
          <cell r="Q497" t="str"/>
        </row>
        <row r="498">
          <cell r="A498">
            <v>496</v>
          </cell>
          <cell r="B498" t="str">
            <v>HOR-CROSS (H.D.G)</v>
          </cell>
          <cell r="C498" t="str">
            <v>150W×100H</v>
          </cell>
          <cell r="D498" t="str">
            <v>EA</v>
          </cell>
          <cell r="G498">
            <v>753</v>
          </cell>
          <cell r="H498">
            <v>23200</v>
          </cell>
          <cell r="Q498">
            <v>23200</v>
          </cell>
          <cell r="S498" t="str">
            <v>내선</v>
          </cell>
          <cell r="T498">
            <v>0.22500000000000001</v>
          </cell>
        </row>
        <row r="499">
          <cell r="A499">
            <v>497</v>
          </cell>
          <cell r="B499" t="str">
            <v>HOR-CROSS (H.D.G)</v>
          </cell>
          <cell r="C499" t="str">
            <v>150W×150H</v>
          </cell>
          <cell r="D499" t="str">
            <v>EA</v>
          </cell>
          <cell r="G499">
            <v>753</v>
          </cell>
          <cell r="H499">
            <v>29100</v>
          </cell>
          <cell r="Q499">
            <v>29100</v>
          </cell>
          <cell r="S499" t="str">
            <v>내선</v>
          </cell>
          <cell r="T499">
            <v>0.22500000000000001</v>
          </cell>
        </row>
        <row r="500">
          <cell r="A500">
            <v>498</v>
          </cell>
          <cell r="B500" t="str">
            <v>HOR-CROSS (H.D.G)</v>
          </cell>
          <cell r="C500" t="str">
            <v>200W×100H</v>
          </cell>
          <cell r="D500" t="str">
            <v>EA</v>
          </cell>
          <cell r="G500">
            <v>753</v>
          </cell>
          <cell r="H500">
            <v>24000</v>
          </cell>
          <cell r="Q500">
            <v>24000</v>
          </cell>
          <cell r="S500" t="str">
            <v>내선</v>
          </cell>
          <cell r="T500">
            <v>0.22500000000000001</v>
          </cell>
        </row>
        <row r="501">
          <cell r="A501">
            <v>499</v>
          </cell>
          <cell r="B501" t="str">
            <v>HOR-CROSS (H.D.G)</v>
          </cell>
          <cell r="C501" t="str">
            <v>200W×150H</v>
          </cell>
          <cell r="D501" t="str">
            <v>EA</v>
          </cell>
          <cell r="G501">
            <v>753</v>
          </cell>
          <cell r="H501">
            <v>30000</v>
          </cell>
          <cell r="Q501">
            <v>30000</v>
          </cell>
          <cell r="S501" t="str">
            <v>내선</v>
          </cell>
          <cell r="T501">
            <v>0.22500000000000001</v>
          </cell>
        </row>
        <row r="502">
          <cell r="A502">
            <v>500</v>
          </cell>
          <cell r="B502" t="str">
            <v>HOR-CROSS (H.D.G)</v>
          </cell>
          <cell r="C502" t="str">
            <v>300W×100H</v>
          </cell>
          <cell r="D502" t="str">
            <v>EA</v>
          </cell>
          <cell r="G502">
            <v>753</v>
          </cell>
          <cell r="H502">
            <v>25700</v>
          </cell>
          <cell r="Q502">
            <v>25700</v>
          </cell>
          <cell r="S502" t="str">
            <v>내선</v>
          </cell>
          <cell r="T502">
            <v>0.28499999999999998</v>
          </cell>
        </row>
        <row r="503">
          <cell r="A503">
            <v>501</v>
          </cell>
          <cell r="B503" t="str">
            <v>HOR-CROSS (H.D.G)</v>
          </cell>
          <cell r="C503" t="str">
            <v>300W×150H</v>
          </cell>
          <cell r="D503" t="str">
            <v>EA</v>
          </cell>
          <cell r="G503">
            <v>753</v>
          </cell>
          <cell r="H503">
            <v>31700</v>
          </cell>
          <cell r="Q503">
            <v>31700</v>
          </cell>
          <cell r="S503" t="str">
            <v>내선</v>
          </cell>
          <cell r="T503">
            <v>0.28499999999999998</v>
          </cell>
        </row>
        <row r="504">
          <cell r="A504">
            <v>502</v>
          </cell>
          <cell r="B504" t="str">
            <v>HOR-CROSS (H.D.G)</v>
          </cell>
          <cell r="C504" t="str">
            <v>400W×100H</v>
          </cell>
          <cell r="D504" t="str">
            <v>EA</v>
          </cell>
          <cell r="G504">
            <v>753</v>
          </cell>
          <cell r="H504">
            <v>27000</v>
          </cell>
          <cell r="Q504">
            <v>27000</v>
          </cell>
          <cell r="S504" t="str">
            <v>내선</v>
          </cell>
          <cell r="T504">
            <v>0.33500000000000002</v>
          </cell>
        </row>
        <row r="505">
          <cell r="A505">
            <v>503</v>
          </cell>
          <cell r="B505" t="str">
            <v>HOR-CROSS (H.D.G)</v>
          </cell>
          <cell r="C505" t="str">
            <v>400W×150H</v>
          </cell>
          <cell r="D505" t="str">
            <v>EA</v>
          </cell>
          <cell r="G505">
            <v>753</v>
          </cell>
          <cell r="H505">
            <v>34300</v>
          </cell>
          <cell r="Q505">
            <v>34300</v>
          </cell>
          <cell r="S505" t="str">
            <v>내선</v>
          </cell>
          <cell r="T505">
            <v>0.33500000000000002</v>
          </cell>
        </row>
        <row r="506">
          <cell r="A506">
            <v>504</v>
          </cell>
          <cell r="B506" t="str">
            <v>HOR-CROSS (H.D.G)</v>
          </cell>
          <cell r="C506" t="str">
            <v>500W×100H</v>
          </cell>
          <cell r="D506" t="str">
            <v>EA</v>
          </cell>
          <cell r="G506">
            <v>753</v>
          </cell>
          <cell r="H506">
            <v>30300</v>
          </cell>
          <cell r="Q506">
            <v>30300</v>
          </cell>
          <cell r="S506" t="str">
            <v>내선</v>
          </cell>
          <cell r="T506">
            <v>0.44500000000000001</v>
          </cell>
        </row>
        <row r="507">
          <cell r="A507">
            <v>505</v>
          </cell>
          <cell r="B507" t="str">
            <v>HOR-CROSS (H.D.G)</v>
          </cell>
          <cell r="C507" t="str">
            <v>500W×150H</v>
          </cell>
          <cell r="D507" t="str">
            <v>EA</v>
          </cell>
          <cell r="G507">
            <v>753</v>
          </cell>
          <cell r="H507">
            <v>36200</v>
          </cell>
          <cell r="Q507">
            <v>36200</v>
          </cell>
          <cell r="S507" t="str">
            <v>내선</v>
          </cell>
          <cell r="T507">
            <v>0.44500000000000001</v>
          </cell>
        </row>
        <row r="508">
          <cell r="A508">
            <v>506</v>
          </cell>
          <cell r="B508" t="str">
            <v>HOR-CROSS (H.D.G)</v>
          </cell>
          <cell r="C508" t="str">
            <v>600W×100H</v>
          </cell>
          <cell r="D508" t="str">
            <v>EA</v>
          </cell>
          <cell r="G508">
            <v>753</v>
          </cell>
          <cell r="H508">
            <v>32200</v>
          </cell>
          <cell r="Q508">
            <v>32200</v>
          </cell>
          <cell r="S508" t="str">
            <v>내선</v>
          </cell>
          <cell r="T508">
            <v>0.52</v>
          </cell>
        </row>
        <row r="509">
          <cell r="A509">
            <v>507</v>
          </cell>
          <cell r="B509" t="str">
            <v>HOR-CROSS (H.D.G)</v>
          </cell>
          <cell r="C509" t="str">
            <v>600W×150H</v>
          </cell>
          <cell r="D509" t="str">
            <v>EA</v>
          </cell>
          <cell r="G509">
            <v>753</v>
          </cell>
          <cell r="H509">
            <v>38200</v>
          </cell>
          <cell r="Q509">
            <v>38200</v>
          </cell>
          <cell r="S509" t="str">
            <v>내선</v>
          </cell>
          <cell r="T509">
            <v>0.52</v>
          </cell>
        </row>
        <row r="510">
          <cell r="A510">
            <v>508</v>
          </cell>
          <cell r="Q510" t="str"/>
        </row>
        <row r="511">
          <cell r="A511">
            <v>509</v>
          </cell>
          <cell r="B511" t="str">
            <v>REDUCER (H.D.G)</v>
          </cell>
          <cell r="C511" t="str">
            <v>600×500W×100H</v>
          </cell>
          <cell r="D511" t="str">
            <v>EA</v>
          </cell>
          <cell r="G511">
            <v>753</v>
          </cell>
          <cell r="H511">
            <v>7900</v>
          </cell>
          <cell r="Q511">
            <v>7900</v>
          </cell>
          <cell r="S511" t="str">
            <v>내선</v>
          </cell>
          <cell r="T511">
            <v>0.22500000000000001</v>
          </cell>
        </row>
        <row r="512">
          <cell r="A512">
            <v>510</v>
          </cell>
          <cell r="B512" t="str">
            <v>REDUCER (H.D.G)</v>
          </cell>
          <cell r="C512" t="str">
            <v>600×500W×150H</v>
          </cell>
          <cell r="D512" t="str">
            <v>EA</v>
          </cell>
          <cell r="G512">
            <v>753</v>
          </cell>
          <cell r="H512">
            <v>10100</v>
          </cell>
          <cell r="Q512">
            <v>10100</v>
          </cell>
          <cell r="S512" t="str">
            <v>내선</v>
          </cell>
          <cell r="T512">
            <v>0.22500000000000001</v>
          </cell>
        </row>
        <row r="513">
          <cell r="A513">
            <v>511</v>
          </cell>
          <cell r="B513" t="str">
            <v>REDUCER (H.D.G)</v>
          </cell>
          <cell r="C513" t="str">
            <v>600×400W×100H</v>
          </cell>
          <cell r="D513" t="str">
            <v>EA</v>
          </cell>
          <cell r="G513">
            <v>753</v>
          </cell>
          <cell r="H513">
            <v>7900</v>
          </cell>
          <cell r="Q513">
            <v>7900</v>
          </cell>
          <cell r="S513" t="str">
            <v>내선</v>
          </cell>
          <cell r="T513">
            <v>0.22500000000000001</v>
          </cell>
        </row>
        <row r="514">
          <cell r="A514">
            <v>512</v>
          </cell>
          <cell r="B514" t="str">
            <v>REDUCER (H.D.G)</v>
          </cell>
          <cell r="C514" t="str">
            <v>600×400W×150H</v>
          </cell>
          <cell r="D514" t="str">
            <v>EA</v>
          </cell>
          <cell r="G514">
            <v>753</v>
          </cell>
          <cell r="H514">
            <v>10100</v>
          </cell>
          <cell r="Q514">
            <v>10100</v>
          </cell>
          <cell r="S514" t="str">
            <v>내선</v>
          </cell>
          <cell r="T514">
            <v>0.22500000000000001</v>
          </cell>
        </row>
        <row r="515">
          <cell r="A515">
            <v>513</v>
          </cell>
          <cell r="B515" t="str">
            <v>REDUCER (H.D.G)</v>
          </cell>
          <cell r="C515" t="str">
            <v>600×300W×100H</v>
          </cell>
          <cell r="D515" t="str">
            <v>EA</v>
          </cell>
          <cell r="G515">
            <v>753</v>
          </cell>
          <cell r="H515">
            <v>8000</v>
          </cell>
          <cell r="Q515">
            <v>8000</v>
          </cell>
          <cell r="S515" t="str">
            <v>내선</v>
          </cell>
          <cell r="T515">
            <v>0.28499999999999998</v>
          </cell>
        </row>
        <row r="516">
          <cell r="A516">
            <v>514</v>
          </cell>
          <cell r="B516" t="str">
            <v>REDUCER (H.D.G)</v>
          </cell>
          <cell r="C516" t="str">
            <v>600×300W×150H</v>
          </cell>
          <cell r="D516" t="str">
            <v>EA</v>
          </cell>
          <cell r="G516">
            <v>753</v>
          </cell>
          <cell r="H516">
            <v>10400</v>
          </cell>
          <cell r="Q516">
            <v>10400</v>
          </cell>
          <cell r="S516" t="str">
            <v>내선</v>
          </cell>
          <cell r="T516">
            <v>0.28499999999999998</v>
          </cell>
        </row>
        <row r="517">
          <cell r="A517">
            <v>515</v>
          </cell>
          <cell r="B517" t="str">
            <v>REDUCER (H.D.G)</v>
          </cell>
          <cell r="C517" t="str">
            <v>600×200W×100H</v>
          </cell>
          <cell r="D517" t="str">
            <v>EA</v>
          </cell>
          <cell r="G517">
            <v>753</v>
          </cell>
          <cell r="H517">
            <v>8100</v>
          </cell>
          <cell r="Q517">
            <v>8100</v>
          </cell>
          <cell r="S517" t="str">
            <v>내선</v>
          </cell>
          <cell r="T517">
            <v>0.33500000000000002</v>
          </cell>
        </row>
        <row r="518">
          <cell r="A518">
            <v>516</v>
          </cell>
          <cell r="B518" t="str">
            <v>REDUCER (H.D.G)</v>
          </cell>
          <cell r="C518" t="str">
            <v>600×200W×150H</v>
          </cell>
          <cell r="D518" t="str">
            <v>EA</v>
          </cell>
          <cell r="G518">
            <v>753</v>
          </cell>
          <cell r="H518">
            <v>10600</v>
          </cell>
          <cell r="Q518">
            <v>10600</v>
          </cell>
          <cell r="S518" t="str">
            <v>내선</v>
          </cell>
          <cell r="T518">
            <v>0.33500000000000002</v>
          </cell>
        </row>
        <row r="519">
          <cell r="A519">
            <v>517</v>
          </cell>
          <cell r="B519" t="str">
            <v>REDUCER (H.D.G)</v>
          </cell>
          <cell r="C519" t="str">
            <v>600×150W×100H</v>
          </cell>
          <cell r="D519" t="str">
            <v>EA</v>
          </cell>
          <cell r="G519">
            <v>753</v>
          </cell>
          <cell r="H519">
            <v>8600</v>
          </cell>
          <cell r="Q519">
            <v>8600</v>
          </cell>
          <cell r="S519" t="str">
            <v>내선</v>
          </cell>
          <cell r="T519">
            <v>0.44500000000000001</v>
          </cell>
        </row>
        <row r="520">
          <cell r="A520">
            <v>518</v>
          </cell>
          <cell r="B520" t="str">
            <v>REDUCER (H.D.G)</v>
          </cell>
          <cell r="C520" t="str">
            <v>600×150W×150H</v>
          </cell>
          <cell r="D520" t="str">
            <v>EA</v>
          </cell>
          <cell r="G520">
            <v>753</v>
          </cell>
          <cell r="H520">
            <v>11100</v>
          </cell>
          <cell r="Q520">
            <v>11100</v>
          </cell>
          <cell r="S520" t="str">
            <v>내선</v>
          </cell>
          <cell r="T520">
            <v>0.44500000000000001</v>
          </cell>
        </row>
        <row r="521">
          <cell r="A521">
            <v>519</v>
          </cell>
          <cell r="B521" t="str">
            <v>REDUCER (H.D.G)</v>
          </cell>
          <cell r="C521" t="str">
            <v>300×150W×100H</v>
          </cell>
          <cell r="D521" t="str">
            <v>EA</v>
          </cell>
          <cell r="G521">
            <v>753</v>
          </cell>
          <cell r="H521">
            <v>6500</v>
          </cell>
          <cell r="Q521">
            <v>6500</v>
          </cell>
          <cell r="S521" t="str">
            <v>내선</v>
          </cell>
          <cell r="T521">
            <v>0.52</v>
          </cell>
        </row>
        <row r="522">
          <cell r="A522">
            <v>520</v>
          </cell>
          <cell r="B522" t="str">
            <v>REDUCER (H.D.G)</v>
          </cell>
          <cell r="C522" t="str">
            <v>300×150W×150H</v>
          </cell>
          <cell r="D522" t="str">
            <v>EA</v>
          </cell>
          <cell r="G522">
            <v>753</v>
          </cell>
          <cell r="H522">
            <v>8700</v>
          </cell>
          <cell r="Q522">
            <v>8700</v>
          </cell>
          <cell r="S522" t="str">
            <v>내선</v>
          </cell>
          <cell r="T522">
            <v>0.52</v>
          </cell>
        </row>
        <row r="523">
          <cell r="A523">
            <v>521</v>
          </cell>
          <cell r="Q523" t="str"/>
        </row>
        <row r="524">
          <cell r="A524">
            <v>522</v>
          </cell>
          <cell r="B524" t="str">
            <v>STRAIGHT-COV.(H.D.G)</v>
          </cell>
          <cell r="C524" t="str">
            <v>150W</v>
          </cell>
          <cell r="D524" t="str">
            <v>EA</v>
          </cell>
          <cell r="G524">
            <v>753</v>
          </cell>
          <cell r="H524">
            <v>4000</v>
          </cell>
          <cell r="Q524">
            <v>4000</v>
          </cell>
        </row>
        <row r="525">
          <cell r="A525">
            <v>523</v>
          </cell>
          <cell r="B525" t="str">
            <v>STRAIGHT-COV.(H.D.G)</v>
          </cell>
          <cell r="C525" t="str">
            <v>200W</v>
          </cell>
          <cell r="D525" t="str">
            <v>EA</v>
          </cell>
          <cell r="G525">
            <v>753</v>
          </cell>
          <cell r="H525">
            <v>5000</v>
          </cell>
          <cell r="Q525">
            <v>5000</v>
          </cell>
        </row>
        <row r="526">
          <cell r="A526">
            <v>524</v>
          </cell>
          <cell r="B526" t="str">
            <v>STRAIGHT-COV.(H.D.G)</v>
          </cell>
          <cell r="C526" t="str">
            <v>300W</v>
          </cell>
          <cell r="D526" t="str">
            <v>EA</v>
          </cell>
          <cell r="G526">
            <v>753</v>
          </cell>
          <cell r="H526">
            <v>7100</v>
          </cell>
          <cell r="Q526">
            <v>7100</v>
          </cell>
        </row>
        <row r="527">
          <cell r="A527">
            <v>525</v>
          </cell>
          <cell r="B527" t="str">
            <v>STRAIGHT-COV.(H.D.G)</v>
          </cell>
          <cell r="C527" t="str">
            <v>400W</v>
          </cell>
          <cell r="D527" t="str">
            <v>EA</v>
          </cell>
          <cell r="G527">
            <v>753</v>
          </cell>
          <cell r="H527">
            <v>9100</v>
          </cell>
          <cell r="Q527">
            <v>9100</v>
          </cell>
        </row>
        <row r="528">
          <cell r="A528">
            <v>526</v>
          </cell>
          <cell r="B528" t="str">
            <v>STRAIGHT-COV.(H.D.G)</v>
          </cell>
          <cell r="C528" t="str">
            <v>500W</v>
          </cell>
          <cell r="D528" t="str">
            <v>EA</v>
          </cell>
          <cell r="G528">
            <v>753</v>
          </cell>
          <cell r="H528">
            <v>11200</v>
          </cell>
          <cell r="Q528">
            <v>11200</v>
          </cell>
        </row>
        <row r="529">
          <cell r="A529">
            <v>527</v>
          </cell>
          <cell r="B529" t="str">
            <v>STRAIGHT-COV.(H.D.G)</v>
          </cell>
          <cell r="C529" t="str">
            <v>600W</v>
          </cell>
          <cell r="D529" t="str">
            <v>EA</v>
          </cell>
          <cell r="G529">
            <v>753</v>
          </cell>
          <cell r="H529">
            <v>13200</v>
          </cell>
          <cell r="Q529">
            <v>13200</v>
          </cell>
        </row>
        <row r="530">
          <cell r="A530">
            <v>528</v>
          </cell>
          <cell r="Q530" t="str"/>
        </row>
        <row r="531">
          <cell r="A531">
            <v>529</v>
          </cell>
          <cell r="B531" t="str">
            <v>JOINT CONN.</v>
          </cell>
          <cell r="C531" t="str">
            <v>100H</v>
          </cell>
          <cell r="D531" t="str">
            <v>EA</v>
          </cell>
          <cell r="G531">
            <v>753</v>
          </cell>
          <cell r="H531">
            <v>900</v>
          </cell>
          <cell r="Q531">
            <v>900</v>
          </cell>
        </row>
        <row r="532">
          <cell r="A532">
            <v>530</v>
          </cell>
          <cell r="B532" t="str">
            <v>JOINT CONN.</v>
          </cell>
          <cell r="C532" t="str">
            <v>150H</v>
          </cell>
          <cell r="D532" t="str">
            <v>EA</v>
          </cell>
          <cell r="G532">
            <v>753</v>
          </cell>
          <cell r="H532">
            <v>1050</v>
          </cell>
          <cell r="Q532">
            <v>1050</v>
          </cell>
        </row>
        <row r="533">
          <cell r="A533">
            <v>531</v>
          </cell>
          <cell r="Q533" t="str"/>
        </row>
        <row r="534">
          <cell r="A534">
            <v>532</v>
          </cell>
          <cell r="B534" t="str">
            <v>SHANK BOLT&amp;NOT</v>
          </cell>
          <cell r="C534" t="str">
            <v>3/8inch×19L</v>
          </cell>
          <cell r="D534" t="str">
            <v>set</v>
          </cell>
          <cell r="G534">
            <v>753</v>
          </cell>
          <cell r="H534">
            <v>120</v>
          </cell>
          <cell r="Q534">
            <v>120</v>
          </cell>
        </row>
        <row r="535">
          <cell r="A535">
            <v>533</v>
          </cell>
          <cell r="B535" t="str">
            <v>그라운딩 본딩 점퍼</v>
          </cell>
          <cell r="C535" t="str">
            <v>14sq</v>
          </cell>
          <cell r="D535" t="str">
            <v>EA</v>
          </cell>
          <cell r="G535">
            <v>753</v>
          </cell>
          <cell r="H535">
            <v>1300</v>
          </cell>
          <cell r="Q535">
            <v>1300</v>
          </cell>
        </row>
        <row r="536">
          <cell r="A536">
            <v>534</v>
          </cell>
          <cell r="B536" t="str">
            <v>그라운딩 본딩 점퍼</v>
          </cell>
          <cell r="C536" t="str">
            <v>38sq</v>
          </cell>
          <cell r="D536" t="str">
            <v>EA</v>
          </cell>
          <cell r="G536">
            <v>753</v>
          </cell>
          <cell r="H536">
            <v>2800</v>
          </cell>
          <cell r="Q536">
            <v>2800</v>
          </cell>
        </row>
        <row r="537">
          <cell r="A537">
            <v>535</v>
          </cell>
          <cell r="B537" t="str">
            <v>홀드다운 크램프</v>
          </cell>
          <cell r="D537" t="str">
            <v>EA</v>
          </cell>
          <cell r="G537">
            <v>753</v>
          </cell>
          <cell r="H537">
            <v>300</v>
          </cell>
          <cell r="Q537">
            <v>300</v>
          </cell>
        </row>
        <row r="538">
          <cell r="A538">
            <v>536</v>
          </cell>
          <cell r="B538" t="str">
            <v>SPRING NUT</v>
          </cell>
          <cell r="C538" t="str">
            <v>3/8inch 1/2inch</v>
          </cell>
          <cell r="D538" t="str">
            <v>EA</v>
          </cell>
          <cell r="G538">
            <v>753</v>
          </cell>
          <cell r="H538">
            <v>400</v>
          </cell>
          <cell r="Q538">
            <v>400</v>
          </cell>
        </row>
        <row r="539">
          <cell r="A539">
            <v>537</v>
          </cell>
          <cell r="Q539" t="str"/>
        </row>
        <row r="540">
          <cell r="A540">
            <v>538</v>
          </cell>
          <cell r="Q540" t="str"/>
        </row>
        <row r="541">
          <cell r="A541">
            <v>539</v>
          </cell>
          <cell r="B541" t="str">
            <v>RACE WAY BODY</v>
          </cell>
          <cell r="C541" t="str">
            <v>40×40</v>
          </cell>
          <cell r="D541" t="str">
            <v>m</v>
          </cell>
          <cell r="G541">
            <v>750</v>
          </cell>
          <cell r="H541">
            <v>1950</v>
          </cell>
          <cell r="Q541">
            <v>1950</v>
          </cell>
          <cell r="S541" t="str">
            <v>내선</v>
          </cell>
          <cell r="T541">
            <v>0.15</v>
          </cell>
        </row>
        <row r="542">
          <cell r="A542">
            <v>540</v>
          </cell>
          <cell r="B542" t="str">
            <v>RACE WAY BODY</v>
          </cell>
          <cell r="C542" t="str">
            <v>70×40</v>
          </cell>
          <cell r="D542" t="str">
            <v>m</v>
          </cell>
          <cell r="G542">
            <v>750</v>
          </cell>
          <cell r="H542">
            <v>2450</v>
          </cell>
          <cell r="Q542">
            <v>2450</v>
          </cell>
          <cell r="S542" t="str">
            <v>내선</v>
          </cell>
          <cell r="T542">
            <v>0.2</v>
          </cell>
        </row>
        <row r="543">
          <cell r="A543">
            <v>541</v>
          </cell>
          <cell r="Q543" t="str"/>
        </row>
        <row r="544">
          <cell r="A544">
            <v>542</v>
          </cell>
          <cell r="B544" t="str">
            <v>RACE WAY COVER</v>
          </cell>
          <cell r="C544" t="str">
            <v>40×40</v>
          </cell>
          <cell r="D544" t="str">
            <v>m</v>
          </cell>
          <cell r="G544">
            <v>750</v>
          </cell>
          <cell r="H544">
            <v>850</v>
          </cell>
          <cell r="Q544">
            <v>850</v>
          </cell>
        </row>
        <row r="545">
          <cell r="A545">
            <v>543</v>
          </cell>
          <cell r="B545" t="str">
            <v>RACE WAY COVER</v>
          </cell>
          <cell r="C545" t="str">
            <v>70×40</v>
          </cell>
          <cell r="D545" t="str">
            <v>m</v>
          </cell>
          <cell r="G545">
            <v>750</v>
          </cell>
          <cell r="H545">
            <v>1100</v>
          </cell>
          <cell r="Q545">
            <v>1100</v>
          </cell>
        </row>
        <row r="546">
          <cell r="A546">
            <v>544</v>
          </cell>
          <cell r="Q546" t="str"/>
        </row>
        <row r="547">
          <cell r="A547">
            <v>545</v>
          </cell>
          <cell r="B547" t="str">
            <v>RACE WAY JOIVER</v>
          </cell>
          <cell r="C547" t="str">
            <v>40×40</v>
          </cell>
          <cell r="D547" t="str">
            <v>EA</v>
          </cell>
          <cell r="G547">
            <v>750</v>
          </cell>
          <cell r="H547">
            <v>850</v>
          </cell>
          <cell r="Q547">
            <v>850</v>
          </cell>
        </row>
        <row r="548">
          <cell r="A548">
            <v>546</v>
          </cell>
          <cell r="B548" t="str">
            <v>RACE WAY JOIVER</v>
          </cell>
          <cell r="C548" t="str">
            <v>70×40</v>
          </cell>
          <cell r="D548" t="str">
            <v>EA</v>
          </cell>
          <cell r="G548">
            <v>750</v>
          </cell>
          <cell r="H548">
            <v>1300</v>
          </cell>
          <cell r="Q548">
            <v>1300</v>
          </cell>
        </row>
        <row r="549">
          <cell r="A549">
            <v>547</v>
          </cell>
          <cell r="Q549" t="str"/>
        </row>
        <row r="550">
          <cell r="A550">
            <v>548</v>
          </cell>
          <cell r="B550" t="str">
            <v>RACE WAY HANGER</v>
          </cell>
          <cell r="C550" t="str">
            <v>40×40</v>
          </cell>
          <cell r="D550" t="str">
            <v>EA</v>
          </cell>
          <cell r="G550">
            <v>750</v>
          </cell>
          <cell r="H550">
            <v>850</v>
          </cell>
          <cell r="Q550">
            <v>850</v>
          </cell>
        </row>
        <row r="551">
          <cell r="A551">
            <v>549</v>
          </cell>
          <cell r="B551" t="str">
            <v>RACE WAY HANGER</v>
          </cell>
          <cell r="C551" t="str">
            <v>70×40</v>
          </cell>
          <cell r="D551" t="str">
            <v>EA</v>
          </cell>
          <cell r="G551">
            <v>750</v>
          </cell>
          <cell r="H551">
            <v>1300</v>
          </cell>
          <cell r="Q551">
            <v>1300</v>
          </cell>
        </row>
        <row r="552">
          <cell r="A552">
            <v>550</v>
          </cell>
          <cell r="Q552" t="str"/>
        </row>
        <row r="553">
          <cell r="A553">
            <v>551</v>
          </cell>
          <cell r="B553" t="str">
            <v>RACE WAY END CAP</v>
          </cell>
          <cell r="C553" t="str">
            <v>40×40</v>
          </cell>
          <cell r="D553" t="str">
            <v>EA</v>
          </cell>
          <cell r="G553">
            <v>750</v>
          </cell>
          <cell r="H553">
            <v>650</v>
          </cell>
          <cell r="Q553">
            <v>650</v>
          </cell>
        </row>
        <row r="554">
          <cell r="A554">
            <v>552</v>
          </cell>
          <cell r="B554" t="str">
            <v>RACE WAY END CAP</v>
          </cell>
          <cell r="C554" t="str">
            <v>70×40</v>
          </cell>
          <cell r="D554" t="str">
            <v>EA</v>
          </cell>
          <cell r="G554">
            <v>750</v>
          </cell>
          <cell r="H554">
            <v>1050</v>
          </cell>
          <cell r="Q554">
            <v>1050</v>
          </cell>
        </row>
        <row r="555">
          <cell r="A555">
            <v>553</v>
          </cell>
          <cell r="Q555" t="str"/>
        </row>
        <row r="556">
          <cell r="A556">
            <v>554</v>
          </cell>
          <cell r="B556" t="str">
            <v>RACE WAY H,V/ELBOW</v>
          </cell>
          <cell r="C556" t="str">
            <v>40×40</v>
          </cell>
          <cell r="D556" t="str">
            <v>EA</v>
          </cell>
          <cell r="G556">
            <v>750</v>
          </cell>
          <cell r="H556">
            <v>1850</v>
          </cell>
          <cell r="Q556">
            <v>1850</v>
          </cell>
        </row>
        <row r="557">
          <cell r="A557">
            <v>555</v>
          </cell>
          <cell r="B557" t="str">
            <v>RACE WAY H,V/ELBOW</v>
          </cell>
          <cell r="C557" t="str">
            <v>70×40</v>
          </cell>
          <cell r="D557" t="str">
            <v>EA</v>
          </cell>
          <cell r="G557">
            <v>750</v>
          </cell>
          <cell r="H557">
            <v>2450</v>
          </cell>
          <cell r="Q557">
            <v>2450</v>
          </cell>
        </row>
        <row r="558">
          <cell r="A558">
            <v>556</v>
          </cell>
          <cell r="Q558" t="str"/>
        </row>
        <row r="559">
          <cell r="A559">
            <v>557</v>
          </cell>
          <cell r="B559" t="str">
            <v>RACE WAY BOX CONN.</v>
          </cell>
          <cell r="C559" t="str">
            <v>40×40</v>
          </cell>
          <cell r="D559" t="str">
            <v>EA</v>
          </cell>
          <cell r="G559">
            <v>750</v>
          </cell>
          <cell r="H559">
            <v>1050</v>
          </cell>
          <cell r="Q559">
            <v>1050</v>
          </cell>
        </row>
        <row r="560">
          <cell r="A560">
            <v>558</v>
          </cell>
          <cell r="Q560" t="str"/>
        </row>
        <row r="561">
          <cell r="A561">
            <v>559</v>
          </cell>
          <cell r="Q561" t="str"/>
        </row>
        <row r="562">
          <cell r="A562">
            <v>560</v>
          </cell>
          <cell r="B562" t="str">
            <v>교통신호제어기(일반)</v>
          </cell>
          <cell r="C562" t="str">
            <v>교차로연동(검사품)</v>
          </cell>
          <cell r="D562" t="str">
            <v>대</v>
          </cell>
          <cell r="G562">
            <v>834</v>
          </cell>
          <cell r="H562">
            <v>4500000</v>
          </cell>
          <cell r="Q562">
            <v>4500000</v>
          </cell>
          <cell r="S562" t="str">
            <v>프전</v>
          </cell>
          <cell r="T562">
            <v>4.5999999999999996</v>
          </cell>
          <cell r="U562" t="str">
            <v>보인</v>
          </cell>
          <cell r="V562">
            <v>1.5</v>
          </cell>
        </row>
        <row r="563">
          <cell r="A563">
            <v>561</v>
          </cell>
          <cell r="B563" t="str">
            <v>차량신호등</v>
          </cell>
          <cell r="C563" t="str">
            <v>1면 4색</v>
          </cell>
          <cell r="D563" t="str">
            <v>대</v>
          </cell>
          <cell r="G563">
            <v>834</v>
          </cell>
          <cell r="H563">
            <v>280000</v>
          </cell>
          <cell r="Q563">
            <v>280000</v>
          </cell>
          <cell r="S563" t="str">
            <v>신호</v>
          </cell>
          <cell r="T563">
            <v>2.4</v>
          </cell>
          <cell r="U563" t="str">
            <v>보인</v>
          </cell>
          <cell r="V563">
            <v>1</v>
          </cell>
        </row>
        <row r="564">
          <cell r="A564">
            <v>562</v>
          </cell>
          <cell r="B564" t="str">
            <v>차량신호등</v>
          </cell>
          <cell r="C564" t="str">
            <v>1면 3색</v>
          </cell>
          <cell r="D564" t="str">
            <v>대</v>
          </cell>
          <cell r="G564">
            <v>834</v>
          </cell>
          <cell r="H564">
            <v>240000</v>
          </cell>
          <cell r="Q564">
            <v>240000</v>
          </cell>
          <cell r="S564" t="str">
            <v>신호</v>
          </cell>
          <cell r="T564">
            <v>2.4</v>
          </cell>
          <cell r="U564" t="str">
            <v>보인</v>
          </cell>
          <cell r="V564">
            <v>1</v>
          </cell>
        </row>
        <row r="565">
          <cell r="A565">
            <v>563</v>
          </cell>
          <cell r="B565" t="str">
            <v>보행신호등</v>
          </cell>
          <cell r="C565" t="str">
            <v>1면 2색</v>
          </cell>
          <cell r="D565" t="str">
            <v>대</v>
          </cell>
          <cell r="G565">
            <v>834</v>
          </cell>
          <cell r="H565">
            <v>160000</v>
          </cell>
          <cell r="Q565">
            <v>160000</v>
          </cell>
        </row>
        <row r="566">
          <cell r="A566">
            <v>564</v>
          </cell>
          <cell r="Q566" t="str"/>
        </row>
        <row r="567">
          <cell r="A567">
            <v>565</v>
          </cell>
          <cell r="B567" t="str">
            <v>차량등철주</v>
          </cell>
          <cell r="C567" t="str">
            <v>250φ×9m(용융도금)</v>
          </cell>
          <cell r="D567" t="str">
            <v>EA</v>
          </cell>
          <cell r="G567">
            <v>834</v>
          </cell>
          <cell r="H567">
            <v>645270</v>
          </cell>
          <cell r="Q567">
            <v>645270</v>
          </cell>
          <cell r="S567" t="str">
            <v>신호</v>
          </cell>
          <cell r="T567">
            <v>1.7</v>
          </cell>
          <cell r="U567" t="str">
            <v>보인</v>
          </cell>
          <cell r="V567">
            <v>1</v>
          </cell>
        </row>
        <row r="568">
          <cell r="A568">
            <v>566</v>
          </cell>
          <cell r="B568" t="str">
            <v>차량등철주</v>
          </cell>
          <cell r="C568" t="str">
            <v>250φ×8m(용융도금)</v>
          </cell>
          <cell r="D568" t="str">
            <v>EA</v>
          </cell>
          <cell r="G568">
            <v>834</v>
          </cell>
          <cell r="H568">
            <v>620400</v>
          </cell>
          <cell r="Q568">
            <v>620400</v>
          </cell>
          <cell r="S568" t="str">
            <v>신호</v>
          </cell>
          <cell r="T568">
            <v>1.7</v>
          </cell>
          <cell r="U568" t="str">
            <v>보인</v>
          </cell>
          <cell r="V568">
            <v>1</v>
          </cell>
        </row>
        <row r="569">
          <cell r="A569">
            <v>567</v>
          </cell>
          <cell r="B569" t="str">
            <v>차량등철주</v>
          </cell>
          <cell r="C569" t="str">
            <v>200φ×8m(용융도금)</v>
          </cell>
          <cell r="D569" t="str">
            <v>EA</v>
          </cell>
          <cell r="G569">
            <v>834</v>
          </cell>
          <cell r="H569">
            <v>460800</v>
          </cell>
          <cell r="Q569">
            <v>460800</v>
          </cell>
          <cell r="S569" t="str">
            <v>신호</v>
          </cell>
          <cell r="T569">
            <v>1.7</v>
          </cell>
          <cell r="U569" t="str">
            <v>보인</v>
          </cell>
          <cell r="V569">
            <v>1</v>
          </cell>
        </row>
        <row r="570">
          <cell r="A570">
            <v>568</v>
          </cell>
          <cell r="B570" t="str">
            <v>차량등철주</v>
          </cell>
          <cell r="C570" t="str">
            <v>150φ×8m(용융도금)</v>
          </cell>
          <cell r="D570" t="str">
            <v>EA</v>
          </cell>
          <cell r="G570">
            <v>834</v>
          </cell>
          <cell r="H570">
            <v>277200</v>
          </cell>
          <cell r="Q570">
            <v>277200</v>
          </cell>
          <cell r="S570" t="str">
            <v>신호</v>
          </cell>
          <cell r="T570">
            <v>1.7</v>
          </cell>
          <cell r="U570" t="str">
            <v>보인</v>
          </cell>
          <cell r="V570">
            <v>1</v>
          </cell>
        </row>
        <row r="571">
          <cell r="A571">
            <v>569</v>
          </cell>
          <cell r="B571" t="str">
            <v>보행등철주</v>
          </cell>
          <cell r="C571" t="str">
            <v>125φ×4m(용융도금)</v>
          </cell>
          <cell r="D571" t="str">
            <v>EA</v>
          </cell>
          <cell r="G571">
            <v>834</v>
          </cell>
          <cell r="H571">
            <v>110400</v>
          </cell>
          <cell r="Q571">
            <v>110400</v>
          </cell>
          <cell r="S571" t="str">
            <v>신호</v>
          </cell>
          <cell r="T571">
            <v>1.3</v>
          </cell>
          <cell r="U571" t="str">
            <v>보인</v>
          </cell>
          <cell r="V571">
            <v>1</v>
          </cell>
        </row>
        <row r="572">
          <cell r="A572">
            <v>570</v>
          </cell>
          <cell r="Q572" t="str"/>
        </row>
        <row r="573">
          <cell r="A573">
            <v>571</v>
          </cell>
          <cell r="B573" t="str">
            <v>부착대</v>
          </cell>
          <cell r="C573" t="str">
            <v>9m 용융도금</v>
          </cell>
          <cell r="D573" t="str">
            <v>EA</v>
          </cell>
          <cell r="G573">
            <v>834</v>
          </cell>
          <cell r="H573">
            <v>146400</v>
          </cell>
          <cell r="Q573">
            <v>146400</v>
          </cell>
          <cell r="S573" t="str">
            <v>신호</v>
          </cell>
          <cell r="T573">
            <v>1.7</v>
          </cell>
          <cell r="U573" t="str">
            <v>보인</v>
          </cell>
          <cell r="V573">
            <v>1</v>
          </cell>
        </row>
        <row r="574">
          <cell r="A574">
            <v>572</v>
          </cell>
          <cell r="B574" t="str">
            <v>부착대</v>
          </cell>
          <cell r="C574" t="str">
            <v>8m 용융도금</v>
          </cell>
          <cell r="D574" t="str">
            <v>EA</v>
          </cell>
          <cell r="G574">
            <v>834</v>
          </cell>
          <cell r="H574">
            <v>136800</v>
          </cell>
          <cell r="Q574">
            <v>136800</v>
          </cell>
          <cell r="S574" t="str">
            <v>신호</v>
          </cell>
          <cell r="T574">
            <v>1.7</v>
          </cell>
          <cell r="U574" t="str">
            <v>보인</v>
          </cell>
          <cell r="V574">
            <v>1</v>
          </cell>
        </row>
        <row r="575">
          <cell r="A575">
            <v>573</v>
          </cell>
          <cell r="B575" t="str">
            <v>부착대</v>
          </cell>
          <cell r="C575" t="str">
            <v>7m 용융도금</v>
          </cell>
          <cell r="D575" t="str">
            <v>EA</v>
          </cell>
          <cell r="G575">
            <v>834</v>
          </cell>
          <cell r="H575">
            <v>124800</v>
          </cell>
          <cell r="Q575">
            <v>124800</v>
          </cell>
          <cell r="S575" t="str">
            <v>신호</v>
          </cell>
          <cell r="T575">
            <v>1.3</v>
          </cell>
          <cell r="U575" t="str">
            <v>보인</v>
          </cell>
          <cell r="V575">
            <v>1</v>
          </cell>
        </row>
        <row r="576">
          <cell r="A576">
            <v>574</v>
          </cell>
          <cell r="Q576" t="str"/>
        </row>
        <row r="577">
          <cell r="A577">
            <v>575</v>
          </cell>
          <cell r="Q577" t="str"/>
        </row>
        <row r="578">
          <cell r="A578">
            <v>576</v>
          </cell>
          <cell r="B578" t="str">
            <v>제어기보호막</v>
          </cell>
          <cell r="C578" t="str">
            <v>F.R.P</v>
          </cell>
          <cell r="D578" t="str">
            <v>EA</v>
          </cell>
          <cell r="G578">
            <v>834</v>
          </cell>
          <cell r="H578">
            <v>150000</v>
          </cell>
          <cell r="Q578">
            <v>150000</v>
          </cell>
        </row>
        <row r="579">
          <cell r="A579">
            <v>577</v>
          </cell>
          <cell r="Q579" t="str"/>
        </row>
        <row r="580">
          <cell r="A580">
            <v>578</v>
          </cell>
          <cell r="B580" t="str">
            <v>기초앙카</v>
          </cell>
          <cell r="C580" t="str">
            <v>φ125 식</v>
          </cell>
          <cell r="D580" t="str">
            <v>EA</v>
          </cell>
          <cell r="G580" t="str">
            <v>834 (95/01)</v>
          </cell>
          <cell r="H580">
            <v>12000</v>
          </cell>
        </row>
        <row r="581">
          <cell r="A581">
            <v>579</v>
          </cell>
          <cell r="B581" t="str">
            <v>기초앙카</v>
          </cell>
          <cell r="C581" t="str">
            <v>φ150×1.2m가공품</v>
          </cell>
          <cell r="D581" t="str">
            <v>EA</v>
          </cell>
          <cell r="G581">
            <v>834</v>
          </cell>
          <cell r="H581">
            <v>79200</v>
          </cell>
          <cell r="Q581">
            <v>79200</v>
          </cell>
          <cell r="S581" t="str">
            <v>용접</v>
          </cell>
          <cell r="T581">
            <v>0.8</v>
          </cell>
          <cell r="U581" t="str">
            <v>특인</v>
          </cell>
          <cell r="V581">
            <v>0.8</v>
          </cell>
        </row>
        <row r="582">
          <cell r="A582">
            <v>580</v>
          </cell>
          <cell r="B582" t="str">
            <v>기초앙카</v>
          </cell>
          <cell r="C582" t="str">
            <v>φ200×1.5m가공품</v>
          </cell>
          <cell r="D582" t="str">
            <v>EA</v>
          </cell>
          <cell r="G582">
            <v>834</v>
          </cell>
          <cell r="H582">
            <v>158400</v>
          </cell>
          <cell r="Q582">
            <v>158400</v>
          </cell>
          <cell r="S582" t="str">
            <v>용접</v>
          </cell>
          <cell r="T582">
            <v>1.5</v>
          </cell>
          <cell r="U582" t="str">
            <v>특인</v>
          </cell>
          <cell r="V582">
            <v>1.5</v>
          </cell>
        </row>
        <row r="583">
          <cell r="A583">
            <v>581</v>
          </cell>
          <cell r="B583" t="str">
            <v>기초앙카</v>
          </cell>
          <cell r="C583" t="str">
            <v>φ250×1.8m가공품</v>
          </cell>
          <cell r="D583" t="str">
            <v>EA</v>
          </cell>
          <cell r="G583">
            <v>834</v>
          </cell>
          <cell r="H583">
            <v>186000</v>
          </cell>
          <cell r="Q583">
            <v>186000</v>
          </cell>
          <cell r="S583" t="str">
            <v>용접</v>
          </cell>
          <cell r="T583">
            <v>1.5</v>
          </cell>
          <cell r="U583" t="str">
            <v>특인</v>
          </cell>
          <cell r="V583">
            <v>1.5</v>
          </cell>
        </row>
        <row r="584">
          <cell r="A584">
            <v>582</v>
          </cell>
          <cell r="Q584" t="str"/>
        </row>
        <row r="585">
          <cell r="A585">
            <v>583</v>
          </cell>
          <cell r="B585" t="str">
            <v>보호금구</v>
          </cell>
          <cell r="C585" t="str">
            <v>φ35×1.1m (가공품)</v>
          </cell>
          <cell r="D585" t="str">
            <v>조</v>
          </cell>
          <cell r="G585">
            <v>834</v>
          </cell>
          <cell r="H585">
            <v>20000</v>
          </cell>
          <cell r="Q585">
            <v>20000</v>
          </cell>
        </row>
        <row r="586">
          <cell r="A586">
            <v>584</v>
          </cell>
          <cell r="B586" t="str">
            <v>맨홀 (뚜껑포함)</v>
          </cell>
          <cell r="C586" t="str">
            <v>600×600×600  F.R.P</v>
          </cell>
          <cell r="D586" t="str">
            <v>EA</v>
          </cell>
          <cell r="G586">
            <v>834</v>
          </cell>
          <cell r="H586">
            <v>65000</v>
          </cell>
          <cell r="Q586">
            <v>65000</v>
          </cell>
          <cell r="S586" t="str">
            <v>미장</v>
          </cell>
          <cell r="T586">
            <v>0.6</v>
          </cell>
          <cell r="U586" t="str">
            <v>보인</v>
          </cell>
          <cell r="V586">
            <v>0.3</v>
          </cell>
        </row>
        <row r="587">
          <cell r="A587">
            <v>585</v>
          </cell>
          <cell r="Q587" t="str"/>
        </row>
        <row r="588">
          <cell r="A588">
            <v>586</v>
          </cell>
          <cell r="B588" t="str">
            <v>사다리조립비</v>
          </cell>
          <cell r="C588" t="str">
            <v>7m 이상</v>
          </cell>
          <cell r="D588" t="str">
            <v>조</v>
          </cell>
          <cell r="Q588">
            <v>0</v>
          </cell>
          <cell r="S588" t="str">
            <v>신호</v>
          </cell>
          <cell r="T588">
            <v>0.4</v>
          </cell>
          <cell r="U588" t="str">
            <v>보인</v>
          </cell>
          <cell r="V588">
            <v>0.56000000000000005</v>
          </cell>
        </row>
        <row r="589">
          <cell r="A589">
            <v>587</v>
          </cell>
          <cell r="B589" t="str">
            <v>사다리조립비</v>
          </cell>
          <cell r="C589" t="str">
            <v>7m 이하</v>
          </cell>
          <cell r="D589" t="str">
            <v>조</v>
          </cell>
          <cell r="Q589">
            <v>0</v>
          </cell>
          <cell r="S589" t="str">
            <v>신호</v>
          </cell>
          <cell r="T589">
            <v>0.3</v>
          </cell>
          <cell r="U589" t="str">
            <v>보인</v>
          </cell>
          <cell r="V589">
            <v>0.44</v>
          </cell>
        </row>
        <row r="590">
          <cell r="A590">
            <v>588</v>
          </cell>
          <cell r="Q590" t="str"/>
        </row>
        <row r="591">
          <cell r="A591">
            <v>589</v>
          </cell>
          <cell r="B591" t="str">
            <v>전원선</v>
          </cell>
          <cell r="C591" t="str">
            <v>EV 5.5sq/2C</v>
          </cell>
          <cell r="D591" t="str">
            <v>m</v>
          </cell>
          <cell r="G591" t="str">
            <v>818(95/03)</v>
          </cell>
          <cell r="H591">
            <v>600</v>
          </cell>
          <cell r="Q591">
            <v>600</v>
          </cell>
          <cell r="R591">
            <v>0.05</v>
          </cell>
          <cell r="S591" t="str">
            <v>저케</v>
          </cell>
          <cell r="T591">
            <v>1.7999999999999999E-2</v>
          </cell>
        </row>
        <row r="592">
          <cell r="A592">
            <v>590</v>
          </cell>
          <cell r="Q592" t="str"/>
        </row>
        <row r="593">
          <cell r="A593">
            <v>591</v>
          </cell>
          <cell r="B593" t="str">
            <v>신호케이블</v>
          </cell>
          <cell r="C593" t="str">
            <v>CVS 2.0sq/5C</v>
          </cell>
          <cell r="D593" t="str">
            <v>m</v>
          </cell>
          <cell r="G593" t="str">
            <v>818(95/03)</v>
          </cell>
          <cell r="H593">
            <v>900</v>
          </cell>
          <cell r="Q593">
            <v>900</v>
          </cell>
          <cell r="R593">
            <v>0.05</v>
          </cell>
          <cell r="S593" t="str">
            <v>신호</v>
          </cell>
          <cell r="T593">
            <v>3.2000000000000001E-2</v>
          </cell>
        </row>
        <row r="594">
          <cell r="A594">
            <v>592</v>
          </cell>
          <cell r="Q594" t="str"/>
        </row>
        <row r="595">
          <cell r="A595">
            <v>593</v>
          </cell>
          <cell r="Q595" t="str"/>
        </row>
        <row r="596">
          <cell r="A596">
            <v>594</v>
          </cell>
          <cell r="Q596" t="str"/>
        </row>
        <row r="597">
          <cell r="A597">
            <v>595</v>
          </cell>
          <cell r="Q597" t="str"/>
        </row>
        <row r="598">
          <cell r="A598">
            <v>596</v>
          </cell>
          <cell r="Q598" t="str"/>
        </row>
        <row r="599">
          <cell r="A599">
            <v>597</v>
          </cell>
          <cell r="Q599" t="str"/>
        </row>
        <row r="600">
          <cell r="A600">
            <v>598</v>
          </cell>
          <cell r="Q600" t="str"/>
        </row>
        <row r="601">
          <cell r="A601">
            <v>599</v>
          </cell>
          <cell r="Q601" t="str"/>
        </row>
        <row r="602">
          <cell r="A602">
            <v>600</v>
          </cell>
          <cell r="Q602" t="str"/>
        </row>
        <row r="603">
          <cell r="A603">
            <v>601</v>
          </cell>
          <cell r="C603" t="str">
            <v>내선전공</v>
          </cell>
          <cell r="D603" t="str">
            <v>인</v>
          </cell>
          <cell r="F603">
            <v>43600</v>
          </cell>
          <cell r="Q603">
            <v>43600</v>
          </cell>
        </row>
        <row r="604">
          <cell r="A604">
            <v>602</v>
          </cell>
          <cell r="C604" t="str">
            <v>저압케이블공</v>
          </cell>
          <cell r="D604" t="str">
            <v>인</v>
          </cell>
          <cell r="F604">
            <v>52900</v>
          </cell>
          <cell r="Q604">
            <v>52900</v>
          </cell>
        </row>
        <row r="605">
          <cell r="A605">
            <v>603</v>
          </cell>
          <cell r="C605" t="str">
            <v>배전전공</v>
          </cell>
          <cell r="D605" t="str">
            <v>인</v>
          </cell>
          <cell r="F605">
            <v>94200</v>
          </cell>
          <cell r="Q605">
            <v>94200</v>
          </cell>
        </row>
        <row r="606">
          <cell r="A606">
            <v>604</v>
          </cell>
          <cell r="C606" t="str">
            <v>프랜트전공</v>
          </cell>
          <cell r="D606" t="str">
            <v>인</v>
          </cell>
          <cell r="F606">
            <v>48400</v>
          </cell>
          <cell r="Q606">
            <v>48400</v>
          </cell>
        </row>
        <row r="607">
          <cell r="A607">
            <v>605</v>
          </cell>
          <cell r="C607" t="str">
            <v>보통인부</v>
          </cell>
          <cell r="D607" t="str">
            <v>인</v>
          </cell>
          <cell r="F607">
            <v>27200</v>
          </cell>
          <cell r="Q607">
            <v>27200</v>
          </cell>
        </row>
        <row r="608">
          <cell r="A608">
            <v>606</v>
          </cell>
          <cell r="C608" t="str">
            <v>고압케이블공</v>
          </cell>
          <cell r="D608" t="str">
            <v>인</v>
          </cell>
          <cell r="F608">
            <v>53700</v>
          </cell>
          <cell r="Q608">
            <v>53700</v>
          </cell>
        </row>
        <row r="609">
          <cell r="A609">
            <v>607</v>
          </cell>
          <cell r="C609" t="str">
            <v>특고압케이블공</v>
          </cell>
          <cell r="D609" t="str">
            <v>인</v>
          </cell>
          <cell r="F609">
            <v>79800</v>
          </cell>
          <cell r="Q609">
            <v>79800</v>
          </cell>
        </row>
        <row r="610">
          <cell r="A610">
            <v>608</v>
          </cell>
          <cell r="C610" t="str">
            <v>통신설비공</v>
          </cell>
          <cell r="D610" t="str">
            <v>인</v>
          </cell>
          <cell r="F610">
            <v>52700</v>
          </cell>
          <cell r="Q610">
            <v>52700</v>
          </cell>
        </row>
        <row r="611">
          <cell r="A611">
            <v>609</v>
          </cell>
          <cell r="C611" t="str">
            <v>통신내선공</v>
          </cell>
          <cell r="D611" t="str">
            <v>인</v>
          </cell>
          <cell r="F611">
            <v>45500</v>
          </cell>
          <cell r="Q611">
            <v>45500</v>
          </cell>
        </row>
        <row r="612">
          <cell r="A612">
            <v>610</v>
          </cell>
          <cell r="C612" t="str">
            <v>통신케이블공</v>
          </cell>
          <cell r="D612" t="str">
            <v>인</v>
          </cell>
          <cell r="F612">
            <v>58100</v>
          </cell>
          <cell r="Q612">
            <v>58100</v>
          </cell>
        </row>
        <row r="613">
          <cell r="A613">
            <v>611</v>
          </cell>
          <cell r="C613" t="str">
            <v>신호공</v>
          </cell>
          <cell r="D613" t="str">
            <v>인</v>
          </cell>
          <cell r="F613">
            <v>62300</v>
          </cell>
          <cell r="Q613">
            <v>62300</v>
          </cell>
        </row>
        <row r="614">
          <cell r="A614">
            <v>612</v>
          </cell>
          <cell r="C614" t="str">
            <v>특별인부</v>
          </cell>
          <cell r="D614" t="str">
            <v>인</v>
          </cell>
          <cell r="F614">
            <v>38500</v>
          </cell>
          <cell r="Q614">
            <v>38500</v>
          </cell>
        </row>
        <row r="615">
          <cell r="A615">
            <v>613</v>
          </cell>
          <cell r="C615" t="str">
            <v>계장공</v>
          </cell>
          <cell r="D615" t="str">
            <v>인</v>
          </cell>
          <cell r="F615">
            <v>42500</v>
          </cell>
          <cell r="Q615">
            <v>42500</v>
          </cell>
        </row>
        <row r="616">
          <cell r="A616">
            <v>614</v>
          </cell>
          <cell r="C616" t="str">
            <v>미장공</v>
          </cell>
          <cell r="D616" t="str">
            <v>인</v>
          </cell>
          <cell r="F616">
            <v>52800</v>
          </cell>
          <cell r="Q616">
            <v>52800</v>
          </cell>
        </row>
        <row r="617">
          <cell r="A617">
            <v>615</v>
          </cell>
          <cell r="C617" t="str">
            <v>용접공(일반)</v>
          </cell>
          <cell r="D617" t="str">
            <v>인</v>
          </cell>
          <cell r="F617">
            <v>48800</v>
          </cell>
          <cell r="Q617">
            <v>48800</v>
          </cell>
        </row>
        <row r="618">
          <cell r="A618">
            <v>616</v>
          </cell>
          <cell r="C618" t="str">
            <v>도장공</v>
          </cell>
          <cell r="D618" t="str">
            <v>인</v>
          </cell>
          <cell r="F618">
            <v>47200</v>
          </cell>
          <cell r="Q618">
            <v>47200</v>
          </cell>
        </row>
        <row r="619">
          <cell r="A619">
            <v>617</v>
          </cell>
          <cell r="C619" t="str">
            <v>배관공</v>
          </cell>
          <cell r="D619" t="str">
            <v>인</v>
          </cell>
          <cell r="F619">
            <v>42000</v>
          </cell>
          <cell r="Q619">
            <v>42000</v>
          </cell>
        </row>
        <row r="620">
          <cell r="A620">
            <v>618</v>
          </cell>
          <cell r="C620" t="str">
            <v>콘크리트공</v>
          </cell>
          <cell r="D620" t="str">
            <v>인</v>
          </cell>
          <cell r="F620">
            <v>47600</v>
          </cell>
          <cell r="Q620">
            <v>47600</v>
          </cell>
        </row>
        <row r="621">
          <cell r="A621">
            <v>619</v>
          </cell>
          <cell r="C621" t="str">
            <v>형틀목공</v>
          </cell>
          <cell r="D621" t="str">
            <v>인</v>
          </cell>
          <cell r="F621">
            <v>52900</v>
          </cell>
          <cell r="Q621">
            <v>52900</v>
          </cell>
        </row>
        <row r="622">
          <cell r="A622">
            <v>620</v>
          </cell>
          <cell r="C622" t="str">
            <v>철근공</v>
          </cell>
          <cell r="D622" t="str">
            <v>인</v>
          </cell>
          <cell r="F622">
            <v>50500</v>
          </cell>
          <cell r="Q622">
            <v>50500</v>
          </cell>
        </row>
        <row r="623">
          <cell r="A623">
            <v>621</v>
          </cell>
          <cell r="C623" t="str">
            <v>철판공</v>
          </cell>
          <cell r="D623" t="str">
            <v>인</v>
          </cell>
          <cell r="F623">
            <v>43700</v>
          </cell>
          <cell r="Q623">
            <v>43700</v>
          </cell>
        </row>
        <row r="624">
          <cell r="A624">
            <v>622</v>
          </cell>
          <cell r="C624" t="str">
            <v>방수공</v>
          </cell>
          <cell r="D624" t="str">
            <v>인</v>
          </cell>
          <cell r="F624">
            <v>45100</v>
          </cell>
          <cell r="Q624">
            <v>45100</v>
          </cell>
        </row>
        <row r="625">
          <cell r="A625">
            <v>623</v>
          </cell>
          <cell r="B625" t="str">
            <v>STRAIGHT TRAY(H.D.G)</v>
          </cell>
          <cell r="C625" t="str">
            <v>450W×100H</v>
          </cell>
          <cell r="D625" t="str">
            <v>m</v>
          </cell>
          <cell r="K625" t="str">
            <v>(주)동명 ENG.</v>
          </cell>
          <cell r="L625">
            <v>10500</v>
          </cell>
          <cell r="Q625">
            <v>10500</v>
          </cell>
          <cell r="S625" t="str">
            <v>내선</v>
          </cell>
          <cell r="T625">
            <v>0.44500000000000001</v>
          </cell>
        </row>
        <row r="626">
          <cell r="A626">
            <v>624</v>
          </cell>
          <cell r="B626" t="str">
            <v>STRAIGHT TRAY(H.D.G)</v>
          </cell>
          <cell r="C626" t="str">
            <v>450W×150H</v>
          </cell>
          <cell r="D626" t="str">
            <v>m</v>
          </cell>
          <cell r="K626" t="str">
            <v>(주)동명 ENG.</v>
          </cell>
          <cell r="L626">
            <v>13500</v>
          </cell>
          <cell r="Q626">
            <v>13500</v>
          </cell>
          <cell r="S626" t="str">
            <v>내선</v>
          </cell>
          <cell r="T626">
            <v>0.44500000000000001</v>
          </cell>
        </row>
        <row r="627">
          <cell r="A627">
            <v>625</v>
          </cell>
          <cell r="B627" t="str">
            <v>HDR-TEE (H.D.G)</v>
          </cell>
          <cell r="C627" t="str">
            <v>450W×100H</v>
          </cell>
          <cell r="D627" t="str">
            <v>m</v>
          </cell>
          <cell r="K627" t="str">
            <v>(주)동명 ENG.</v>
          </cell>
          <cell r="L627">
            <v>24000</v>
          </cell>
          <cell r="Q627">
            <v>24000</v>
          </cell>
          <cell r="S627" t="str">
            <v>내선</v>
          </cell>
          <cell r="T627">
            <v>0.44500000000000001</v>
          </cell>
        </row>
        <row r="628">
          <cell r="A628">
            <v>626</v>
          </cell>
          <cell r="B628" t="str">
            <v>전선관부속품</v>
          </cell>
          <cell r="C628" t="str">
            <v>배관자재비의 15%</v>
          </cell>
          <cell r="D628" t="str">
            <v>식</v>
          </cell>
          <cell r="Q628">
            <v>0</v>
          </cell>
        </row>
        <row r="629">
          <cell r="A629">
            <v>627</v>
          </cell>
          <cell r="B629" t="str">
            <v>잡자재및소모품비</v>
          </cell>
          <cell r="C629" t="str">
            <v>배관배선자재비의 2%</v>
          </cell>
          <cell r="D629" t="str">
            <v>식</v>
          </cell>
          <cell r="Q629">
            <v>0</v>
          </cell>
        </row>
        <row r="630">
          <cell r="A630">
            <v>628</v>
          </cell>
          <cell r="B630" t="str">
            <v>U-CHANEL</v>
          </cell>
          <cell r="C630" t="str">
            <v>41×41×2.6 t</v>
          </cell>
          <cell r="D630" t="str">
            <v>m</v>
          </cell>
          <cell r="K630" t="str">
            <v>(주)동명 ENG.</v>
          </cell>
          <cell r="L630">
            <v>3300</v>
          </cell>
          <cell r="Q630">
            <v>3300</v>
          </cell>
        </row>
        <row r="631">
          <cell r="A631">
            <v>629</v>
          </cell>
          <cell r="B631" t="str">
            <v>가로등주(도금후도장)</v>
          </cell>
          <cell r="C631" t="str">
            <v>8각테퍼8.5m폴1.5m1등용</v>
          </cell>
          <cell r="D631" t="str">
            <v>본</v>
          </cell>
          <cell r="K631" t="str">
            <v>조일조명</v>
          </cell>
          <cell r="L631">
            <v>195000</v>
          </cell>
          <cell r="Q631">
            <v>195000</v>
          </cell>
          <cell r="S631" t="str">
            <v>내선</v>
          </cell>
          <cell r="T631">
            <v>3.13</v>
          </cell>
        </row>
        <row r="632">
          <cell r="A632">
            <v>630</v>
          </cell>
          <cell r="B632" t="str">
            <v>저압케이블</v>
          </cell>
          <cell r="C632" t="str">
            <v>600V CV5.5sq/3C</v>
          </cell>
          <cell r="D632" t="str">
            <v>m</v>
          </cell>
          <cell r="G632">
            <v>718</v>
          </cell>
          <cell r="H632">
            <v>952</v>
          </cell>
          <cell r="Q632">
            <v>952</v>
          </cell>
          <cell r="R632">
            <v>0.05</v>
          </cell>
          <cell r="S632" t="str">
            <v>저케</v>
          </cell>
          <cell r="T632">
            <v>2.5999999999999999E-2</v>
          </cell>
        </row>
        <row r="633">
          <cell r="A633">
            <v>631</v>
          </cell>
          <cell r="B633" t="str">
            <v>저압케이블</v>
          </cell>
          <cell r="C633" t="str">
            <v>600V CV14sq/4C</v>
          </cell>
          <cell r="D633" t="str">
            <v>m</v>
          </cell>
          <cell r="G633">
            <v>718</v>
          </cell>
          <cell r="H633">
            <v>2174</v>
          </cell>
          <cell r="Q633">
            <v>2174</v>
          </cell>
          <cell r="R633">
            <v>0.05</v>
          </cell>
          <cell r="S633" t="str">
            <v>저케</v>
          </cell>
          <cell r="T633">
            <v>5.2000000000000005E-2</v>
          </cell>
        </row>
        <row r="634">
          <cell r="A634">
            <v>632</v>
          </cell>
          <cell r="B634" t="str">
            <v>저압케이블</v>
          </cell>
          <cell r="C634" t="str">
            <v>600V CV5.5sq/4C</v>
          </cell>
          <cell r="D634" t="str">
            <v>m</v>
          </cell>
          <cell r="G634">
            <v>718</v>
          </cell>
          <cell r="H634">
            <v>1175</v>
          </cell>
          <cell r="Q634">
            <v>1175</v>
          </cell>
          <cell r="R634">
            <v>0.05</v>
          </cell>
          <cell r="S634" t="str">
            <v>저케</v>
          </cell>
          <cell r="T634">
            <v>3.4000000000000002E-2</v>
          </cell>
        </row>
        <row r="635">
          <cell r="A635">
            <v>633</v>
          </cell>
          <cell r="B635" t="str">
            <v>저압케이블</v>
          </cell>
          <cell r="C635" t="str">
            <v>600V CV22sq/4C</v>
          </cell>
          <cell r="D635" t="str">
            <v>m</v>
          </cell>
          <cell r="G635">
            <v>718</v>
          </cell>
          <cell r="H635">
            <v>3711</v>
          </cell>
          <cell r="Q635">
            <v>3711</v>
          </cell>
          <cell r="R635">
            <v>0.05</v>
          </cell>
          <cell r="S635" t="str">
            <v>저케</v>
          </cell>
          <cell r="T635">
            <v>6.7599999999999993E-2</v>
          </cell>
        </row>
        <row r="636">
          <cell r="A636">
            <v>634</v>
          </cell>
          <cell r="B636" t="str">
            <v>저압케이블</v>
          </cell>
          <cell r="C636" t="str">
            <v>600V CV38sq/2C</v>
          </cell>
          <cell r="D636" t="str">
            <v>m</v>
          </cell>
          <cell r="G636">
            <v>718</v>
          </cell>
          <cell r="H636">
            <v>3327</v>
          </cell>
          <cell r="Q636">
            <v>3327</v>
          </cell>
          <cell r="R636">
            <v>0.05</v>
          </cell>
          <cell r="S636" t="str">
            <v>저케</v>
          </cell>
          <cell r="T636">
            <v>5.0399999999999993E-2</v>
          </cell>
        </row>
        <row r="637">
          <cell r="A637">
            <v>635</v>
          </cell>
          <cell r="B637" t="str">
            <v>가로등제어반</v>
          </cell>
          <cell r="C637" t="str">
            <v>상시/격등</v>
          </cell>
          <cell r="D637" t="str">
            <v>대</v>
          </cell>
          <cell r="G637">
            <v>821</v>
          </cell>
          <cell r="H637">
            <v>1366200</v>
          </cell>
          <cell r="Q637">
            <v>1366200</v>
          </cell>
          <cell r="S637" t="str">
            <v>프전</v>
          </cell>
          <cell r="T637">
            <v>4.5999999999999996</v>
          </cell>
          <cell r="U637" t="str">
            <v>보인</v>
          </cell>
          <cell r="V637">
            <v>1.5</v>
          </cell>
        </row>
        <row r="638">
          <cell r="A638">
            <v>636</v>
          </cell>
          <cell r="B638" t="str">
            <v>강교용 L-PANEL</v>
          </cell>
          <cell r="C638" t="str">
            <v>계량기 부착형</v>
          </cell>
          <cell r="D638" t="str">
            <v>면</v>
          </cell>
          <cell r="K638" t="str">
            <v>삼화진흥</v>
          </cell>
          <cell r="L638">
            <v>829900</v>
          </cell>
          <cell r="Q638">
            <v>829900</v>
          </cell>
          <cell r="S638" t="str">
            <v>프전</v>
          </cell>
          <cell r="T638">
            <v>4.5999999999999996</v>
          </cell>
          <cell r="U638" t="str">
            <v>보인</v>
          </cell>
          <cell r="V638">
            <v>1.5</v>
          </cell>
        </row>
        <row r="639">
          <cell r="A639">
            <v>637</v>
          </cell>
          <cell r="B639" t="str">
            <v>강교용 LOP-PANEL</v>
          </cell>
          <cell r="C639" t="str">
            <v>250×350×150</v>
          </cell>
          <cell r="D639" t="str">
            <v>면</v>
          </cell>
          <cell r="K639" t="str">
            <v>삼화진흥</v>
          </cell>
          <cell r="L639">
            <v>124800</v>
          </cell>
          <cell r="Q639">
            <v>124800</v>
          </cell>
          <cell r="S639" t="str">
            <v>내선</v>
          </cell>
          <cell r="T639">
            <v>0.48099999999999998</v>
          </cell>
        </row>
        <row r="640">
          <cell r="A640">
            <v>638</v>
          </cell>
          <cell r="Q640" t="str"/>
        </row>
        <row r="641">
          <cell r="A641">
            <v>639</v>
          </cell>
          <cell r="B641" t="str">
            <v>저압케이블</v>
          </cell>
          <cell r="C641" t="str">
            <v>600V EV38sq/2C</v>
          </cell>
          <cell r="D641" t="str">
            <v>m</v>
          </cell>
          <cell r="G641">
            <v>727</v>
          </cell>
          <cell r="H641">
            <v>2675</v>
          </cell>
          <cell r="Q641">
            <v>2675</v>
          </cell>
          <cell r="R641">
            <v>0.05</v>
          </cell>
          <cell r="S641" t="str">
            <v>저케</v>
          </cell>
          <cell r="T641">
            <v>5.0399999999999993E-2</v>
          </cell>
        </row>
        <row r="642">
          <cell r="A642">
            <v>640</v>
          </cell>
          <cell r="B642" t="str">
            <v>저압케이블</v>
          </cell>
          <cell r="C642" t="str">
            <v>600V EV60sq/2C</v>
          </cell>
          <cell r="D642" t="str">
            <v>m</v>
          </cell>
          <cell r="G642">
            <v>727</v>
          </cell>
          <cell r="H642">
            <v>4364</v>
          </cell>
          <cell r="Q642">
            <v>4364</v>
          </cell>
          <cell r="R642">
            <v>0.05</v>
          </cell>
          <cell r="S642" t="str">
            <v>저케</v>
          </cell>
          <cell r="T642">
            <v>6.8599999999999994E-2</v>
          </cell>
        </row>
        <row r="643">
          <cell r="A643">
            <v>641</v>
          </cell>
          <cell r="B643" t="str">
            <v>관로굴착</v>
          </cell>
          <cell r="C643" t="str">
            <v>0.6M</v>
          </cell>
          <cell r="D643" t="str">
            <v>m</v>
          </cell>
          <cell r="Q643">
            <v>0</v>
          </cell>
        </row>
        <row r="644">
          <cell r="A644">
            <v>642</v>
          </cell>
          <cell r="B644" t="str">
            <v>관로굴착</v>
          </cell>
          <cell r="C644" t="str">
            <v>1.2M</v>
          </cell>
          <cell r="D644" t="str">
            <v>m</v>
          </cell>
          <cell r="Q644">
            <v>0</v>
          </cell>
        </row>
        <row r="645">
          <cell r="A645">
            <v>643</v>
          </cell>
          <cell r="B645" t="str">
            <v>DATA WAY</v>
          </cell>
          <cell r="D645" t="str">
            <v>m</v>
          </cell>
          <cell r="Q645">
            <v>0</v>
          </cell>
          <cell r="R645">
            <v>0.05</v>
          </cell>
        </row>
        <row r="646">
          <cell r="A646">
            <v>644</v>
          </cell>
          <cell r="Q646" t="str"/>
        </row>
        <row r="647">
          <cell r="A647">
            <v>645</v>
          </cell>
          <cell r="Q647" t="str"/>
        </row>
        <row r="648">
          <cell r="A648">
            <v>646</v>
          </cell>
          <cell r="B648" t="str">
            <v>AUDIO CABLE</v>
          </cell>
          <cell r="C648" t="str">
            <v>MW-3100</v>
          </cell>
          <cell r="D648" t="str">
            <v>m</v>
          </cell>
          <cell r="K648" t="str">
            <v>(주)경일기업</v>
          </cell>
          <cell r="L648">
            <v>550</v>
          </cell>
          <cell r="Q648">
            <v>550</v>
          </cell>
          <cell r="R648">
            <v>0.05</v>
          </cell>
          <cell r="S648" t="str">
            <v>저케</v>
          </cell>
          <cell r="T648">
            <v>1.6E-2</v>
          </cell>
        </row>
        <row r="649">
          <cell r="A649">
            <v>647</v>
          </cell>
          <cell r="B649" t="str">
            <v>저압케이블</v>
          </cell>
          <cell r="C649" t="str">
            <v>CVV-SB 3.5sq/2C</v>
          </cell>
          <cell r="D649" t="str">
            <v>m</v>
          </cell>
          <cell r="G649">
            <v>717</v>
          </cell>
          <cell r="H649">
            <v>951</v>
          </cell>
          <cell r="Q649">
            <v>951</v>
          </cell>
          <cell r="R649">
            <v>0.05</v>
          </cell>
          <cell r="S649" t="str">
            <v>저케</v>
          </cell>
          <cell r="T649">
            <v>1.6E-2</v>
          </cell>
        </row>
        <row r="650">
          <cell r="A650">
            <v>648</v>
          </cell>
          <cell r="B650" t="str">
            <v>저압케이블</v>
          </cell>
          <cell r="C650" t="str">
            <v>CVV-SB 3.5sq/4C</v>
          </cell>
          <cell r="D650" t="str">
            <v>m</v>
          </cell>
          <cell r="G650">
            <v>717</v>
          </cell>
          <cell r="H650">
            <v>1287</v>
          </cell>
          <cell r="Q650">
            <v>1287</v>
          </cell>
          <cell r="R650">
            <v>0.05</v>
          </cell>
          <cell r="S650" t="str">
            <v>저케</v>
          </cell>
          <cell r="T650">
            <v>2.9000000000000001E-2</v>
          </cell>
        </row>
        <row r="651">
          <cell r="A651">
            <v>649</v>
          </cell>
          <cell r="B651" t="str">
            <v>저압케이블</v>
          </cell>
          <cell r="C651" t="str">
            <v>600V EV 3.5sq/2C</v>
          </cell>
          <cell r="D651" t="str">
            <v>m</v>
          </cell>
          <cell r="G651">
            <v>727</v>
          </cell>
          <cell r="H651">
            <v>455</v>
          </cell>
          <cell r="Q651">
            <v>455</v>
          </cell>
          <cell r="R651">
            <v>0.05</v>
          </cell>
          <cell r="S651" t="str">
            <v>저케</v>
          </cell>
          <cell r="T651">
            <v>1.6E-2</v>
          </cell>
        </row>
        <row r="652">
          <cell r="A652">
            <v>650</v>
          </cell>
          <cell r="B652" t="str">
            <v>저압케이블</v>
          </cell>
          <cell r="C652" t="str">
            <v>600V CV 3.5sq/3C</v>
          </cell>
          <cell r="D652" t="str">
            <v>m</v>
          </cell>
          <cell r="G652">
            <v>718</v>
          </cell>
          <cell r="H652">
            <v>685</v>
          </cell>
          <cell r="Q652">
            <v>685</v>
          </cell>
          <cell r="R652">
            <v>0.05</v>
          </cell>
          <cell r="S652" t="str">
            <v>저케</v>
          </cell>
          <cell r="T652">
            <v>2.1999999999999999E-2</v>
          </cell>
        </row>
        <row r="653">
          <cell r="A653">
            <v>651</v>
          </cell>
          <cell r="B653" t="str">
            <v>저압케이블</v>
          </cell>
          <cell r="C653" t="str">
            <v>600V CV 8sq/4C</v>
          </cell>
          <cell r="D653" t="str">
            <v>m</v>
          </cell>
          <cell r="G653">
            <v>718</v>
          </cell>
          <cell r="H653">
            <v>1530</v>
          </cell>
          <cell r="Q653">
            <v>1530</v>
          </cell>
          <cell r="R653">
            <v>0.05</v>
          </cell>
          <cell r="S653" t="str">
            <v>저케</v>
          </cell>
          <cell r="T653">
            <v>3.9E-2</v>
          </cell>
        </row>
        <row r="654">
          <cell r="A654">
            <v>652</v>
          </cell>
          <cell r="B654" t="str">
            <v>저압케이블</v>
          </cell>
          <cell r="C654" t="str">
            <v>600V CV 38sq/4C</v>
          </cell>
          <cell r="D654" t="str">
            <v>m</v>
          </cell>
          <cell r="G654">
            <v>718</v>
          </cell>
          <cell r="H654">
            <v>6040</v>
          </cell>
          <cell r="Q654">
            <v>6040</v>
          </cell>
          <cell r="R654">
            <v>0.05</v>
          </cell>
          <cell r="S654" t="str">
            <v>저케</v>
          </cell>
          <cell r="T654">
            <v>3.9600000000000003E-2</v>
          </cell>
        </row>
        <row r="655">
          <cell r="A655">
            <v>653</v>
          </cell>
          <cell r="B655" t="str">
            <v>HOR-ELBOW (H.D.G)</v>
          </cell>
          <cell r="C655" t="str">
            <v>450W×100H</v>
          </cell>
          <cell r="D655" t="str">
            <v>EA</v>
          </cell>
          <cell r="K655" t="str">
            <v>(주)동명 ENG.</v>
          </cell>
          <cell r="L655">
            <v>15300</v>
          </cell>
          <cell r="Q655">
            <v>15300</v>
          </cell>
          <cell r="S655" t="str">
            <v>내선</v>
          </cell>
          <cell r="T655">
            <v>0.44500000000000001</v>
          </cell>
        </row>
        <row r="656">
          <cell r="A656">
            <v>654</v>
          </cell>
          <cell r="B656" t="str">
            <v>HOR-ELBOW (H.D.G)</v>
          </cell>
          <cell r="C656" t="str">
            <v>450W×500H</v>
          </cell>
          <cell r="D656" t="str">
            <v>EA</v>
          </cell>
          <cell r="K656" t="str">
            <v>(주)동명 ENG.</v>
          </cell>
          <cell r="L656">
            <v>19800</v>
          </cell>
          <cell r="Q656">
            <v>19800</v>
          </cell>
          <cell r="S656" t="str">
            <v>내선</v>
          </cell>
          <cell r="T656">
            <v>0.44500000000000001</v>
          </cell>
        </row>
        <row r="657">
          <cell r="A657">
            <v>655</v>
          </cell>
          <cell r="B657" t="str">
            <v>CHANEL BRACKET</v>
          </cell>
          <cell r="C657" t="str">
            <v>42×42×470L</v>
          </cell>
          <cell r="D657" t="str">
            <v>EA</v>
          </cell>
          <cell r="K657" t="str">
            <v>(주)동명 ENG.</v>
          </cell>
          <cell r="L657">
            <v>3500</v>
          </cell>
          <cell r="Q657">
            <v>3500</v>
          </cell>
        </row>
        <row r="658">
          <cell r="A658">
            <v>656</v>
          </cell>
          <cell r="B658" t="str">
            <v>SHANK BOLT &amp; NUT</v>
          </cell>
          <cell r="C658" t="str">
            <v>3/8"×19L</v>
          </cell>
          <cell r="D658" t="str">
            <v>EA</v>
          </cell>
          <cell r="K658" t="str">
            <v>(주)동명 ENG.</v>
          </cell>
          <cell r="L658">
            <v>100</v>
          </cell>
          <cell r="Q658">
            <v>100</v>
          </cell>
        </row>
        <row r="659">
          <cell r="A659">
            <v>657</v>
          </cell>
          <cell r="B659" t="str">
            <v>SPRING NUT</v>
          </cell>
          <cell r="C659" t="str">
            <v>W/BOLT,WASHER 3/8"</v>
          </cell>
          <cell r="D659" t="str">
            <v>EA</v>
          </cell>
          <cell r="K659" t="str">
            <v>(주)동명 ENG.</v>
          </cell>
          <cell r="L659">
            <v>450</v>
          </cell>
          <cell r="Q659">
            <v>450</v>
          </cell>
        </row>
        <row r="660">
          <cell r="A660">
            <v>658</v>
          </cell>
          <cell r="B660" t="str">
            <v>SPRING NUT</v>
          </cell>
          <cell r="C660" t="str">
            <v>W/BOLT,WASHER 1/2"</v>
          </cell>
          <cell r="D660" t="str">
            <v>EA</v>
          </cell>
          <cell r="K660" t="str">
            <v>(주)동명 ENG.</v>
          </cell>
          <cell r="L660">
            <v>500</v>
          </cell>
          <cell r="Q660">
            <v>500</v>
          </cell>
        </row>
        <row r="661">
          <cell r="A661">
            <v>659</v>
          </cell>
          <cell r="B661" t="str">
            <v>SET ANCHOR</v>
          </cell>
          <cell r="C661" t="str">
            <v>3/8"</v>
          </cell>
          <cell r="D661" t="str">
            <v>EA</v>
          </cell>
          <cell r="K661" t="str">
            <v>(주)동명 ENG.</v>
          </cell>
          <cell r="L661">
            <v>170</v>
          </cell>
          <cell r="Q661">
            <v>170</v>
          </cell>
        </row>
        <row r="662">
          <cell r="A662">
            <v>660</v>
          </cell>
          <cell r="B662" t="str">
            <v>STRONG ANCHOR</v>
          </cell>
          <cell r="C662" t="str">
            <v>3/8"</v>
          </cell>
          <cell r="D662" t="str">
            <v>EA</v>
          </cell>
          <cell r="K662" t="str">
            <v>(주)동명 ENG.</v>
          </cell>
          <cell r="L662">
            <v>120</v>
          </cell>
          <cell r="Q662">
            <v>120</v>
          </cell>
        </row>
        <row r="663">
          <cell r="A663">
            <v>661</v>
          </cell>
          <cell r="B663" t="str">
            <v>THREAD ROD</v>
          </cell>
          <cell r="C663" t="str">
            <v>3/8"</v>
          </cell>
          <cell r="D663" t="str">
            <v>m</v>
          </cell>
          <cell r="K663" t="str">
            <v>(주)동명 ENG.</v>
          </cell>
          <cell r="L663">
            <v>500</v>
          </cell>
          <cell r="Q663">
            <v>500</v>
          </cell>
        </row>
        <row r="664">
          <cell r="A664">
            <v>662</v>
          </cell>
          <cell r="B664" t="str">
            <v>SQUARE WASHER</v>
          </cell>
          <cell r="C664" t="str">
            <v>φ 11</v>
          </cell>
          <cell r="D664" t="str">
            <v>EA</v>
          </cell>
          <cell r="K664" t="str">
            <v>(주)동명 ENG.</v>
          </cell>
          <cell r="L664">
            <v>200</v>
          </cell>
          <cell r="Q664">
            <v>200</v>
          </cell>
        </row>
        <row r="665">
          <cell r="A665">
            <v>663</v>
          </cell>
          <cell r="B665" t="str">
            <v>HEX H.B/NUT</v>
          </cell>
          <cell r="C665" t="str">
            <v>W/WASHER 3/8"</v>
          </cell>
          <cell r="D665" t="str">
            <v>SET</v>
          </cell>
          <cell r="K665" t="str">
            <v>(주)동명 ENG.</v>
          </cell>
          <cell r="L665">
            <v>60</v>
          </cell>
          <cell r="Q665">
            <v>60</v>
          </cell>
        </row>
      </sheetData>
      <sheetData sheetId="1" refreshError="1"/>
      <sheetData sheetId="2" refreshError="1"/>
    </sheetDataSet>
  </externalBook>
</externalLink>
</file>

<file path=xl/externalLinks/externalLink136.xml><?xml version="1.0" encoding="utf-8"?>
<externalLink xmlns="http://schemas.openxmlformats.org/spreadsheetml/2006/main">
  <externalBook xmlns:r="http://schemas.openxmlformats.org/officeDocument/2006/relationships" r:id="rId1">
    <sheetNames>
      <sheetName val="VXXXXX"/>
      <sheetName val="포장면적산출"/>
      <sheetName val="포장수량집계"/>
      <sheetName val="포장재료집계표"/>
      <sheetName val="포장총괄집계표"/>
      <sheetName val="접속도로수량집계표"/>
      <sheetName val="접속도로수량"/>
      <sheetName val="9509"/>
    </sheetNames>
    <sheetDataSet>
      <sheetData sheetId="0"/>
      <sheetData sheetId="1">
        <row r="7">
          <cell r="C7">
            <v>3.7319999999999998</v>
          </cell>
        </row>
        <row r="11">
          <cell r="C11">
            <v>3.8152999999999997</v>
          </cell>
        </row>
        <row r="13">
          <cell r="C13">
            <v>3.7310000000000003</v>
          </cell>
        </row>
        <row r="18">
          <cell r="C18">
            <v>3.8980000000000001</v>
          </cell>
        </row>
        <row r="21">
          <cell r="C21">
            <v>3.7309999999999999</v>
          </cell>
        </row>
        <row r="23">
          <cell r="C23">
            <v>3.7029999999999998</v>
          </cell>
        </row>
      </sheetData>
      <sheetData sheetId="2">
        <row r="8">
          <cell r="G8">
            <v>4.6719999999999997</v>
          </cell>
        </row>
        <row r="9">
          <cell r="G9">
            <v>4.7553000000000001</v>
          </cell>
        </row>
        <row r="10">
          <cell r="G10">
            <v>4.6710000000000003</v>
          </cell>
        </row>
        <row r="11">
          <cell r="G11">
            <v>4.8380000000000001</v>
          </cell>
        </row>
        <row r="12">
          <cell r="G12">
            <v>4.6709999999999994</v>
          </cell>
        </row>
        <row r="13">
          <cell r="G13">
            <v>4.6429999999999998</v>
          </cell>
        </row>
      </sheetData>
      <sheetData sheetId="3">
        <row r="6">
          <cell r="C6">
            <v>4.6719999999999997</v>
          </cell>
        </row>
        <row r="7">
          <cell r="C7">
            <v>55.756</v>
          </cell>
        </row>
        <row r="9">
          <cell r="C9">
            <v>4.7553000000000001</v>
          </cell>
        </row>
        <row r="10">
          <cell r="C10">
            <v>0.48499999999999999</v>
          </cell>
        </row>
        <row r="12">
          <cell r="C12">
            <v>4.6710000000000003</v>
          </cell>
        </row>
        <row r="13">
          <cell r="C13">
            <v>110.535</v>
          </cell>
        </row>
        <row r="15">
          <cell r="C15">
            <v>4.8380000000000001</v>
          </cell>
        </row>
        <row r="16">
          <cell r="C16">
            <v>1.851</v>
          </cell>
        </row>
        <row r="17">
          <cell r="C17">
            <v>93.42</v>
          </cell>
        </row>
        <row r="18">
          <cell r="C18">
            <v>139.29</v>
          </cell>
        </row>
        <row r="20">
          <cell r="C20">
            <v>178.84100000000001</v>
          </cell>
        </row>
        <row r="21">
          <cell r="C21">
            <v>119.947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137.xml><?xml version="1.0" encoding="utf-8"?>
<externalLink xmlns="http://schemas.openxmlformats.org/spreadsheetml/2006/main">
  <externalBook xmlns:r="http://schemas.openxmlformats.org/officeDocument/2006/relationships" r:id="rId1">
    <sheetNames>
      <sheetName val="설계적용기준"/>
      <sheetName val="도면작업요령"/>
      <sheetName val="내역작업순서"/>
      <sheetName val="자료"/>
      <sheetName val="타이틀▶"/>
      <sheetName val="작성요령"/>
      <sheetName val="야장"/>
      <sheetName val="실시설계보고서"/>
      <sheetName val="사진첩1"/>
      <sheetName val="사진첩"/>
      <sheetName val="사진첩2"/>
      <sheetName val="설계서"/>
      <sheetName val="단가산출서"/>
      <sheetName val="수량산출서"/>
      <sheetName val="용지및지장물조서"/>
      <sheetName val="◀타이틀"/>
      <sheetName val="일반시방서"/>
      <sheetName val="특별시방서"/>
      <sheetName val="5.예정공정표"/>
      <sheetName val="6.동원인원계획표"/>
      <sheetName val="동원인원계획표 (2)"/>
      <sheetName val="조명시설"/>
    </sheetNames>
    <sheetDataSet>
      <sheetData sheetId="0"/>
      <sheetData sheetId="1"/>
      <sheetData sheetId="2"/>
      <sheetData sheetId="3">
        <row r="1">
          <cell r="B1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138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B부대공"/>
      <sheetName val="포장재료집계표"/>
      <sheetName val="포장면적산출"/>
      <sheetName val="포장수량집계"/>
      <sheetName val="C1총괄"/>
    </sheetNames>
    <definedNames>
      <definedName name="지우기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9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경제요청"/>
      <sheetName val="경제분석"/>
      <sheetName val="결재전"/>
      <sheetName val="사업비수지예산서"/>
      <sheetName val="사업비내역"/>
      <sheetName val="요율"/>
      <sheetName val="공사요율"/>
      <sheetName val="지급.용지매수"/>
      <sheetName val="용지매수공사비"/>
      <sheetName val="&lt;공사비총괄&gt;"/>
      <sheetName val="&lt;수원공공사비총괄&gt;"/>
      <sheetName val="&lt;배수장공사비총괄&gt;"/>
      <sheetName val="배수장공사비"/>
      <sheetName val="토공재료집계"/>
      <sheetName val="장공작물집계"/>
      <sheetName val="토공집계"/>
      <sheetName val="공작물"/>
      <sheetName val="&lt;배수문공사비총괄&gt;"/>
      <sheetName val="배수문공사비"/>
      <sheetName val="배수문공작물"/>
      <sheetName val="&lt;평야부공사비총괄&gt;"/>
      <sheetName val="평야부공사비"/>
      <sheetName val="배수로집계"/>
      <sheetName val="&lt;부대공사비총괄&gt;"/>
      <sheetName val="부대공사"/>
      <sheetName val="자재대(총)"/>
      <sheetName val="배수장자재대"/>
      <sheetName val="평야부자재대"/>
      <sheetName val="지급자재"/>
      <sheetName val="내역서"/>
      <sheetName val="자료"/>
      <sheetName val="수량산출"/>
      <sheetName val="3지구단위"/>
      <sheetName val="접속도로1"/>
      <sheetName val="수목데이타 "/>
      <sheetName val="9811"/>
      <sheetName val="TOTAL3"/>
      <sheetName val="산수배수"/>
      <sheetName val="진주방향"/>
      <sheetName val="마산방향"/>
      <sheetName val="마산방향철근집계"/>
      <sheetName val="남양주부대"/>
      <sheetName val="공사비"/>
      <sheetName val="석재장조사"/>
      <sheetName val="2000년1차"/>
      <sheetName val="범례표"/>
      <sheetName val="단가"/>
      <sheetName val="지구단위계획"/>
      <sheetName val="DATE"/>
      <sheetName val="갑지"/>
      <sheetName val="설계예산서"/>
      <sheetName val="직접경비"/>
      <sheetName val="직접인건비"/>
      <sheetName val="일위대가"/>
      <sheetName val="재정비직인"/>
      <sheetName val="재정비내역"/>
      <sheetName val="지적고시내역"/>
      <sheetName val="포장공"/>
      <sheetName val="배수공"/>
      <sheetName val="토공"/>
      <sheetName val="관로공사"/>
      <sheetName val="약품공급2"/>
      <sheetName val="증감대비"/>
      <sheetName val="토목"/>
      <sheetName val="대로근거"/>
      <sheetName val="9509"/>
      <sheetName val="설계기준"/>
      <sheetName val="내역1"/>
      <sheetName val="밸브설치"/>
      <sheetName val="직노"/>
      <sheetName val="횡배수관"/>
      <sheetName val="1000 DB구축 부표"/>
      <sheetName val="용역비산출"/>
      <sheetName val="총 괄 표"/>
      <sheetName val="인구"/>
      <sheetName val="소일위대가코드표"/>
      <sheetName val="제출내역 (2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40.xml><?xml version="1.0" encoding="utf-8"?>
<externalLink xmlns="http://schemas.openxmlformats.org/spreadsheetml/2006/main">
  <externalBook xmlns:r="http://schemas.openxmlformats.org/officeDocument/2006/relationships" r:id="rId1">
    <sheetNames>
      <sheetName val="일위대가"/>
      <sheetName val="건축내역"/>
      <sheetName val="공사요율"/>
    </sheetNames>
    <sheetDataSet>
      <sheetData sheetId="0" refreshError="1"/>
      <sheetData sheetId="1"/>
      <sheetData sheetId="2" refreshError="1"/>
    </sheetDataSet>
  </externalBook>
</externalLink>
</file>

<file path=xl/externalLinks/externalLink14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총괄"/>
      <sheetName val="Sheet1 (2)"/>
      <sheetName val="#REF"/>
      <sheetName val="골재"/>
      <sheetName val="상부"/>
      <sheetName val="11"/>
      <sheetName val="단가표"/>
      <sheetName val="시작4"/>
      <sheetName val="단가산출서"/>
      <sheetName val="1000 DB구축 부표"/>
      <sheetName val="일위대가표지"/>
      <sheetName val="건축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2.xml><?xml version="1.0" encoding="utf-8"?>
<externalLink xmlns="http://schemas.openxmlformats.org/spreadsheetml/2006/main">
  <externalBook xmlns:r="http://schemas.openxmlformats.org/officeDocument/2006/relationships" r:id="rId1">
    <sheetNames>
      <sheetName val="3연box"/>
      <sheetName val="2연box"/>
      <sheetName val="2연box (2)"/>
      <sheetName val="1연 box"/>
      <sheetName val="1연 box (2)"/>
      <sheetName val="단 box"/>
    </sheetNames>
    <sheetDataSet>
      <sheetData sheetId="0"/>
      <sheetData sheetId="1"/>
      <sheetData sheetId="2"/>
      <sheetData sheetId="3"/>
      <sheetData sheetId="4"/>
      <sheetData sheetId="5">
        <row r="86">
          <cell r="G86">
            <v>0</v>
          </cell>
        </row>
        <row r="99">
          <cell r="G99">
            <v>0</v>
          </cell>
        </row>
      </sheetData>
    </sheetDataSet>
  </externalBook>
</externalLink>
</file>

<file path=xl/externalLinks/externalLink143.xml><?xml version="1.0" encoding="utf-8"?>
<externalLink xmlns="http://schemas.openxmlformats.org/spreadsheetml/2006/main">
  <externalBook xmlns:r="http://schemas.openxmlformats.org/officeDocument/2006/relationships" r:id="rId1">
    <sheetNames>
      <sheetName val="VXXXXX"/>
      <sheetName val="want"/>
      <sheetName val="내역적용"/>
      <sheetName val="배수공총집계"/>
      <sheetName val="배수공자재집계"/>
      <sheetName val="횡배수관공"/>
      <sheetName val="종배수관공"/>
      <sheetName val="플륨관집계"/>
      <sheetName val="맹집계"/>
      <sheetName val="측구집계"/>
      <sheetName val="도수로집계"/>
      <sheetName val="도수로단위"/>
      <sheetName val="집수정집계"/>
      <sheetName val="토공이월"/>
      <sheetName val="집수정단위"/>
      <sheetName val="날개집계"/>
      <sheetName val="날개단위"/>
      <sheetName val="횡배수집계"/>
      <sheetName val="횡배수관"/>
      <sheetName val="면벽"/>
      <sheetName val="종배수집계"/>
      <sheetName val="종배수관"/>
      <sheetName val="측구2"/>
      <sheetName val="측구1"/>
      <sheetName val="측구현황"/>
      <sheetName val="맹현황"/>
      <sheetName val="단 box"/>
      <sheetName val="노견단위수량"/>
      <sheetName val="건축내역"/>
      <sheetName val="노무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44.xml><?xml version="1.0" encoding="utf-8"?>
<externalLink xmlns="http://schemas.openxmlformats.org/spreadsheetml/2006/main">
  <externalBook xmlns:r="http://schemas.openxmlformats.org/officeDocument/2006/relationships" r:id="rId1">
    <sheetNames>
      <sheetName val="포장면적산출"/>
      <sheetName val="포장수량집계"/>
      <sheetName val="포장재료집계표"/>
      <sheetName val="포장총괄집계표"/>
      <sheetName val="횡배수관"/>
      <sheetName val="단 box"/>
    </sheetNames>
    <sheetDataSet>
      <sheetData sheetId="0">
        <row r="6">
          <cell r="C6">
            <v>19.22</v>
          </cell>
        </row>
        <row r="11">
          <cell r="F11">
            <v>692.7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45.xml><?xml version="1.0" encoding="utf-8"?>
<externalLink xmlns="http://schemas.openxmlformats.org/spreadsheetml/2006/main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포장면적산출"/>
      <sheetName val="TYPE-A"/>
      <sheetName val="안정검토"/>
      <sheetName val="J直材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46.xml><?xml version="1.0" encoding="utf-8"?>
<externalLink xmlns="http://schemas.openxmlformats.org/spreadsheetml/2006/main">
  <externalBook xmlns:r="http://schemas.openxmlformats.org/officeDocument/2006/relationships" r:id="rId1">
    <sheetNames>
      <sheetName val="노임단가"/>
      <sheetName val="자재단가"/>
      <sheetName val="경비단가"/>
      <sheetName val="중기집계"/>
      <sheetName val="중기손료"/>
      <sheetName val="토   공"/>
      <sheetName val="배수공"/>
      <sheetName val="교량공"/>
      <sheetName val="포장공"/>
      <sheetName val="부대공"/>
      <sheetName val="단가목록"/>
      <sheetName val="Sheet5"/>
      <sheetName val="ES거봉단가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147.xml><?xml version="1.0" encoding="utf-8"?>
<externalLink xmlns="http://schemas.openxmlformats.org/spreadsheetml/2006/main">
  <externalBook xmlns:r="http://schemas.openxmlformats.org/officeDocument/2006/relationships" r:id="rId1">
    <sheetNames>
      <sheetName val="수량표지"/>
      <sheetName val="간지"/>
      <sheetName val="철근레미집"/>
      <sheetName val="골재관로집"/>
      <sheetName val="몰탈포장집"/>
      <sheetName val="토공계획"/>
      <sheetName val="토공계획 (교)"/>
      <sheetName val="미진동"/>
      <sheetName val="토공유동(본)"/>
      <sheetName val="RP토공집계"/>
      <sheetName val="토공유동(본) (2)"/>
      <sheetName val="RP토공집계 (교)"/>
      <sheetName val="암유용"/>
      <sheetName val="구조물깨기집계표"/>
      <sheetName val="구조물깨기"/>
      <sheetName val="건물헐기수량집계"/>
      <sheetName val="건축물헐기"/>
      <sheetName val="집수정(TYPE1)"/>
      <sheetName val="집수정(TYPE2)"/>
      <sheetName val="집수정(TYPE3)"/>
      <sheetName val="집수정(TYPE4)"/>
      <sheetName val="집수정(TYPE5)"/>
      <sheetName val="석축평균높이산출"/>
      <sheetName val="노임단가"/>
      <sheetName val="강진운암"/>
    </sheetNames>
    <definedNames>
      <definedName name="수식입력매크로" refersTo="#REF!"/>
      <definedName name="일위규격매크로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</sheetDataSet>
  </externalBook>
</externalLink>
</file>

<file path=xl/externalLinks/externalLink148.xml><?xml version="1.0" encoding="utf-8"?>
<externalLink xmlns="http://schemas.openxmlformats.org/spreadsheetml/2006/main">
  <externalBook xmlns:r="http://schemas.openxmlformats.org/officeDocument/2006/relationships" r:id="rId1">
    <sheetNames>
      <sheetName val="VXXXXX"/>
      <sheetName val="표지"/>
      <sheetName val="총괄표"/>
      <sheetName val="세부내역(간지)"/>
      <sheetName val="웹 GIS엔진 추가기능 개발"/>
      <sheetName val="웹 GIS엔진 추가기능 본수내역"/>
      <sheetName val="편집시스템 커스트마이징"/>
      <sheetName val="편집시스템 커스트마이징 본수내역"/>
      <sheetName val="웹 디자인"/>
      <sheetName val="웹디자인 소요인력내역"/>
      <sheetName val="정보인프라도입"/>
      <sheetName val="1000 DB구축 부표"/>
      <sheetName val="지형정위치"/>
      <sheetName val="지형정위치부표"/>
      <sheetName val="지형구조화"/>
      <sheetName val="지형구조부표"/>
      <sheetName val="DB입력"/>
      <sheetName val="DB입력부표"/>
      <sheetName val="노임단가"/>
      <sheetName val="입력변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7">
          <cell r="C7">
            <v>16000</v>
          </cell>
        </row>
      </sheetData>
      <sheetData sheetId="12"/>
      <sheetData sheetId="13"/>
      <sheetData sheetId="14"/>
      <sheetData sheetId="15"/>
      <sheetData sheetId="16"/>
      <sheetData sheetId="17" refreshError="1"/>
      <sheetData sheetId="18"/>
      <sheetData sheetId="19" refreshError="1"/>
    </sheetDataSet>
  </externalBook>
</externalLink>
</file>

<file path=xl/externalLinks/externalLink149.xml><?xml version="1.0" encoding="utf-8"?>
<externalLink xmlns="http://schemas.openxmlformats.org/spreadsheetml/2006/main">
  <externalBook xmlns:r="http://schemas.openxmlformats.org/officeDocument/2006/relationships" r:id="rId1">
    <sheetNames>
      <sheetName val="I一般比"/>
      <sheetName val="N賃率-職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50.xml><?xml version="1.0" encoding="utf-8"?>
<externalLink xmlns="http://schemas.openxmlformats.org/spreadsheetml/2006/main">
  <externalBook xmlns:r="http://schemas.openxmlformats.org/officeDocument/2006/relationships" r:id="rId1">
    <sheetNames>
      <sheetName val="노임단가"/>
      <sheetName val="경비단가"/>
      <sheetName val="중기집계"/>
      <sheetName val="중기손료"/>
      <sheetName val="토   공 "/>
      <sheetName val="배수공"/>
      <sheetName val="교량공"/>
      <sheetName val="포장공"/>
      <sheetName val="부대공"/>
      <sheetName val="자재단가"/>
      <sheetName val="단가목록"/>
      <sheetName val="Sheet4"/>
      <sheetName val="Sheet5"/>
      <sheetName val="9903단가"/>
      <sheetName val="단가산출서 (2)"/>
      <sheetName val="단가산출서"/>
    </sheetNames>
    <sheetDataSet>
      <sheetData sheetId="0" refreshError="1">
        <row r="7">
          <cell r="C7">
            <v>62310</v>
          </cell>
        </row>
        <row r="10">
          <cell r="C10">
            <v>60500</v>
          </cell>
        </row>
        <row r="34">
          <cell r="C34">
            <v>48833</v>
          </cell>
        </row>
        <row r="38">
          <cell r="C38">
            <v>52915</v>
          </cell>
        </row>
        <row r="45">
          <cell r="C45">
            <v>67520</v>
          </cell>
        </row>
        <row r="86">
          <cell r="C86">
            <v>57364</v>
          </cell>
        </row>
        <row r="91">
          <cell r="C91">
            <v>53715</v>
          </cell>
        </row>
        <row r="92">
          <cell r="C92">
            <v>64260</v>
          </cell>
        </row>
        <row r="93">
          <cell r="C93">
            <v>49633</v>
          </cell>
        </row>
        <row r="94">
          <cell r="C94">
            <v>45575</v>
          </cell>
        </row>
        <row r="95">
          <cell r="C95">
            <v>40706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1.xml><?xml version="1.0" encoding="utf-8"?>
<externalLink xmlns="http://schemas.openxmlformats.org/spreadsheetml/2006/main">
  <externalBook xmlns:r="http://schemas.openxmlformats.org/officeDocument/2006/relationships" r:id="rId1">
    <sheetNames>
      <sheetName val="산출근거"/>
      <sheetName val="가로등"/>
      <sheetName val="가로등내역서"/>
      <sheetName val="원가계산서"/>
      <sheetName val="단가조사 "/>
      <sheetName val="일위대가서"/>
      <sheetName val="일위대가서(종)"/>
      <sheetName val="가로등부표"/>
      <sheetName val="가로등부표 (4)"/>
      <sheetName val="한전외선공사비"/>
      <sheetName val="노무비"/>
      <sheetName val="노임단가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2.xml><?xml version="1.0" encoding="utf-8"?>
<externalLink xmlns="http://schemas.openxmlformats.org/spreadsheetml/2006/main">
  <externalBook xmlns:r="http://schemas.openxmlformats.org/officeDocument/2006/relationships" r:id="rId1">
    <sheetNames>
      <sheetName val="설직재-1"/>
      <sheetName val="N賃率-職"/>
    </sheetNames>
    <sheetDataSet>
      <sheetData sheetId="0"/>
      <sheetData sheetId="1" refreshError="1"/>
    </sheetDataSet>
  </externalBook>
</externalLink>
</file>

<file path=xl/externalLinks/externalLink153.xml><?xml version="1.0" encoding="utf-8"?>
<externalLink xmlns="http://schemas.openxmlformats.org/spreadsheetml/2006/main">
  <externalBook xmlns:r="http://schemas.openxmlformats.org/officeDocument/2006/relationships" r:id="rId1">
    <sheetNames>
      <sheetName val="C.배수관공"/>
      <sheetName val="가배수관"/>
      <sheetName val="2.10횡배수관"/>
      <sheetName val="전체현황"/>
      <sheetName val="평균터파기"/>
      <sheetName val="RC관집계"/>
      <sheetName val="RC관현황"/>
      <sheetName val="보강집계"/>
      <sheetName val="보강현황"/>
      <sheetName val="Sheet1"/>
      <sheetName val="Sheet2"/>
      <sheetName val="흄관집계"/>
      <sheetName val="흄관현황"/>
      <sheetName val="종배수관집계"/>
      <sheetName val="종배수관현황"/>
      <sheetName val="종배수관단위"/>
      <sheetName val="2.12기존배수관세척"/>
      <sheetName val="2.13날개벽및면벽"/>
      <sheetName val="RC관날개벽"/>
      <sheetName val="보강날개벽"/>
      <sheetName val="흄관날개벽"/>
      <sheetName val="면벽수량집계"/>
      <sheetName val="2.14집수정"/>
      <sheetName val="성토부집수정집계"/>
      <sheetName val="절토부집수정집계"/>
      <sheetName val="집수정현황"/>
      <sheetName val="집수정부분합"/>
      <sheetName val="Sheet13"/>
      <sheetName val="Sheet3"/>
      <sheetName val="Sheet4"/>
      <sheetName val="Sheet5"/>
      <sheetName val="표지(하천명)"/>
      <sheetName val="총괄집계"/>
      <sheetName val="총괄자재"/>
      <sheetName val="표지"/>
      <sheetName val="제목(집계)"/>
      <sheetName val="집계표"/>
      <sheetName val="주요"/>
      <sheetName val="주요자재"/>
      <sheetName val="제목 (토공)"/>
      <sheetName val="토공집계표"/>
      <sheetName val="토공수량(좌안)"/>
      <sheetName val="토적표좌안"/>
      <sheetName val="규준틀및경계말목 (좌안)"/>
      <sheetName val="제목(호안)"/>
      <sheetName val="호안공집계"/>
      <sheetName val="전석집계"/>
      <sheetName val="전석수량(좌1)"/>
      <sheetName val="전석면적(좌1)"/>
      <sheetName val="u형측구 집계표"/>
      <sheetName val="1지구u형측구"/>
      <sheetName val="2지구u형측구 "/>
      <sheetName val="배수관공(IC)"/>
      <sheetName val="xxxxxx"/>
      <sheetName val="배수관공집계"/>
      <sheetName val="횡집계"/>
      <sheetName val="배수관집계표"/>
      <sheetName val="횡배수관현황"/>
      <sheetName val="날개면벽집계"/>
      <sheetName val="날개벽"/>
      <sheetName val="단위수량"/>
      <sheetName val="평균터파기고"/>
      <sheetName val="평균터파기1"/>
      <sheetName val="H"/>
      <sheetName val="깍기공"/>
      <sheetName val="배수관로집계"/>
      <sheetName val="배수관로수량현황"/>
      <sheetName val="배수관로수량집계"/>
      <sheetName val="배수관로수량집계L-8,9,11"/>
      <sheetName val="날개벽유동집계표"/>
      <sheetName val="유입방지턱수량"/>
      <sheetName val="유입방지턱표지"/>
      <sheetName val="유입방지턱단위수량"/>
      <sheetName val="측구공수량집계표"/>
      <sheetName val="맹암거수량집계표"/>
      <sheetName val="배수관수량집계표"/>
      <sheetName val="배수관공총괄수량집계표"/>
      <sheetName val="절성경계보강공현황및집계 "/>
      <sheetName val="집수정공수량집계표"/>
      <sheetName val="암거공토공수량집계표"/>
      <sheetName val="암거공일반수량집계표"/>
      <sheetName val="암거공철근집계표"/>
      <sheetName val="강판집계표"/>
      <sheetName val="수로보호공현황및집계"/>
      <sheetName val="도수로집계표"/>
      <sheetName val="U형개거집계표"/>
      <sheetName val="침전조집계표"/>
      <sheetName val="석축집계표"/>
      <sheetName val="제목"/>
      <sheetName val="자재"/>
      <sheetName val="관로토공"/>
      <sheetName val="제수변실토공"/>
      <sheetName val="공기변실토공"/>
      <sheetName val="펌프실토공"/>
      <sheetName val="제수변실"/>
      <sheetName val="공기변실"/>
      <sheetName val="제수변보호통"/>
      <sheetName val="지상식소화전"/>
      <sheetName val="펌프실"/>
      <sheetName val="수량양식"/>
      <sheetName val="A간지"/>
      <sheetName val="A집계"/>
      <sheetName val="A관자재계"/>
      <sheetName val="A관로"/>
      <sheetName val="A토공계"/>
      <sheetName val="A관로토공"/>
      <sheetName val="A평균H"/>
      <sheetName val="A맨홀계"/>
      <sheetName val="A맨홀"/>
      <sheetName val="A맨홀H"/>
      <sheetName val="A연결관"/>
      <sheetName val="A연결토공"/>
      <sheetName val="A연결조서"/>
      <sheetName val="A터파기단위"/>
      <sheetName val="배수관수량집계(1)"/>
      <sheetName val="배수관수량집계(2)"/>
      <sheetName val="횡배수관공수량집계"/>
      <sheetName val="횡배수관연장조서"/>
      <sheetName val="제작관수량집계"/>
      <sheetName val="토피별RC관현황"/>
      <sheetName val="보강흄관수량집계"/>
      <sheetName val="토피별보강흄관현황"/>
      <sheetName val="흄관수량집계"/>
      <sheetName val="토피별흄관현황"/>
      <sheetName val="종배수관수량집계"/>
      <sheetName val="배수날개면벽수량집계"/>
      <sheetName val="날개벽수량(RC관)"/>
      <sheetName val="날개벽수량(보강흄관)"/>
      <sheetName val="날개벽수량(흄관)"/>
      <sheetName val="면벽수량"/>
      <sheetName val="집수정수량집계(1)"/>
      <sheetName val="집수정수량집계(2)"/>
      <sheetName val="흙쌓기부집수정"/>
      <sheetName val="땅깍기부집수정(1)"/>
      <sheetName val="땅깍기부집수정(2)"/>
      <sheetName val="땅깍기부집수정(3)"/>
      <sheetName val="암거간지1"/>
      <sheetName val="구체집계표"/>
      <sheetName val="암거간지2"/>
      <sheetName val="암거간지3"/>
      <sheetName val="암거간지5"/>
      <sheetName val="구체집계2.0x2.0(0-3)"/>
      <sheetName val="구체2.0X2.0(0-3)"/>
      <sheetName val="구체집계2.0x2.0(3-5)"/>
      <sheetName val="구체2.0x2.0(3-5)"/>
      <sheetName val="구체집계2.0x2.0(5-7)"/>
      <sheetName val="구체2.0x2.0(5-7)"/>
      <sheetName val="구체집계2.0x2.0(7-10)"/>
      <sheetName val="구체2.0x2.0(7-10)"/>
      <sheetName val="암거간지2@"/>
      <sheetName val="구체집계2@2.5x2.5"/>
      <sheetName val="구체2@2.5x2.5"/>
      <sheetName val="암거간지"/>
      <sheetName val="구체집계3.0x2.0(0-3)"/>
      <sheetName val="구체3.0x2.0(0-3)"/>
      <sheetName val="구체집계3.0x2.0(6-8)"/>
      <sheetName val="구체3.0x2.0(6-8)"/>
      <sheetName val="암거간지7"/>
      <sheetName val="암거간지8"/>
      <sheetName val="구체집계3.5x3.5(8-10)"/>
      <sheetName val="구체3.5x3.5(8-10)"/>
      <sheetName val="암거간지10"/>
      <sheetName val="구체집계4.5x4.5(2-3)"/>
      <sheetName val="구체4.5x4.5(2-3)"/>
      <sheetName val="구체집계4.5x4.5(4-5)"/>
      <sheetName val="구체4.5x4.5(4-5)"/>
      <sheetName val="암거현황"/>
      <sheetName val="터파기"/>
      <sheetName val="구체2.5x2.0(6-8)"/>
      <sheetName val="구체3.5x3.5-8-10"/>
      <sheetName val="암거간지4"/>
      <sheetName val="AA3000"/>
      <sheetName val="AA3100"/>
      <sheetName val="비계"/>
      <sheetName val="AA3200"/>
      <sheetName val="동바리"/>
      <sheetName val="AA3300"/>
      <sheetName val="특수거푸집"/>
      <sheetName val="AA3400"/>
      <sheetName val="지급자재명세서(1)"/>
      <sheetName val="지급자재명세서(2)"/>
      <sheetName val="지급자재명세서(3)"/>
      <sheetName val="철근"/>
      <sheetName val="시멘트및콘크리트"/>
      <sheetName val="골재"/>
      <sheetName val="아스콘및코팅재집계표"/>
      <sheetName val="골재집계"/>
      <sheetName val="타공종이월수량"/>
      <sheetName val="타공종이기수량"/>
      <sheetName val="기타공표지"/>
      <sheetName val="기타공유동수량집계"/>
      <sheetName val="a,수로보호공"/>
      <sheetName val="수로보호공집계"/>
      <sheetName val="수로보호공현황(형식1~3)"/>
      <sheetName val="수로보호공현황(형식-4)"/>
      <sheetName val="수로보호공현황(형식-5)"/>
      <sheetName val="b.수로이설"/>
      <sheetName val="c.돌붙임후면배수표지"/>
      <sheetName val="d.기존배수관폐쇄표지"/>
      <sheetName val="e.기존BOX폐쇄표지"/>
      <sheetName val="f기존배수관세척"/>
      <sheetName val="g계단"/>
      <sheetName val="j.제작집수정표지"/>
      <sheetName val="제작집수정유동집"/>
      <sheetName val="제작집수정집계"/>
      <sheetName val="제작집수정현황"/>
      <sheetName val="제작집수정수량(1)"/>
      <sheetName val="제작집수정수량(2)"/>
      <sheetName val="k. 문비"/>
      <sheetName val="문비수량집계"/>
      <sheetName val="문비현황"/>
      <sheetName val="문비단위수량"/>
      <sheetName val="Module1"/>
      <sheetName val="간지"/>
      <sheetName val="파형강판 총수량집계표"/>
      <sheetName val="통로"/>
      <sheetName val="철근수량 집계표"/>
      <sheetName val="원가계산서(년도별)"/>
      <sheetName val="집계표(도급)"/>
      <sheetName val="내역서(도급)"/>
      <sheetName val="6월호"/>
      <sheetName val="증감총괄"/>
      <sheetName val="내역"/>
      <sheetName val="잡비"/>
      <sheetName val="증감"/>
      <sheetName val="45,46"/>
      <sheetName val="일위대가표"/>
      <sheetName val="갑지"/>
      <sheetName val="목차"/>
      <sheetName val="변경사유서간지"/>
      <sheetName val="변경사유서"/>
      <sheetName val="공사비집계표간지"/>
      <sheetName val="공사비집계표"/>
      <sheetName val="공사비증감내역서간지"/>
      <sheetName val="공사비증감내역서"/>
      <sheetName val="수량산출서간지"/>
      <sheetName val="상림1교간지"/>
      <sheetName val="상림1교수량집계표"/>
      <sheetName val="상림1교(교대A1)당초"/>
      <sheetName val="상림1교(교대A1)변경"/>
      <sheetName val="횡단면도"/>
      <sheetName val="사진대지"/>
      <sheetName val="상림1A1"/>
      <sheetName val="만수배관단가"/>
      <sheetName val="FRP배관단가(만수)"/>
      <sheetName val=""/>
      <sheetName val="전신환매도율"/>
      <sheetName val="역T형옹벽(3.0)"/>
      <sheetName val="C.간지"/>
      <sheetName val="배수관공집계표"/>
      <sheetName val="2.10간지"/>
      <sheetName val="횡배수관집계표(현장)"/>
      <sheetName val="횡배수관현황(현장)"/>
      <sheetName val="평균터파기(현장)"/>
      <sheetName val="횡배수산근(현장)"/>
      <sheetName val="2.11간지"/>
      <sheetName val="종배수관및흄관집계표"/>
      <sheetName val="종배수관수량"/>
      <sheetName val="흄관수집계"/>
      <sheetName val="흄관평균터파기"/>
      <sheetName val="흄관산출(0+725)"/>
      <sheetName val="2.13간지"/>
      <sheetName val="날개벽및면벽집계표"/>
      <sheetName val="날개벽수량집계표"/>
      <sheetName val="날개벽단위수량"/>
      <sheetName val="2.14간지"/>
      <sheetName val="콘크리트집수정수량집계"/>
      <sheetName val="땅깍기부집수정집계"/>
      <sheetName val="DATE"/>
      <sheetName val="BOQ"/>
      <sheetName val="시멘트,모래"/>
      <sheetName val="배수관공수량집계"/>
      <sheetName val="면벽단위"/>
      <sheetName val="흄관단위"/>
      <sheetName val="흄관토공수량"/>
      <sheetName val="흄관설치현황"/>
      <sheetName val="교각1"/>
      <sheetName val="Baby일위대가"/>
      <sheetName val="수량-가로등"/>
      <sheetName val="공사비증감"/>
      <sheetName val="신일위"/>
      <sheetName val="변일위"/>
      <sheetName val="재집"/>
      <sheetName val="종평"/>
      <sheetName val="토집"/>
      <sheetName val="담장"/>
      <sheetName val="조경"/>
      <sheetName val="옹집"/>
      <sheetName val="옹벽수량"/>
      <sheetName val="총괄갑 "/>
      <sheetName val="내역서"/>
      <sheetName val="을지"/>
      <sheetName val="99총공사내역서"/>
      <sheetName val="노임단가"/>
      <sheetName val="BOQ(전체)"/>
      <sheetName val="원형1호맨홀토공수량"/>
      <sheetName val="CB"/>
      <sheetName val="일위대가(가설)"/>
      <sheetName val="2"/>
      <sheetName val="96보완계획7.12"/>
      <sheetName val="준검 내역서"/>
      <sheetName val="교대(A1)"/>
      <sheetName val="하도금액분계"/>
      <sheetName val="정화조동내역"/>
      <sheetName val="일반공사"/>
      <sheetName val="포장공"/>
      <sheetName val="견적서"/>
      <sheetName val="N賃率-職"/>
      <sheetName val="재정비직인"/>
      <sheetName val="재정비내역"/>
      <sheetName val="지적고시내역"/>
      <sheetName val="터파기및재료"/>
      <sheetName val="물가시세"/>
      <sheetName val="건축공사실행"/>
      <sheetName val="#REF"/>
      <sheetName val="데리네이타현황"/>
      <sheetName val="단가 "/>
      <sheetName val="노임"/>
      <sheetName val="일위대가"/>
      <sheetName val="보차도경계석"/>
      <sheetName val="A LINE"/>
      <sheetName val="1+214(수로)"/>
      <sheetName val="1+185(통로)"/>
      <sheetName val="구체,날개,보강철근수량"/>
      <sheetName val="난간및차수벽철근량"/>
      <sheetName val="접속저판"/>
      <sheetName val="직노"/>
      <sheetName val="제경비"/>
      <sheetName val="관급자재"/>
      <sheetName val="수량산출서"/>
      <sheetName val="맨홀"/>
      <sheetName val="유림골조"/>
      <sheetName val="날개벽(시점좌측)"/>
      <sheetName val="도급내역"/>
      <sheetName val="토공(우물통,기타) "/>
      <sheetName val="우배수"/>
      <sheetName val="철거산출근거"/>
      <sheetName val="말뚝지지력산정"/>
      <sheetName val="국도접속 차도부수량"/>
      <sheetName val="저"/>
      <sheetName val="수량산출"/>
      <sheetName val="DATA2000"/>
      <sheetName val="매매"/>
      <sheetName val="금액내역서"/>
      <sheetName val="INPUT"/>
      <sheetName val="실행철강하도"/>
      <sheetName val="8.PILE  (돌출)"/>
      <sheetName val="단면가정"/>
      <sheetName val="BID"/>
      <sheetName val="인사자료총집계"/>
      <sheetName val="철근계"/>
      <sheetName val="7.PILE  (돌출)"/>
      <sheetName val="연결관암거"/>
      <sheetName val="기초단가"/>
      <sheetName val="TOTAL_BOQ"/>
      <sheetName val="5.공종별예산내역서"/>
      <sheetName val="골재산출"/>
      <sheetName val="내역(설계)"/>
      <sheetName val="1차설계변경내역"/>
      <sheetName val="2000년1차"/>
      <sheetName val="MAIN_TABLE"/>
      <sheetName val="Macro1"/>
      <sheetName val="토목"/>
      <sheetName val="도급-집계"/>
      <sheetName val="가로등내역서"/>
      <sheetName val="소비자가"/>
      <sheetName val="품셈TABLE"/>
      <sheetName val="COPING"/>
      <sheetName val="단가산출"/>
      <sheetName val="부대내역"/>
      <sheetName val="E총"/>
      <sheetName val="6PILE  (돌출)"/>
      <sheetName val="개비온집계"/>
      <sheetName val="개비온 단위"/>
    </sheetNames>
    <definedNames>
      <definedName name="매크로11"/>
      <definedName name="매크로4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 refreshError="1"/>
      <sheetData sheetId="245"/>
      <sheetData sheetId="246" refreshError="1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</sheetDataSet>
  </externalBook>
</externalLink>
</file>

<file path=xl/externalLinks/externalLink154.xml><?xml version="1.0" encoding="utf-8"?>
<externalLink xmlns="http://schemas.openxmlformats.org/spreadsheetml/2006/main">
  <externalBook xmlns:r="http://schemas.openxmlformats.org/officeDocument/2006/relationships" r:id="rId1">
    <sheetNames>
      <sheetName val="Baby일위대가"/>
      <sheetName val="통합"/>
    </sheetNames>
    <sheetDataSet>
      <sheetData sheetId="0"/>
      <sheetData sheetId="1" refreshError="1"/>
    </sheetDataSet>
  </externalBook>
</externalLink>
</file>

<file path=xl/externalLinks/externalLink155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종합경제"/>
      <sheetName val="종합경제 (상철)"/>
      <sheetName val="간지"/>
      <sheetName val="목차"/>
      <sheetName val="단가대비-1-25"/>
      <sheetName val="외함-원가산출-26"/>
      <sheetName val="외함-원가계산-27-42"/>
      <sheetName val="외함-노무비-43"/>
      <sheetName val="일위대가-45"/>
      <sheetName val="시간당임율산출표-46"/>
      <sheetName val="이면자재산출내역-47-50"/>
      <sheetName val="업체별실노무공수산출 -51"/>
      <sheetName val="현장실모무공수종합(평균)결과표 -52"/>
      <sheetName val="노무산출--54"/>
      <sheetName val="노무비-55"/>
      <sheetName val="운반비-124"/>
      <sheetName val="수량산출"/>
      <sheetName val="재정비직인"/>
      <sheetName val="재정비내역"/>
      <sheetName val="지적고시내역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56.xml><?xml version="1.0" encoding="utf-8"?>
<externalLink xmlns="http://schemas.openxmlformats.org/spreadsheetml/2006/main">
  <externalBook xmlns:r="http://schemas.openxmlformats.org/officeDocument/2006/relationships" r:id="rId1">
    <sheetNames>
      <sheetName val="수량표지"/>
      <sheetName val="간지"/>
      <sheetName val="철근레미집"/>
      <sheetName val="골재관로집"/>
      <sheetName val="몰탈포장집"/>
      <sheetName val="토공계획"/>
      <sheetName val="토공계획 (교)"/>
      <sheetName val="미진동"/>
      <sheetName val="토공유동(본)"/>
      <sheetName val="RP토공집계"/>
      <sheetName val="토공유동(본) (2)"/>
      <sheetName val="RP토공집계 (교)"/>
      <sheetName val="암유용"/>
      <sheetName val="구조물깨기집계표"/>
      <sheetName val="구조물깨기"/>
      <sheetName val="건물헐기수량집계"/>
      <sheetName val="건축물헐기"/>
      <sheetName val="집수정(TYPE1)"/>
      <sheetName val="집수정(TYPE2)"/>
      <sheetName val="집수정(TYPE3)"/>
      <sheetName val="집수정(TYPE4)"/>
      <sheetName val="집수정(TYPE5)"/>
      <sheetName val="석축평균높이산출"/>
      <sheetName val="Baby일위대가"/>
      <sheetName val="재정비직인"/>
      <sheetName val="재정비내역"/>
      <sheetName val="지적고시내역"/>
      <sheetName val="강진운암"/>
      <sheetName val="교각토공"/>
    </sheetNames>
    <definedNames>
      <definedName name="수식입력매크로" refersTo="#REF!"/>
      <definedName name="일위규격매크로" refersTo="#REF!"/>
      <definedName name="일위코드입력매크로" refersTo="#REF!"/>
      <definedName name="일위화면복귀매크로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7.xml><?xml version="1.0" encoding="utf-8"?>
<externalLink xmlns="http://schemas.openxmlformats.org/spreadsheetml/2006/main">
  <externalBook xmlns:r="http://schemas.openxmlformats.org/officeDocument/2006/relationships" r:id="rId1">
    <sheetNames>
      <sheetName val="2공구자재집"/>
      <sheetName val="UDP"/>
      <sheetName val="INT"/>
      <sheetName val="DAT"/>
      <sheetName val="치환토"/>
      <sheetName val="구조토공"/>
      <sheetName val="측구수집"/>
      <sheetName val="측자재집"/>
      <sheetName val="수량계산"/>
      <sheetName val="위치조서"/>
      <sheetName val="단위수량집계"/>
      <sheetName val="단위수량2"/>
      <sheetName val="단위수량"/>
      <sheetName val="신축이음"/>
      <sheetName val="신축수량"/>
      <sheetName val="측구2"/>
      <sheetName val="계림(함평)"/>
      <sheetName val="계림(장성)"/>
    </sheetNames>
    <definedNames>
      <definedName name="매크로11"/>
      <definedName name="매크로4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158.xml><?xml version="1.0" encoding="utf-8"?>
<externalLink xmlns="http://schemas.openxmlformats.org/spreadsheetml/2006/main">
  <externalBook xmlns:r="http://schemas.openxmlformats.org/officeDocument/2006/relationships" r:id="rId1">
    <sheetNames>
      <sheetName val="총괄집계"/>
      <sheetName val="타공종이기수량집계표"/>
      <sheetName val="주요자재집계표"/>
      <sheetName val="주요자재산출근거"/>
      <sheetName val="철근집계표"/>
      <sheetName val="slab집계"/>
      <sheetName val="슬래브철근"/>
      <sheetName val="슬래브"/>
      <sheetName val="교대집계"/>
      <sheetName val="교대철근"/>
      <sheetName val="교대(A1)집계"/>
      <sheetName val="교대(A1)"/>
      <sheetName val="날개벽(A1,좌)"/>
      <sheetName val="접속S(A1)"/>
      <sheetName val="교대(A2)집계"/>
      <sheetName val="교대(A2)"/>
      <sheetName val="날개벽(A2,좌우)"/>
      <sheetName val="접속S(A2)"/>
      <sheetName val="교각집계"/>
      <sheetName val="교각철근"/>
      <sheetName val="P1-집계"/>
      <sheetName val="P1"/>
      <sheetName val="P2-집계"/>
      <sheetName val="P2"/>
      <sheetName val="토공집계"/>
      <sheetName val="교대토공집계"/>
      <sheetName val="교대토공상세집계(A1)"/>
      <sheetName val="교대토공(A1)"/>
      <sheetName val="교대토공상세집계(A2)"/>
      <sheetName val="교대토공(A2)"/>
      <sheetName val="교각토공집계"/>
      <sheetName val="교각토공집계(P1)"/>
      <sheetName val="교각토공(P1)"/>
      <sheetName val="교각토공집계(P2)"/>
      <sheetName val="교각토공(P1)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59.xml><?xml version="1.0" encoding="utf-8"?>
<externalLink xmlns="http://schemas.openxmlformats.org/spreadsheetml/2006/main">
  <externalBook xmlns:r="http://schemas.openxmlformats.org/officeDocument/2006/relationships" r:id="rId1">
    <sheetNames>
      <sheetName val="토이월"/>
      <sheetName val="수량산출"/>
      <sheetName val="이기수량"/>
      <sheetName val="토공내역 "/>
      <sheetName val="유동표"/>
      <sheetName val="돌붙임"/>
      <sheetName val="교대(A1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160.xml><?xml version="1.0" encoding="utf-8"?>
<externalLink xmlns="http://schemas.openxmlformats.org/spreadsheetml/2006/main">
  <externalBook xmlns:r="http://schemas.openxmlformats.org/officeDocument/2006/relationships" r:id="rId1">
    <sheetNames>
      <sheetName val="Sheet1 (2)"/>
      <sheetName val="Sheet1"/>
      <sheetName val="Sheet2"/>
      <sheetName val="Sheet3"/>
      <sheetName val="Sheet1 (3)"/>
      <sheetName val="Sheet2 (3)"/>
      <sheetName val="Sheet3 (3)"/>
      <sheetName val="2공구자재집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61.xml><?xml version="1.0" encoding="utf-8"?>
<externalLink xmlns="http://schemas.openxmlformats.org/spreadsheetml/2006/main">
  <externalBook xmlns:r="http://schemas.openxmlformats.org/officeDocument/2006/relationships" r:id="rId1">
    <sheetNames>
      <sheetName val="사업수지"/>
      <sheetName val="C1총괄"/>
    </sheetNames>
    <definedNames>
      <definedName name="복사준비"/>
      <definedName name="우로복사"/>
      <definedName name="인쇄"/>
      <definedName name="지우기"/>
    </definedNames>
    <sheetDataSet>
      <sheetData sheetId="0" refreshError="1"/>
      <sheetData sheetId="1" refreshError="1"/>
    </sheetDataSet>
  </externalBook>
</externalLink>
</file>

<file path=xl/externalLinks/externalLink16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XL4Poppy"/>
    </sheetNames>
    <sheetDataSet>
      <sheetData sheetId="0" refreshError="1"/>
      <sheetData sheetId="1">
        <row r="15">
          <cell r="A15" t="b">
            <v>1</v>
          </cell>
        </row>
      </sheetData>
    </sheetDataSet>
  </externalBook>
</externalLink>
</file>

<file path=xl/externalLinks/externalLink163.xml><?xml version="1.0" encoding="utf-8"?>
<externalLink xmlns="http://schemas.openxmlformats.org/spreadsheetml/2006/main">
  <externalBook xmlns:r="http://schemas.openxmlformats.org/officeDocument/2006/relationships" r:id="rId1">
    <sheetNames>
      <sheetName val="노임단가"/>
      <sheetName val="경비단가"/>
      <sheetName val="중기집계 (2)"/>
      <sheetName val="중기손료 (2)"/>
      <sheetName val="자재단가"/>
      <sheetName val="토   공 "/>
      <sheetName val="교량공"/>
      <sheetName val="배수공"/>
      <sheetName val="포장공"/>
      <sheetName val="부대공"/>
      <sheetName val="단가목록"/>
      <sheetName val="Sheet4"/>
      <sheetName val="Sheet5"/>
      <sheetName val="XL4Poppy"/>
    </sheetNames>
    <sheetDataSet>
      <sheetData sheetId="0">
        <row r="91">
          <cell r="D91">
            <v>52855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64.xml><?xml version="1.0" encoding="utf-8"?>
<externalLink xmlns="http://schemas.openxmlformats.org/spreadsheetml/2006/main">
  <externalBook xmlns:r="http://schemas.openxmlformats.org/officeDocument/2006/relationships" r:id="rId1">
    <sheetNames>
      <sheetName val="Sheet1 (2)"/>
      <sheetName val="Sheet1"/>
      <sheetName val="Sheet2"/>
      <sheetName val="Sheet3"/>
      <sheetName val="Sheet1 (3)"/>
      <sheetName val="Sheet2 (3)"/>
      <sheetName val="Sheet3 (3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65.xml><?xml version="1.0" encoding="utf-8"?>
<externalLink xmlns="http://schemas.openxmlformats.org/spreadsheetml/2006/main">
  <externalBook xmlns:r="http://schemas.openxmlformats.org/officeDocument/2006/relationships" r:id="rId1">
    <sheetNames>
      <sheetName val="100만평"/>
      <sheetName val="30만평"/>
      <sheetName val="20만평"/>
      <sheetName val="Sheet1 (2)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66.xml><?xml version="1.0" encoding="utf-8"?>
<externalLink xmlns="http://schemas.openxmlformats.org/spreadsheetml/2006/main">
  <externalBook xmlns:r="http://schemas.openxmlformats.org/officeDocument/2006/relationships" r:id="rId1">
    <sheetNames>
      <sheetName val="노임단가"/>
      <sheetName val="경비단가"/>
      <sheetName val="중기집계"/>
      <sheetName val="중기손료"/>
      <sheetName val="토   공 "/>
      <sheetName val="배수공"/>
      <sheetName val="교량공"/>
      <sheetName val="포장공"/>
      <sheetName val="부대공"/>
      <sheetName val="자재단가"/>
      <sheetName val="단가목록"/>
      <sheetName val="Sheet4"/>
      <sheetName val="Sheet5"/>
      <sheetName val="Sheet1 (2)"/>
    </sheetNames>
    <sheetDataSet>
      <sheetData sheetId="0">
        <row r="90">
          <cell r="C90">
            <v>37736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67.xml><?xml version="1.0" encoding="utf-8"?>
<externalLink xmlns="http://schemas.openxmlformats.org/spreadsheetml/2006/main">
  <externalBook xmlns:r="http://schemas.openxmlformats.org/officeDocument/2006/relationships" r:id="rId1">
    <sheetNames>
      <sheetName val="총괄표지"/>
      <sheetName val="총괄"/>
      <sheetName val="원가표지"/>
      <sheetName val="원가계산서"/>
      <sheetName val="설계표지"/>
      <sheetName val="설계내역서"/>
      <sheetName val="일위대가표지"/>
      <sheetName val="일위기본도"/>
      <sheetName val="산출근거"/>
      <sheetName val="성과항측(총괄)"/>
      <sheetName val="성과항측(출장)"/>
      <sheetName val="성과항측(현지검측) "/>
      <sheetName val="재료비"/>
      <sheetName val="여비규정"/>
      <sheetName val="1000 DB구축 부표"/>
      <sheetName val="재정비직인"/>
      <sheetName val="재정비내역"/>
      <sheetName val="지적고시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3">
          <cell r="G43">
            <v>52374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68.xml><?xml version="1.0" encoding="utf-8"?>
<externalLink xmlns="http://schemas.openxmlformats.org/spreadsheetml/2006/main">
  <externalBook xmlns:r="http://schemas.openxmlformats.org/officeDocument/2006/relationships" r:id="rId1">
    <sheetNames>
      <sheetName val="노임단가"/>
      <sheetName val="배수공 내역서 적용수량"/>
      <sheetName val="용역단가"/>
      <sheetName val="OSO아산"/>
    </sheetNames>
    <definedNames>
      <definedName name="복사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69.xml><?xml version="1.0" encoding="utf-8"?>
<externalLink xmlns="http://schemas.openxmlformats.org/spreadsheetml/2006/main">
  <externalBook xmlns:r="http://schemas.openxmlformats.org/officeDocument/2006/relationships" r:id="rId1">
    <sheetNames>
      <sheetName val="INPUT"/>
      <sheetName val="자재집계"/>
      <sheetName val="총수량"/>
      <sheetName val="총철근"/>
      <sheetName val="몰탈"/>
      <sheetName val="토공집계"/>
      <sheetName val="토적집계"/>
      <sheetName val="토적표"/>
      <sheetName val="포장수량집계"/>
      <sheetName val="포장철근집계"/>
      <sheetName val="아스콘T=62.5"/>
      <sheetName val="고압블럭T=20"/>
      <sheetName val="보차도경계블럭"/>
      <sheetName val="보도경계블럭"/>
      <sheetName val="L형측구"/>
      <sheetName val="감속턱"/>
      <sheetName val="차선(중앙선)"/>
      <sheetName val="차선(직각주차)"/>
      <sheetName val="우수수량집계"/>
      <sheetName val="우수철근집계"/>
      <sheetName val="우수흄관깊이"/>
      <sheetName val="우수맨홀깊이"/>
      <sheetName val="우수맨홀(D900)"/>
      <sheetName val="우수맨홀(D1200)"/>
      <sheetName val="흄관(D450)"/>
      <sheetName val="흄관(D600)"/>
      <sheetName val="집수정"/>
      <sheetName val="홈통받이"/>
      <sheetName val="빗물받이(910-510-410)"/>
      <sheetName val="빗물받이(600-510-410)"/>
      <sheetName val="U형측구"/>
      <sheetName val="홈통받이연락관(D.C PIPE-150)"/>
      <sheetName val="빗물받이연락관(D.C PIPE-250)"/>
      <sheetName val="맹암거(SDP150)"/>
      <sheetName val="맹암거(SDP100)"/>
      <sheetName val="우수PIT"/>
      <sheetName val="오수수량집계"/>
      <sheetName val="오수철근집계"/>
      <sheetName val="오수공흄관평균깊이"/>
      <sheetName val="오수공맨홀평균깊이"/>
      <sheetName val="오수맨홀(D900)"/>
      <sheetName val="오수-흄관(D300)"/>
      <sheetName val="오수받이(910-510-410)"/>
      <sheetName val="오수받이연락관(D.CPIPE-150)"/>
      <sheetName val="상수수량집계"/>
      <sheetName val="상수철근집계"/>
      <sheetName val="제수변실(1.40-1.80)"/>
      <sheetName val="주철관(D40)"/>
      <sheetName val="주철관(D150)"/>
      <sheetName val="공동구수량집계"/>
      <sheetName val="공동구철근집계"/>
      <sheetName val="공동구단위시트"/>
      <sheetName val="공비대비"/>
      <sheetName val="본공사"/>
      <sheetName val="원가계산서"/>
      <sheetName val="#REF"/>
      <sheetName val="JUCKEYK"/>
      <sheetName val="BID"/>
      <sheetName val="S0"/>
      <sheetName val="수량산출"/>
      <sheetName val="토목"/>
      <sheetName val="우수"/>
      <sheetName val="대구진천삼성APT"/>
      <sheetName val="일위대가표지"/>
      <sheetName val="노임단가"/>
      <sheetName val="TYPE-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4">
          <cell r="P4">
            <v>49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70.xml><?xml version="1.0" encoding="utf-8"?>
<externalLink xmlns="http://schemas.openxmlformats.org/spreadsheetml/2006/main">
  <externalBook xmlns:r="http://schemas.openxmlformats.org/officeDocument/2006/relationships" r:id="rId1">
    <sheetNames>
      <sheetName val="VXXXXX"/>
      <sheetName val="want"/>
      <sheetName val="내역적용"/>
      <sheetName val="배수공총집계"/>
      <sheetName val="배수공자재집계"/>
      <sheetName val="횡배수관공"/>
      <sheetName val="종배수관공"/>
      <sheetName val="플륨관집계"/>
      <sheetName val="맹집계"/>
      <sheetName val="측구집계"/>
      <sheetName val="도수로집계"/>
      <sheetName val="도수로단위"/>
      <sheetName val="집수정집계"/>
      <sheetName val="토공이월"/>
      <sheetName val="집수정단위"/>
      <sheetName val="날개집계"/>
      <sheetName val="날개단위"/>
      <sheetName val="횡배수집계"/>
      <sheetName val="횡배수관"/>
      <sheetName val="면벽"/>
      <sheetName val="종배수집계"/>
      <sheetName val="종배수관"/>
      <sheetName val="측구2"/>
      <sheetName val="측구1"/>
      <sheetName val="측구현황"/>
      <sheetName val="맹현황"/>
      <sheetName val="빗물받이(910-510-410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171.xml><?xml version="1.0" encoding="utf-8"?>
<externalLink xmlns="http://schemas.openxmlformats.org/spreadsheetml/2006/main">
  <externalBook xmlns:r="http://schemas.openxmlformats.org/officeDocument/2006/relationships" r:id="rId1">
    <sheetNames>
      <sheetName val="VXXXXX"/>
      <sheetName val="입력"/>
      <sheetName val="수량산출"/>
      <sheetName val="표지"/>
      <sheetName val="1차총괄"/>
      <sheetName val="일위대가표지"/>
      <sheetName val="일위대가"/>
      <sheetName val="산출근거표지"/>
      <sheetName val="산출근거"/>
      <sheetName val="인트라넷GIS"/>
      <sheetName val="인트라넷GIS기능내역"/>
      <sheetName val="장비(1차년도)"/>
      <sheetName val="성과심사(1차)"/>
      <sheetName val="현지검측(1차)"/>
      <sheetName val="노임및재표비표지"/>
      <sheetName val="적용단가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72.xml><?xml version="1.0" encoding="utf-8"?>
<externalLink xmlns="http://schemas.openxmlformats.org/spreadsheetml/2006/main">
  <externalBook xmlns:r="http://schemas.openxmlformats.org/officeDocument/2006/relationships" r:id="rId1">
    <sheetNames>
      <sheetName val="수량표지"/>
      <sheetName val="표지"/>
      <sheetName val="입력자료"/>
      <sheetName val="유동표"/>
      <sheetName val="집계표"/>
      <sheetName val="토공집계"/>
      <sheetName val="구조물토적"/>
      <sheetName val="콘크리트깨기"/>
      <sheetName val="Sheet10"/>
      <sheetName val="Sheet11"/>
      <sheetName val="Sheet12"/>
      <sheetName val="Sheet13"/>
      <sheetName val="Sheet14"/>
      <sheetName val="Sheet15"/>
      <sheetName val="Sheet16"/>
      <sheetName val="100만평"/>
      <sheetName val="DB구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73.xml><?xml version="1.0" encoding="utf-8"?>
<externalLink xmlns="http://schemas.openxmlformats.org/spreadsheetml/2006/main">
  <externalBook xmlns:r="http://schemas.openxmlformats.org/officeDocument/2006/relationships" r:id="rId1">
    <sheetNames>
      <sheetName val="VXXXXX"/>
      <sheetName val="설계표지"/>
      <sheetName val="총괄표"/>
      <sheetName val="1년차"/>
      <sheetName val="2년차"/>
      <sheetName val="3년차"/>
      <sheetName val="세부내역(간지)"/>
      <sheetName val="범용패키지"/>
      <sheetName val="수정개발"/>
      <sheetName val="수정개발부표_범용개발순소요비용"/>
      <sheetName val="추가개발"/>
      <sheetName val="추가기능목록"/>
      <sheetName val="웹수치활용응용모듈"/>
      <sheetName val="웹수치기능목록"/>
      <sheetName val="웹수치활용장비"/>
      <sheetName val="DB총괄표"/>
      <sheetName val="DB1년차"/>
      <sheetName val="DB2년차"/>
      <sheetName val="DB3년차"/>
      <sheetName val="도면출력"/>
      <sheetName val="도면출력부표"/>
      <sheetName val="상수탐사"/>
      <sheetName val="상수탐사부표"/>
      <sheetName val="상수조사"/>
      <sheetName val="상수조사부표"/>
      <sheetName val="하수탐사"/>
      <sheetName val="하수탐사부표"/>
      <sheetName val="하수조사"/>
      <sheetName val="하수조사부표"/>
      <sheetName val="상수정위치편집"/>
      <sheetName val="상수정위치편집부표"/>
      <sheetName val="하수정위치편집"/>
      <sheetName val="하수정위치편집부표"/>
      <sheetName val="상수구조화편집"/>
      <sheetName val="상수구조화편집부표"/>
      <sheetName val="하수구조화편집"/>
      <sheetName val="하수구조화편집부표"/>
      <sheetName val="도면제작편집"/>
      <sheetName val="도면제작편집부표"/>
      <sheetName val="최종도면출력"/>
      <sheetName val="최종도면출력부표"/>
      <sheetName val="1년차성과심사"/>
      <sheetName val="1년차성과심사부표"/>
      <sheetName val="2년차성과심사"/>
      <sheetName val="2년차성과심사부표"/>
      <sheetName val="3년차성과심사"/>
      <sheetName val="3년차성과심사부표"/>
      <sheetName val="노임단가"/>
      <sheetName val="수량산출"/>
      <sheetName val="제7호표 범용도입"/>
      <sheetName val="수량산출(총괄)"/>
      <sheetName val="CT"/>
      <sheetName val="재정비직인"/>
      <sheetName val="재정비내역"/>
      <sheetName val="지적고시내역"/>
      <sheetName val="단위중량"/>
      <sheetName val="산출(열차무선)"/>
      <sheetName val="시점교대"/>
      <sheetName val="용역단가"/>
      <sheetName val="도로정위치부표"/>
      <sheetName val="도로조사부표"/>
      <sheetName val="100만평"/>
      <sheetName val="내역서2안"/>
      <sheetName val="Mc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7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자재운반단가일람표"/>
    </sheetNames>
    <sheetDataSet>
      <sheetData sheetId="0" refreshError="1"/>
      <sheetData sheetId="1" refreshError="1">
        <row r="1">
          <cell r="A1" t="str">
            <v>품목</v>
          </cell>
          <cell r="B1" t="str">
            <v>사양</v>
          </cell>
          <cell r="C1" t="str">
            <v>단가</v>
          </cell>
        </row>
        <row r="2">
          <cell r="A2" t="str">
            <v>사과</v>
          </cell>
          <cell r="B2" t="str">
            <v>30개들이</v>
          </cell>
          <cell r="C2">
            <v>65000</v>
          </cell>
        </row>
        <row r="3">
          <cell r="A3" t="str">
            <v>배</v>
          </cell>
          <cell r="B3" t="str">
            <v>20개들이</v>
          </cell>
          <cell r="C3">
            <v>85000</v>
          </cell>
        </row>
        <row r="4">
          <cell r="A4" t="str">
            <v>귤</v>
          </cell>
          <cell r="B4" t="str">
            <v>120개들이</v>
          </cell>
          <cell r="C4">
            <v>32000</v>
          </cell>
        </row>
        <row r="5">
          <cell r="A5" t="str">
            <v>포도</v>
          </cell>
          <cell r="B5" t="str">
            <v>5kg</v>
          </cell>
          <cell r="C5">
            <v>28000</v>
          </cell>
        </row>
        <row r="6">
          <cell r="A6" t="str">
            <v>바나나</v>
          </cell>
          <cell r="B6" t="str">
            <v>10kg</v>
          </cell>
          <cell r="C6">
            <v>29500</v>
          </cell>
        </row>
        <row r="7">
          <cell r="A7" t="str">
            <v>감</v>
          </cell>
          <cell r="B7" t="str">
            <v>30개들이</v>
          </cell>
          <cell r="C7">
            <v>26700</v>
          </cell>
        </row>
        <row r="8">
          <cell r="A8" t="str">
            <v>파인애플</v>
          </cell>
          <cell r="B8" t="str">
            <v>10개들이</v>
          </cell>
          <cell r="C8">
            <v>42500</v>
          </cell>
        </row>
      </sheetData>
      <sheetData sheetId="2" refreshError="1"/>
      <sheetData sheetId="3" refreshError="1"/>
    </sheetDataSet>
  </externalBook>
</externalLink>
</file>

<file path=xl/externalLinks/externalLink175.xml><?xml version="1.0" encoding="utf-8"?>
<externalLink xmlns="http://schemas.openxmlformats.org/spreadsheetml/2006/main">
  <externalBook xmlns:r="http://schemas.openxmlformats.org/officeDocument/2006/relationships" r:id="rId1">
    <sheetNames>
      <sheetName val="총괄표"/>
      <sheetName val="시스템개발"/>
      <sheetName val="DB구축"/>
      <sheetName val="SW"/>
      <sheetName val="프로그램 내역"/>
      <sheetName val="SW노임단가"/>
      <sheetName val="상수구조화편집부표"/>
      <sheetName val="입력변수"/>
      <sheetName val="목록"/>
      <sheetName val="생활지리"/>
      <sheetName val="노임단가 (2)"/>
      <sheetName val="부대공"/>
      <sheetName val="운반공"/>
      <sheetName val="1000 DB구축 부표"/>
      <sheetName val="표준단가산출양식"/>
      <sheetName val="TOTAL3"/>
      <sheetName val="노임단가"/>
      <sheetName val="수량산출"/>
      <sheetName val="도면출력"/>
      <sheetName val="#REF"/>
      <sheetName val="기본일위"/>
      <sheetName val="내역서"/>
      <sheetName val="COVER"/>
      <sheetName val="단가조사"/>
      <sheetName val="공비대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76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우수관로 자재집계  "/>
      <sheetName val="우수관로 수량집계"/>
      <sheetName val="우수관로자재접합 "/>
      <sheetName val="맨홀집계표 "/>
      <sheetName val="맨홀수량"/>
      <sheetName val="맨홀토공"/>
      <sheetName val="일위대가모듈"/>
      <sheetName val="일위대가집계표"/>
      <sheetName val="일위대가표"/>
      <sheetName val="DATA"/>
      <sheetName val="일위대가표지"/>
      <sheetName val="시행분집계"/>
      <sheetName val="일위대가시행분"/>
      <sheetName val="단가산출표지"/>
      <sheetName val="단가산출집계"/>
      <sheetName val="구조물토적"/>
      <sheetName val="DAT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77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목차"/>
      <sheetName val="기계경비"/>
      <sheetName val="포장절단"/>
      <sheetName val="중기터파기,되메우기"/>
      <sheetName val="포장깨기"/>
      <sheetName val="암반깨기(0.4)"/>
      <sheetName val="소형브레이카"/>
      <sheetName val="램머"/>
      <sheetName val="잔토운반거리"/>
      <sheetName val="내용"/>
      <sheetName val="변수값(1)"/>
      <sheetName val="변수값(2)"/>
      <sheetName val="잔토처리"/>
      <sheetName val="중기터파기(잔토처리)"/>
      <sheetName val="폐기물처리비"/>
      <sheetName val="AS복구"/>
      <sheetName val="G.R300합계"/>
      <sheetName val="G.R300경비"/>
      <sheetName val="재료집계표"/>
      <sheetName val="하천하월"/>
      <sheetName val="압입공사수량산출"/>
      <sheetName val="관.지.벽 공정집계표"/>
      <sheetName val="보강콘크리트산출"/>
      <sheetName val="PE내관피스표"/>
      <sheetName val="인수공(총괄)"/>
      <sheetName val="FC관자재산출"/>
      <sheetName val="양수작업"/>
      <sheetName val="공제대산출"/>
      <sheetName val="현장자재소운반"/>
      <sheetName val="라,교,공사안내판"/>
      <sheetName val="전력비"/>
      <sheetName val="가설규모및부지임차료"/>
      <sheetName val="가설울타리및보안등설치"/>
      <sheetName val="지수판설치수량산출서"/>
      <sheetName val="잔디복구수량산출"/>
      <sheetName val="단가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78.xml><?xml version="1.0" encoding="utf-8"?>
<externalLink xmlns="http://schemas.openxmlformats.org/spreadsheetml/2006/main">
  <externalBook xmlns:r="http://schemas.openxmlformats.org/officeDocument/2006/relationships" r:id="rId1">
    <sheetNames>
      <sheetName val="L형조서"/>
      <sheetName val="맹암거조서"/>
      <sheetName val="U형조서"/>
      <sheetName val="V형조서"/>
      <sheetName val="종배수관조서"/>
      <sheetName val="게비온조서"/>
      <sheetName val="빗물받이조서"/>
      <sheetName val="반중력옹벽조서"/>
      <sheetName val="석축조서"/>
      <sheetName val="횡배수관조서"/>
      <sheetName val="집수정현황"/>
      <sheetName val="암 거조서"/>
      <sheetName val="단가산출"/>
      <sheetName val="DATE"/>
      <sheetName val="연장집계표"/>
    </sheetNames>
    <definedNames>
      <definedName name="수식입력매크로" refersTo="#REF!"/>
      <definedName name="일위규격매크로" refersTo="#REF!"/>
      <definedName name="일위코드입력매크로" refersTo="#REF!"/>
      <definedName name="일위화면복귀매크로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9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백포자재단가"/>
      <sheetName val="백자재단위당"/>
      <sheetName val="백자재산출"/>
      <sheetName val="백자재운반"/>
      <sheetName val="백중기일람"/>
      <sheetName val="백중기"/>
      <sheetName val="백단가"/>
      <sheetName val="수자재단가"/>
      <sheetName val="수자재단위당"/>
      <sheetName val="DAN1"/>
      <sheetName val="단가산출"/>
      <sheetName val="수량산출서-2"/>
      <sheetName val="공사요율"/>
      <sheetName val="Sheet1"/>
      <sheetName val="일위대가표"/>
      <sheetName val="TOTAL3"/>
      <sheetName val="도로횡단-D300"/>
      <sheetName val="공비대비"/>
      <sheetName val="DATE"/>
      <sheetName val="원가계산1담양캠퍼스"/>
      <sheetName val="100만평"/>
      <sheetName val="집계표"/>
    </sheetNames>
    <definedNames>
      <definedName name="수식입력매크로"/>
      <definedName name="일위규격매크로"/>
      <definedName name="일위코드입력매크로"/>
      <definedName name="일위화면복귀매크로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80.xml><?xml version="1.0" encoding="utf-8"?>
<externalLink xmlns="http://schemas.openxmlformats.org/spreadsheetml/2006/main">
  <externalBook xmlns:r="http://schemas.openxmlformats.org/officeDocument/2006/relationships" r:id="rId1">
    <sheetNames>
      <sheetName val="Sheet1 (2)"/>
      <sheetName val="Sheet1"/>
      <sheetName val="Sheet2"/>
      <sheetName val="Sheet3"/>
      <sheetName val="Sheet1 (3)"/>
      <sheetName val="Sheet2 (3)"/>
      <sheetName val="Sheet3 (3)"/>
      <sheetName val="수자재단위당"/>
      <sheetName val="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81.xml><?xml version="1.0" encoding="utf-8"?>
<externalLink xmlns="http://schemas.openxmlformats.org/spreadsheetml/2006/main">
  <externalBook xmlns:r="http://schemas.openxmlformats.org/officeDocument/2006/relationships" r:id="rId1">
    <sheetNames>
      <sheetName val="N賃率-職"/>
      <sheetName val="Sheet1 (2)"/>
    </sheetNames>
    <sheetDataSet>
      <sheetData sheetId="0">
        <row r="5">
          <cell r="I5">
            <v>1</v>
          </cell>
        </row>
      </sheetData>
      <sheetData sheetId="1" refreshError="1"/>
    </sheetDataSet>
  </externalBook>
</externalLink>
</file>

<file path=xl/externalLinks/externalLink182.xml><?xml version="1.0" encoding="utf-8"?>
<externalLink xmlns="http://schemas.openxmlformats.org/spreadsheetml/2006/main">
  <externalBook xmlns:r="http://schemas.openxmlformats.org/officeDocument/2006/relationships" r:id="rId1">
    <sheetNames>
      <sheetName val="건축내역"/>
      <sheetName val="일위대가"/>
      <sheetName val="N賃率-職"/>
    </sheetNames>
    <sheetDataSet>
      <sheetData sheetId="0"/>
      <sheetData sheetId="1" refreshError="1"/>
      <sheetData sheetId="2" refreshError="1"/>
    </sheetDataSet>
  </externalBook>
</externalLink>
</file>

<file path=xl/externalLinks/externalLink183.xml><?xml version="1.0" encoding="utf-8"?>
<externalLink xmlns="http://schemas.openxmlformats.org/spreadsheetml/2006/main">
  <externalBook xmlns:r="http://schemas.openxmlformats.org/officeDocument/2006/relationships" r:id="rId1">
    <sheetNames>
      <sheetName val="VXXXXX"/>
      <sheetName val="일위합"/>
      <sheetName val="일위"/>
      <sheetName val="토공"/>
      <sheetName val="포장공"/>
      <sheetName val="부대공"/>
      <sheetName val="운반공"/>
      <sheetName val="배수공"/>
      <sheetName val="중기사"/>
      <sheetName val="기계경"/>
      <sheetName val="노임단"/>
      <sheetName val="장비단"/>
      <sheetName val="자재단"/>
      <sheetName val="기계합"/>
      <sheetName val="일위대가"/>
      <sheetName val="조명시설"/>
      <sheetName val="N賃率-職"/>
      <sheetName val="3기준"/>
      <sheetName val="TYPE-A"/>
      <sheetName val="2.어플리케이션보정계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4.xml><?xml version="1.0" encoding="utf-8"?>
<externalLink xmlns="http://schemas.openxmlformats.org/spreadsheetml/2006/main">
  <externalBook xmlns:r="http://schemas.openxmlformats.org/officeDocument/2006/relationships" r:id="rId1">
    <sheetNames>
      <sheetName val="선급금"/>
      <sheetName val="선급금지급조건"/>
      <sheetName val="선급금신청서"/>
      <sheetName val="각서"/>
      <sheetName val="사용계획서"/>
      <sheetName val="카메라"/>
      <sheetName val="Sheet1"/>
      <sheetName val="Sheet2"/>
      <sheetName val="Sheet3"/>
      <sheetName val="차액보증"/>
      <sheetName val="조명시설"/>
      <sheetName val="장비단"/>
      <sheetName val="노임단"/>
      <sheetName val="대림경상68억"/>
    </sheetNames>
    <sheetDataSet>
      <sheetData sheetId="0"/>
      <sheetData sheetId="1"/>
      <sheetData sheetId="2">
        <row r="1">
          <cell r="A1" t="str">
            <v>선 급 금 신 청 서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85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공종단가"/>
      <sheetName val="운반비단가"/>
      <sheetName val="재료비"/>
      <sheetName val="가공송전산출서"/>
      <sheetName val="토목분야산출서"/>
      <sheetName val="직종별노임"/>
      <sheetName val="노임변동률"/>
      <sheetName val="제목"/>
      <sheetName val="laroux"/>
      <sheetName val="증감대비"/>
      <sheetName val="차액보증"/>
    </sheetNames>
    <sheetDataSet>
      <sheetData sheetId="0" refreshError="1"/>
      <sheetData sheetId="1">
        <row r="2">
          <cell r="C2" t="str">
            <v>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</sheetDataSet>
  </externalBook>
</externalLink>
</file>

<file path=xl/externalLinks/externalLink186.xml><?xml version="1.0" encoding="utf-8"?>
<externalLink xmlns="http://schemas.openxmlformats.org/spreadsheetml/2006/main">
  <externalBook xmlns:r="http://schemas.openxmlformats.org/officeDocument/2006/relationships" r:id="rId1">
    <sheetNames>
      <sheetName val="계발비산정_총괄표"/>
      <sheetName val="세부산출내역서"/>
      <sheetName val="개발원가 산정내역"/>
      <sheetName val="1~2.기능점수및규모"/>
      <sheetName val="2.어플리케이션보정계수"/>
      <sheetName val="3.품질특성보정계수"/>
      <sheetName val="4.언어보정계수"/>
      <sheetName val="DB구축"/>
      <sheetName val="인건비"/>
      <sheetName val="토지매수관리시스템_개발금액산출"/>
      <sheetName val="일람표"/>
      <sheetName val="일위대가표지"/>
      <sheetName val="직재"/>
      <sheetName val="N賃率-職"/>
    </sheetNames>
    <sheetDataSet>
      <sheetData sheetId="0"/>
      <sheetData sheetId="1"/>
      <sheetData sheetId="2"/>
      <sheetData sheetId="3"/>
      <sheetData sheetId="4">
        <row r="4">
          <cell r="C4">
            <v>1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87.xml><?xml version="1.0" encoding="utf-8"?>
<externalLink xmlns="http://schemas.openxmlformats.org/spreadsheetml/2006/main">
  <externalBook xmlns:r="http://schemas.openxmlformats.org/officeDocument/2006/relationships" r:id="rId1">
    <sheetNames>
      <sheetName val="기초자료"/>
      <sheetName val="여과지동"/>
      <sheetName val="XL4Poppy"/>
    </sheetNames>
    <sheetDataSet>
      <sheetData sheetId="0" refreshError="1">
        <row r="3">
          <cell r="A3">
            <v>1</v>
          </cell>
          <cell r="B3" t="str">
            <v>전선관</v>
          </cell>
          <cell r="C3" t="str">
            <v>ST  28C</v>
          </cell>
          <cell r="D3" t="str">
            <v>m</v>
          </cell>
          <cell r="S3" t="str">
            <v>내선</v>
          </cell>
          <cell r="T3">
            <v>0.14000000000000001</v>
          </cell>
        </row>
        <row r="4">
          <cell r="A4">
            <v>2</v>
          </cell>
          <cell r="B4" t="str">
            <v>전선관</v>
          </cell>
          <cell r="C4" t="str">
            <v>HI-PVC  16C</v>
          </cell>
          <cell r="D4" t="str">
            <v>m</v>
          </cell>
          <cell r="S4" t="str">
            <v>내선</v>
          </cell>
          <cell r="T4">
            <v>0.05</v>
          </cell>
        </row>
        <row r="5">
          <cell r="A5">
            <v>3</v>
          </cell>
          <cell r="B5" t="str">
            <v>전선관</v>
          </cell>
          <cell r="C5" t="str">
            <v>HI-PVC  22C</v>
          </cell>
          <cell r="D5" t="str">
            <v>m</v>
          </cell>
          <cell r="S5" t="str">
            <v>내선</v>
          </cell>
          <cell r="T5">
            <v>0.06</v>
          </cell>
        </row>
        <row r="6">
          <cell r="A6">
            <v>4</v>
          </cell>
          <cell r="B6" t="str">
            <v>전선관</v>
          </cell>
          <cell r="C6" t="str">
            <v>HI-PVC  28C</v>
          </cell>
          <cell r="D6" t="str">
            <v>m</v>
          </cell>
          <cell r="S6" t="str">
            <v>내선</v>
          </cell>
          <cell r="T6">
            <v>0.08</v>
          </cell>
        </row>
        <row r="7">
          <cell r="A7">
            <v>5</v>
          </cell>
          <cell r="B7" t="str">
            <v>전선관</v>
          </cell>
          <cell r="C7" t="str">
            <v>HI-PVC  36C</v>
          </cell>
          <cell r="D7" t="str">
            <v>m</v>
          </cell>
          <cell r="S7" t="str">
            <v>내선</v>
          </cell>
          <cell r="T7">
            <v>0.1</v>
          </cell>
        </row>
        <row r="8">
          <cell r="A8">
            <v>6</v>
          </cell>
          <cell r="B8" t="str">
            <v>전선관</v>
          </cell>
          <cell r="C8" t="str">
            <v xml:space="preserve">ELPφ40  </v>
          </cell>
          <cell r="D8" t="str">
            <v>m</v>
          </cell>
          <cell r="U8" t="str">
            <v>배전</v>
          </cell>
          <cell r="V8">
            <v>1.2E-2</v>
          </cell>
          <cell r="W8" t="str">
            <v>보인</v>
          </cell>
          <cell r="X8">
            <v>2.9000000000000001E-2</v>
          </cell>
        </row>
        <row r="9">
          <cell r="A9">
            <v>7</v>
          </cell>
          <cell r="B9" t="str">
            <v>전선관</v>
          </cell>
          <cell r="C9" t="str">
            <v xml:space="preserve">ELPφ50  </v>
          </cell>
          <cell r="D9" t="str">
            <v>m</v>
          </cell>
          <cell r="U9" t="str">
            <v>배전</v>
          </cell>
          <cell r="V9">
            <v>1.2E-2</v>
          </cell>
          <cell r="W9" t="str">
            <v>보인</v>
          </cell>
          <cell r="X9">
            <v>2.9000000000000001E-2</v>
          </cell>
        </row>
        <row r="10">
          <cell r="A10">
            <v>8</v>
          </cell>
          <cell r="B10" t="str">
            <v>노말 밴드</v>
          </cell>
          <cell r="C10" t="str">
            <v>HI-PVC  28C</v>
          </cell>
          <cell r="D10" t="str">
            <v>EA</v>
          </cell>
        </row>
        <row r="11">
          <cell r="A11">
            <v>9</v>
          </cell>
          <cell r="B11" t="str">
            <v>노말 밴드</v>
          </cell>
          <cell r="C11" t="str">
            <v>HI-PVC  36C</v>
          </cell>
          <cell r="D11" t="str">
            <v>EA</v>
          </cell>
        </row>
        <row r="12">
          <cell r="A12">
            <v>10</v>
          </cell>
          <cell r="B12" t="str">
            <v>노말 밴드</v>
          </cell>
          <cell r="C12" t="str">
            <v>ST  28C</v>
          </cell>
          <cell r="D12" t="str">
            <v>EA</v>
          </cell>
        </row>
        <row r="13">
          <cell r="A13">
            <v>11</v>
          </cell>
          <cell r="B13" t="str">
            <v xml:space="preserve">전선 </v>
          </cell>
          <cell r="C13" t="str">
            <v>IV   2.0</v>
          </cell>
          <cell r="D13" t="str">
            <v>m</v>
          </cell>
          <cell r="S13" t="str">
            <v>내선</v>
          </cell>
          <cell r="T13">
            <v>0.01</v>
          </cell>
        </row>
        <row r="14">
          <cell r="A14">
            <v>12</v>
          </cell>
          <cell r="B14" t="str">
            <v xml:space="preserve">전선 </v>
          </cell>
          <cell r="C14" t="str">
            <v>IV   5.5sq</v>
          </cell>
          <cell r="D14" t="str">
            <v>m</v>
          </cell>
          <cell r="S14" t="str">
            <v>내선</v>
          </cell>
          <cell r="T14">
            <v>0.01</v>
          </cell>
        </row>
        <row r="15">
          <cell r="A15">
            <v>13</v>
          </cell>
          <cell r="B15" t="str">
            <v xml:space="preserve">전선 </v>
          </cell>
          <cell r="C15" t="str">
            <v>GV   2.0sq</v>
          </cell>
          <cell r="D15" t="str">
            <v>m</v>
          </cell>
          <cell r="S15" t="str">
            <v>내선</v>
          </cell>
          <cell r="T15">
            <v>0.01</v>
          </cell>
        </row>
        <row r="16">
          <cell r="A16">
            <v>14</v>
          </cell>
          <cell r="B16" t="str">
            <v xml:space="preserve">전선 </v>
          </cell>
          <cell r="C16" t="str">
            <v>GV   3.5sq</v>
          </cell>
          <cell r="D16" t="str">
            <v>m</v>
          </cell>
          <cell r="S16" t="str">
            <v>내선</v>
          </cell>
          <cell r="T16">
            <v>0.01</v>
          </cell>
        </row>
        <row r="17">
          <cell r="A17">
            <v>15</v>
          </cell>
          <cell r="B17" t="str">
            <v xml:space="preserve">전선 </v>
          </cell>
          <cell r="C17" t="str">
            <v>HIV   1.2</v>
          </cell>
          <cell r="D17" t="str">
            <v>m</v>
          </cell>
          <cell r="S17" t="str">
            <v>내선</v>
          </cell>
          <cell r="T17">
            <v>0.01</v>
          </cell>
        </row>
        <row r="18">
          <cell r="A18">
            <v>16</v>
          </cell>
          <cell r="B18" t="str">
            <v xml:space="preserve">전선 </v>
          </cell>
          <cell r="C18" t="str">
            <v>HIV1.6</v>
          </cell>
          <cell r="D18" t="str">
            <v>m</v>
          </cell>
          <cell r="S18" t="str">
            <v>내선</v>
          </cell>
          <cell r="T18">
            <v>0.01</v>
          </cell>
        </row>
        <row r="19">
          <cell r="A19">
            <v>17</v>
          </cell>
          <cell r="B19" t="str">
            <v xml:space="preserve">전선 </v>
          </cell>
          <cell r="C19" t="str">
            <v>HIV   2.0</v>
          </cell>
          <cell r="D19" t="str">
            <v>m</v>
          </cell>
          <cell r="S19" t="str">
            <v>내선</v>
          </cell>
          <cell r="T19">
            <v>0.01</v>
          </cell>
        </row>
        <row r="20">
          <cell r="A20">
            <v>18</v>
          </cell>
          <cell r="B20" t="str">
            <v xml:space="preserve"> 케이블</v>
          </cell>
          <cell r="C20" t="str">
            <v>600V CV 5.5 sq/2C</v>
          </cell>
          <cell r="D20" t="str">
            <v>m</v>
          </cell>
          <cell r="S20" t="str">
            <v>저케</v>
          </cell>
          <cell r="T20">
            <v>1.7999999999999999E-2</v>
          </cell>
        </row>
        <row r="21">
          <cell r="A21">
            <v>19</v>
          </cell>
          <cell r="B21" t="str">
            <v xml:space="preserve"> 케이블</v>
          </cell>
          <cell r="C21" t="str">
            <v>600V CV 5.5 sq/4C</v>
          </cell>
          <cell r="D21" t="str">
            <v>m</v>
          </cell>
          <cell r="S21" t="str">
            <v>저케</v>
          </cell>
          <cell r="T21">
            <v>3.4000000000000002E-2</v>
          </cell>
        </row>
        <row r="22">
          <cell r="A22">
            <v>20</v>
          </cell>
          <cell r="B22" t="str">
            <v xml:space="preserve"> 케이블</v>
          </cell>
          <cell r="C22" t="str">
            <v>600V  CV8sq/2C</v>
          </cell>
          <cell r="D22" t="str">
            <v>m</v>
          </cell>
          <cell r="S22" t="str">
            <v>저케</v>
          </cell>
          <cell r="T22">
            <v>0.02</v>
          </cell>
        </row>
        <row r="23">
          <cell r="A23">
            <v>21</v>
          </cell>
          <cell r="B23" t="str">
            <v xml:space="preserve"> 케이블</v>
          </cell>
          <cell r="C23" t="str">
            <v>600V  CV8sq/4C</v>
          </cell>
          <cell r="D23" t="str">
            <v>m</v>
          </cell>
          <cell r="S23" t="str">
            <v>저케</v>
          </cell>
          <cell r="T23">
            <v>3.9E-2</v>
          </cell>
        </row>
        <row r="24">
          <cell r="A24">
            <v>22</v>
          </cell>
          <cell r="B24" t="str">
            <v xml:space="preserve"> 케이블</v>
          </cell>
          <cell r="C24" t="str">
            <v>CPEV 0.65/10P</v>
          </cell>
          <cell r="D24" t="str">
            <v>m</v>
          </cell>
          <cell r="S24" t="str">
            <v>통케</v>
          </cell>
          <cell r="T24">
            <v>1.7999999999999999E-2</v>
          </cell>
        </row>
        <row r="25">
          <cell r="A25">
            <v>23</v>
          </cell>
          <cell r="B25" t="str">
            <v xml:space="preserve"> 케이블</v>
          </cell>
          <cell r="C25" t="str">
            <v>CPEV 0.65/20P</v>
          </cell>
          <cell r="D25" t="str">
            <v>m</v>
          </cell>
          <cell r="S25" t="str">
            <v>통케</v>
          </cell>
          <cell r="T25">
            <v>2.1999999999999999E-2</v>
          </cell>
        </row>
        <row r="26">
          <cell r="A26">
            <v>24</v>
          </cell>
          <cell r="B26" t="str">
            <v xml:space="preserve"> 케이블</v>
          </cell>
          <cell r="C26" t="str">
            <v>CVV          2.0sq/3C</v>
          </cell>
          <cell r="D26" t="str">
            <v>m</v>
          </cell>
          <cell r="S26" t="str">
            <v>저케</v>
          </cell>
          <cell r="T26">
            <v>1.9E-2</v>
          </cell>
        </row>
        <row r="27">
          <cell r="A27">
            <v>25</v>
          </cell>
          <cell r="B27" t="str">
            <v xml:space="preserve"> 케이블</v>
          </cell>
          <cell r="C27" t="str">
            <v>CVV        2.0sq/15C</v>
          </cell>
          <cell r="D27" t="str">
            <v>m</v>
          </cell>
          <cell r="S27" t="str">
            <v>저케</v>
          </cell>
          <cell r="T27">
            <v>7.1999999999999995E-2</v>
          </cell>
        </row>
        <row r="28">
          <cell r="A28">
            <v>26</v>
          </cell>
          <cell r="B28" t="str">
            <v>Outlet Box</v>
          </cell>
          <cell r="C28" t="str">
            <v>4각 천정</v>
          </cell>
          <cell r="D28" t="str">
            <v>EA</v>
          </cell>
          <cell r="S28" t="str">
            <v>내선</v>
          </cell>
          <cell r="T28">
            <v>0.12</v>
          </cell>
        </row>
        <row r="29">
          <cell r="A29">
            <v>27</v>
          </cell>
          <cell r="B29" t="str">
            <v>Outlet Box</v>
          </cell>
          <cell r="C29" t="str">
            <v>4각벽부</v>
          </cell>
          <cell r="D29" t="str">
            <v>EA</v>
          </cell>
          <cell r="S29" t="str">
            <v>내선</v>
          </cell>
          <cell r="T29">
            <v>0.2</v>
          </cell>
        </row>
        <row r="30">
          <cell r="A30">
            <v>28</v>
          </cell>
          <cell r="B30" t="str">
            <v>Outlet Box</v>
          </cell>
          <cell r="C30" t="str">
            <v xml:space="preserve">  8 각</v>
          </cell>
          <cell r="D30" t="str">
            <v>EA</v>
          </cell>
          <cell r="S30" t="str">
            <v>내선</v>
          </cell>
          <cell r="T30">
            <v>0.12</v>
          </cell>
        </row>
        <row r="31">
          <cell r="A31">
            <v>29</v>
          </cell>
          <cell r="B31" t="str">
            <v>Outlet Box</v>
          </cell>
          <cell r="C31" t="str">
            <v>SW</v>
          </cell>
          <cell r="D31" t="str">
            <v>EA</v>
          </cell>
          <cell r="S31" t="str">
            <v>내선</v>
          </cell>
          <cell r="T31">
            <v>0.2</v>
          </cell>
        </row>
        <row r="32">
          <cell r="A32">
            <v>30</v>
          </cell>
          <cell r="B32" t="str">
            <v xml:space="preserve"> 콘  센  트   접지극부 </v>
          </cell>
          <cell r="C32" t="str">
            <v>1구용</v>
          </cell>
          <cell r="D32" t="str">
            <v>EA</v>
          </cell>
          <cell r="S32" t="str">
            <v>내선</v>
          </cell>
          <cell r="T32">
            <v>0.08</v>
          </cell>
        </row>
        <row r="33">
          <cell r="A33">
            <v>31</v>
          </cell>
          <cell r="B33" t="str">
            <v xml:space="preserve"> 콘  센  트   접지극부 </v>
          </cell>
          <cell r="C33" t="str">
            <v>1구방폭</v>
          </cell>
          <cell r="D33" t="str">
            <v>EA</v>
          </cell>
          <cell r="S33" t="str">
            <v>내선</v>
          </cell>
          <cell r="T33">
            <v>0.16</v>
          </cell>
        </row>
        <row r="34">
          <cell r="A34">
            <v>32</v>
          </cell>
          <cell r="B34" t="str">
            <v xml:space="preserve"> 콘  센  트   접지극부 </v>
          </cell>
          <cell r="C34" t="str">
            <v>1구방수</v>
          </cell>
          <cell r="D34" t="str">
            <v>EA</v>
          </cell>
          <cell r="S34" t="str">
            <v>내선</v>
          </cell>
          <cell r="T34">
            <v>0.08</v>
          </cell>
        </row>
        <row r="35">
          <cell r="A35">
            <v>33</v>
          </cell>
          <cell r="B35" t="str">
            <v xml:space="preserve"> 콘  센  트   접지극부 </v>
          </cell>
          <cell r="C35" t="str">
            <v>2구용</v>
          </cell>
          <cell r="D35" t="str">
            <v>EA</v>
          </cell>
          <cell r="S35" t="str">
            <v>내선</v>
          </cell>
          <cell r="T35">
            <v>0.08</v>
          </cell>
        </row>
        <row r="36">
          <cell r="A36">
            <v>34</v>
          </cell>
          <cell r="B36" t="str">
            <v xml:space="preserve"> 콘  센  트   접지극부 </v>
          </cell>
          <cell r="C36" t="str">
            <v>2구방폭</v>
          </cell>
          <cell r="D36" t="str">
            <v>EA</v>
          </cell>
          <cell r="S36" t="str">
            <v>내선</v>
          </cell>
          <cell r="T36">
            <v>0.16</v>
          </cell>
        </row>
        <row r="37">
          <cell r="A37">
            <v>35</v>
          </cell>
          <cell r="B37" t="str">
            <v xml:space="preserve"> 콘  센  트   접지극부 </v>
          </cell>
          <cell r="C37" t="str">
            <v>에어컨용</v>
          </cell>
          <cell r="D37" t="str">
            <v>EA</v>
          </cell>
          <cell r="S37" t="str">
            <v>내선</v>
          </cell>
          <cell r="T37">
            <v>0.08</v>
          </cell>
        </row>
        <row r="38">
          <cell r="A38">
            <v>36</v>
          </cell>
          <cell r="B38" t="str">
            <v xml:space="preserve"> 콘  센  트   접지극부 </v>
          </cell>
          <cell r="C38" t="str">
            <v>FAN용</v>
          </cell>
          <cell r="D38" t="str">
            <v>EA</v>
          </cell>
          <cell r="S38" t="str">
            <v>내선</v>
          </cell>
          <cell r="T38">
            <v>0.08</v>
          </cell>
        </row>
        <row r="39">
          <cell r="A39">
            <v>37</v>
          </cell>
          <cell r="B39" t="str">
            <v xml:space="preserve"> 콘  센  트   접지극부 </v>
          </cell>
          <cell r="C39" t="str">
            <v>3P 30A</v>
          </cell>
          <cell r="D39" t="str">
            <v>EA</v>
          </cell>
          <cell r="S39" t="str">
            <v>내선</v>
          </cell>
          <cell r="T39">
            <v>0.14499999999999999</v>
          </cell>
        </row>
        <row r="40">
          <cell r="A40">
            <v>38</v>
          </cell>
          <cell r="B40" t="str">
            <v>전화용 콘센트</v>
          </cell>
          <cell r="C40" t="str">
            <v>체신부규격4P</v>
          </cell>
          <cell r="D40" t="str">
            <v>EA</v>
          </cell>
          <cell r="S40" t="str">
            <v>통내</v>
          </cell>
          <cell r="T40">
            <v>7.0000000000000007E-2</v>
          </cell>
        </row>
        <row r="41">
          <cell r="A41">
            <v>39</v>
          </cell>
          <cell r="B41" t="str">
            <v>텀블러SW</v>
          </cell>
          <cell r="C41" t="str">
            <v>1로  1구</v>
          </cell>
          <cell r="D41" t="str">
            <v>EA</v>
          </cell>
          <cell r="S41" t="str">
            <v>내선</v>
          </cell>
          <cell r="T41">
            <v>6.5000000000000002E-2</v>
          </cell>
        </row>
        <row r="42">
          <cell r="A42">
            <v>40</v>
          </cell>
          <cell r="B42" t="str">
            <v>텀블러SW</v>
          </cell>
          <cell r="C42" t="str">
            <v>1로 1구방폭</v>
          </cell>
          <cell r="D42" t="str">
            <v>EA</v>
          </cell>
          <cell r="S42" t="str">
            <v>내선</v>
          </cell>
          <cell r="T42">
            <v>0.13</v>
          </cell>
        </row>
        <row r="43">
          <cell r="A43">
            <v>41</v>
          </cell>
          <cell r="B43" t="str">
            <v>텀블러SW</v>
          </cell>
          <cell r="C43" t="str">
            <v>1로  2구</v>
          </cell>
          <cell r="D43" t="str">
            <v>EA</v>
          </cell>
          <cell r="S43" t="str">
            <v>내선</v>
          </cell>
          <cell r="T43">
            <v>8.5000000000000006E-2</v>
          </cell>
        </row>
        <row r="44">
          <cell r="A44">
            <v>42</v>
          </cell>
          <cell r="B44" t="str">
            <v>텀블러SW</v>
          </cell>
          <cell r="C44" t="str">
            <v>1로 2구방폭</v>
          </cell>
          <cell r="D44" t="str">
            <v>EA</v>
          </cell>
          <cell r="S44" t="str">
            <v>내선</v>
          </cell>
          <cell r="T44">
            <v>0.17</v>
          </cell>
        </row>
        <row r="45">
          <cell r="A45">
            <v>43</v>
          </cell>
          <cell r="B45" t="str">
            <v>텀블러SW</v>
          </cell>
          <cell r="C45" t="str">
            <v>1로  3구</v>
          </cell>
          <cell r="D45" t="str">
            <v>EA</v>
          </cell>
          <cell r="S45" t="str">
            <v>내선</v>
          </cell>
          <cell r="T45">
            <v>8.5000000000000006E-2</v>
          </cell>
        </row>
        <row r="46">
          <cell r="A46">
            <v>44</v>
          </cell>
          <cell r="B46" t="str">
            <v>텀블러SW</v>
          </cell>
          <cell r="C46" t="str">
            <v>3로  1구</v>
          </cell>
          <cell r="D46" t="str">
            <v>EA</v>
          </cell>
          <cell r="S46" t="str">
            <v>내선</v>
          </cell>
          <cell r="T46">
            <v>8.5000000000000006E-2</v>
          </cell>
        </row>
        <row r="47">
          <cell r="A47">
            <v>45</v>
          </cell>
          <cell r="B47" t="str">
            <v>등 기 구</v>
          </cell>
          <cell r="C47" t="str">
            <v>IL-200W벽부</v>
          </cell>
          <cell r="D47" t="str">
            <v>EA</v>
          </cell>
          <cell r="S47" t="str">
            <v>내선</v>
          </cell>
          <cell r="T47">
            <v>0.158</v>
          </cell>
        </row>
        <row r="48">
          <cell r="A48">
            <v>46</v>
          </cell>
          <cell r="B48" t="str">
            <v>등 기 구</v>
          </cell>
          <cell r="C48" t="str">
            <v>IL-60W 천정매입</v>
          </cell>
          <cell r="D48" t="str">
            <v>EA</v>
          </cell>
          <cell r="S48" t="str">
            <v>내선</v>
          </cell>
          <cell r="T48">
            <v>0.245</v>
          </cell>
        </row>
        <row r="49">
          <cell r="A49">
            <v>47</v>
          </cell>
          <cell r="B49" t="str">
            <v>등 기 구</v>
          </cell>
          <cell r="C49" t="str">
            <v>IL-60W 천정직부</v>
          </cell>
          <cell r="D49" t="str">
            <v>EA</v>
          </cell>
          <cell r="S49" t="str">
            <v>내선</v>
          </cell>
          <cell r="T49">
            <v>0.18</v>
          </cell>
        </row>
        <row r="50">
          <cell r="A50">
            <v>48</v>
          </cell>
          <cell r="B50" t="str">
            <v>등 기 구</v>
          </cell>
          <cell r="C50" t="str">
            <v>비상등</v>
          </cell>
          <cell r="D50" t="str">
            <v>EA</v>
          </cell>
          <cell r="S50" t="str">
            <v>내선</v>
          </cell>
          <cell r="T50">
            <v>0.158</v>
          </cell>
        </row>
        <row r="51">
          <cell r="A51">
            <v>49</v>
          </cell>
          <cell r="B51" t="str">
            <v>등 기 구</v>
          </cell>
          <cell r="C51" t="str">
            <v>FL 2/20삼각직부</v>
          </cell>
          <cell r="D51" t="str">
            <v>EA</v>
          </cell>
          <cell r="S51" t="str">
            <v>내선</v>
          </cell>
          <cell r="T51">
            <v>0.19500000000000001</v>
          </cell>
        </row>
        <row r="52">
          <cell r="A52">
            <v>50</v>
          </cell>
          <cell r="B52" t="str">
            <v>등 기 구</v>
          </cell>
          <cell r="C52" t="str">
            <v>FL 2/20매입</v>
          </cell>
          <cell r="D52" t="str">
            <v>EA</v>
          </cell>
          <cell r="S52" t="str">
            <v>내선</v>
          </cell>
          <cell r="T52">
            <v>0.32</v>
          </cell>
        </row>
        <row r="53">
          <cell r="A53">
            <v>51</v>
          </cell>
          <cell r="B53" t="str">
            <v>등 기 구</v>
          </cell>
          <cell r="C53" t="str">
            <v>FL 2/40매입</v>
          </cell>
          <cell r="D53" t="str">
            <v>EA</v>
          </cell>
          <cell r="S53" t="str">
            <v>내선</v>
          </cell>
          <cell r="T53">
            <v>0.48799999999999999</v>
          </cell>
        </row>
        <row r="54">
          <cell r="A54">
            <v>52</v>
          </cell>
          <cell r="B54" t="str">
            <v>등 기 구</v>
          </cell>
          <cell r="C54" t="str">
            <v>FL 2/20펜던트</v>
          </cell>
          <cell r="D54" t="str">
            <v>EA</v>
          </cell>
          <cell r="S54" t="str">
            <v>내선</v>
          </cell>
          <cell r="T54">
            <v>0.23499999999999999</v>
          </cell>
        </row>
        <row r="55">
          <cell r="A55">
            <v>53</v>
          </cell>
          <cell r="B55" t="str">
            <v>등 기 구</v>
          </cell>
          <cell r="C55" t="str">
            <v>FL 2/40펜던트</v>
          </cell>
          <cell r="D55" t="str">
            <v>EA</v>
          </cell>
          <cell r="S55" t="str">
            <v>내선</v>
          </cell>
          <cell r="T55">
            <v>0.36499999999999999</v>
          </cell>
        </row>
        <row r="56">
          <cell r="A56">
            <v>54</v>
          </cell>
          <cell r="B56" t="str">
            <v>등 기 구</v>
          </cell>
          <cell r="C56" t="str">
            <v>FL 2/40방폭형</v>
          </cell>
          <cell r="S56" t="str">
            <v>내선</v>
          </cell>
          <cell r="T56">
            <v>0.73</v>
          </cell>
        </row>
        <row r="57">
          <cell r="A57">
            <v>55</v>
          </cell>
          <cell r="B57" t="str">
            <v>등 기 구</v>
          </cell>
          <cell r="C57" t="str">
            <v>MH 250W천정형</v>
          </cell>
          <cell r="D57" t="str">
            <v>EA</v>
          </cell>
          <cell r="S57" t="str">
            <v>내선</v>
          </cell>
          <cell r="T57">
            <v>0.495</v>
          </cell>
        </row>
        <row r="58">
          <cell r="A58">
            <v>56</v>
          </cell>
          <cell r="B58" t="str">
            <v>등 기 구</v>
          </cell>
          <cell r="C58" t="str">
            <v>MH 175W천정형</v>
          </cell>
          <cell r="D58" t="str">
            <v>EA</v>
          </cell>
          <cell r="S58" t="str">
            <v>내선</v>
          </cell>
          <cell r="T58">
            <v>0.44</v>
          </cell>
        </row>
        <row r="59">
          <cell r="A59">
            <v>57</v>
          </cell>
          <cell r="B59" t="str">
            <v>등 기 구</v>
          </cell>
          <cell r="C59" t="str">
            <v>MH 175W벽부형</v>
          </cell>
          <cell r="D59" t="str">
            <v>EA</v>
          </cell>
          <cell r="S59" t="str">
            <v>내선</v>
          </cell>
          <cell r="T59">
            <v>0.44</v>
          </cell>
        </row>
        <row r="60">
          <cell r="A60">
            <v>58</v>
          </cell>
          <cell r="B60" t="str">
            <v>판넬</v>
          </cell>
          <cell r="C60" t="str">
            <v>LP-A</v>
          </cell>
          <cell r="D60" t="str">
            <v>면</v>
          </cell>
          <cell r="S60" t="str">
            <v>프전</v>
          </cell>
          <cell r="T60">
            <v>5.8</v>
          </cell>
          <cell r="U60" t="str">
            <v>보인</v>
          </cell>
          <cell r="V60">
            <v>1.9</v>
          </cell>
        </row>
        <row r="61">
          <cell r="A61">
            <v>59</v>
          </cell>
          <cell r="B61" t="str">
            <v>전극봉</v>
          </cell>
          <cell r="C61" t="str">
            <v>3극</v>
          </cell>
          <cell r="D61" t="str">
            <v>EA</v>
          </cell>
          <cell r="S61" t="str">
            <v>내선</v>
          </cell>
          <cell r="T61">
            <v>0.8</v>
          </cell>
        </row>
        <row r="62">
          <cell r="A62">
            <v>60</v>
          </cell>
          <cell r="B62" t="str">
            <v>FLEXIBLE</v>
          </cell>
          <cell r="C62" t="str">
            <v>제1종 16C</v>
          </cell>
          <cell r="D62" t="str">
            <v>m</v>
          </cell>
          <cell r="S62" t="str">
            <v>내선</v>
          </cell>
          <cell r="T62">
            <v>3.9E-2</v>
          </cell>
        </row>
        <row r="63">
          <cell r="A63">
            <v>61</v>
          </cell>
          <cell r="B63" t="str">
            <v>FLEXIBLE</v>
          </cell>
          <cell r="C63" t="str">
            <v>고장력방수22C</v>
          </cell>
          <cell r="D63" t="str">
            <v>m</v>
          </cell>
          <cell r="S63" t="str">
            <v>내선</v>
          </cell>
          <cell r="T63">
            <v>4.9000000000000002E-2</v>
          </cell>
        </row>
        <row r="64">
          <cell r="A64">
            <v>62</v>
          </cell>
          <cell r="B64" t="str">
            <v>FLEXIBLE  CONNECTOR</v>
          </cell>
          <cell r="C64" t="str">
            <v>제1종 16C</v>
          </cell>
          <cell r="D64" t="str">
            <v>EA</v>
          </cell>
        </row>
        <row r="65">
          <cell r="A65">
            <v>63</v>
          </cell>
          <cell r="B65" t="str">
            <v>FLEXIBLE  CONNECTOR</v>
          </cell>
          <cell r="C65" t="str">
            <v>고장력방수22C</v>
          </cell>
          <cell r="D65" t="str">
            <v>EA</v>
          </cell>
        </row>
        <row r="66">
          <cell r="A66">
            <v>64</v>
          </cell>
          <cell r="B66" t="str">
            <v>AMP</v>
          </cell>
          <cell r="D66" t="str">
            <v>면</v>
          </cell>
          <cell r="S66" t="str">
            <v>통내</v>
          </cell>
          <cell r="T66">
            <v>9</v>
          </cell>
        </row>
        <row r="67">
          <cell r="A67">
            <v>65</v>
          </cell>
          <cell r="B67" t="str">
            <v>스피커</v>
          </cell>
          <cell r="C67" t="str">
            <v>3W    천정형</v>
          </cell>
          <cell r="D67" t="str">
            <v>EA</v>
          </cell>
          <cell r="S67" t="str">
            <v>통내</v>
          </cell>
          <cell r="T67">
            <v>0.45</v>
          </cell>
        </row>
        <row r="68">
          <cell r="A68">
            <v>66</v>
          </cell>
          <cell r="B68" t="str">
            <v>스피커</v>
          </cell>
          <cell r="C68" t="str">
            <v>3W    벽부형</v>
          </cell>
          <cell r="D68" t="str">
            <v>EA</v>
          </cell>
          <cell r="S68" t="str">
            <v>통내</v>
          </cell>
          <cell r="T68">
            <v>0.45</v>
          </cell>
        </row>
        <row r="69">
          <cell r="A69">
            <v>67</v>
          </cell>
          <cell r="B69" t="str">
            <v>스피커</v>
          </cell>
          <cell r="C69" t="str">
            <v>20W옥외칼럼형</v>
          </cell>
          <cell r="D69" t="str">
            <v>EA</v>
          </cell>
          <cell r="S69" t="str">
            <v>통내</v>
          </cell>
          <cell r="T69">
            <v>1</v>
          </cell>
        </row>
        <row r="70">
          <cell r="A70">
            <v>68</v>
          </cell>
          <cell r="B70" t="str">
            <v>인터폰</v>
          </cell>
          <cell r="C70" t="str">
            <v>전자연립식20회로</v>
          </cell>
          <cell r="D70" t="str">
            <v>EA</v>
          </cell>
          <cell r="S70" t="str">
            <v>통내</v>
          </cell>
          <cell r="T70">
            <v>1</v>
          </cell>
          <cell r="U70" t="str">
            <v>통설</v>
          </cell>
          <cell r="V70">
            <v>2</v>
          </cell>
        </row>
        <row r="71">
          <cell r="A71">
            <v>69</v>
          </cell>
          <cell r="B71" t="str">
            <v>감지기</v>
          </cell>
          <cell r="C71" t="str">
            <v>차동식 스포트감지기2종</v>
          </cell>
          <cell r="D71" t="str">
            <v>EA</v>
          </cell>
          <cell r="S71" t="str">
            <v>내선</v>
          </cell>
          <cell r="T71">
            <v>0.14300000000000002</v>
          </cell>
        </row>
        <row r="72">
          <cell r="A72">
            <v>70</v>
          </cell>
          <cell r="B72" t="str">
            <v>감지기</v>
          </cell>
          <cell r="C72" t="str">
            <v>광전식 연감지기2종</v>
          </cell>
          <cell r="D72" t="str">
            <v>EA</v>
          </cell>
          <cell r="S72" t="str">
            <v>내선</v>
          </cell>
          <cell r="T72">
            <v>0.14300000000000002</v>
          </cell>
        </row>
        <row r="73">
          <cell r="A73">
            <v>71</v>
          </cell>
          <cell r="B73" t="str">
            <v>감지기</v>
          </cell>
          <cell r="C73" t="str">
            <v>정온식감지기</v>
          </cell>
          <cell r="D73" t="str">
            <v>EA</v>
          </cell>
          <cell r="S73" t="str">
            <v>내선</v>
          </cell>
          <cell r="T73">
            <v>0.14300000000000002</v>
          </cell>
        </row>
        <row r="74">
          <cell r="A74">
            <v>72</v>
          </cell>
          <cell r="B74" t="str">
            <v>유도등</v>
          </cell>
          <cell r="C74" t="str">
            <v>통로유도등</v>
          </cell>
          <cell r="D74" t="str">
            <v>EA</v>
          </cell>
          <cell r="S74" t="str">
            <v>내선</v>
          </cell>
          <cell r="T74">
            <v>0.79500000000000004</v>
          </cell>
        </row>
        <row r="75">
          <cell r="A75">
            <v>73</v>
          </cell>
          <cell r="B75" t="str">
            <v>유도등</v>
          </cell>
          <cell r="C75" t="str">
            <v>피난구유도등</v>
          </cell>
          <cell r="D75" t="str">
            <v>EA</v>
          </cell>
          <cell r="S75" t="str">
            <v>내선</v>
          </cell>
          <cell r="T75">
            <v>0.13500000000000001</v>
          </cell>
        </row>
        <row r="76">
          <cell r="A76">
            <v>74</v>
          </cell>
          <cell r="B76" t="str">
            <v>수동발신기</v>
          </cell>
          <cell r="D76" t="str">
            <v>set</v>
          </cell>
          <cell r="S76" t="str">
            <v>내선</v>
          </cell>
          <cell r="T76">
            <v>0.3</v>
          </cell>
        </row>
        <row r="77">
          <cell r="A77">
            <v>75</v>
          </cell>
          <cell r="B77" t="str">
            <v>수신반</v>
          </cell>
          <cell r="C77" t="str">
            <v>P형1급   10회로용</v>
          </cell>
          <cell r="D77" t="str">
            <v>set</v>
          </cell>
          <cell r="S77" t="str">
            <v>내선</v>
          </cell>
          <cell r="T77">
            <v>9</v>
          </cell>
        </row>
        <row r="78">
          <cell r="A78">
            <v>101</v>
          </cell>
          <cell r="B78" t="str">
            <v>전선관</v>
          </cell>
          <cell r="C78" t="str">
            <v>ELPφ30</v>
          </cell>
          <cell r="D78" t="str">
            <v>m</v>
          </cell>
          <cell r="U78" t="str">
            <v>배전</v>
          </cell>
          <cell r="V78">
            <v>1.2E-2</v>
          </cell>
          <cell r="W78" t="str">
            <v>보인</v>
          </cell>
          <cell r="X78">
            <v>2.9000000000000001E-2</v>
          </cell>
        </row>
        <row r="79">
          <cell r="A79">
            <v>102</v>
          </cell>
          <cell r="B79" t="str">
            <v xml:space="preserve"> 케이블</v>
          </cell>
          <cell r="C79" t="str">
            <v>CV   2.0sq/2C</v>
          </cell>
          <cell r="D79" t="str">
            <v>m</v>
          </cell>
          <cell r="S79" t="str">
            <v>저케</v>
          </cell>
          <cell r="T79">
            <v>1.4E-2</v>
          </cell>
        </row>
        <row r="80">
          <cell r="A80">
            <v>103</v>
          </cell>
          <cell r="B80" t="str">
            <v xml:space="preserve"> 케이블</v>
          </cell>
          <cell r="C80" t="str">
            <v>CV     3.5sq/3C</v>
          </cell>
          <cell r="D80" t="str">
            <v>m</v>
          </cell>
          <cell r="S80" t="str">
            <v>저케</v>
          </cell>
          <cell r="T80">
            <v>2.1999999999999999E-2</v>
          </cell>
        </row>
      </sheetData>
      <sheetData sheetId="1" refreshError="1">
        <row r="3">
          <cell r="F3">
            <v>2</v>
          </cell>
          <cell r="G3">
            <v>3</v>
          </cell>
          <cell r="H3">
            <v>4</v>
          </cell>
          <cell r="I3">
            <v>5</v>
          </cell>
          <cell r="J3">
            <v>8</v>
          </cell>
          <cell r="K3">
            <v>9</v>
          </cell>
          <cell r="L3">
            <v>11</v>
          </cell>
          <cell r="M3">
            <v>12</v>
          </cell>
          <cell r="N3">
            <v>13</v>
          </cell>
          <cell r="O3">
            <v>22</v>
          </cell>
          <cell r="P3">
            <v>23</v>
          </cell>
          <cell r="Q3">
            <v>24</v>
          </cell>
          <cell r="R3">
            <v>16</v>
          </cell>
          <cell r="S3">
            <v>26</v>
          </cell>
          <cell r="T3">
            <v>27</v>
          </cell>
          <cell r="U3">
            <v>28</v>
          </cell>
          <cell r="V3">
            <v>29</v>
          </cell>
          <cell r="W3">
            <v>30</v>
          </cell>
          <cell r="X3">
            <v>32</v>
          </cell>
          <cell r="Y3">
            <v>33</v>
          </cell>
          <cell r="Z3">
            <v>35</v>
          </cell>
          <cell r="AA3">
            <v>36</v>
          </cell>
          <cell r="AB3">
            <v>37</v>
          </cell>
          <cell r="AC3">
            <v>38</v>
          </cell>
          <cell r="AD3">
            <v>39</v>
          </cell>
          <cell r="AE3">
            <v>41</v>
          </cell>
          <cell r="AF3">
            <v>43</v>
          </cell>
          <cell r="AG3">
            <v>46</v>
          </cell>
          <cell r="AH3">
            <v>48</v>
          </cell>
          <cell r="AI3">
            <v>50</v>
          </cell>
          <cell r="AJ3">
            <v>51</v>
          </cell>
          <cell r="AK3">
            <v>53</v>
          </cell>
          <cell r="AL3">
            <v>55</v>
          </cell>
          <cell r="AM3">
            <v>57</v>
          </cell>
          <cell r="AN3">
            <v>60</v>
          </cell>
          <cell r="AO3">
            <v>62</v>
          </cell>
          <cell r="AP3">
            <v>65</v>
          </cell>
          <cell r="AQ3">
            <v>66</v>
          </cell>
          <cell r="AR3">
            <v>67</v>
          </cell>
          <cell r="AS3">
            <v>68</v>
          </cell>
        </row>
        <row r="4">
          <cell r="F4" t="str">
            <v>전선관</v>
          </cell>
          <cell r="J4" t="str">
            <v>노말 밴드</v>
          </cell>
          <cell r="L4" t="str">
            <v>전선 및 케이블</v>
          </cell>
          <cell r="S4" t="str">
            <v>Outlet Box</v>
          </cell>
          <cell r="W4" t="str">
            <v xml:space="preserve"> 콘  센  트 </v>
          </cell>
          <cell r="AD4" t="str">
            <v>텀블러SW</v>
          </cell>
          <cell r="AI4" t="str">
            <v xml:space="preserve">            전        등</v>
          </cell>
          <cell r="AN4" t="str">
            <v>Flex.</v>
          </cell>
          <cell r="AO4" t="str">
            <v>Flex.Con.</v>
          </cell>
          <cell r="AP4" t="str">
            <v>스피커</v>
          </cell>
          <cell r="AS4" t="str">
            <v>인터폰</v>
          </cell>
        </row>
        <row r="5">
          <cell r="F5" t="str">
            <v>HI-PVC  16C</v>
          </cell>
          <cell r="G5" t="str">
            <v>HI-PVC  22C</v>
          </cell>
          <cell r="H5" t="str">
            <v>HI-PVC  28C</v>
          </cell>
          <cell r="I5" t="str">
            <v>HI-PVC  36C</v>
          </cell>
          <cell r="J5" t="str">
            <v>HI-PVC  28C</v>
          </cell>
          <cell r="K5" t="str">
            <v>HI-PVC  36C</v>
          </cell>
          <cell r="L5" t="str">
            <v>IV   2.0</v>
          </cell>
          <cell r="M5" t="str">
            <v>IV   5.5sq</v>
          </cell>
          <cell r="N5" t="str">
            <v>GV   2.0sq</v>
          </cell>
          <cell r="O5" t="str">
            <v>CPEV 0.65/10P</v>
          </cell>
          <cell r="P5" t="str">
            <v>CPEV 0.65/20P</v>
          </cell>
          <cell r="Q5" t="str">
            <v>CVV2.0sq/3C</v>
          </cell>
          <cell r="R5" t="str">
            <v>HIV1.6</v>
          </cell>
          <cell r="S5" t="str">
            <v>4각 천정</v>
          </cell>
          <cell r="T5" t="str">
            <v>4각벽부</v>
          </cell>
          <cell r="U5" t="str">
            <v xml:space="preserve">  8 각</v>
          </cell>
          <cell r="V5" t="str">
            <v>SW</v>
          </cell>
          <cell r="W5" t="str">
            <v>1구용</v>
          </cell>
          <cell r="X5" t="str">
            <v>1구방수</v>
          </cell>
          <cell r="Y5" t="str">
            <v>2구용</v>
          </cell>
          <cell r="Z5" t="str">
            <v>에어컨용</v>
          </cell>
          <cell r="AA5" t="str">
            <v>FAN용</v>
          </cell>
          <cell r="AB5" t="str">
            <v>3P320A</v>
          </cell>
          <cell r="AC5" t="str">
            <v>전화용</v>
          </cell>
          <cell r="AD5" t="str">
            <v>1로  1구</v>
          </cell>
          <cell r="AE5" t="str">
            <v>1로  2구</v>
          </cell>
          <cell r="AF5" t="str">
            <v>1로  3구</v>
          </cell>
          <cell r="AG5" t="str">
            <v>IL-60W</v>
          </cell>
          <cell r="AH5" t="str">
            <v>비상등</v>
          </cell>
          <cell r="AI5" t="str">
            <v>FL 2/20매입</v>
          </cell>
          <cell r="AJ5" t="str">
            <v>FL 2/40매입</v>
          </cell>
          <cell r="AK5" t="str">
            <v>FL 2/40펜던트</v>
          </cell>
          <cell r="AL5" t="str">
            <v>MH 250W천정형</v>
          </cell>
          <cell r="AM5" t="str">
            <v>MH 175W벽부형</v>
          </cell>
          <cell r="AN5" t="str">
            <v>제1종 16C</v>
          </cell>
          <cell r="AO5" t="str">
            <v>제1종 16C</v>
          </cell>
          <cell r="AP5" t="str">
            <v>3W    천정형</v>
          </cell>
          <cell r="AQ5" t="str">
            <v>3W    벽부형</v>
          </cell>
          <cell r="AR5" t="str">
            <v>20W옥외칼럼형</v>
          </cell>
          <cell r="AS5" t="str">
            <v>상호식20회로</v>
          </cell>
        </row>
        <row r="6">
          <cell r="F6">
            <v>56</v>
          </cell>
          <cell r="S6">
            <v>2</v>
          </cell>
          <cell r="U6">
            <v>14</v>
          </cell>
          <cell r="V6">
            <v>2</v>
          </cell>
          <cell r="AD6">
            <v>1</v>
          </cell>
          <cell r="AF6">
            <v>1</v>
          </cell>
          <cell r="AG6">
            <v>2</v>
          </cell>
          <cell r="AK6">
            <v>14</v>
          </cell>
        </row>
        <row r="7">
          <cell r="G7">
            <v>18.5</v>
          </cell>
        </row>
        <row r="8">
          <cell r="L8">
            <v>226.2</v>
          </cell>
        </row>
        <row r="9">
          <cell r="F9">
            <v>43</v>
          </cell>
          <cell r="T9">
            <v>2</v>
          </cell>
          <cell r="Y9">
            <v>2</v>
          </cell>
        </row>
        <row r="10">
          <cell r="M10">
            <v>92.4</v>
          </cell>
          <cell r="N10">
            <v>46.2</v>
          </cell>
        </row>
        <row r="11">
          <cell r="F11">
            <v>25.6</v>
          </cell>
          <cell r="S11">
            <v>1</v>
          </cell>
          <cell r="U11">
            <v>7</v>
          </cell>
          <cell r="V11">
            <v>1</v>
          </cell>
          <cell r="AE11">
            <v>1</v>
          </cell>
          <cell r="AL11">
            <v>8</v>
          </cell>
        </row>
        <row r="12">
          <cell r="F12">
            <v>48.2</v>
          </cell>
        </row>
        <row r="13">
          <cell r="L13">
            <v>58.800000000000004</v>
          </cell>
        </row>
        <row r="14">
          <cell r="L14">
            <v>153.60000000000002</v>
          </cell>
        </row>
        <row r="15">
          <cell r="F15">
            <v>66</v>
          </cell>
          <cell r="U15">
            <v>14</v>
          </cell>
          <cell r="V15">
            <v>6</v>
          </cell>
          <cell r="AA15">
            <v>4</v>
          </cell>
          <cell r="AE15">
            <v>2</v>
          </cell>
          <cell r="AK15">
            <v>14</v>
          </cell>
        </row>
        <row r="16">
          <cell r="F16">
            <v>29</v>
          </cell>
        </row>
        <row r="17">
          <cell r="G17">
            <v>4.5</v>
          </cell>
        </row>
        <row r="18">
          <cell r="G18">
            <v>6</v>
          </cell>
        </row>
        <row r="19">
          <cell r="G19">
            <v>9</v>
          </cell>
        </row>
        <row r="20">
          <cell r="L20">
            <v>145.6</v>
          </cell>
        </row>
        <row r="21">
          <cell r="L21">
            <v>90.6</v>
          </cell>
        </row>
        <row r="22">
          <cell r="L22">
            <v>20.399999999999999</v>
          </cell>
        </row>
        <row r="23">
          <cell r="L23">
            <v>30.5</v>
          </cell>
        </row>
        <row r="24">
          <cell r="L24">
            <v>61.199999999999996</v>
          </cell>
        </row>
        <row r="25">
          <cell r="F25">
            <v>81.3</v>
          </cell>
          <cell r="T25">
            <v>4</v>
          </cell>
          <cell r="Y25">
            <v>4</v>
          </cell>
        </row>
        <row r="26">
          <cell r="M26">
            <v>171.4</v>
          </cell>
          <cell r="N26">
            <v>85.7</v>
          </cell>
        </row>
        <row r="27">
          <cell r="F27">
            <v>24.6</v>
          </cell>
          <cell r="S27">
            <v>2</v>
          </cell>
          <cell r="U27">
            <v>4</v>
          </cell>
          <cell r="V27">
            <v>7</v>
          </cell>
          <cell r="AA27">
            <v>3</v>
          </cell>
          <cell r="AD27">
            <v>1</v>
          </cell>
          <cell r="AE27">
            <v>3</v>
          </cell>
          <cell r="AI27">
            <v>2</v>
          </cell>
          <cell r="AJ27">
            <v>4</v>
          </cell>
          <cell r="AN27">
            <v>12</v>
          </cell>
          <cell r="AO27">
            <v>12</v>
          </cell>
        </row>
        <row r="28">
          <cell r="F28">
            <v>28.799999999999997</v>
          </cell>
        </row>
        <row r="29">
          <cell r="L29">
            <v>84.4</v>
          </cell>
        </row>
        <row r="30">
          <cell r="L30">
            <v>97.199999999999989</v>
          </cell>
        </row>
        <row r="31">
          <cell r="F31">
            <v>70.099999999999994</v>
          </cell>
          <cell r="S31">
            <v>2</v>
          </cell>
          <cell r="U31">
            <v>34</v>
          </cell>
          <cell r="V31">
            <v>2</v>
          </cell>
          <cell r="AF31">
            <v>2</v>
          </cell>
          <cell r="AJ31">
            <v>36</v>
          </cell>
          <cell r="AN31">
            <v>72</v>
          </cell>
          <cell r="AO31">
            <v>72</v>
          </cell>
        </row>
        <row r="32">
          <cell r="F32">
            <v>7.9</v>
          </cell>
        </row>
        <row r="33">
          <cell r="G33">
            <v>9.6999999999999993</v>
          </cell>
        </row>
        <row r="34">
          <cell r="L34">
            <v>325.39999999999998</v>
          </cell>
        </row>
        <row r="35">
          <cell r="L35">
            <v>30.900000000000002</v>
          </cell>
        </row>
        <row r="36">
          <cell r="L36">
            <v>46</v>
          </cell>
        </row>
        <row r="37">
          <cell r="F37">
            <v>150.6</v>
          </cell>
          <cell r="S37">
            <v>5</v>
          </cell>
          <cell r="T37">
            <v>4</v>
          </cell>
          <cell r="U37">
            <v>53</v>
          </cell>
          <cell r="V37">
            <v>3</v>
          </cell>
          <cell r="AD37">
            <v>1</v>
          </cell>
          <cell r="AF37">
            <v>2</v>
          </cell>
          <cell r="AH37">
            <v>4</v>
          </cell>
          <cell r="AJ37">
            <v>58</v>
          </cell>
          <cell r="AN37">
            <v>116</v>
          </cell>
          <cell r="AO37">
            <v>116</v>
          </cell>
        </row>
        <row r="38">
          <cell r="F38">
            <v>6</v>
          </cell>
        </row>
        <row r="39">
          <cell r="G39">
            <v>5.5</v>
          </cell>
        </row>
        <row r="40">
          <cell r="G40">
            <v>3</v>
          </cell>
        </row>
        <row r="41">
          <cell r="H41">
            <v>10.199999999999999</v>
          </cell>
          <cell r="J41">
            <v>1</v>
          </cell>
        </row>
        <row r="42">
          <cell r="L42">
            <v>602.79999999999995</v>
          </cell>
        </row>
        <row r="43">
          <cell r="L43">
            <v>21.6</v>
          </cell>
        </row>
        <row r="44">
          <cell r="L44">
            <v>26.8</v>
          </cell>
        </row>
        <row r="45">
          <cell r="L45">
            <v>18</v>
          </cell>
        </row>
        <row r="46">
          <cell r="L46">
            <v>96</v>
          </cell>
        </row>
        <row r="47">
          <cell r="F47">
            <v>62.5</v>
          </cell>
          <cell r="T47">
            <v>7</v>
          </cell>
          <cell r="Y47">
            <v>5</v>
          </cell>
          <cell r="Z47">
            <v>2</v>
          </cell>
        </row>
        <row r="48">
          <cell r="M48">
            <v>136.80000000000001</v>
          </cell>
          <cell r="N48">
            <v>68.400000000000006</v>
          </cell>
        </row>
        <row r="49">
          <cell r="F49">
            <v>77</v>
          </cell>
          <cell r="T49">
            <v>6</v>
          </cell>
          <cell r="Y49">
            <v>6</v>
          </cell>
        </row>
        <row r="50">
          <cell r="M50">
            <v>164.6</v>
          </cell>
          <cell r="N50">
            <v>82.3</v>
          </cell>
        </row>
        <row r="51">
          <cell r="F51">
            <v>22</v>
          </cell>
          <cell r="T51">
            <v>2</v>
          </cell>
          <cell r="W51">
            <v>2</v>
          </cell>
        </row>
        <row r="52">
          <cell r="M52">
            <v>49.8</v>
          </cell>
          <cell r="N52">
            <v>24.9</v>
          </cell>
        </row>
        <row r="53">
          <cell r="F53">
            <v>19</v>
          </cell>
          <cell r="T53">
            <v>3</v>
          </cell>
          <cell r="W53">
            <v>1</v>
          </cell>
          <cell r="X53">
            <v>2</v>
          </cell>
        </row>
        <row r="54">
          <cell r="M54">
            <v>45</v>
          </cell>
          <cell r="N54">
            <v>22.5</v>
          </cell>
        </row>
        <row r="55">
          <cell r="G55">
            <v>16.5</v>
          </cell>
          <cell r="T55">
            <v>1</v>
          </cell>
          <cell r="AB55">
            <v>1</v>
          </cell>
        </row>
        <row r="56">
          <cell r="M56">
            <v>56.400000000000006</v>
          </cell>
          <cell r="N56">
            <v>18.8</v>
          </cell>
        </row>
        <row r="57">
          <cell r="H57">
            <v>22</v>
          </cell>
        </row>
        <row r="58">
          <cell r="M58">
            <v>104</v>
          </cell>
          <cell r="N58">
            <v>26</v>
          </cell>
        </row>
        <row r="59">
          <cell r="F59">
            <v>5</v>
          </cell>
          <cell r="T59">
            <v>1</v>
          </cell>
          <cell r="AQ59">
            <v>1</v>
          </cell>
        </row>
        <row r="60">
          <cell r="R60">
            <v>16.799999999999997</v>
          </cell>
        </row>
        <row r="61">
          <cell r="F61">
            <v>34.4</v>
          </cell>
          <cell r="T61">
            <v>2</v>
          </cell>
          <cell r="AQ61">
            <v>2</v>
          </cell>
        </row>
        <row r="62">
          <cell r="R62">
            <v>106.80000000000001</v>
          </cell>
        </row>
        <row r="63">
          <cell r="F63">
            <v>52</v>
          </cell>
          <cell r="T63">
            <v>1</v>
          </cell>
          <cell r="U63">
            <v>5</v>
          </cell>
          <cell r="AP63">
            <v>5</v>
          </cell>
          <cell r="AQ63">
            <v>1</v>
          </cell>
        </row>
        <row r="64">
          <cell r="R64">
            <v>171.89999999999998</v>
          </cell>
        </row>
        <row r="65">
          <cell r="F65">
            <v>24.5</v>
          </cell>
        </row>
        <row r="66">
          <cell r="Q66">
            <v>26.5</v>
          </cell>
        </row>
        <row r="67">
          <cell r="G67">
            <v>24.5</v>
          </cell>
        </row>
        <row r="68">
          <cell r="Q68">
            <v>26.5</v>
          </cell>
        </row>
        <row r="69">
          <cell r="O69">
            <v>26.5</v>
          </cell>
        </row>
        <row r="71">
          <cell r="G71">
            <v>31.5</v>
          </cell>
          <cell r="T71">
            <v>2</v>
          </cell>
          <cell r="V71">
            <v>1</v>
          </cell>
          <cell r="AC71">
            <v>3</v>
          </cell>
        </row>
        <row r="72">
          <cell r="O72">
            <v>32.700000000000003</v>
          </cell>
        </row>
        <row r="73">
          <cell r="G73">
            <v>9.5</v>
          </cell>
        </row>
        <row r="74">
          <cell r="O74">
            <v>11.5</v>
          </cell>
        </row>
        <row r="76">
          <cell r="G76">
            <v>31.5</v>
          </cell>
          <cell r="T76">
            <v>2</v>
          </cell>
          <cell r="V76">
            <v>1</v>
          </cell>
          <cell r="AS76">
            <v>1</v>
          </cell>
        </row>
        <row r="77">
          <cell r="P77">
            <v>32.700000000000003</v>
          </cell>
        </row>
        <row r="78">
          <cell r="I78">
            <v>9.5</v>
          </cell>
          <cell r="K78">
            <v>3</v>
          </cell>
        </row>
        <row r="79">
          <cell r="P79">
            <v>23</v>
          </cell>
        </row>
        <row r="80">
          <cell r="F80">
            <v>389</v>
          </cell>
          <cell r="G80">
            <v>70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787</v>
          </cell>
          <cell r="M80">
            <v>264</v>
          </cell>
          <cell r="N80">
            <v>132</v>
          </cell>
          <cell r="O80">
            <v>0</v>
          </cell>
          <cell r="P80">
            <v>33</v>
          </cell>
          <cell r="Q80">
            <v>0</v>
          </cell>
          <cell r="R80">
            <v>124</v>
          </cell>
          <cell r="S80">
            <v>3</v>
          </cell>
          <cell r="T80">
            <v>11</v>
          </cell>
          <cell r="U80">
            <v>35</v>
          </cell>
          <cell r="V80">
            <v>10</v>
          </cell>
          <cell r="W80">
            <v>0</v>
          </cell>
          <cell r="X80">
            <v>0</v>
          </cell>
          <cell r="Y80">
            <v>6</v>
          </cell>
          <cell r="Z80">
            <v>0</v>
          </cell>
          <cell r="AA80">
            <v>4</v>
          </cell>
          <cell r="AB80">
            <v>0</v>
          </cell>
          <cell r="AC80">
            <v>0</v>
          </cell>
          <cell r="AD80">
            <v>1</v>
          </cell>
          <cell r="AE80">
            <v>3</v>
          </cell>
          <cell r="AF80">
            <v>1</v>
          </cell>
          <cell r="AG80">
            <v>2</v>
          </cell>
          <cell r="AH80">
            <v>0</v>
          </cell>
          <cell r="AI80">
            <v>0</v>
          </cell>
          <cell r="AJ80">
            <v>0</v>
          </cell>
          <cell r="AK80">
            <v>28</v>
          </cell>
          <cell r="AL80">
            <v>8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3</v>
          </cell>
          <cell r="AR80">
            <v>0</v>
          </cell>
          <cell r="AS80">
            <v>1</v>
          </cell>
        </row>
      </sheetData>
      <sheetData sheetId="2" refreshError="1"/>
    </sheetDataSet>
  </externalBook>
</externalLink>
</file>

<file path=xl/externalLinks/externalLink188.xml><?xml version="1.0" encoding="utf-8"?>
<externalLink xmlns="http://schemas.openxmlformats.org/spreadsheetml/2006/main">
  <externalBook xmlns:r="http://schemas.openxmlformats.org/officeDocument/2006/relationships" r:id="rId1">
    <sheetNames>
      <sheetName val="공사비"/>
      <sheetName val="수지예산"/>
      <sheetName val="토적계산"/>
      <sheetName val="유용계산"/>
      <sheetName val="정산서"/>
      <sheetName val="순공사비"/>
      <sheetName val="당공사"/>
      <sheetName val="총"/>
      <sheetName val="총괄"/>
      <sheetName val="총정산"/>
      <sheetName val="집계"/>
      <sheetName val="재료"/>
      <sheetName val="97자재"/>
      <sheetName val="자재대 (2)"/>
      <sheetName val="자재정산"/>
      <sheetName val="Sheet1"/>
      <sheetName val="재료계산97"/>
      <sheetName val="호"/>
      <sheetName val="수량산출"/>
      <sheetName val="공종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9.xml><?xml version="1.0" encoding="utf-8"?>
<externalLink xmlns="http://schemas.openxmlformats.org/spreadsheetml/2006/main">
  <externalBook xmlns:r="http://schemas.openxmlformats.org/officeDocument/2006/relationships" r:id="rId1">
    <sheetNames>
      <sheetName val="INPUT DATA"/>
      <sheetName val="사업개요"/>
      <sheetName val="내용별 기술자 투입인원"/>
      <sheetName val="투입인원"/>
      <sheetName val="현장조사"/>
      <sheetName val="내역서"/>
      <sheetName val="공종단가"/>
      <sheetName val="수량산출"/>
    </sheetNames>
    <sheetDataSet>
      <sheetData sheetId="0"/>
      <sheetData sheetId="1"/>
      <sheetData sheetId="2"/>
      <sheetData sheetId="3"/>
      <sheetData sheetId="4">
        <row r="25">
          <cell r="J25">
            <v>0</v>
          </cell>
        </row>
      </sheetData>
      <sheetData sheetId="5"/>
      <sheetData sheetId="6" refreshError="1"/>
      <sheetData sheetId="7" refreshError="1"/>
    </sheetDataSet>
  </externalBook>
</externalLink>
</file>

<file path=xl/externalLinks/externalLink190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시간당중기산출내역"/>
      <sheetName val="중기사용료집계"/>
      <sheetName val="자재운반거리"/>
      <sheetName val="자재운반단가일람표"/>
      <sheetName val="기초단가,단위당중기"/>
      <sheetName val="기초단가"/>
      <sheetName val="단가내역"/>
      <sheetName val="Sheet13"/>
      <sheetName val="Sheet14"/>
      <sheetName val="Sheet15"/>
      <sheetName val="Sheet16"/>
      <sheetName val="여과지동"/>
      <sheetName val="기초자료"/>
      <sheetName val="산출근거"/>
    </sheetNames>
    <sheetDataSet>
      <sheetData sheetId="0" refreshError="1"/>
      <sheetData sheetId="1"/>
      <sheetData sheetId="2"/>
      <sheetData sheetId="3"/>
      <sheetData sheetId="4">
        <row r="2">
          <cell r="R2">
            <v>34098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191.xml><?xml version="1.0" encoding="utf-8"?>
<externalLink xmlns="http://schemas.openxmlformats.org/spreadsheetml/2006/main">
  <externalBook xmlns:r="http://schemas.openxmlformats.org/officeDocument/2006/relationships" r:id="rId1">
    <sheetNames>
      <sheetName val="레미콘집계"/>
      <sheetName val="자재집계표"/>
      <sheetName val="축제공집계"/>
      <sheetName val="더돋기"/>
      <sheetName val="호안집계"/>
      <sheetName val="스톤조서"/>
      <sheetName val="스톤수량"/>
      <sheetName val="스톤단위"/>
      <sheetName val="앙카조서"/>
      <sheetName val="앙카수량"/>
      <sheetName val="앙카단위"/>
      <sheetName val="돌망태조서"/>
      <sheetName val="돌망태수량"/>
      <sheetName val="돌망태단위"/>
      <sheetName val="배수공총괄표"/>
      <sheetName val="모르터산출"/>
      <sheetName val="횡배수관집계"/>
      <sheetName val="횡배수관조서"/>
      <sheetName val="횡배;구체집"/>
      <sheetName val="횡배;구체단위"/>
      <sheetName val="횡배;토공집"/>
      <sheetName val="횡배토공"/>
      <sheetName val="평균터파기고"/>
      <sheetName val="횡배수;날개"/>
      <sheetName val="횡날단위"/>
      <sheetName val="암거총"/>
      <sheetName val="연장조서"/>
      <sheetName val="구체집계"/>
      <sheetName val="암거단위"/>
      <sheetName val="토공집계"/>
      <sheetName val="토공수량"/>
      <sheetName val="평터파기고"/>
      <sheetName val="날개구체수량;집"/>
      <sheetName val="날개단위"/>
      <sheetName val="구조물공집계"/>
      <sheetName val="모르터산출 (2)"/>
      <sheetName val="교량집계"/>
      <sheetName val="교량6-6-6"/>
      <sheetName val="교량 (2)8-7-8"/>
      <sheetName val="박스집계"/>
      <sheetName val="철근집계"/>
      <sheetName val="3련 BOX"/>
      <sheetName val="1련 BOX"/>
      <sheetName val="공제집계"/>
      <sheetName val="제수변실"/>
      <sheetName val="공기변실"/>
      <sheetName val="포장집계"/>
      <sheetName val="FPA"/>
      <sheetName val="순수개발"/>
      <sheetName val="I.설계조건"/>
      <sheetName val="N賃率-職"/>
      <sheetName val="여과지동"/>
      <sheetName val="기초자료"/>
      <sheetName val="20관리비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92.xml><?xml version="1.0" encoding="utf-8"?>
<externalLink xmlns="http://schemas.openxmlformats.org/spreadsheetml/2006/main">
  <externalBook xmlns:r="http://schemas.openxmlformats.org/officeDocument/2006/relationships" r:id="rId1">
    <sheetNames>
      <sheetName val="제목"/>
      <sheetName val="일위대가단가표"/>
      <sheetName val="일위대가표"/>
      <sheetName val="별첨 쌍극자 내역"/>
      <sheetName val="SLAB&quot;1&quot;"/>
      <sheetName val="2003기초처리단가표(신규)"/>
      <sheetName val="사업수지"/>
    </sheetNames>
    <definedNames>
      <definedName name="입력완료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3.xml><?xml version="1.0" encoding="utf-8"?>
<externalLink xmlns="http://schemas.openxmlformats.org/spreadsheetml/2006/main">
  <externalBook xmlns:r="http://schemas.openxmlformats.org/officeDocument/2006/relationships" r:id="rId1">
    <sheetNames>
      <sheetName val="INPUT DATA"/>
      <sheetName val="사업개요"/>
      <sheetName val="내용별 기술자 투입인원"/>
      <sheetName val="투입인원"/>
      <sheetName val="현장조사"/>
      <sheetName val="내역서"/>
    </sheetNames>
    <sheetDataSet>
      <sheetData sheetId="0"/>
      <sheetData sheetId="1"/>
      <sheetData sheetId="2"/>
      <sheetData sheetId="3"/>
      <sheetData sheetId="4">
        <row r="25">
          <cell r="J25">
            <v>0</v>
          </cell>
        </row>
        <row r="51">
          <cell r="J51">
            <v>254</v>
          </cell>
        </row>
      </sheetData>
      <sheetData sheetId="5"/>
    </sheetDataSet>
  </externalBook>
</externalLink>
</file>

<file path=xl/externalLinks/externalLink194.xml><?xml version="1.0" encoding="utf-8"?>
<externalLink xmlns="http://schemas.openxmlformats.org/spreadsheetml/2006/main">
  <externalBook xmlns:r="http://schemas.openxmlformats.org/officeDocument/2006/relationships" r:id="rId1">
    <sheetNames>
      <sheetName val="보고서"/>
      <sheetName val="측량비"/>
      <sheetName val="산출서"/>
      <sheetName val="내역서"/>
      <sheetName val="측량단가"/>
      <sheetName val="측량할증"/>
      <sheetName val="갑지.을지"/>
      <sheetName val="안전관리비"/>
      <sheetName val="도움말"/>
      <sheetName val="실행코드"/>
      <sheetName val="현장조사"/>
      <sheetName val="용역설계(변경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195.xml><?xml version="1.0" encoding="utf-8"?>
<externalLink xmlns="http://schemas.openxmlformats.org/spreadsheetml/2006/main">
  <externalBook xmlns:r="http://schemas.openxmlformats.org/officeDocument/2006/relationships" r:id="rId1">
    <sheetNames>
      <sheetName val="공사비명세서"/>
      <sheetName val="자재대"/>
      <sheetName val="총괄표"/>
      <sheetName val="수지예산"/>
      <sheetName val="잡지출산출내역"/>
      <sheetName val="총괄표 (출력)"/>
      <sheetName val="경제분석"/>
      <sheetName val="표지"/>
      <sheetName val="시험비산출내역"/>
      <sheetName val="Module1"/>
      <sheetName val="현장조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6.xml><?xml version="1.0" encoding="utf-8"?>
<externalLink xmlns="http://schemas.openxmlformats.org/spreadsheetml/2006/main">
  <externalBook xmlns:r="http://schemas.openxmlformats.org/officeDocument/2006/relationships" r:id="rId1">
    <sheetNames>
      <sheetName val="총사업비수지"/>
      <sheetName val="수원공사업비수지"/>
      <sheetName val="평야부사업비수지"/>
      <sheetName val="계획보완증감"/>
      <sheetName val="년별공사비"/>
      <sheetName val="관리비"/>
      <sheetName val="예비비"/>
      <sheetName val="예비비02"/>
      <sheetName val="총용지"/>
      <sheetName val="평야부용지"/>
      <sheetName val="수원공용지"/>
      <sheetName val="수원공용지02"/>
      <sheetName val="측설비"/>
      <sheetName val="공사감독비"/>
      <sheetName val="측설공감관리"/>
      <sheetName val="총잡지출"/>
      <sheetName val="수원공잡지출"/>
      <sheetName val="평야부잡지출"/>
      <sheetName val="잡지출내역"/>
      <sheetName val="측량요율"/>
      <sheetName val="자재대"/>
      <sheetName val="지급품조서"/>
      <sheetName val="지급자재대"/>
      <sheetName val="자재집계표"/>
      <sheetName val="자재운반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97.xml><?xml version="1.0" encoding="utf-8"?>
<externalLink xmlns="http://schemas.openxmlformats.org/spreadsheetml/2006/main">
  <externalBook xmlns:r="http://schemas.openxmlformats.org/officeDocument/2006/relationships" r:id="rId1">
    <sheetNames>
      <sheetName val="guard(mac)"/>
      <sheetName val="2000년1차"/>
      <sheetName val="입찰안"/>
      <sheetName val="#REF"/>
      <sheetName val="산출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98.xml><?xml version="1.0" encoding="utf-8"?>
<externalLink xmlns="http://schemas.openxmlformats.org/spreadsheetml/2006/main">
  <externalBook xmlns:r="http://schemas.openxmlformats.org/officeDocument/2006/relationships" r:id="rId1">
    <sheetNames>
      <sheetName val="원가계산서구조조정"/>
      <sheetName val="원가계산서"/>
      <sheetName val="공사비내역서"/>
      <sheetName val="내역서표지1"/>
      <sheetName val="내역서표지2"/>
      <sheetName val="설계변경원가계산서"/>
      <sheetName val="설계변경내역서"/>
      <sheetName val="설계변경내역서표지1"/>
      <sheetName val="설계변경내역서표지2"/>
      <sheetName val="기성원가계산서"/>
      <sheetName val="기성세부내역서"/>
      <sheetName val="기성부분내역서"/>
      <sheetName val="기성내역서표지1"/>
      <sheetName val="기성내역서표지2"/>
      <sheetName val="현장조사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9.xml><?xml version="1.0" encoding="utf-8"?>
<externalLink xmlns="http://schemas.openxmlformats.org/spreadsheetml/2006/main">
  <externalBook xmlns:r="http://schemas.openxmlformats.org/officeDocument/2006/relationships" r:id="rId1">
    <sheetNames>
      <sheetName val="공내역"/>
      <sheetName val="공잡비"/>
      <sheetName val="변1예정"/>
      <sheetName val="변1잡"/>
      <sheetName val="2000전체분"/>
      <sheetName val="2000전체잡비"/>
      <sheetName val="2000년1차"/>
      <sheetName val="2000년1차잡비"/>
      <sheetName val="신규단가"/>
      <sheetName val="단가리스트"/>
      <sheetName val="입력"/>
      <sheetName val="Sheet1"/>
      <sheetName val="STANDARD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0.xml><?xml version="1.0" encoding="utf-8"?>
<externalLink xmlns="http://schemas.openxmlformats.org/spreadsheetml/2006/main">
  <externalBook xmlns:r="http://schemas.openxmlformats.org/officeDocument/2006/relationships" r:id="rId1">
    <sheetNames>
      <sheetName val="수지예산"/>
      <sheetName val="수지예산(A4종)"/>
      <sheetName val="기본조사비교"/>
      <sheetName val="측,공,관,잡"/>
      <sheetName val="요율"/>
      <sheetName val="공사총괄표"/>
      <sheetName val="배수토_공명"/>
      <sheetName val="배수공_공명"/>
      <sheetName val="평야토_공명"/>
      <sheetName val="평야공_공명"/>
      <sheetName val="부대_공사명세"/>
      <sheetName val="지급자재"/>
      <sheetName val="자재내역"/>
      <sheetName val="Sheet11"/>
      <sheetName val="Sheet12"/>
      <sheetName val="Sheet13"/>
      <sheetName val="Sheet14"/>
      <sheetName val="Sheet15"/>
      <sheetName val="Sheet16"/>
      <sheetName val="데리네이타현황"/>
      <sheetName val="산출서"/>
      <sheetName val="암거 제원표-1단계"/>
      <sheetName val="입찰안"/>
      <sheetName val="지구단위계획"/>
      <sheetName val="#REF"/>
      <sheetName val="입력변수"/>
      <sheetName val="범례표"/>
      <sheetName val="교각1"/>
      <sheetName val="바닥판"/>
      <sheetName val="입력DATA"/>
      <sheetName val="환경평가"/>
      <sheetName val="현장조사"/>
      <sheetName val="1~69"/>
      <sheetName val="특별땅고르기"/>
      <sheetName val="자재단가"/>
      <sheetName val="5지구단위"/>
      <sheetName val="단위단가"/>
      <sheetName val="기본단가표"/>
      <sheetName val="종배수관면벽구"/>
      <sheetName val="주beam"/>
      <sheetName val="내역서1"/>
      <sheetName val="원가계산서구조조정"/>
      <sheetName val="2000년1차"/>
      <sheetName val="200"/>
      <sheetName val="2000전체분"/>
      <sheetName val="내역"/>
      <sheetName val="신호등일위대가"/>
      <sheetName val="신우강사업비2"/>
      <sheetName val="LD"/>
      <sheetName val="일위대가"/>
      <sheetName val="조명율표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2">
          <cell r="J22">
            <v>1189841000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01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총괄내역서"/>
      <sheetName val="UPIS_일위대가"/>
      <sheetName val="UPIS_대가근거"/>
      <sheetName val="산출내역_장비"/>
      <sheetName val="수량산출"/>
      <sheetName val="노임단가"/>
      <sheetName val="참조_이력면적"/>
      <sheetName val="간지양식"/>
      <sheetName val="조명시설"/>
      <sheetName val="지급자재"/>
      <sheetName val="데리네이타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202.xml><?xml version="1.0" encoding="utf-8"?>
<externalLink xmlns="http://schemas.openxmlformats.org/spreadsheetml/2006/main">
  <externalBook xmlns:r="http://schemas.openxmlformats.org/officeDocument/2006/relationships" r:id="rId1">
    <sheetNames>
      <sheetName val="수량표지"/>
      <sheetName val="간지"/>
      <sheetName val="철근레미집"/>
      <sheetName val="골재관로집"/>
      <sheetName val="몰탈포장집"/>
      <sheetName val="토공계획"/>
      <sheetName val="토공계획 (교)"/>
      <sheetName val="미진동"/>
      <sheetName val="토공유동(본)"/>
      <sheetName val="RP토공집계"/>
      <sheetName val="토공유동(본) (2)"/>
      <sheetName val="RP토공집계 (교)"/>
      <sheetName val="암유용"/>
      <sheetName val="구조물깨기집계표"/>
      <sheetName val="구조물깨기"/>
      <sheetName val="건물헐기수량집계"/>
      <sheetName val="건축물헐기"/>
      <sheetName val="집수정(TYPE1)"/>
      <sheetName val="집수정(TYPE2)"/>
      <sheetName val="집수정(TYPE3)"/>
      <sheetName val="집수정(TYPE4)"/>
      <sheetName val="집수정(TYPE5)"/>
      <sheetName val="석축평균높이산출"/>
      <sheetName val="강진운암"/>
    </sheetNames>
    <definedNames>
      <definedName name="일위규격매크로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203.xml><?xml version="1.0" encoding="utf-8"?>
<externalLink xmlns="http://schemas.openxmlformats.org/spreadsheetml/2006/main">
  <externalBook xmlns:r="http://schemas.openxmlformats.org/officeDocument/2006/relationships" r:id="rId1">
    <sheetNames>
      <sheetName val="내역서적용수량"/>
      <sheetName val="주요자재"/>
      <sheetName val="골재산출"/>
      <sheetName val="이월수량"/>
      <sheetName val="일반총괄"/>
      <sheetName val="철근총괄"/>
      <sheetName val="토공집계"/>
      <sheetName val="수량집계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04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총괄"/>
      <sheetName val="첨부1표지"/>
      <sheetName val="총괄(1)"/>
      <sheetName val="관리계획"/>
      <sheetName val="인력공수(관리)"/>
      <sheetName val="기초조사"/>
      <sheetName val="인력공수(기초)"/>
      <sheetName val="교통성검토"/>
      <sheetName val="인력공수(교통)"/>
      <sheetName val="환경성검토"/>
      <sheetName val="인력공수(환경)"/>
      <sheetName val="산출근거(환경)"/>
      <sheetName val="도시경관검토"/>
      <sheetName val="경관검토인력공수"/>
      <sheetName val="첨부2표지"/>
      <sheetName val="총괄(2)"/>
      <sheetName val="토지적성평가"/>
      <sheetName val="일위대가(평가체계Ⅰ)"/>
      <sheetName val="일위대가(LMIS)"/>
      <sheetName val="첨부3표지"/>
      <sheetName val="도시계획전산화"/>
      <sheetName val="일위대가(전산화)"/>
      <sheetName val="전산운용장비"/>
      <sheetName val="수량산출(전산화)"/>
      <sheetName val="첨부4표지"/>
      <sheetName val="지형도면고시"/>
      <sheetName val="지형도면인력공수"/>
      <sheetName val="노임단가"/>
      <sheetName val="첨부5표지"/>
      <sheetName val="총괄표(해)"/>
      <sheetName val="일위_지형"/>
      <sheetName val="대가근거_지형"/>
      <sheetName val="수량산출"/>
      <sheetName val="설계제원_1"/>
      <sheetName val="설계제원_2"/>
      <sheetName val="노임단가 (2)"/>
      <sheetName val="산출근거"/>
      <sheetName val="200"/>
      <sheetName val="노임단가 "/>
      <sheetName val="지급자재"/>
      <sheetName val="조명시설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05.xml><?xml version="1.0" encoding="utf-8"?>
<externalLink xmlns="http://schemas.openxmlformats.org/spreadsheetml/2006/main">
  <externalBook xmlns:r="http://schemas.openxmlformats.org/officeDocument/2006/relationships" r:id="rId1">
    <sheetNames>
      <sheetName val="공내역"/>
      <sheetName val="공잡비"/>
      <sheetName val="지촌덕평"/>
      <sheetName val="지덕잡비"/>
      <sheetName val="200"/>
      <sheetName val="cka"/>
      <sheetName val="2000년1차"/>
      <sheetName val="2000년1차잡비"/>
      <sheetName val="신규단가"/>
      <sheetName val="단가리스트"/>
      <sheetName val="입력"/>
      <sheetName val="Sheet1"/>
      <sheetName val="STANDARD"/>
      <sheetName val="2000지촌-덕평발주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6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총괄"/>
      <sheetName val="첨부1표지"/>
      <sheetName val="기본계획"/>
      <sheetName val="인력공수(기본)"/>
      <sheetName val="첨부2표지"/>
      <sheetName val="총괄(1)"/>
      <sheetName val="관리계획"/>
      <sheetName val="인력공수(관리)"/>
      <sheetName val="도시교통"/>
      <sheetName val="인력공수(교통)"/>
      <sheetName val="환경성검토"/>
      <sheetName val="인력공수(환경)"/>
      <sheetName val="산출근거(환경)"/>
      <sheetName val="도시경관계획"/>
      <sheetName val="경관계획인력공수"/>
      <sheetName val="첨부3표지"/>
      <sheetName val="총괄표(해)"/>
      <sheetName val="일위대가"/>
      <sheetName val="대가근거"/>
      <sheetName val="수량산출"/>
      <sheetName val="설계제원_1"/>
      <sheetName val="설계제원_2"/>
      <sheetName val="노임단가 (2)"/>
      <sheetName val="첨부4표지"/>
      <sheetName val="도시계획전산화"/>
      <sheetName val="일위대가(전산화)"/>
      <sheetName val="일위대가(시스템)"/>
      <sheetName val="노임단가"/>
      <sheetName val="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externalLinks/externalLink207.xml><?xml version="1.0" encoding="utf-8"?>
<externalLink xmlns="http://schemas.openxmlformats.org/spreadsheetml/2006/main">
  <externalBook xmlns:r="http://schemas.openxmlformats.org/officeDocument/2006/relationships" r:id="rId1">
    <sheetNames>
      <sheetName val="설계서표지"/>
      <sheetName val="과업지시서"/>
      <sheetName val="설계예산서표지"/>
      <sheetName val="갑지"/>
      <sheetName val="총괄설계내역서"/>
      <sheetName val="설계내역"/>
      <sheetName val="일위대가표(표지)"/>
      <sheetName val="일위대가"/>
      <sheetName val="산출근거(표지)"/>
      <sheetName val="준설단가"/>
      <sheetName val="산출근거(기본설계비)"/>
      <sheetName val="물량 및 단가산출기초(표지)"/>
      <sheetName val="물량기초(관거현황)"/>
      <sheetName val="관거보수 물량"/>
      <sheetName val="용역물량"/>
      <sheetName val="관거개량물량"/>
      <sheetName val="공사비(관거개량)"/>
      <sheetName val="공사비단가(굴착, 개량)"/>
      <sheetName val="공사비단가(비굴착)"/>
      <sheetName val="공사비(관거보수)"/>
      <sheetName val="산출기초(인건비)"/>
      <sheetName val="노임단가 (2)"/>
      <sheetName val="직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208.xml><?xml version="1.0" encoding="utf-8"?>
<externalLink xmlns="http://schemas.openxmlformats.org/spreadsheetml/2006/main">
  <externalBook xmlns:r="http://schemas.openxmlformats.org/officeDocument/2006/relationships" r:id="rId1">
    <sheetNames>
      <sheetName val="범용수정개발비"/>
      <sheetName val="범용추가기능개발비"/>
      <sheetName val="범용개발순소요비용"/>
      <sheetName val="도로범용개발비"/>
      <sheetName val="HW및SW도입"/>
      <sheetName val="노임단가 (2)"/>
      <sheetName val="재정비직인"/>
      <sheetName val="재정비내역"/>
      <sheetName val="지적고시내역"/>
      <sheetName val="20관리비율"/>
      <sheetName val="수량산출"/>
      <sheetName val="원가계산서구조조정"/>
      <sheetName val="고시단가"/>
      <sheetName val="개발비산출"/>
      <sheetName val="노임단가"/>
      <sheetName val="2.어플리케이션보정계수"/>
      <sheetName val="직노"/>
      <sheetName val="실행내역"/>
      <sheetName val="손익분석"/>
      <sheetName val="공사설계서"/>
      <sheetName val="기계경비"/>
      <sheetName val="날개벽(시점좌측)"/>
      <sheetName val="심사물량"/>
      <sheetName val="내역서"/>
      <sheetName val="입력변수"/>
      <sheetName val="조명시설"/>
      <sheetName val="DANGA"/>
      <sheetName val="항측노임단가"/>
      <sheetName val="DB구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09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종단계산"/>
      <sheetName val="기둥(표지)"/>
      <sheetName val="설계기준"/>
      <sheetName val="하중계산"/>
      <sheetName val="상부빔검토(DEEP)"/>
      <sheetName val="SHOE"/>
      <sheetName val="기둥설계"/>
      <sheetName val="장단주(교축직각)"/>
      <sheetName val="장단주(교축)"/>
      <sheetName val="띠철근"/>
      <sheetName val="기초(표지)"/>
      <sheetName val="설계기준 (2)"/>
      <sheetName val="우물통슬래브"/>
      <sheetName val="우물통 OUT"/>
      <sheetName val="상부빔검토(DEEP) (2)"/>
      <sheetName val="저판설계"/>
      <sheetName val="저판하중"/>
      <sheetName val="RCUSD-BEAM 1단 "/>
      <sheetName val="지지력계수"/>
      <sheetName val="안정성검토"/>
      <sheetName val="상부빔검토"/>
      <sheetName val="COBEL"/>
      <sheetName val="접속슬래브"/>
      <sheetName val="접속슬래브(2)"/>
      <sheetName val="샌딩 에폭시 도장"/>
      <sheetName val="스텐문틀설치"/>
      <sheetName val="일반문틀 설치"/>
      <sheetName val="토공총괄표"/>
      <sheetName val="수량산출"/>
      <sheetName val="노임단가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10.xml><?xml version="1.0" encoding="utf-8"?>
<externalLink xmlns="http://schemas.openxmlformats.org/spreadsheetml/2006/main">
  <externalBook xmlns:r="http://schemas.openxmlformats.org/officeDocument/2006/relationships" r:id="rId1">
    <sheetNames>
      <sheetName val="환지방식개발계획(면적식)"/>
      <sheetName val="환지방식개발계획(절충식)"/>
      <sheetName val="환지방식개발계획(평가식)"/>
      <sheetName val="도시재개발계획(면적식)"/>
      <sheetName val="도시재개발계획(절충식)"/>
      <sheetName val="도시재개발계획(평가식)"/>
      <sheetName val="도시재개발계획(기본계획)"/>
      <sheetName val="Sheet1"/>
      <sheetName val="지구단위계획(제주)"/>
      <sheetName val="산업단지개발계획"/>
      <sheetName val="주택단지개발계획"/>
      <sheetName val="유통단지개발계획"/>
      <sheetName val="주거환경개선사업계획"/>
      <sheetName val="지구단위계획"/>
      <sheetName val="재해영향평가"/>
      <sheetName val="표서식"/>
      <sheetName val="노임단가"/>
      <sheetName val="표지"/>
      <sheetName val="표준품셈"/>
      <sheetName val="고시단가"/>
      <sheetName val="일위대가(계측기설치)"/>
      <sheetName val="단가표"/>
      <sheetName val="범용개발순소요비용"/>
      <sheetName val="일위대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5">
          <cell r="T15">
            <v>100</v>
          </cell>
        </row>
      </sheetData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11.xml><?xml version="1.0" encoding="utf-8"?>
<externalLink xmlns="http://schemas.openxmlformats.org/spreadsheetml/2006/main">
  <externalBook xmlns:r="http://schemas.openxmlformats.org/officeDocument/2006/relationships" r:id="rId1">
    <sheetNames>
      <sheetName val="VXXXXX"/>
      <sheetName val="포장면적산출"/>
      <sheetName val="포장수량집계"/>
      <sheetName val="포장재료집계표"/>
      <sheetName val="포장총괄집계표"/>
      <sheetName val="접속도로수량집계표"/>
      <sheetName val="접속도로수량"/>
      <sheetName val="종단계산"/>
      <sheetName val="노임단가 (2)"/>
      <sheetName val="20관리비율"/>
    </sheetNames>
    <sheetDataSet>
      <sheetData sheetId="0"/>
      <sheetData sheetId="1"/>
      <sheetData sheetId="2">
        <row r="9">
          <cell r="G9">
            <v>4.7553000000000001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12.xml><?xml version="1.0" encoding="utf-8"?>
<externalLink xmlns="http://schemas.openxmlformats.org/spreadsheetml/2006/main">
  <externalBook xmlns:r="http://schemas.openxmlformats.org/officeDocument/2006/relationships" r:id="rId1">
    <sheetNames>
      <sheetName val="3연box"/>
      <sheetName val="2연box"/>
      <sheetName val="1연 box"/>
      <sheetName val="단 box"/>
      <sheetName val="단 box (2)"/>
      <sheetName val="Sheet2"/>
      <sheetName val="Sheet3"/>
      <sheetName val="포장수량집계"/>
    </sheetNames>
    <sheetDataSet>
      <sheetData sheetId="0"/>
      <sheetData sheetId="1"/>
      <sheetData sheetId="2"/>
      <sheetData sheetId="3">
        <row r="74">
          <cell r="E74">
            <v>1.65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213.xml><?xml version="1.0" encoding="utf-8"?>
<externalLink xmlns="http://schemas.openxmlformats.org/spreadsheetml/2006/main">
  <externalBook xmlns:r="http://schemas.openxmlformats.org/officeDocument/2006/relationships" r:id="rId1">
    <sheetNames>
      <sheetName val="판매"/>
      <sheetName val="단가표"/>
      <sheetName val="거래처부서"/>
    </sheetNames>
    <sheetDataSet>
      <sheetData sheetId="0" refreshError="1"/>
      <sheetData sheetId="1">
        <row r="2">
          <cell r="A2" t="str">
            <v>디스켓</v>
          </cell>
        </row>
        <row r="3">
          <cell r="A3" t="str">
            <v>디스켓</v>
          </cell>
        </row>
        <row r="4">
          <cell r="A4" t="str">
            <v>디스켓</v>
          </cell>
        </row>
        <row r="5">
          <cell r="A5" t="str">
            <v>디스켓</v>
          </cell>
        </row>
        <row r="6">
          <cell r="A6" t="str">
            <v>마우스</v>
          </cell>
        </row>
        <row r="7">
          <cell r="A7" t="str">
            <v>메모리</v>
          </cell>
        </row>
        <row r="8">
          <cell r="A8" t="str">
            <v>메모리</v>
          </cell>
        </row>
        <row r="9">
          <cell r="A9" t="str">
            <v>메모리</v>
          </cell>
        </row>
        <row r="10">
          <cell r="A10" t="str">
            <v>메모리</v>
          </cell>
        </row>
        <row r="11">
          <cell r="A11" t="str">
            <v>메모리</v>
          </cell>
        </row>
        <row r="12">
          <cell r="A12" t="str">
            <v>스피커</v>
          </cell>
        </row>
        <row r="13">
          <cell r="A13" t="str">
            <v>스피커</v>
          </cell>
        </row>
        <row r="14">
          <cell r="A14" t="str">
            <v>스피커</v>
          </cell>
        </row>
      </sheetData>
      <sheetData sheetId="2" refreshError="1"/>
    </sheetDataSet>
  </externalBook>
</externalLink>
</file>

<file path=xl/externalLinks/externalLink214.xml><?xml version="1.0" encoding="utf-8"?>
<externalLink xmlns="http://schemas.openxmlformats.org/spreadsheetml/2006/main">
  <externalBook xmlns:r="http://schemas.openxmlformats.org/officeDocument/2006/relationships" r:id="rId1">
    <sheetNames>
      <sheetName val="환지방식개발계획(면적식)"/>
      <sheetName val="환지방식개발계획(절충식)"/>
      <sheetName val="환지방식개발계획(평가식)"/>
      <sheetName val="도시재개발계획(면적식)"/>
      <sheetName val="도시재개발계획(절충식)"/>
      <sheetName val="도시재개발계획(평가식)"/>
      <sheetName val="도시재개발계획(기본계획)"/>
      <sheetName val="Sheet1"/>
      <sheetName val="지구단위계획(제주)"/>
      <sheetName val="산업단지개발계획"/>
      <sheetName val="주택단지개발계획"/>
      <sheetName val="유통단지개발계획"/>
      <sheetName val="주거환경개선사업계획"/>
      <sheetName val="지구단위계획"/>
      <sheetName val="재해영향평가"/>
      <sheetName val="표서식"/>
      <sheetName val="노임단가"/>
      <sheetName val="표지"/>
      <sheetName val="표준품셈"/>
      <sheetName val="고시단가"/>
      <sheetName val="일위대가(계측기설치)"/>
      <sheetName val="단가표"/>
      <sheetName val="범용개발순소요비용"/>
      <sheetName val="일위대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5">
          <cell r="T15">
            <v>100</v>
          </cell>
        </row>
      </sheetData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15.xml><?xml version="1.0" encoding="utf-8"?>
<externalLink xmlns="http://schemas.openxmlformats.org/spreadsheetml/2006/main">
  <externalBook xmlns:r="http://schemas.openxmlformats.org/officeDocument/2006/relationships" r:id="rId1">
    <sheetNames>
      <sheetName val="일위대가모듈"/>
      <sheetName val="일위대가집계표"/>
      <sheetName val="일위대가표"/>
      <sheetName val="DATA"/>
      <sheetName val="일위대가표지"/>
      <sheetName val="시행분집계"/>
      <sheetName val="일위대가시행분"/>
      <sheetName val="단가산출표지"/>
      <sheetName val="단가산출집계"/>
      <sheetName val="XXXXXX"/>
      <sheetName val="우수관로 자재집계  "/>
      <sheetName val="우수관로 수량집계"/>
      <sheetName val="우수관로자재접합 "/>
      <sheetName val="맨홀집계표 "/>
      <sheetName val="맨홀수량"/>
      <sheetName val="맨홀토공"/>
      <sheetName val="지구단위계획"/>
      <sheetName val="I一般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16.xml><?xml version="1.0" encoding="utf-8"?>
<externalLink xmlns="http://schemas.openxmlformats.org/spreadsheetml/2006/main">
  <externalBook xmlns:r="http://schemas.openxmlformats.org/officeDocument/2006/relationships" r:id="rId1">
    <sheetNames>
      <sheetName val="VXXXXX"/>
      <sheetName val="표지"/>
      <sheetName val="내역총괄표"/>
      <sheetName val="수량산출집계"/>
      <sheetName val="1.단가총괄표"/>
      <sheetName val="2.일위대가"/>
      <sheetName val="3.장비시간당.."/>
      <sheetName val="4.장비손료"/>
      <sheetName val="5.소모재료비"/>
      <sheetName val="단가"/>
      <sheetName val="지구단위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</sheetDataSet>
  </externalBook>
</externalLink>
</file>

<file path=xl/externalLinks/externalLink217.xml><?xml version="1.0" encoding="utf-8"?>
<externalLink xmlns="http://schemas.openxmlformats.org/spreadsheetml/2006/main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중산교"/>
    </sheetNames>
    <definedNames>
      <definedName name="수식입력매크로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18.xml><?xml version="1.0" encoding="utf-8"?>
<externalLink xmlns="http://schemas.openxmlformats.org/spreadsheetml/2006/main">
  <externalBook xmlns:r="http://schemas.openxmlformats.org/officeDocument/2006/relationships" r:id="rId1">
    <sheetNames>
      <sheetName val="표지 "/>
      <sheetName val="총재료집계 "/>
      <sheetName val="본선집계"/>
      <sheetName val="관로포장내역 "/>
      <sheetName val="토적"/>
      <sheetName val="가정오,우수집계"/>
      <sheetName val="가정오수관 "/>
      <sheetName val="맨홀수량"/>
      <sheetName val="평균"/>
      <sheetName val="h별집계"/>
      <sheetName val="각형맨홀"/>
      <sheetName val="철근"/>
      <sheetName val="집계표"/>
      <sheetName val="개거및 box단위수량"/>
      <sheetName val="Sheet1"/>
      <sheetName val="ABUT수량-A1"/>
      <sheetName val="I一般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19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1"/>
      <sheetName val="Sheet3"/>
      <sheetName val="갑지"/>
      <sheetName val="공문 (2)"/>
      <sheetName val="표지"/>
      <sheetName val="간지"/>
      <sheetName val="보고서"/>
      <sheetName val="조정금액산출결과"/>
      <sheetName val="조정내역원가계산서"/>
      <sheetName val="총괄분내역"/>
      <sheetName val="총괄분E.S내역서"/>
      <sheetName val="미성조정"/>
      <sheetName val="미성분E.S"/>
      <sheetName val="미성내역"/>
      <sheetName val="단가증감"/>
      <sheetName val="일위대가목록"/>
      <sheetName val="산출근거"/>
      <sheetName val="일위대가표"/>
      <sheetName val="중기"/>
      <sheetName val="중기1"/>
      <sheetName val="운반거리표"/>
      <sheetName val="자재"/>
      <sheetName val="노임"/>
      <sheetName val="적용기준"/>
      <sheetName val="4.장비손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220.xml><?xml version="1.0" encoding="utf-8"?>
<externalLink xmlns="http://schemas.openxmlformats.org/spreadsheetml/2006/main">
  <externalBook xmlns:r="http://schemas.openxmlformats.org/officeDocument/2006/relationships" r:id="rId1">
    <sheetNames>
      <sheetName val="일위"/>
      <sheetName val="수량산출"/>
      <sheetName val="각형맨홀"/>
    </sheetNames>
    <sheetDataSet>
      <sheetData sheetId="0"/>
      <sheetData sheetId="1" refreshError="1"/>
      <sheetData sheetId="2" refreshError="1"/>
    </sheetDataSet>
  </externalBook>
</externalLink>
</file>

<file path=xl/externalLinks/externalLink221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2"/>
      <sheetName val="Sheet1"/>
      <sheetName val="96보완계획7.12"/>
      <sheetName val="각형맨홀"/>
      <sheetName val="수량산출"/>
      <sheetName val="범례표"/>
      <sheetName val="날개벽수량표"/>
      <sheetName val="기계경비"/>
    </sheetNames>
    <sheetDataSet>
      <sheetData sheetId="0"/>
      <sheetData sheetId="1"/>
      <sheetData sheetId="2"/>
      <sheetData sheetId="3" refreshError="1">
        <row r="76">
          <cell r="L76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2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토공"/>
      <sheetName val="자재"/>
      <sheetName val="수량"/>
      <sheetName val="수량1"/>
      <sheetName val="산근"/>
      <sheetName val="일위"/>
      <sheetName val="단가표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no</v>
          </cell>
          <cell r="B2" t="str">
            <v>공종</v>
          </cell>
          <cell r="C2" t="str">
            <v>규격</v>
          </cell>
          <cell r="D2" t="str">
            <v>원수</v>
          </cell>
          <cell r="E2" t="str">
            <v>단위</v>
          </cell>
          <cell r="F2" t="str">
            <v>총          액</v>
          </cell>
          <cell r="H2" t="str">
            <v xml:space="preserve"> 노    무     비</v>
          </cell>
          <cell r="J2" t="str">
            <v xml:space="preserve">  재    료    비</v>
          </cell>
          <cell r="L2" t="str">
            <v xml:space="preserve">  경           비</v>
          </cell>
        </row>
        <row r="3">
          <cell r="F3" t="str">
            <v>단   가</v>
          </cell>
          <cell r="G3" t="str">
            <v>금    액</v>
          </cell>
          <cell r="H3" t="str">
            <v>단   가</v>
          </cell>
          <cell r="I3" t="str">
            <v>금    액</v>
          </cell>
          <cell r="J3" t="str">
            <v>단   가</v>
          </cell>
          <cell r="K3" t="str">
            <v>금    액</v>
          </cell>
          <cell r="L3" t="str">
            <v>단   가</v>
          </cell>
          <cell r="M3" t="str">
            <v>금    액</v>
          </cell>
        </row>
        <row r="4">
          <cell r="B4" t="str">
            <v>일위대가표</v>
          </cell>
        </row>
        <row r="5">
          <cell r="A5">
            <v>1</v>
          </cell>
          <cell r="B5" t="str">
            <v>순성토(적재,운반,고르기)</v>
          </cell>
          <cell r="D5">
            <v>1</v>
          </cell>
          <cell r="E5" t="str">
            <v>m3</v>
          </cell>
          <cell r="F5">
            <v>1384.7604559962751</v>
          </cell>
          <cell r="G5" t="str"/>
          <cell r="H5">
            <v>572.58047033768014</v>
          </cell>
          <cell r="I5" t="str"/>
          <cell r="J5">
            <v>328.89416050838588</v>
          </cell>
          <cell r="K5" t="str"/>
          <cell r="L5">
            <v>483.28582515020906</v>
          </cell>
          <cell r="M5" t="str"/>
        </row>
        <row r="6">
          <cell r="A6">
            <v>2</v>
          </cell>
          <cell r="B6" t="str">
            <v>돌자갈치우기</v>
          </cell>
          <cell r="D6">
            <v>1</v>
          </cell>
          <cell r="E6" t="str">
            <v>m2</v>
          </cell>
          <cell r="F6">
            <v>228.98739919354838</v>
          </cell>
          <cell r="G6" t="str"/>
          <cell r="H6">
            <v>228.98739919354838</v>
          </cell>
          <cell r="I6" t="str"/>
          <cell r="J6" t="str"/>
          <cell r="K6" t="str"/>
          <cell r="L6" t="str"/>
          <cell r="M6" t="str"/>
        </row>
        <row r="7">
          <cell r="A7">
            <v>3</v>
          </cell>
          <cell r="B7" t="str">
            <v>씨뿌리기</v>
          </cell>
          <cell r="D7">
            <v>1</v>
          </cell>
          <cell r="E7" t="str">
            <v>150m2</v>
          </cell>
          <cell r="F7">
            <v>328156.36366425181</v>
          </cell>
          <cell r="G7" t="str"/>
          <cell r="H7">
            <v>323352.17052758514</v>
          </cell>
          <cell r="I7" t="str"/>
          <cell r="J7">
            <v>3969.78</v>
          </cell>
          <cell r="K7" t="str"/>
          <cell r="L7">
            <v>834.41313666666679</v>
          </cell>
          <cell r="M7" t="str"/>
        </row>
        <row r="8">
          <cell r="A8">
            <v>4</v>
          </cell>
          <cell r="B8" t="str">
            <v>식재</v>
          </cell>
          <cell r="D8">
            <v>1</v>
          </cell>
          <cell r="E8" t="str">
            <v>ha</v>
          </cell>
          <cell r="F8">
            <v>1638455.2136166664</v>
          </cell>
          <cell r="G8" t="str"/>
          <cell r="H8">
            <v>965648.58</v>
          </cell>
          <cell r="I8" t="str"/>
          <cell r="J8">
            <v>587149.69999999995</v>
          </cell>
          <cell r="K8" t="str"/>
          <cell r="L8">
            <v>85656.933616666676</v>
          </cell>
        </row>
        <row r="9">
          <cell r="A9">
            <v>5</v>
          </cell>
          <cell r="B9" t="str">
            <v>터파기(인력+기계)</v>
          </cell>
          <cell r="D9">
            <v>1</v>
          </cell>
          <cell r="E9" t="str">
            <v>m3</v>
          </cell>
          <cell r="F9">
            <v>3133.859429075334</v>
          </cell>
          <cell r="G9" t="str"/>
          <cell r="H9">
            <v>2937.9594240362817</v>
          </cell>
          <cell r="I9" t="str"/>
          <cell r="J9">
            <v>41.373948097757619</v>
          </cell>
          <cell r="K9" t="str"/>
          <cell r="L9">
            <v>154.52605694129502</v>
          </cell>
          <cell r="M9" t="str"/>
        </row>
        <row r="10">
          <cell r="A10">
            <v>6</v>
          </cell>
          <cell r="B10" t="str">
            <v>되메우기(인력+기계)</v>
          </cell>
          <cell r="D10">
            <v>1</v>
          </cell>
          <cell r="E10" t="str">
            <v>m3</v>
          </cell>
          <cell r="F10">
            <v>1057.8785006527864</v>
          </cell>
          <cell r="G10" t="str"/>
          <cell r="H10">
            <v>885.53245516388381</v>
          </cell>
          <cell r="I10" t="str"/>
          <cell r="J10">
            <v>36.399367827939258</v>
          </cell>
          <cell r="K10" t="str"/>
          <cell r="L10">
            <v>135.94667766096339</v>
          </cell>
          <cell r="M10" t="str"/>
        </row>
        <row r="11">
          <cell r="A11">
            <v>7</v>
          </cell>
          <cell r="B11" t="str">
            <v>떼붙임(줄떼)</v>
          </cell>
          <cell r="D11">
            <v>1</v>
          </cell>
          <cell r="E11" t="str">
            <v>m2</v>
          </cell>
          <cell r="F11">
            <v>4000.3268066666669</v>
          </cell>
          <cell r="H11">
            <v>3274.3268066666669</v>
          </cell>
          <cell r="I11" t="str"/>
          <cell r="J11">
            <v>726.00000000000011</v>
          </cell>
          <cell r="K11" t="str"/>
          <cell r="L11" t="str"/>
          <cell r="M11" t="str"/>
        </row>
        <row r="12">
          <cell r="A12">
            <v>8</v>
          </cell>
          <cell r="B12" t="str">
            <v>떼붙임(평떼)</v>
          </cell>
          <cell r="D12">
            <v>1</v>
          </cell>
          <cell r="E12" t="str">
            <v>m2</v>
          </cell>
          <cell r="F12">
            <v>7132.2649200000005</v>
          </cell>
          <cell r="H12">
            <v>4470.2649200000005</v>
          </cell>
          <cell r="I12" t="str"/>
          <cell r="J12">
            <v>2662</v>
          </cell>
          <cell r="K12" t="str"/>
          <cell r="L12" t="str"/>
          <cell r="M12" t="str"/>
        </row>
        <row r="13">
          <cell r="A13">
            <v>9</v>
          </cell>
          <cell r="B13" t="str">
            <v>조약돌</v>
          </cell>
          <cell r="D13">
            <v>1</v>
          </cell>
          <cell r="E13" t="str">
            <v>m3</v>
          </cell>
          <cell r="F13">
            <v>26774.640123456789</v>
          </cell>
          <cell r="H13">
            <v>24098.038888888888</v>
          </cell>
          <cell r="I13" t="str"/>
          <cell r="J13">
            <v>1251.0049382716049</v>
          </cell>
          <cell r="K13" t="str"/>
          <cell r="L13">
            <v>1425.5962962962963</v>
          </cell>
          <cell r="M13" t="str"/>
        </row>
        <row r="14">
          <cell r="A14">
            <v>10</v>
          </cell>
          <cell r="B14" t="str">
            <v>선택층운반</v>
          </cell>
          <cell r="D14">
            <v>1</v>
          </cell>
          <cell r="E14" t="str">
            <v>m3</v>
          </cell>
          <cell r="F14">
            <v>9759.372011068961</v>
          </cell>
          <cell r="H14">
            <v>1552.8803140359557</v>
          </cell>
          <cell r="I14" t="str"/>
          <cell r="J14">
            <v>6605.1909979291513</v>
          </cell>
          <cell r="K14" t="str"/>
          <cell r="L14">
            <v>1601.300699103854</v>
          </cell>
          <cell r="M14" t="str"/>
        </row>
        <row r="15">
          <cell r="A15">
            <v>11</v>
          </cell>
          <cell r="B15" t="str">
            <v>선택층포설다짐</v>
          </cell>
          <cell r="D15">
            <v>1</v>
          </cell>
          <cell r="E15" t="str">
            <v>개소</v>
          </cell>
          <cell r="F15">
            <v>2294.8958471448568</v>
          </cell>
          <cell r="H15">
            <v>1588.5631927123568</v>
          </cell>
          <cell r="I15" t="str"/>
          <cell r="J15">
            <v>265.25141701671657</v>
          </cell>
          <cell r="K15" t="str"/>
          <cell r="L15">
            <v>441.08123741578379</v>
          </cell>
          <cell r="M15" t="str"/>
        </row>
        <row r="16">
          <cell r="A16">
            <v>12</v>
          </cell>
          <cell r="B16" t="str">
            <v>보조기층운반</v>
          </cell>
          <cell r="D16">
            <v>1</v>
          </cell>
          <cell r="E16" t="str">
            <v>m3</v>
          </cell>
          <cell r="F16">
            <v>12275.382518029823</v>
          </cell>
          <cell r="H16">
            <v>1701.3814960690527</v>
          </cell>
          <cell r="I16" t="str"/>
          <cell r="J16">
            <v>8819.5687231721258</v>
          </cell>
          <cell r="K16" t="str"/>
          <cell r="L16">
            <v>1754.4322987886451</v>
          </cell>
          <cell r="M16" t="str"/>
        </row>
        <row r="17">
          <cell r="A17">
            <v>13</v>
          </cell>
          <cell r="B17" t="str">
            <v>보조기층포설다짐</v>
          </cell>
          <cell r="D17">
            <v>1</v>
          </cell>
          <cell r="E17" t="str">
            <v>m3</v>
          </cell>
          <cell r="F17">
            <v>2114.5266248268026</v>
          </cell>
          <cell r="H17">
            <v>1521.9041039098329</v>
          </cell>
          <cell r="J17">
            <v>212.38711743436403</v>
          </cell>
          <cell r="K17" t="str"/>
          <cell r="L17">
            <v>380.23540348260553</v>
          </cell>
          <cell r="M17" t="str"/>
        </row>
        <row r="18">
          <cell r="A18">
            <v>14</v>
          </cell>
          <cell r="B18" t="str">
            <v>하판거푸집(1회)</v>
          </cell>
          <cell r="D18">
            <v>1</v>
          </cell>
          <cell r="E18" t="str">
            <v>식</v>
          </cell>
          <cell r="F18">
            <v>39561.096200000007</v>
          </cell>
          <cell r="H18">
            <v>27810.290000000005</v>
          </cell>
          <cell r="J18">
            <v>11750.806200000003</v>
          </cell>
        </row>
        <row r="19">
          <cell r="A19">
            <v>15</v>
          </cell>
          <cell r="B19" t="str">
            <v>하판거푸집(2회)</v>
          </cell>
          <cell r="D19">
            <v>1</v>
          </cell>
          <cell r="E19" t="str">
            <v>식</v>
          </cell>
          <cell r="F19">
            <v>23384.133534000004</v>
          </cell>
          <cell r="H19">
            <v>16686.174000000003</v>
          </cell>
          <cell r="J19">
            <v>6697.9595340000005</v>
          </cell>
        </row>
        <row r="20">
          <cell r="A20">
            <v>16</v>
          </cell>
          <cell r="B20" t="str">
            <v>하판거푸집(3회)</v>
          </cell>
          <cell r="D20">
            <v>1</v>
          </cell>
          <cell r="E20" t="str">
            <v>식</v>
          </cell>
          <cell r="F20">
            <v>18515.768248200002</v>
          </cell>
          <cell r="H20">
            <v>13098.646590000002</v>
          </cell>
          <cell r="J20">
            <v>5417.1216582000015</v>
          </cell>
        </row>
        <row r="21">
          <cell r="A21">
            <v>17</v>
          </cell>
          <cell r="B21" t="str">
            <v>하판거푸집(4회)</v>
          </cell>
          <cell r="D21">
            <v>1</v>
          </cell>
          <cell r="E21" t="str">
            <v>식</v>
          </cell>
          <cell r="F21">
            <v>15836.189286200002</v>
          </cell>
          <cell r="H21">
            <v>11124.116000000002</v>
          </cell>
          <cell r="J21">
            <v>4712.0732862000013</v>
          </cell>
        </row>
        <row r="22">
          <cell r="A22">
            <v>18</v>
          </cell>
          <cell r="B22" t="str">
            <v>하판거푸집(5회)</v>
          </cell>
          <cell r="D22">
            <v>1</v>
          </cell>
          <cell r="E22" t="str">
            <v>식</v>
          </cell>
          <cell r="F22">
            <v>13870.668280200003</v>
          </cell>
          <cell r="H22">
            <v>9511.1191800000015</v>
          </cell>
          <cell r="J22">
            <v>4359.5491002000008</v>
          </cell>
        </row>
        <row r="23">
          <cell r="A23">
            <v>19</v>
          </cell>
          <cell r="B23" t="str">
            <v>하판거푸집(6회)</v>
          </cell>
          <cell r="D23">
            <v>1</v>
          </cell>
          <cell r="E23" t="str">
            <v>식</v>
          </cell>
          <cell r="F23">
            <v>12976.822551400002</v>
          </cell>
          <cell r="H23">
            <v>8899.2928000000011</v>
          </cell>
          <cell r="J23">
            <v>4077.5297514000008</v>
          </cell>
        </row>
        <row r="24">
          <cell r="A24">
            <v>20</v>
          </cell>
          <cell r="B24" t="str">
            <v>비계(목재 1회)</v>
          </cell>
          <cell r="D24">
            <v>1</v>
          </cell>
          <cell r="E24" t="str">
            <v>식</v>
          </cell>
          <cell r="F24">
            <v>24653.035899999999</v>
          </cell>
          <cell r="H24">
            <v>22703</v>
          </cell>
          <cell r="J24">
            <v>1950.0359000000001</v>
          </cell>
          <cell r="L24">
            <v>0</v>
          </cell>
        </row>
        <row r="25">
          <cell r="A25">
            <v>21</v>
          </cell>
          <cell r="B25" t="str">
            <v>비계(목재 2회)</v>
          </cell>
          <cell r="D25">
            <v>1</v>
          </cell>
          <cell r="E25" t="str">
            <v>식</v>
          </cell>
          <cell r="F25">
            <v>24009.524053000001</v>
          </cell>
          <cell r="H25">
            <v>22703</v>
          </cell>
          <cell r="J25">
            <v>1306.5240530000001</v>
          </cell>
        </row>
        <row r="26">
          <cell r="A26">
            <v>22</v>
          </cell>
          <cell r="B26" t="str">
            <v>비계(목재 3회)</v>
          </cell>
          <cell r="D26">
            <v>1</v>
          </cell>
          <cell r="E26" t="str">
            <v>식</v>
          </cell>
          <cell r="F26">
            <v>23804.770283500002</v>
          </cell>
          <cell r="H26">
            <v>22703</v>
          </cell>
          <cell r="J26">
            <v>1101.7702835</v>
          </cell>
        </row>
        <row r="27">
          <cell r="A27">
            <v>23</v>
          </cell>
          <cell r="B27" t="str">
            <v>비계(목재 4회)</v>
          </cell>
          <cell r="D27">
            <v>1</v>
          </cell>
          <cell r="E27" t="str">
            <v>식</v>
          </cell>
          <cell r="F27">
            <v>23709.218524399999</v>
          </cell>
          <cell r="H27">
            <v>22703</v>
          </cell>
          <cell r="J27">
            <v>1006.2185244000001</v>
          </cell>
        </row>
        <row r="28">
          <cell r="A28">
            <v>24</v>
          </cell>
          <cell r="B28" t="str">
            <v>비계(목재 5회)</v>
          </cell>
          <cell r="D28">
            <v>1</v>
          </cell>
          <cell r="E28" t="str">
            <v>식</v>
          </cell>
          <cell r="F28">
            <v>23656.567555099999</v>
          </cell>
          <cell r="H28">
            <v>22703</v>
          </cell>
          <cell r="J28">
            <v>953.56755510000005</v>
          </cell>
        </row>
        <row r="29">
          <cell r="A29">
            <v>25</v>
          </cell>
          <cell r="B29" t="str">
            <v>비계(목재 6회)</v>
          </cell>
          <cell r="D29">
            <v>1</v>
          </cell>
          <cell r="E29" t="str">
            <v>식</v>
          </cell>
          <cell r="F29">
            <v>23625.366980700001</v>
          </cell>
          <cell r="H29">
            <v>22703</v>
          </cell>
          <cell r="J29">
            <v>922.3669807</v>
          </cell>
        </row>
        <row r="30">
          <cell r="A30">
            <v>26</v>
          </cell>
          <cell r="B30" t="str">
            <v>비계(강관 3월)</v>
          </cell>
          <cell r="D30">
            <v>1</v>
          </cell>
          <cell r="E30" t="str">
            <v>식</v>
          </cell>
          <cell r="F30">
            <v>8923.0969999999998</v>
          </cell>
          <cell r="H30">
            <v>7856.8</v>
          </cell>
          <cell r="I30" t="str"/>
          <cell r="J30">
            <v>673.45699999999999</v>
          </cell>
          <cell r="K30" t="str"/>
          <cell r="L30">
            <v>392.84000000000003</v>
          </cell>
          <cell r="M30" t="str"/>
        </row>
        <row r="31">
          <cell r="A31">
            <v>27</v>
          </cell>
          <cell r="B31" t="str">
            <v>비계(강관 6월)</v>
          </cell>
          <cell r="D31">
            <v>1</v>
          </cell>
          <cell r="E31" t="str">
            <v>식</v>
          </cell>
          <cell r="F31">
            <v>9350.7350000000006</v>
          </cell>
          <cell r="H31">
            <v>7856.8</v>
          </cell>
          <cell r="I31" t="str"/>
          <cell r="J31">
            <v>1101.095</v>
          </cell>
          <cell r="K31" t="str"/>
          <cell r="L31">
            <v>392.84000000000003</v>
          </cell>
          <cell r="M31" t="str"/>
        </row>
        <row r="32">
          <cell r="A32">
            <v>28</v>
          </cell>
          <cell r="B32" t="str">
            <v>비계(강관 12월)</v>
          </cell>
          <cell r="D32">
            <v>1</v>
          </cell>
          <cell r="E32" t="str">
            <v>식</v>
          </cell>
          <cell r="F32">
            <v>10313.120500000001</v>
          </cell>
          <cell r="H32">
            <v>7856.8</v>
          </cell>
          <cell r="I32" t="str"/>
          <cell r="J32">
            <v>2063.4805000000001</v>
          </cell>
          <cell r="K32" t="str"/>
          <cell r="L32">
            <v>392.84000000000003</v>
          </cell>
          <cell r="M32" t="str"/>
        </row>
        <row r="33">
          <cell r="A33">
            <v>29</v>
          </cell>
          <cell r="B33" t="str">
            <v>비계(강관 24월)</v>
          </cell>
          <cell r="D33">
            <v>1</v>
          </cell>
          <cell r="E33" t="str">
            <v>식</v>
          </cell>
          <cell r="F33">
            <v>12237.4915</v>
          </cell>
          <cell r="H33">
            <v>7856.8</v>
          </cell>
          <cell r="I33" t="str"/>
          <cell r="J33">
            <v>3987.8515000000002</v>
          </cell>
          <cell r="K33" t="str"/>
          <cell r="L33">
            <v>392.84000000000003</v>
          </cell>
          <cell r="M33" t="str"/>
        </row>
        <row r="34">
          <cell r="A34">
            <v>30</v>
          </cell>
          <cell r="B34" t="str">
            <v>비계(강관 36월)</v>
          </cell>
          <cell r="D34">
            <v>1</v>
          </cell>
          <cell r="E34" t="str">
            <v>식</v>
          </cell>
          <cell r="F34">
            <v>13970.462500000001</v>
          </cell>
          <cell r="H34">
            <v>7856.8</v>
          </cell>
          <cell r="I34" t="str"/>
          <cell r="J34">
            <v>5720.8225000000011</v>
          </cell>
          <cell r="K34" t="str"/>
          <cell r="L34">
            <v>392.84000000000003</v>
          </cell>
          <cell r="M34" t="str"/>
        </row>
        <row r="35">
          <cell r="A35">
            <v>31</v>
          </cell>
          <cell r="B35" t="str">
            <v>사토(적사+운반+정지,다짐)</v>
          </cell>
          <cell r="D35">
            <v>1</v>
          </cell>
          <cell r="E35" t="str">
            <v>m3</v>
          </cell>
          <cell r="F35">
            <v>1544.2344945753239</v>
          </cell>
          <cell r="H35">
            <v>588.02636146457382</v>
          </cell>
          <cell r="I35" t="str"/>
          <cell r="J35">
            <v>418.93575797318385</v>
          </cell>
          <cell r="K35" t="str"/>
          <cell r="L35">
            <v>537.2723751375662</v>
          </cell>
          <cell r="M35" t="str"/>
        </row>
        <row r="36">
          <cell r="A36">
            <v>32</v>
          </cell>
          <cell r="B36" t="str">
            <v>초류종자살포</v>
          </cell>
          <cell r="D36">
            <v>100</v>
          </cell>
          <cell r="E36" t="str">
            <v>m2</v>
          </cell>
          <cell r="F36">
            <v>0</v>
          </cell>
        </row>
        <row r="37">
          <cell r="A37">
            <v>33</v>
          </cell>
          <cell r="B37" t="str">
            <v>터파기(기계)</v>
          </cell>
          <cell r="D37">
            <v>1</v>
          </cell>
          <cell r="E37" t="str">
            <v>m3</v>
          </cell>
          <cell r="F37">
            <v>514.10462333081387</v>
          </cell>
          <cell r="H37">
            <v>267.25481859410434</v>
          </cell>
          <cell r="I37" t="str"/>
          <cell r="J37">
            <v>52.134511211892168</v>
          </cell>
          <cell r="K37" t="str"/>
          <cell r="L37">
            <v>194.71529352481735</v>
          </cell>
          <cell r="M37" t="str"/>
        </row>
        <row r="38">
          <cell r="A38">
            <v>34</v>
          </cell>
          <cell r="B38" t="str">
            <v>되메우기(기계)</v>
          </cell>
          <cell r="D38">
            <v>1</v>
          </cell>
          <cell r="E38" t="str">
            <v>m3</v>
          </cell>
          <cell r="F38">
            <v>448.67312581598298</v>
          </cell>
          <cell r="H38">
            <v>233.24056895485467</v>
          </cell>
          <cell r="I38" t="str"/>
          <cell r="J38">
            <v>45.499209784924069</v>
          </cell>
          <cell r="K38" t="str"/>
          <cell r="L38">
            <v>169.93334707620423</v>
          </cell>
          <cell r="M38" t="str"/>
        </row>
        <row r="39">
          <cell r="A39">
            <v>35</v>
          </cell>
          <cell r="B39" t="str">
            <v>철근가공조립(간단)</v>
          </cell>
          <cell r="D39">
            <v>1</v>
          </cell>
          <cell r="E39" t="str">
            <v>ton</v>
          </cell>
          <cell r="F39">
            <v>265004.30000000005</v>
          </cell>
          <cell r="H39">
            <v>261754.30000000002</v>
          </cell>
          <cell r="I39" t="str"/>
          <cell r="J39">
            <v>3250</v>
          </cell>
          <cell r="K39" t="str"/>
          <cell r="L39" t="str"/>
          <cell r="M39" t="str"/>
        </row>
        <row r="40">
          <cell r="A40">
            <v>36</v>
          </cell>
          <cell r="B40" t="str">
            <v>철근가공조립(보통)</v>
          </cell>
          <cell r="D40">
            <v>1</v>
          </cell>
          <cell r="E40" t="str">
            <v>ton</v>
          </cell>
          <cell r="F40">
            <v>365024.4</v>
          </cell>
          <cell r="H40">
            <v>360799.4</v>
          </cell>
          <cell r="I40" t="str"/>
          <cell r="J40">
            <v>4225</v>
          </cell>
          <cell r="K40" t="str"/>
          <cell r="L40" t="str"/>
          <cell r="M40" t="str"/>
        </row>
        <row r="41">
          <cell r="A41">
            <v>37</v>
          </cell>
          <cell r="B41" t="str">
            <v>철근가공조립(복잡)</v>
          </cell>
          <cell r="D41">
            <v>1</v>
          </cell>
          <cell r="E41" t="str">
            <v>ton</v>
          </cell>
          <cell r="F41">
            <v>457946.6</v>
          </cell>
          <cell r="H41">
            <v>452746.6</v>
          </cell>
          <cell r="I41" t="str"/>
          <cell r="J41">
            <v>5200</v>
          </cell>
          <cell r="K41" t="str"/>
          <cell r="L41" t="str"/>
          <cell r="M41" t="str"/>
        </row>
        <row r="42">
          <cell r="A42">
            <v>38</v>
          </cell>
          <cell r="B42" t="str">
            <v>레미콘타설(인력,무근)</v>
          </cell>
          <cell r="D42">
            <v>1</v>
          </cell>
          <cell r="E42" t="str">
            <v>m3</v>
          </cell>
          <cell r="F42">
            <v>19124.34</v>
          </cell>
          <cell r="H42">
            <v>19124.34</v>
          </cell>
          <cell r="I42" t="str"/>
          <cell r="J42" t="str"/>
          <cell r="K42" t="str"/>
          <cell r="L42" t="str"/>
          <cell r="M42" t="str"/>
        </row>
        <row r="43">
          <cell r="A43">
            <v>39</v>
          </cell>
          <cell r="B43" t="str">
            <v>레미콘타설(인력,철근)</v>
          </cell>
          <cell r="D43">
            <v>1</v>
          </cell>
          <cell r="E43" t="str">
            <v>m3</v>
          </cell>
          <cell r="F43">
            <v>21307.470370370371</v>
          </cell>
          <cell r="H43">
            <v>21115.1</v>
          </cell>
          <cell r="I43" t="str"/>
          <cell r="J43">
            <v>145.92592592592592</v>
          </cell>
          <cell r="K43" t="str"/>
          <cell r="L43">
            <v>46.444444444444443</v>
          </cell>
          <cell r="M43" t="str"/>
        </row>
        <row r="44">
          <cell r="A44">
            <v>40</v>
          </cell>
          <cell r="B44" t="str">
            <v>레미콘타설(소형구조물)</v>
          </cell>
          <cell r="D44">
            <v>1</v>
          </cell>
          <cell r="E44" t="str">
            <v>m3</v>
          </cell>
          <cell r="F44">
            <v>30349.950370370374</v>
          </cell>
          <cell r="H44">
            <v>30179.58</v>
          </cell>
          <cell r="I44" t="str"/>
          <cell r="J44">
            <v>145.92592592592592</v>
          </cell>
          <cell r="K44" t="str"/>
          <cell r="L44">
            <v>24.444444444444443</v>
          </cell>
          <cell r="M44" t="str"/>
        </row>
        <row r="45">
          <cell r="A45">
            <v>41</v>
          </cell>
          <cell r="B45" t="str">
            <v>몰탈(1:2)</v>
          </cell>
          <cell r="D45">
            <v>1</v>
          </cell>
          <cell r="E45" t="str">
            <v>m3</v>
          </cell>
          <cell r="F45">
            <v>45761.3</v>
          </cell>
          <cell r="H45">
            <v>37921.300000000003</v>
          </cell>
          <cell r="I45" t="str"/>
          <cell r="J45">
            <v>7840</v>
          </cell>
          <cell r="K45" t="str"/>
          <cell r="L45" t="str"/>
          <cell r="M45" t="str"/>
        </row>
        <row r="46">
          <cell r="A46">
            <v>42</v>
          </cell>
          <cell r="B46" t="str">
            <v>몰탈(1:3)</v>
          </cell>
          <cell r="D46">
            <v>1</v>
          </cell>
          <cell r="E46" t="str">
            <v>m3</v>
          </cell>
          <cell r="F46">
            <v>40884.800000000003</v>
          </cell>
          <cell r="H46">
            <v>38285.5</v>
          </cell>
          <cell r="I46" t="str"/>
          <cell r="J46">
            <v>2599.3000000000002</v>
          </cell>
          <cell r="K46" t="str"/>
          <cell r="L46" t="str"/>
          <cell r="M46" t="str"/>
        </row>
        <row r="47">
          <cell r="A47">
            <v>43</v>
          </cell>
          <cell r="B47" t="str">
            <v>흄관부설(d=300)</v>
          </cell>
          <cell r="D47">
            <v>1</v>
          </cell>
          <cell r="E47" t="str">
            <v>m</v>
          </cell>
          <cell r="F47">
            <v>26982.234750728403</v>
          </cell>
          <cell r="H47">
            <v>25716.478646800002</v>
          </cell>
          <cell r="I47" t="str"/>
          <cell r="J47">
            <v>1265.7561039284001</v>
          </cell>
          <cell r="K47" t="str"/>
          <cell r="L47" t="str"/>
          <cell r="M47" t="str"/>
        </row>
        <row r="48">
          <cell r="A48">
            <v>44</v>
          </cell>
          <cell r="B48" t="str">
            <v>흄관부설(d=600)</v>
          </cell>
          <cell r="D48">
            <v>1</v>
          </cell>
          <cell r="E48" t="str">
            <v>m</v>
          </cell>
          <cell r="F48">
            <v>73425.346641680007</v>
          </cell>
          <cell r="H48">
            <v>53432.999580000003</v>
          </cell>
          <cell r="I48" t="str"/>
          <cell r="J48">
            <v>6353.8357016800001</v>
          </cell>
          <cell r="K48" t="str"/>
          <cell r="L48">
            <v>13638.511360000002</v>
          </cell>
          <cell r="M48" t="str"/>
        </row>
        <row r="49">
          <cell r="A49">
            <v>45</v>
          </cell>
          <cell r="B49" t="str">
            <v>집수정</v>
          </cell>
          <cell r="D49">
            <v>1</v>
          </cell>
          <cell r="E49" t="str">
            <v>개소</v>
          </cell>
          <cell r="F49">
            <v>319971.45607212745</v>
          </cell>
          <cell r="H49">
            <v>245778.30540000001</v>
          </cell>
          <cell r="I49" t="str"/>
          <cell r="J49">
            <v>74142.061783238547</v>
          </cell>
          <cell r="K49" t="str"/>
          <cell r="L49">
            <v>51.088888888888889</v>
          </cell>
          <cell r="M49" t="str"/>
        </row>
        <row r="50">
          <cell r="A50">
            <v>46</v>
          </cell>
          <cell r="B50" t="str">
            <v>플륨관부설(300*300)</v>
          </cell>
          <cell r="D50">
            <v>1</v>
          </cell>
          <cell r="E50" t="str">
            <v>식</v>
          </cell>
          <cell r="F50">
            <v>6304.1260000000002</v>
          </cell>
          <cell r="H50">
            <v>5626.8779999999997</v>
          </cell>
          <cell r="I50" t="str"/>
          <cell r="J50">
            <v>111.488</v>
          </cell>
          <cell r="K50" t="str"/>
          <cell r="L50">
            <v>565.76</v>
          </cell>
          <cell r="M50" t="str"/>
        </row>
        <row r="51">
          <cell r="A51">
            <v>47</v>
          </cell>
          <cell r="B51" t="str">
            <v>옹벽설치(H=2.5)</v>
          </cell>
          <cell r="D51">
            <v>1</v>
          </cell>
          <cell r="E51" t="str">
            <v>m</v>
          </cell>
          <cell r="F51">
            <v>250213.46901009729</v>
          </cell>
          <cell r="H51">
            <v>210085.15126190224</v>
          </cell>
          <cell r="I51" t="str"/>
          <cell r="J51">
            <v>38249.277007454308</v>
          </cell>
          <cell r="K51" t="str"/>
          <cell r="L51">
            <v>1879.0407407407406</v>
          </cell>
          <cell r="M51" t="str"/>
        </row>
        <row r="52">
          <cell r="A52">
            <v>48</v>
          </cell>
          <cell r="B52" t="str">
            <v>콘크리트포장</v>
          </cell>
          <cell r="D52">
            <v>1</v>
          </cell>
          <cell r="E52" t="str">
            <v>m2</v>
          </cell>
          <cell r="F52">
            <v>11391.45176874541</v>
          </cell>
          <cell r="H52">
            <v>8777.1977785956733</v>
          </cell>
          <cell r="I52" t="str"/>
          <cell r="J52">
            <v>1879.5528485918878</v>
          </cell>
          <cell r="K52" t="str"/>
          <cell r="L52">
            <v>734.70114155784972</v>
          </cell>
          <cell r="M52" t="str"/>
        </row>
        <row r="53">
          <cell r="A53">
            <v>49</v>
          </cell>
          <cell r="B53" t="str">
            <v>양생</v>
          </cell>
          <cell r="D53">
            <v>1</v>
          </cell>
          <cell r="E53" t="str">
            <v>m2</v>
          </cell>
          <cell r="F53">
            <v>234.78800000000001</v>
          </cell>
          <cell r="H53">
            <v>139.78800000000001</v>
          </cell>
          <cell r="I53" t="str"/>
          <cell r="J53">
            <v>95</v>
          </cell>
          <cell r="K53" t="str"/>
          <cell r="L53" t="str"/>
          <cell r="M53" t="str"/>
        </row>
        <row r="54">
          <cell r="A54">
            <v>50</v>
          </cell>
          <cell r="B54" t="str">
            <v>모래깔기(3(m)</v>
          </cell>
          <cell r="D54">
            <v>1</v>
          </cell>
          <cell r="E54" t="str">
            <v>m2</v>
          </cell>
          <cell r="F54">
            <v>764.20499999999993</v>
          </cell>
          <cell r="H54">
            <v>524.20499999999993</v>
          </cell>
          <cell r="I54" t="str"/>
          <cell r="J54">
            <v>240</v>
          </cell>
          <cell r="K54" t="str"/>
          <cell r="L54" t="str"/>
          <cell r="M54" t="str"/>
        </row>
        <row r="55">
          <cell r="A55">
            <v>51</v>
          </cell>
          <cell r="B55" t="str">
            <v>wire mesh깔기</v>
          </cell>
          <cell r="D55">
            <v>1</v>
          </cell>
          <cell r="E55" t="str">
            <v>m2</v>
          </cell>
          <cell r="F55">
            <v>2274.248</v>
          </cell>
          <cell r="H55">
            <v>851.74800000000005</v>
          </cell>
          <cell r="I55" t="str"/>
          <cell r="J55">
            <v>1422.5</v>
          </cell>
          <cell r="K55" t="str"/>
          <cell r="L55" t="str"/>
          <cell r="M55" t="str"/>
        </row>
        <row r="56">
          <cell r="A56">
            <v>52</v>
          </cell>
          <cell r="B56" t="str">
            <v>콘크리트포설</v>
          </cell>
          <cell r="D56">
            <v>1</v>
          </cell>
          <cell r="E56" t="str">
            <v>m2</v>
          </cell>
          <cell r="F56">
            <v>6480.5069999999996</v>
          </cell>
          <cell r="H56">
            <v>6480.5069999999996</v>
          </cell>
          <cell r="I56" t="str"/>
          <cell r="J56" t="str"/>
          <cell r="K56" t="str"/>
          <cell r="L56" t="str"/>
          <cell r="M56" t="str"/>
        </row>
        <row r="57">
          <cell r="A57">
            <v>53</v>
          </cell>
          <cell r="B57" t="str">
            <v>배수pipe설치</v>
          </cell>
          <cell r="D57">
            <v>1</v>
          </cell>
          <cell r="E57" t="str">
            <v>m</v>
          </cell>
          <cell r="F57">
            <v>1515.15</v>
          </cell>
          <cell r="H57">
            <v>72.150000000000006</v>
          </cell>
          <cell r="I57" t="str"/>
          <cell r="J57">
            <v>1443</v>
          </cell>
          <cell r="K57" t="str"/>
          <cell r="L57" t="str"/>
          <cell r="M57" t="str"/>
        </row>
        <row r="58">
          <cell r="A58">
            <v>54</v>
          </cell>
          <cell r="B58" t="str">
            <v>흄관운반</v>
          </cell>
          <cell r="D58">
            <v>1</v>
          </cell>
          <cell r="E58" t="str">
            <v>본</v>
          </cell>
          <cell r="F58">
            <v>6135.5930247933875</v>
          </cell>
          <cell r="H58">
            <v>670.43600000000004</v>
          </cell>
          <cell r="I58" t="str"/>
          <cell r="J58" t="str"/>
          <cell r="K58" t="str"/>
          <cell r="L58">
            <v>5465.1570247933878</v>
          </cell>
          <cell r="M58" t="str"/>
        </row>
        <row r="59">
          <cell r="A59">
            <v>55</v>
          </cell>
          <cell r="B59" t="str">
            <v>플륨관운반</v>
          </cell>
          <cell r="D59">
            <v>1</v>
          </cell>
          <cell r="E59" t="str">
            <v>본</v>
          </cell>
          <cell r="F59">
            <v>2861.3190347107434</v>
          </cell>
          <cell r="H59">
            <v>296.89920000000001</v>
          </cell>
          <cell r="I59" t="str"/>
          <cell r="J59" t="str"/>
          <cell r="K59" t="str"/>
          <cell r="L59">
            <v>2564.4198347107435</v>
          </cell>
          <cell r="M59" t="str"/>
        </row>
        <row r="60">
          <cell r="A60">
            <v>56</v>
          </cell>
          <cell r="B60" t="str">
            <v>철근운반</v>
          </cell>
          <cell r="D60">
            <v>1</v>
          </cell>
          <cell r="E60" t="str">
            <v>ton</v>
          </cell>
          <cell r="F60">
            <v>2861.3190347107434</v>
          </cell>
          <cell r="H60">
            <v>296.89920000000001</v>
          </cell>
          <cell r="I60" t="str"/>
          <cell r="J60" t="str"/>
          <cell r="K60" t="str"/>
          <cell r="L60">
            <v>2564.4198347107435</v>
          </cell>
        </row>
        <row r="61">
          <cell r="A61">
            <v>57</v>
          </cell>
          <cell r="B61" t="str">
            <v>중기운반</v>
          </cell>
          <cell r="D61">
            <v>1</v>
          </cell>
          <cell r="E61" t="str">
            <v>식</v>
          </cell>
          <cell r="F61">
            <v>482632.49017878831</v>
          </cell>
          <cell r="H61">
            <v>164757.71666666667</v>
          </cell>
          <cell r="J61">
            <v>165320.0653639735</v>
          </cell>
          <cell r="L61">
            <v>152554.70814814817</v>
          </cell>
        </row>
        <row r="62">
          <cell r="A62">
            <v>58</v>
          </cell>
          <cell r="B62" t="str">
            <v>석축쌓기</v>
          </cell>
          <cell r="D62">
            <v>1</v>
          </cell>
          <cell r="E62" t="str">
            <v>m2</v>
          </cell>
          <cell r="F62">
            <v>94934.69158296258</v>
          </cell>
          <cell r="H62">
            <v>86702.626528835914</v>
          </cell>
          <cell r="I62" t="str"/>
          <cell r="J62">
            <v>4612.9409916451132</v>
          </cell>
          <cell r="K62" t="str"/>
          <cell r="L62">
            <v>3619.1240624815546</v>
          </cell>
          <cell r="M62" t="str"/>
        </row>
        <row r="63">
          <cell r="A63">
            <v>59</v>
          </cell>
          <cell r="B63" t="str">
            <v>석축기초</v>
          </cell>
          <cell r="D63">
            <v>1</v>
          </cell>
          <cell r="E63" t="str">
            <v>m</v>
          </cell>
          <cell r="F63">
            <v>12031.69701084</v>
          </cell>
          <cell r="H63">
            <v>12031.69701084</v>
          </cell>
          <cell r="I63" t="str"/>
          <cell r="J63" t="str"/>
          <cell r="K63" t="str"/>
          <cell r="L63" t="str"/>
          <cell r="M63" t="str"/>
        </row>
        <row r="64">
          <cell r="A64">
            <v>61</v>
          </cell>
          <cell r="B64" t="str">
            <v>천단모르터(1:3)</v>
          </cell>
          <cell r="D64">
            <v>1</v>
          </cell>
          <cell r="E64" t="str">
            <v>m</v>
          </cell>
          <cell r="F64">
            <v>4298.9340000000002</v>
          </cell>
          <cell r="H64">
            <v>4220.9549999999999</v>
          </cell>
          <cell r="I64" t="str"/>
          <cell r="J64">
            <v>77.978999999999999</v>
          </cell>
          <cell r="K64" t="str"/>
          <cell r="L64" t="str"/>
          <cell r="M64" t="str"/>
        </row>
        <row r="65">
          <cell r="A65">
            <v>62</v>
          </cell>
          <cell r="B65" t="str">
            <v>토사깎기(m3 당)</v>
          </cell>
          <cell r="D65">
            <v>1</v>
          </cell>
          <cell r="E65" t="str">
            <v>m3</v>
          </cell>
          <cell r="F65">
            <v>485.93934117343429</v>
          </cell>
          <cell r="H65">
            <v>271.42502856348813</v>
          </cell>
          <cell r="I65" t="str"/>
          <cell r="J65">
            <v>148.69503244057421</v>
          </cell>
          <cell r="K65" t="str"/>
          <cell r="L65">
            <v>65.819280169371922</v>
          </cell>
          <cell r="M65" t="str"/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tabSelected="1" view="pageBreakPreview" zoomScale="75" zoomScaleNormal="75" zoomScaleSheetLayoutView="75" workbookViewId="0">
      <selection activeCell="A1" sqref="A1"/>
    </sheetView>
  </sheetViews>
  <sheetFormatPr baseColWidth="8" defaultRowHeight="20.25"/>
  <cols>
    <col width="7.77734375" customWidth="1" style="11" min="1" max="1"/>
    <col width="20" customWidth="1" style="11" min="2" max="2"/>
    <col width="7.77734375" customWidth="1" style="11" min="3" max="3"/>
    <col width="19.77734375" customWidth="1" style="11" min="4" max="4"/>
    <col width="7.77734375" customWidth="1" style="11" min="5" max="5"/>
    <col width="19.77734375" customWidth="1" style="11" min="6" max="6"/>
    <col width="7.77734375" customWidth="1" style="11" min="7" max="7"/>
    <col width="19.77734375" customWidth="1" style="11" min="8" max="8"/>
    <col width="7.77734375" customWidth="1" style="11" min="9" max="9"/>
    <col width="19.77734375" customWidth="1" style="11" min="10" max="10"/>
    <col width="8.88671875" customWidth="1" style="11" min="11" max="16384"/>
  </cols>
  <sheetData>
    <row r="1" ht="24.75" customHeight="1">
      <c r="A1" s="9" t="n"/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49" t="n"/>
    </row>
    <row r="2" ht="24.75" customHeight="1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4" t="n"/>
    </row>
    <row r="3" ht="24.75" customHeight="1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4" t="n"/>
    </row>
    <row r="4" ht="24.75" customHeight="1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4" t="n"/>
    </row>
    <row r="5" ht="70.5" customHeight="1">
      <c r="A5" s="175" t="inlineStr">
        <is>
          <t>영덕군 도시계획정보체계(UPIS) 운영장비(H/W‧S/W) 유지관리 용역</t>
        </is>
      </c>
      <c r="L5" s="176" t="n"/>
    </row>
    <row r="6" ht="40.5" customHeight="1">
      <c r="A6" s="177" t="inlineStr">
        <is>
          <t>기성(1회) 내역서</t>
        </is>
      </c>
      <c r="L6" s="178" t="n"/>
    </row>
    <row r="7" ht="13.5" customHeight="1">
      <c r="A7" s="12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4" t="n"/>
    </row>
    <row r="8" ht="13.5" customHeight="1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4" t="n"/>
    </row>
    <row r="9" ht="13.5" customHeight="1">
      <c r="A9" s="12" t="n"/>
      <c r="B9" s="13" t="n"/>
      <c r="C9" s="13" t="n"/>
      <c r="D9" s="13" t="n"/>
      <c r="E9" s="13" t="n"/>
      <c r="F9" s="13" t="n"/>
      <c r="G9" s="13" t="n"/>
      <c r="H9" s="13" t="n"/>
      <c r="I9" s="32" t="n"/>
      <c r="J9" s="13" t="n"/>
      <c r="K9" s="13" t="n"/>
      <c r="L9" s="14" t="n"/>
    </row>
    <row r="10" ht="13.5" customHeight="1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4" t="n"/>
    </row>
    <row r="11" ht="13.5" customHeight="1">
      <c r="A11" s="12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4" t="n"/>
    </row>
    <row r="12" ht="13.5" customHeight="1">
      <c r="A12" s="12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4" t="n"/>
    </row>
    <row r="13" ht="13.5" customHeight="1">
      <c r="A13" s="12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4" t="n"/>
    </row>
    <row r="14" ht="13.5" customHeight="1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4" t="n"/>
    </row>
    <row r="15" ht="32.1" customHeight="1">
      <c r="A15" s="179" t="inlineStr">
        <is>
          <t>2025. 07</t>
        </is>
      </c>
      <c r="L15" s="176" t="n"/>
      <c r="P15" s="15" t="n"/>
    </row>
    <row r="16" ht="43.5" customHeight="1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4" t="n"/>
    </row>
    <row r="17">
      <c r="A17" s="12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4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4" t="n"/>
    </row>
    <row r="20">
      <c r="A20" s="12" t="n"/>
      <c r="B20" s="13" t="n"/>
      <c r="C20" s="13" t="n"/>
      <c r="D20" s="13" t="n"/>
      <c r="E20" s="129" t="n"/>
      <c r="F20" s="13" t="n"/>
      <c r="G20" s="13" t="n"/>
      <c r="H20" s="13" t="n"/>
      <c r="I20" s="13" t="n"/>
      <c r="J20" s="13" t="n"/>
      <c r="K20" s="13" t="n"/>
      <c r="L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4" t="n"/>
    </row>
    <row r="22" ht="57" customHeight="1">
      <c r="A22" s="180" t="inlineStr">
        <is>
          <t xml:space="preserve">  영   덕   군</t>
        </is>
      </c>
      <c r="L22" s="176" t="n"/>
    </row>
    <row r="23">
      <c r="A23" s="3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4" t="n"/>
    </row>
    <row r="24">
      <c r="A24" s="12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4" t="n"/>
    </row>
    <row r="25">
      <c r="A25" s="16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8" t="n"/>
    </row>
  </sheetData>
  <mergeCells count="4">
    <mergeCell ref="A6:L6"/>
    <mergeCell ref="A15:L15"/>
    <mergeCell ref="A5:L5"/>
    <mergeCell ref="A22:L22"/>
  </mergeCells>
  <printOptions horizontalCentered="1" verticalCentered="1"/>
  <pageMargins left="0.6692913385826772" right="0.6692913385826772" top="0.7874015748031497" bottom="0.7874015748031497" header="0.5118110236220472" footer="0.5118110236220472"/>
  <pageSetup orientation="landscape" paperSize="9" scale="73" fitToHeight="2" horizont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view="pageBreakPreview" zoomScaleNormal="100" zoomScaleSheetLayoutView="100" workbookViewId="0">
      <selection activeCell="A9" sqref="A9"/>
    </sheetView>
  </sheetViews>
  <sheetFormatPr baseColWidth="8" defaultRowHeight="24"/>
  <cols>
    <col width="38.88671875" customWidth="1" style="124" min="1" max="1"/>
    <col width="13.6640625" customWidth="1" style="181" min="2" max="2"/>
    <col width="12.5546875" customWidth="1" style="181" min="3" max="3"/>
    <col width="8.21875" bestFit="1" customWidth="1" style="181" min="4" max="4"/>
    <col width="15.77734375" customWidth="1" style="181" min="5" max="5"/>
    <col width="8.88671875" bestFit="1" customWidth="1" style="181" min="6" max="6"/>
    <col width="15.77734375" customWidth="1" style="181" min="7" max="7"/>
    <col width="8.88671875" bestFit="1" customWidth="1" style="181" min="8" max="8"/>
    <col width="14.109375" customWidth="1" style="124" min="9" max="9"/>
    <col width="8.21875" bestFit="1" customWidth="1" style="124" min="10" max="10"/>
    <col width="8.88671875" customWidth="1" style="124" min="11" max="11"/>
    <col width="17.5546875" bestFit="1" customWidth="1" style="124" min="12" max="12"/>
    <col width="14.88671875" bestFit="1" customWidth="1" style="124" min="13" max="13"/>
    <col width="15.6640625" bestFit="1" customWidth="1" style="124" min="14" max="14"/>
    <col width="8.88671875" customWidth="1" style="124" min="15" max="16384"/>
  </cols>
  <sheetData>
    <row r="1" ht="29.25" customHeight="1">
      <c r="A1" s="144" t="inlineStr">
        <is>
          <t>기성(제1회) 내역서</t>
        </is>
      </c>
    </row>
    <row r="2" ht="13.5" customHeight="1"/>
    <row r="3" ht="27.95" customHeight="1">
      <c r="A3" s="143" t="inlineStr">
        <is>
          <t>가. 용    역     명 : 영덕군 도시계획정보체계(UPIS) 운영장비(H/W‧S/W) 유지관리 용역</t>
        </is>
      </c>
      <c r="G3" s="95" t="n"/>
      <c r="H3" s="182" t="inlineStr">
        <is>
          <t>감독관 경유</t>
        </is>
      </c>
      <c r="I3" s="183" t="n"/>
    </row>
    <row r="4" ht="27.95" customHeight="1">
      <c r="A4" s="143" t="inlineStr">
        <is>
          <t>나. 계  약  금  액 : 금일천육백삼십팔만원(\16,380,000)</t>
        </is>
      </c>
      <c r="G4" s="143" t="n"/>
      <c r="H4" s="184" t="n"/>
      <c r="I4" s="183" t="n"/>
    </row>
    <row r="5" ht="27.95" customFormat="1" customHeight="1" s="96">
      <c r="A5" s="143" t="inlineStr">
        <is>
          <t>다. 선  금  금  액 : -</t>
        </is>
      </c>
      <c r="G5" s="97" t="n"/>
      <c r="H5" s="185" t="n"/>
      <c r="I5" s="176" t="n"/>
    </row>
    <row r="6" ht="27.95" customFormat="1" customHeight="1" s="96">
      <c r="A6" s="143" t="inlineStr">
        <is>
          <t>라. 전회기성금액 : -</t>
        </is>
      </c>
      <c r="G6" s="97" t="n"/>
      <c r="H6" s="186" t="n"/>
      <c r="I6" s="187" t="n"/>
    </row>
    <row r="7" ht="27.95" customFormat="1" customHeight="1" s="96">
      <c r="A7" s="143" t="inlineStr">
        <is>
          <t>마. 선급금 정산금액 : -</t>
        </is>
      </c>
    </row>
    <row r="8" ht="27.95" customFormat="1" customHeight="1" s="96">
      <c r="A8" s="143" t="inlineStr">
        <is>
          <t>바. 금회기성신청금액 : 금팔백일십구만원(\8,190,000)</t>
        </is>
      </c>
      <c r="L8" s="269" t="n">
        <v>8190000</v>
      </c>
    </row>
    <row r="9" ht="24" customHeight="1">
      <c r="A9" s="95" t="inlineStr">
        <is>
          <t>사. 내       역(부가가치세 포함)</t>
        </is>
      </c>
      <c r="B9" s="189" t="n"/>
      <c r="C9" s="189" t="n"/>
      <c r="D9" s="189" t="n"/>
      <c r="E9" s="189" t="n"/>
      <c r="F9" s="189" t="n"/>
      <c r="G9" s="189" t="n"/>
      <c r="H9" s="189" t="n"/>
      <c r="I9" s="95" t="n"/>
    </row>
    <row r="10" ht="29.1" customHeight="1">
      <c r="A10" s="151" t="inlineStr">
        <is>
          <t>구분</t>
        </is>
      </c>
      <c r="B10" s="190" t="inlineStr">
        <is>
          <t>도급액</t>
        </is>
      </c>
      <c r="C10" s="190" t="inlineStr">
        <is>
          <t>전회 기성부문</t>
        </is>
      </c>
      <c r="D10" s="191" t="n"/>
      <c r="E10" s="190" t="inlineStr">
        <is>
          <t>금회 기성부문</t>
        </is>
      </c>
      <c r="F10" s="191" t="n"/>
      <c r="G10" s="190" t="inlineStr">
        <is>
          <t>기성 누계</t>
        </is>
      </c>
      <c r="H10" s="191" t="n"/>
      <c r="I10" s="190" t="inlineStr">
        <is>
          <t>잔액</t>
        </is>
      </c>
      <c r="J10" s="191" t="n"/>
      <c r="L10" s="181" t="n"/>
      <c r="N10" s="181" t="n"/>
    </row>
    <row r="11" ht="29.1" customHeight="1">
      <c r="A11" s="192" t="n"/>
      <c r="B11" s="193" t="inlineStr">
        <is>
          <t>금액(원)</t>
        </is>
      </c>
      <c r="C11" s="193" t="inlineStr">
        <is>
          <t>금액(원)</t>
        </is>
      </c>
      <c r="D11" s="193" t="inlineStr">
        <is>
          <t>비율(%)</t>
        </is>
      </c>
      <c r="E11" s="193" t="inlineStr">
        <is>
          <t>금액(원)</t>
        </is>
      </c>
      <c r="F11" s="193" t="inlineStr">
        <is>
          <t>비율(%)</t>
        </is>
      </c>
      <c r="G11" s="193" t="inlineStr">
        <is>
          <t>금액(원)</t>
        </is>
      </c>
      <c r="H11" s="193" t="inlineStr">
        <is>
          <t>비율(%)</t>
        </is>
      </c>
      <c r="I11" s="193" t="inlineStr">
        <is>
          <t>금액(원)</t>
        </is>
      </c>
      <c r="J11" s="194" t="inlineStr">
        <is>
          <t>비율(%)</t>
        </is>
      </c>
      <c r="L11" s="78" t="n"/>
      <c r="M11" s="91" t="n"/>
      <c r="N11" s="195" t="n"/>
    </row>
    <row r="12" ht="29.1" customHeight="1">
      <c r="A12" s="116" t="inlineStr">
        <is>
          <t>1. 하드웨어 유지보수</t>
        </is>
      </c>
      <c r="B12" s="196">
        <f>설계서!D5</f>
        <v/>
      </c>
      <c r="C12" s="197" t="n">
        <v>0</v>
      </c>
      <c r="D12" s="198">
        <f>C12/B12</f>
        <v/>
      </c>
      <c r="E12" s="196">
        <f>설계서!G5</f>
        <v/>
      </c>
      <c r="F12" s="199">
        <f>E12/B12</f>
        <v/>
      </c>
      <c r="G12" s="196">
        <f>C12+E12</f>
        <v/>
      </c>
      <c r="H12" s="200">
        <f>F12+D12</f>
        <v/>
      </c>
      <c r="I12" s="201">
        <f>B12-G12</f>
        <v/>
      </c>
      <c r="J12" s="202">
        <f>1-H12</f>
        <v/>
      </c>
      <c r="L12" s="78" t="n"/>
      <c r="M12" s="124" t="n"/>
      <c r="N12" s="91" t="n"/>
    </row>
    <row r="13" ht="29.1" customHeight="1">
      <c r="A13" s="90" t="inlineStr">
        <is>
          <t xml:space="preserve">  DB서버</t>
        </is>
      </c>
      <c r="B13" s="197">
        <f>설계서!D6</f>
        <v/>
      </c>
      <c r="C13" s="197" t="n">
        <v>0</v>
      </c>
      <c r="D13" s="198">
        <f>C13/B13</f>
        <v/>
      </c>
      <c r="E13" s="197">
        <f>설계서!G6</f>
        <v/>
      </c>
      <c r="F13" s="198">
        <f>E13/B13</f>
        <v/>
      </c>
      <c r="G13" s="197">
        <f>C13+E13</f>
        <v/>
      </c>
      <c r="H13" s="203">
        <f>F13+D13</f>
        <v/>
      </c>
      <c r="I13" s="197">
        <f>B13-G13</f>
        <v/>
      </c>
      <c r="J13" s="204">
        <f>1-H13</f>
        <v/>
      </c>
      <c r="L13" s="205" t="n"/>
      <c r="M13" s="124" t="n"/>
      <c r="N13" s="91" t="n"/>
    </row>
    <row r="14" ht="29.1" customHeight="1">
      <c r="A14" s="90" t="inlineStr">
        <is>
          <t xml:space="preserve">  APP서버</t>
        </is>
      </c>
      <c r="B14" s="197">
        <f>설계서!D7</f>
        <v/>
      </c>
      <c r="C14" s="197" t="n">
        <v>0</v>
      </c>
      <c r="D14" s="198">
        <f>C14/B14</f>
        <v/>
      </c>
      <c r="E14" s="197">
        <f>설계서!G7</f>
        <v/>
      </c>
      <c r="F14" s="198">
        <f>E14/B14</f>
        <v/>
      </c>
      <c r="G14" s="197">
        <f>C14+E14</f>
        <v/>
      </c>
      <c r="H14" s="203">
        <f>F14+D14</f>
        <v/>
      </c>
      <c r="I14" s="197">
        <f>B14-G14</f>
        <v/>
      </c>
      <c r="J14" s="204">
        <f>1-H14</f>
        <v/>
      </c>
      <c r="L14" s="205" t="n"/>
    </row>
    <row r="15" ht="29.1" customHeight="1">
      <c r="A15" s="90" t="inlineStr">
        <is>
          <t>2. 소프트웨어 유지보수</t>
        </is>
      </c>
      <c r="B15" s="201">
        <f>설계서!D9</f>
        <v/>
      </c>
      <c r="C15" s="197" t="n">
        <v>0</v>
      </c>
      <c r="D15" s="198">
        <f>C15/B15</f>
        <v/>
      </c>
      <c r="E15" s="201">
        <f>설계서!G9</f>
        <v/>
      </c>
      <c r="F15" s="199">
        <f>E15/B15</f>
        <v/>
      </c>
      <c r="G15" s="196">
        <f>C15+E15</f>
        <v/>
      </c>
      <c r="H15" s="200">
        <f>F15+D15</f>
        <v/>
      </c>
      <c r="I15" s="201">
        <f>B15-G15</f>
        <v/>
      </c>
      <c r="J15" s="202">
        <f>1-H15</f>
        <v/>
      </c>
      <c r="L15" s="205" t="n"/>
    </row>
    <row r="16" ht="29.1" customHeight="1">
      <c r="A16" s="90" t="inlineStr">
        <is>
          <t xml:space="preserve">  DBMS</t>
        </is>
      </c>
      <c r="B16" s="197">
        <f>설계서!D10</f>
        <v/>
      </c>
      <c r="C16" s="197" t="n">
        <v>0</v>
      </c>
      <c r="D16" s="198">
        <f>C16/B16</f>
        <v/>
      </c>
      <c r="E16" s="197">
        <f>설계서!G10</f>
        <v/>
      </c>
      <c r="F16" s="198">
        <f>E16/B16</f>
        <v/>
      </c>
      <c r="G16" s="197">
        <f>C16+E16</f>
        <v/>
      </c>
      <c r="H16" s="203">
        <f>F16+D16</f>
        <v/>
      </c>
      <c r="I16" s="197">
        <f>B16-G16</f>
        <v/>
      </c>
      <c r="J16" s="204">
        <f>1-H16</f>
        <v/>
      </c>
      <c r="L16" s="205" t="n"/>
      <c r="N16" s="195" t="n"/>
    </row>
    <row r="17" ht="29.1" customHeight="1">
      <c r="A17" s="90" t="inlineStr">
        <is>
          <t xml:space="preserve">  GIS엔진</t>
        </is>
      </c>
      <c r="B17" s="197">
        <f>설계서!D11</f>
        <v/>
      </c>
      <c r="C17" s="197" t="n">
        <v>0</v>
      </c>
      <c r="D17" s="198">
        <f>C17/B17</f>
        <v/>
      </c>
      <c r="E17" s="197">
        <f>설계서!G11</f>
        <v/>
      </c>
      <c r="F17" s="198">
        <f>E17/B17</f>
        <v/>
      </c>
      <c r="G17" s="197">
        <f>C17+E17</f>
        <v/>
      </c>
      <c r="H17" s="203">
        <f>F17+D17</f>
        <v/>
      </c>
      <c r="I17" s="197">
        <f>B17-G17</f>
        <v/>
      </c>
      <c r="J17" s="204">
        <f>1-H17</f>
        <v/>
      </c>
      <c r="L17" s="205" t="n"/>
      <c r="N17" s="195" t="n"/>
    </row>
    <row r="18" ht="39" customHeight="1">
      <c r="A18" s="84" t="inlineStr">
        <is>
          <t>합계</t>
        </is>
      </c>
      <c r="B18" s="206">
        <f>(ROUNDDOWN((SUM(B12+B15)),-2))</f>
        <v/>
      </c>
      <c r="C18" s="206">
        <f>ROUNDDOWN((C12+C15),0)</f>
        <v/>
      </c>
      <c r="D18" s="207">
        <f>C18/B18</f>
        <v/>
      </c>
      <c r="E18" s="206">
        <f>ROUNDDOWN((E12+E15),-4)</f>
        <v/>
      </c>
      <c r="F18" s="207">
        <f>E18/B18</f>
        <v/>
      </c>
      <c r="G18" s="206">
        <f>ROUNDDOWN((G12+G15),-3)</f>
        <v/>
      </c>
      <c r="H18" s="208">
        <f>F18+D18</f>
        <v/>
      </c>
      <c r="I18" s="206">
        <f>B18-G18</f>
        <v/>
      </c>
      <c r="J18" s="209">
        <f>1-H18</f>
        <v/>
      </c>
      <c r="L18" s="78" t="n"/>
    </row>
    <row r="19">
      <c r="A19" s="95" t="n"/>
      <c r="B19" s="210" t="n"/>
      <c r="C19" s="189" t="n"/>
      <c r="D19" s="189" t="n"/>
      <c r="E19" s="189" t="n"/>
      <c r="F19" s="189" t="n"/>
      <c r="G19" s="189" t="n"/>
      <c r="H19" s="189" t="n"/>
      <c r="I19" s="189" t="n"/>
    </row>
    <row r="20">
      <c r="A20" s="75" t="n"/>
      <c r="B20" s="189" t="n"/>
      <c r="C20" s="211" t="n"/>
      <c r="D20" s="212" t="n"/>
      <c r="E20" s="189" t="n"/>
      <c r="F20" s="189" t="n"/>
      <c r="G20" s="195" t="n"/>
      <c r="H20" s="72" t="n"/>
      <c r="I20" s="213" t="n"/>
      <c r="L20" s="195" t="n"/>
    </row>
    <row r="21">
      <c r="A21" s="58" t="n"/>
      <c r="B21" s="214" t="n"/>
      <c r="C21" s="69" t="n"/>
      <c r="D21" s="189" t="n"/>
      <c r="E21" s="189" t="n"/>
      <c r="F21" s="189" t="n"/>
      <c r="G21" s="189" t="n"/>
      <c r="H21" s="189" t="n"/>
    </row>
    <row r="22">
      <c r="A22" s="58" t="n"/>
      <c r="B22" s="215" t="n"/>
      <c r="C22" s="212" t="n"/>
      <c r="D22" s="212" t="n"/>
      <c r="E22" s="216" t="n"/>
      <c r="F22" s="189" t="n"/>
      <c r="G22" s="216" t="n"/>
      <c r="H22" s="72" t="n"/>
      <c r="I22" s="217" t="n"/>
    </row>
    <row r="23">
      <c r="A23" s="58" t="n"/>
      <c r="B23" s="218" t="n"/>
      <c r="C23" s="218" t="n"/>
      <c r="E23" s="189" t="n"/>
      <c r="G23" s="218" t="n"/>
    </row>
    <row r="24">
      <c r="A24" s="58" t="n"/>
      <c r="B24" s="189" t="n"/>
      <c r="C24" s="189" t="n"/>
      <c r="D24" s="212" t="n"/>
      <c r="G24" s="189" t="n"/>
    </row>
    <row r="25">
      <c r="A25" s="58" t="n"/>
      <c r="B25" s="219" t="n"/>
      <c r="I25" s="181" t="n"/>
    </row>
    <row r="26">
      <c r="B26" s="220" t="n"/>
      <c r="I26" s="181" t="n"/>
    </row>
    <row r="27">
      <c r="A27" s="58" t="n"/>
      <c r="B27" s="189" t="n"/>
      <c r="C27" s="220" t="n"/>
      <c r="F27" s="61" t="n"/>
    </row>
    <row r="28">
      <c r="A28" s="58" t="n"/>
      <c r="B28" s="189" t="n"/>
      <c r="C28" s="220" t="n"/>
      <c r="I28" s="217" t="n"/>
    </row>
    <row r="29">
      <c r="A29" s="58" t="n"/>
      <c r="B29" s="189" t="n"/>
    </row>
    <row r="30">
      <c r="A30" s="58" t="n"/>
      <c r="B30" s="189" t="n"/>
      <c r="I30" s="195" t="n"/>
    </row>
    <row r="31">
      <c r="B31" s="189" t="n"/>
    </row>
    <row r="32">
      <c r="B32" s="189" t="n"/>
      <c r="I32" s="195" t="n"/>
    </row>
  </sheetData>
  <mergeCells count="14">
    <mergeCell ref="A7:I7"/>
    <mergeCell ref="A1:J1"/>
    <mergeCell ref="C10:D10"/>
    <mergeCell ref="E10:F10"/>
    <mergeCell ref="I10:J10"/>
    <mergeCell ref="G10:H10"/>
    <mergeCell ref="A5:F5"/>
    <mergeCell ref="A10:A11"/>
    <mergeCell ref="A6:F6"/>
    <mergeCell ref="A8:I8"/>
    <mergeCell ref="A4:F4"/>
    <mergeCell ref="A3:F3"/>
    <mergeCell ref="H4:I6"/>
    <mergeCell ref="H3:I3"/>
  </mergeCells>
  <printOptions horizontalCentered="1"/>
  <pageMargins left="0.3149606299212598" right="0.3149606299212598" top="0.5905511811023623" bottom="0.5905511811023623" header="0" footer="0.5118110236220472"/>
  <pageSetup orientation="landscape" paperSize="9" scale="75"/>
</worksheet>
</file>

<file path=xl/worksheets/sheet3.xml><?xml version="1.0" encoding="utf-8"?>
<worksheet xmlns="http://schemas.openxmlformats.org/spreadsheetml/2006/main">
  <sheetPr codeName="Sheet16">
    <tabColor rgb="FF008080"/>
    <outlinePr summaryBelow="1" summaryRight="1"/>
    <pageSetUpPr/>
  </sheetPr>
  <dimension ref="A1:S15"/>
  <sheetViews>
    <sheetView view="pageBreakPreview" zoomScale="115" zoomScaleNormal="75" zoomScaleSheetLayoutView="115" workbookViewId="0">
      <selection activeCell="A1" sqref="A1:K1"/>
    </sheetView>
  </sheetViews>
  <sheetFormatPr baseColWidth="8" defaultRowHeight="30" customHeight="1"/>
  <cols>
    <col width="4.77734375" customWidth="1" style="221" min="1" max="1"/>
    <col width="19.77734375" customWidth="1" style="221" min="2" max="2"/>
    <col width="15.77734375" customWidth="1" style="221" min="3" max="5"/>
    <col width="15.77734375" customWidth="1" style="101" min="6" max="6"/>
    <col width="15.77734375" customWidth="1" style="221" min="7" max="7"/>
    <col width="15.77734375" customWidth="1" style="101" min="8" max="8"/>
    <col width="15.77734375" customWidth="1" style="221" min="9" max="9"/>
    <col width="15.77734375" customWidth="1" style="101" min="10" max="10"/>
    <col width="12.5546875" customWidth="1" style="221" min="11" max="11"/>
    <col width="10.6640625" bestFit="1" customWidth="1" style="221" min="12" max="12"/>
    <col width="1.77734375" customWidth="1" style="221" min="13" max="13"/>
    <col width="6.77734375" customWidth="1" style="221" min="14" max="14"/>
    <col width="12.33203125" customWidth="1" style="221" min="15" max="15"/>
    <col width="13.109375" bestFit="1" customWidth="1" style="221" min="16" max="16"/>
    <col width="20.44140625" customWidth="1" style="222" min="17" max="17"/>
    <col width="8.88671875" customWidth="1" style="221" min="18" max="18"/>
    <col width="8.88671875" customWidth="1" style="22" min="19" max="19"/>
    <col width="8.88671875" customWidth="1" style="221" min="20" max="16384"/>
  </cols>
  <sheetData>
    <row r="1" ht="39.95" customFormat="1" customHeight="1" s="21">
      <c r="A1" s="223" t="inlineStr">
        <is>
          <t>총괄표</t>
        </is>
      </c>
      <c r="B1" s="224" t="n"/>
      <c r="C1" s="224" t="n"/>
      <c r="D1" s="224" t="n"/>
      <c r="E1" s="224" t="n"/>
      <c r="F1" s="224" t="n"/>
      <c r="G1" s="224" t="n"/>
      <c r="H1" s="224" t="n"/>
      <c r="I1" s="224" t="n"/>
      <c r="J1" s="224" t="n"/>
      <c r="K1" s="225" t="n"/>
      <c r="N1" s="221" t="n"/>
      <c r="Q1" s="222" t="n"/>
      <c r="S1" s="22" t="n"/>
    </row>
    <row r="2" ht="39.75" customFormat="1" customHeight="1" s="23">
      <c r="A2" s="226" t="inlineStr">
        <is>
          <t>종별</t>
        </is>
      </c>
      <c r="B2" s="227" t="n"/>
      <c r="C2" s="228" t="inlineStr">
        <is>
          <t>소계</t>
        </is>
      </c>
      <c r="D2" s="191" t="n"/>
      <c r="E2" s="229" t="inlineStr">
        <is>
          <t>전회기성</t>
        </is>
      </c>
      <c r="F2" s="191" t="n"/>
      <c r="G2" s="228" t="inlineStr">
        <is>
          <t>금회기성</t>
        </is>
      </c>
      <c r="H2" s="191" t="n"/>
      <c r="I2" s="166" t="inlineStr">
        <is>
          <t>기성누계</t>
        </is>
      </c>
      <c r="J2" s="230" t="n"/>
      <c r="K2" s="99" t="inlineStr">
        <is>
          <t>비  고</t>
        </is>
      </c>
      <c r="N2" s="231" t="n"/>
      <c r="O2" s="53" t="n"/>
      <c r="Q2" s="232" t="n"/>
      <c r="S2" s="25" t="n"/>
    </row>
    <row r="3" ht="39.75" customFormat="1" customHeight="1" s="23">
      <c r="A3" s="186" t="n"/>
      <c r="B3" s="233" t="n"/>
      <c r="C3" s="111" t="inlineStr">
        <is>
          <t>단가</t>
        </is>
      </c>
      <c r="D3" s="111" t="inlineStr">
        <is>
          <t>금액</t>
        </is>
      </c>
      <c r="E3" s="112" t="inlineStr">
        <is>
          <t>금액(원)</t>
        </is>
      </c>
      <c r="F3" s="114" t="inlineStr">
        <is>
          <t>비율</t>
        </is>
      </c>
      <c r="G3" s="112" t="inlineStr">
        <is>
          <t>금액(원)</t>
        </is>
      </c>
      <c r="H3" s="114" t="inlineStr">
        <is>
          <t>비율</t>
        </is>
      </c>
      <c r="I3" s="112" t="inlineStr">
        <is>
          <t>금액(원)</t>
        </is>
      </c>
      <c r="J3" s="114" t="inlineStr">
        <is>
          <t>비율</t>
        </is>
      </c>
      <c r="K3" s="115" t="n"/>
      <c r="N3" s="231" t="n"/>
      <c r="O3" s="53" t="n"/>
      <c r="Q3" s="232" t="n"/>
      <c r="S3" s="25" t="n"/>
    </row>
    <row r="4" ht="39.95" customFormat="1" customHeight="1" s="35">
      <c r="A4" s="234" t="inlineStr">
        <is>
          <t>1. 하드웨어 유지보수</t>
        </is>
      </c>
      <c r="B4" s="235" t="n"/>
      <c r="C4" s="104" t="n"/>
      <c r="D4" s="104" t="n"/>
      <c r="E4" s="104" t="n"/>
      <c r="F4" s="105" t="n"/>
      <c r="G4" s="236" t="n"/>
      <c r="H4" s="107" t="n"/>
      <c r="I4" s="237" t="n"/>
      <c r="J4" s="109" t="n"/>
      <c r="K4" s="110" t="n"/>
      <c r="N4" s="238" t="n"/>
      <c r="O4" s="53" t="n"/>
      <c r="P4" s="53" t="n"/>
      <c r="Q4" s="239" t="n"/>
      <c r="S4" s="38" t="n"/>
    </row>
    <row r="5" ht="39.95" customFormat="1" customHeight="1" s="240">
      <c r="A5" s="241" t="inlineStr">
        <is>
          <t>I. 유지보수대가</t>
        </is>
      </c>
      <c r="B5" s="242" t="n"/>
      <c r="C5" s="39" t="n"/>
      <c r="D5" s="243">
        <f>SUM(D6,D7)</f>
        <v/>
      </c>
      <c r="E5" s="244">
        <f>D5*F5</f>
        <v/>
      </c>
      <c r="F5" s="102" t="n">
        <v>0</v>
      </c>
      <c r="G5" s="245">
        <f>H5*D5</f>
        <v/>
      </c>
      <c r="H5" s="102">
        <f>$H$12</f>
        <v/>
      </c>
      <c r="I5" s="246">
        <f>G5+E5</f>
        <v/>
      </c>
      <c r="J5" s="103">
        <f>H5+F5</f>
        <v/>
      </c>
      <c r="K5" s="247" t="n"/>
      <c r="Q5" s="222" t="n"/>
      <c r="S5" s="28" t="n"/>
    </row>
    <row r="6" ht="39.95" customHeight="1">
      <c r="A6" s="128" t="n">
        <v>1</v>
      </c>
      <c r="B6" s="158" t="inlineStr">
        <is>
          <t>DB서버</t>
        </is>
      </c>
      <c r="C6" s="243">
        <f>D6</f>
        <v/>
      </c>
      <c r="D6" s="248" t="n">
        <v>4082670.262364251</v>
      </c>
      <c r="E6" s="244">
        <f>D6*F6</f>
        <v/>
      </c>
      <c r="F6" s="102" t="n">
        <v>0</v>
      </c>
      <c r="G6" s="245">
        <f>H6*D6</f>
        <v/>
      </c>
      <c r="H6" s="102">
        <f>$H$12</f>
        <v/>
      </c>
      <c r="I6" s="246">
        <f>G6+E6</f>
        <v/>
      </c>
      <c r="J6" s="103">
        <f>H6+F6</f>
        <v/>
      </c>
      <c r="K6" s="249" t="n"/>
      <c r="N6" s="250" t="n"/>
      <c r="O6" s="251" t="n"/>
      <c r="P6" s="252" t="n"/>
      <c r="Q6" s="253" t="n"/>
    </row>
    <row r="7" ht="39.95" customHeight="1">
      <c r="A7" s="29" t="n">
        <v>2</v>
      </c>
      <c r="B7" s="30" t="inlineStr">
        <is>
          <t>AP서버</t>
        </is>
      </c>
      <c r="C7" s="254">
        <f>D7</f>
        <v/>
      </c>
      <c r="D7" s="255" t="n">
        <v>1777152.302690878</v>
      </c>
      <c r="E7" s="244">
        <f>D7*F7</f>
        <v/>
      </c>
      <c r="F7" s="102" t="n">
        <v>0</v>
      </c>
      <c r="G7" s="245">
        <f>H7*D7</f>
        <v/>
      </c>
      <c r="H7" s="102">
        <f>$H$12</f>
        <v/>
      </c>
      <c r="I7" s="246">
        <f>G7+E7</f>
        <v/>
      </c>
      <c r="J7" s="103">
        <f>H7+F7</f>
        <v/>
      </c>
      <c r="K7" s="256" t="n"/>
      <c r="N7" s="257" t="n"/>
      <c r="O7" s="251" t="n"/>
      <c r="P7" s="252" t="n"/>
    </row>
    <row r="8" ht="39.95" customFormat="1" customHeight="1" s="240">
      <c r="A8" s="258" t="inlineStr">
        <is>
          <t>2. 소프트웨어 유지보수</t>
        </is>
      </c>
      <c r="B8" s="242" t="n"/>
      <c r="C8" s="39" t="n"/>
      <c r="D8" s="254" t="n"/>
      <c r="E8" s="39" t="n"/>
      <c r="F8" s="102" t="n"/>
      <c r="G8" s="246" t="n"/>
      <c r="H8" s="102" t="n"/>
      <c r="I8" s="246" t="n"/>
      <c r="J8" s="103" t="n"/>
      <c r="K8" s="247" t="n"/>
      <c r="O8" s="101" t="n"/>
      <c r="P8" s="259" t="n"/>
      <c r="Q8" s="260" t="n"/>
      <c r="S8" s="28" t="n"/>
    </row>
    <row r="9" ht="39.95" customFormat="1" customHeight="1" s="240">
      <c r="A9" s="241" t="inlineStr">
        <is>
          <t>II. 유지보수대가</t>
        </is>
      </c>
      <c r="B9" s="242" t="n"/>
      <c r="C9" s="39" t="n"/>
      <c r="D9" s="243">
        <f>SUM(D10,D11)</f>
        <v/>
      </c>
      <c r="E9" s="244">
        <f>D9*F9</f>
        <v/>
      </c>
      <c r="F9" s="102" t="n">
        <v>0</v>
      </c>
      <c r="G9" s="245">
        <f>H9*D9</f>
        <v/>
      </c>
      <c r="H9" s="102">
        <f>$H$12</f>
        <v/>
      </c>
      <c r="I9" s="246">
        <f>G9+E9</f>
        <v/>
      </c>
      <c r="J9" s="103">
        <f>H9+F9</f>
        <v/>
      </c>
      <c r="K9" s="247" t="n"/>
      <c r="N9" s="261" t="n"/>
      <c r="O9" s="240" t="n">
        <v>16400000</v>
      </c>
      <c r="Q9" s="260" t="n"/>
      <c r="S9" s="28" t="n"/>
    </row>
    <row r="10" ht="39.95" customHeight="1">
      <c r="A10" s="128" t="n">
        <v>1</v>
      </c>
      <c r="B10" s="158" t="inlineStr">
        <is>
          <t>D B M S</t>
        </is>
      </c>
      <c r="C10" s="243">
        <f>D10</f>
        <v/>
      </c>
      <c r="D10" s="248" t="n">
        <v>2104035.618501795</v>
      </c>
      <c r="E10" s="244">
        <f>D10*F10</f>
        <v/>
      </c>
      <c r="F10" s="102" t="n">
        <v>0</v>
      </c>
      <c r="G10" s="245">
        <f>H10*D10</f>
        <v/>
      </c>
      <c r="H10" s="102">
        <f>$H$12</f>
        <v/>
      </c>
      <c r="I10" s="246">
        <f>G10+E10</f>
        <v/>
      </c>
      <c r="J10" s="103">
        <f>H10+F10</f>
        <v/>
      </c>
      <c r="K10" s="249" t="n"/>
      <c r="O10" s="221" t="n">
        <v>9560000</v>
      </c>
    </row>
    <row r="11" ht="39.95" customHeight="1">
      <c r="A11" s="29" t="n">
        <v>2</v>
      </c>
      <c r="B11" s="30" t="inlineStr">
        <is>
          <t>GIS엔진</t>
        </is>
      </c>
      <c r="C11" s="262">
        <f>D11</f>
        <v/>
      </c>
      <c r="D11" s="263" t="n">
        <v>8416142.373418992</v>
      </c>
      <c r="E11" s="244">
        <f>D11*F11</f>
        <v/>
      </c>
      <c r="F11" s="102" t="n">
        <v>0</v>
      </c>
      <c r="G11" s="245">
        <f>H11*D11</f>
        <v/>
      </c>
      <c r="H11" s="102">
        <f>$H$12</f>
        <v/>
      </c>
      <c r="I11" s="246">
        <f>G11+E11</f>
        <v/>
      </c>
      <c r="J11" s="103">
        <f>H11+F11</f>
        <v/>
      </c>
      <c r="K11" s="264" t="n"/>
      <c r="O11" s="129">
        <f>O10/O9</f>
        <v/>
      </c>
      <c r="Q11" s="260" t="n"/>
    </row>
    <row r="12" ht="50.1" customHeight="1">
      <c r="A12" s="265" t="inlineStr">
        <is>
          <t>소계
(부가세 포함)</t>
        </is>
      </c>
      <c r="B12" s="266" t="n"/>
      <c r="C12" s="42" t="n"/>
      <c r="D12" s="267">
        <f>ROUND((D5+D9),-1)</f>
        <v/>
      </c>
      <c r="E12" s="244">
        <f>D12*F12</f>
        <v/>
      </c>
      <c r="F12" s="102" t="n">
        <v>0</v>
      </c>
      <c r="G12" s="245">
        <f>H12*D12</f>
        <v/>
      </c>
      <c r="H12" s="102" t="n">
        <v>0.5</v>
      </c>
      <c r="I12" s="246">
        <f>G12+E12</f>
        <v/>
      </c>
      <c r="J12" s="103">
        <f>H12+F12</f>
        <v/>
      </c>
      <c r="K12" s="268" t="n"/>
      <c r="O12" s="101" t="n"/>
      <c r="Q12" s="260" t="n"/>
    </row>
    <row r="15" ht="30" customHeight="1">
      <c r="I15" s="22" t="n"/>
    </row>
  </sheetData>
  <mergeCells count="11">
    <mergeCell ref="A4:B4"/>
    <mergeCell ref="A2:B3"/>
    <mergeCell ref="C2:D2"/>
    <mergeCell ref="G2:H2"/>
    <mergeCell ref="E2:F2"/>
    <mergeCell ref="I2:J2"/>
    <mergeCell ref="A5:B5"/>
    <mergeCell ref="A9:B9"/>
    <mergeCell ref="A8:B8"/>
    <mergeCell ref="A1:K1"/>
    <mergeCell ref="A12:B12"/>
  </mergeCells>
  <printOptions horizontalCentered="1" verticalCentered="1"/>
  <pageMargins left="0.6692913385826772" right="0.6692913385826772" top="0.7874015748031497" bottom="0.7874015748031497" header="0.5118110236220472" footer="0.3543307086614174"/>
  <pageSetup orientation="landscape" paperSize="9" scale="70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view="pageBreakPreview" zoomScale="115" zoomScaleNormal="100" zoomScaleSheetLayoutView="115" workbookViewId="0">
      <selection activeCell="K35" sqref="K35"/>
    </sheetView>
  </sheetViews>
  <sheetFormatPr baseColWidth="8" defaultRowHeight="13.5"/>
  <sheetData>
    <row r="1" ht="17.25" customHeight="1">
      <c r="A1" s="8" t="inlineStr">
        <is>
          <t>※ SW사업 대가산정 가이드 2016년 개정판(한국소프트웨어산업협회)</t>
        </is>
      </c>
    </row>
  </sheetData>
  <pageMargins left="0.7" right="0.7" top="0.75" bottom="0.75" header="0.3" footer="0.3"/>
  <pageSetup orientation="landscape" paperSize="9" scale="8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jyhun</dc:creator>
  <dcterms:created xmlns:dcterms="http://purl.org/dc/terms/" xmlns:xsi="http://www.w3.org/2001/XMLSchema-instance" xsi:type="dcterms:W3CDTF">2001-08-23T04:46:54Z</dcterms:created>
  <dcterms:modified xmlns:dcterms="http://purl.org/dc/terms/" xmlns:xsi="http://www.w3.org/2001/XMLSchema-instance" xsi:type="dcterms:W3CDTF">2026-04-29T05:44:26Z</dcterms:modified>
  <cp:lastModifiedBy>admin</cp:lastModifiedBy>
  <cp:lastPrinted>2019-01-02T11:42:30Z</cp:lastPrinted>
</cp:coreProperties>
</file>